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rand Experience &amp; Activation" sheetId="1" state="visible" r:id="rId1"/>
    <sheet xmlns:r="http://schemas.openxmlformats.org/officeDocument/2006/relationships" name="Audio &amp; Radio" sheetId="2" state="visible" r:id="rId2"/>
    <sheet xmlns:r="http://schemas.openxmlformats.org/officeDocument/2006/relationships" name="Film" sheetId="3" state="visible" r:id="rId3"/>
    <sheet xmlns:r="http://schemas.openxmlformats.org/officeDocument/2006/relationships" name="Outdoor" sheetId="4" state="visible" r:id="rId4"/>
    <sheet xmlns:r="http://schemas.openxmlformats.org/officeDocument/2006/relationships" name="Design" sheetId="5" state="visible" r:id="rId5"/>
    <sheet xmlns:r="http://schemas.openxmlformats.org/officeDocument/2006/relationships" name="Media" sheetId="6" state="visible" r:id="rId6"/>
    <sheet xmlns:r="http://schemas.openxmlformats.org/officeDocument/2006/relationships" name="Film Craft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Grand Prix for Good" sheetId="9" state="visible" r:id="rId9"/>
    <sheet xmlns:r="http://schemas.openxmlformats.org/officeDocument/2006/relationships" name="Glass - The Lion for Change" sheetId="10" state="visible" r:id="rId10"/>
    <sheet xmlns:r="http://schemas.openxmlformats.org/officeDocument/2006/relationships" name="Creative Bus. Transformation" sheetId="11" state="visible" r:id="rId11"/>
    <sheet xmlns:r="http://schemas.openxmlformats.org/officeDocument/2006/relationships" name="Luxury" sheetId="12" state="visible" r:id="rId12"/>
    <sheet xmlns:r="http://schemas.openxmlformats.org/officeDocument/2006/relationships" name="Innovation" sheetId="13" state="visible" r:id="rId13"/>
    <sheet xmlns:r="http://schemas.openxmlformats.org/officeDocument/2006/relationships" name="Pharma" sheetId="14" state="visible" r:id="rId14"/>
    <sheet xmlns:r="http://schemas.openxmlformats.org/officeDocument/2006/relationships" name="Entertainment Lions for Gaming" sheetId="15" state="visible" r:id="rId15"/>
    <sheet xmlns:r="http://schemas.openxmlformats.org/officeDocument/2006/relationships" name="Creative B2B" sheetId="16" state="visible" r:id="rId16"/>
    <sheet xmlns:r="http://schemas.openxmlformats.org/officeDocument/2006/relationships" name="Sustainable Development Goals" sheetId="17" state="visible" r:id="rId17"/>
    <sheet xmlns:r="http://schemas.openxmlformats.org/officeDocument/2006/relationships" name="Entertainment Lions for Music" sheetId="18" state="visible" r:id="rId18"/>
    <sheet xmlns:r="http://schemas.openxmlformats.org/officeDocument/2006/relationships" name="Creative Effectiveness" sheetId="19" state="visible" r:id="rId19"/>
    <sheet xmlns:r="http://schemas.openxmlformats.org/officeDocument/2006/relationships" name="Creative Data" sheetId="20" state="visible" r:id="rId20"/>
    <sheet xmlns:r="http://schemas.openxmlformats.org/officeDocument/2006/relationships" name="Creative Commerce" sheetId="21" state="visible" r:id="rId21"/>
    <sheet xmlns:r="http://schemas.openxmlformats.org/officeDocument/2006/relationships" name="Entertainment" sheetId="22" state="visible" r:id="rId22"/>
    <sheet xmlns:r="http://schemas.openxmlformats.org/officeDocument/2006/relationships" name="Entertainment Lions for Sport" sheetId="23" state="visible" r:id="rId23"/>
    <sheet xmlns:r="http://schemas.openxmlformats.org/officeDocument/2006/relationships" name="Creative Strategy" sheetId="24" state="visible" r:id="rId24"/>
    <sheet xmlns:r="http://schemas.openxmlformats.org/officeDocument/2006/relationships" name="Industry Craft" sheetId="25" state="visible" r:id="rId25"/>
    <sheet xmlns:r="http://schemas.openxmlformats.org/officeDocument/2006/relationships" name="Health &amp; Wellness" sheetId="26" state="visible" r:id="rId26"/>
    <sheet xmlns:r="http://schemas.openxmlformats.org/officeDocument/2006/relationships" name="PR" sheetId="27" state="visible" r:id="rId27"/>
    <sheet xmlns:r="http://schemas.openxmlformats.org/officeDocument/2006/relationships" name="Print &amp; Publishing" sheetId="28" state="visible" r:id="rId28"/>
    <sheet xmlns:r="http://schemas.openxmlformats.org/officeDocument/2006/relationships" name="Social &amp; Creator" sheetId="29" state="visible" r:id="rId29"/>
    <sheet xmlns:r="http://schemas.openxmlformats.org/officeDocument/2006/relationships" name="Direct" sheetId="30" state="visible" r:id="rId30"/>
    <sheet xmlns:r="http://schemas.openxmlformats.org/officeDocument/2006/relationships" name="Titanium" sheetId="31" state="visible" r:id="rId31"/>
    <sheet xmlns:r="http://schemas.openxmlformats.org/officeDocument/2006/relationships" name="Digital Craft" sheetId="32" state="visible" r:id="rId32"/>
    <sheet xmlns:r="http://schemas.openxmlformats.org/officeDocument/2006/relationships" name="Health Grand Prix for Good" sheetId="33" state="visible" r:id="rId33"/>
  </sheets>
  <definedNames>
    <definedName name="_xlnm._FilterDatabase" localSheetId="0" hidden="1">'Brand Experience &amp; Activation'!$A$1:$I$68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FFFFFFFF"/>
      <sz val="11"/>
    </font>
    <font>
      <name val="Arial"/>
      <b val="1"/>
      <color rgb="FFFFFFFF"/>
      <sz val="10"/>
    </font>
    <font>
      <b val="1"/>
      <color rgb="00FFFFFF"/>
      <sz val="10"/>
    </font>
    <font>
      <b val="1"/>
      <color rgb="00000000"/>
      <sz val="10"/>
    </font>
    <font>
      <sz val="10"/>
    </font>
    <font>
      <b val="1"/>
      <sz val="10"/>
    </font>
    <font>
      <color rgb="000563C1"/>
      <sz val="10"/>
    </font>
    <font>
      <b val="1"/>
      <color rgb="FFFFFFFF"/>
      <sz val="10"/>
    </font>
    <font>
      <b val="1"/>
      <color rgb="FF000000"/>
      <sz val="10"/>
    </font>
    <font>
      <color rgb="FF0563C1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b val="1"/>
      <color rgb="00FFFFFF"/>
    </font>
    <font>
      <b val="1"/>
    </font>
  </fonts>
  <fills count="18">
    <fill>
      <patternFill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D700"/>
        <bgColor rgb="FFFFFF00"/>
      </patternFill>
    </fill>
    <fill>
      <patternFill patternType="solid">
        <fgColor rgb="FFFFF3CD"/>
        <bgColor rgb="FFF5E6D3"/>
      </patternFill>
    </fill>
    <fill>
      <patternFill patternType="solid">
        <fgColor rgb="FFE8E8E8"/>
        <bgColor rgb="FFF5E6D3"/>
      </patternFill>
    </fill>
    <fill>
      <patternFill patternType="solid">
        <fgColor rgb="FFF5E6D3"/>
        <bgColor rgb="FFE8E8E8"/>
      </patternFill>
    </fill>
    <fill>
      <patternFill patternType="solid">
        <fgColor rgb="001A1A2E"/>
      </patternFill>
    </fill>
    <fill>
      <patternFill patternType="solid">
        <fgColor rgb="00FFF3CD"/>
      </patternFill>
    </fill>
    <fill>
      <patternFill patternType="solid">
        <fgColor rgb="00F5E6D3"/>
      </patternFill>
    </fill>
    <fill>
      <patternFill patternType="solid">
        <fgColor rgb="00FFD700"/>
      </patternFill>
    </fill>
    <fill>
      <patternFill patternType="solid">
        <fgColor rgb="00E8E8E8"/>
      </patternFill>
    </fill>
    <fill>
      <patternFill patternType="solid">
        <fgColor rgb="FF1A1A2E"/>
      </patternFill>
    </fill>
    <fill>
      <patternFill patternType="solid">
        <fgColor rgb="FFFFD700"/>
      </patternFill>
    </fill>
    <fill>
      <patternFill patternType="solid">
        <fgColor rgb="FFFFF3CD"/>
      </patternFill>
    </fill>
    <fill>
      <patternFill patternType="solid">
        <fgColor rgb="FFE8E8E8"/>
      </patternFill>
    </fill>
    <fill>
      <patternFill patternType="solid">
        <fgColor rgb="FFF5E6D3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/>
    </xf>
    <xf numFmtId="0" fontId="5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5" fillId="4" borderId="1" applyAlignment="1" pivotButton="0" quotePrefix="0" xfId="0">
      <alignment horizontal="center" vertical="bottom"/>
    </xf>
    <xf numFmtId="0" fontId="5" fillId="5" borderId="1" applyAlignment="1" pivotButton="0" quotePrefix="0" xfId="0">
      <alignment horizontal="center" vertical="bottom"/>
    </xf>
    <xf numFmtId="0" fontId="5" fillId="6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bottom"/>
    </xf>
    <xf numFmtId="0" fontId="5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14" fillId="0" borderId="0" pivotButton="0" quotePrefix="0" xfId="0"/>
    <xf numFmtId="0" fontId="11" fillId="7" borderId="0" applyAlignment="1" pivotButton="0" quotePrefix="0" xfId="0">
      <alignment horizontal="left"/>
    </xf>
    <xf numFmtId="0" fontId="12" fillId="10" borderId="0" pivotButton="0" quotePrefix="0" xfId="0"/>
    <xf numFmtId="0" fontId="12" fillId="0" borderId="0" pivotButton="0" quotePrefix="0" xfId="0"/>
    <xf numFmtId="0" fontId="12" fillId="8" borderId="0" pivotButton="0" quotePrefix="0" xfId="0"/>
    <xf numFmtId="0" fontId="12" fillId="11" borderId="0" pivotButton="0" quotePrefix="0" xfId="0"/>
    <xf numFmtId="0" fontId="12" fillId="9" borderId="0" pivotButton="0" quotePrefix="0" xfId="0"/>
    <xf numFmtId="0" fontId="13" fillId="0" borderId="0" pivotButton="0" quotePrefix="0" xfId="0"/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16" fillId="12" borderId="0" applyAlignment="1" pivotButton="0" quotePrefix="0" xfId="0">
      <alignment horizontal="left" vertical="center"/>
    </xf>
    <xf numFmtId="0" fontId="17" fillId="7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18" fillId="8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top" wrapText="1"/>
    </xf>
    <xf numFmtId="0" fontId="19" fillId="14" borderId="0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 wrapText="1"/>
    </xf>
    <xf numFmtId="0" fontId="19" fillId="16" borderId="0" applyAlignment="1" pivotButton="0" quotePrefix="0" xfId="0">
      <alignment horizontal="center" vertical="center" wrapText="1"/>
    </xf>
    <xf numFmtId="0" fontId="25" fillId="7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26" fillId="1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 wrapText="1"/>
    </xf>
    <xf numFmtId="0" fontId="26" fillId="11" borderId="0" applyAlignment="1" pivotButton="0" quotePrefix="0" xfId="0">
      <alignment vertical="center"/>
    </xf>
    <xf numFmtId="0" fontId="26" fillId="9" borderId="0" applyAlignment="1" pivotButton="0" quotePrefix="0" xfId="0">
      <alignment vertical="center"/>
    </xf>
    <xf numFmtId="0" fontId="28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9" fillId="10" borderId="0" applyAlignment="1" pivotButton="0" quotePrefix="0" xfId="0">
      <alignment vertical="center"/>
    </xf>
    <xf numFmtId="0" fontId="29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9" fillId="11" borderId="0" applyAlignment="1" pivotButton="0" quotePrefix="0" xfId="0">
      <alignment vertical="center"/>
    </xf>
    <xf numFmtId="0" fontId="29" fillId="9" borderId="0" applyAlignment="1" pivotButton="0" quotePrefix="0" xfId="0">
      <alignment vertical="center"/>
    </xf>
    <xf numFmtId="0" fontId="28" fillId="7" borderId="0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/>
    </xf>
    <xf numFmtId="0" fontId="29" fillId="0" borderId="0" pivotButton="0" quotePrefix="0" xfId="0"/>
    <xf numFmtId="0" fontId="29" fillId="11" borderId="0" applyAlignment="1" pivotButton="0" quotePrefix="0" xfId="0">
      <alignment horizontal="center"/>
    </xf>
    <xf numFmtId="0" fontId="29" fillId="9" borderId="0" applyAlignment="1" pivotButton="0" quotePrefix="0" xfId="0">
      <alignment horizontal="center"/>
    </xf>
    <xf numFmtId="0" fontId="28" fillId="17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A1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5E6D3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8E8E8"/>
      <rgbColor rgb="FF660066"/>
      <rgbColor rgb="FFFF8080"/>
      <rgbColor rgb="FF0563C1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D3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33" min="1" max="1"/>
    <col width="12" customWidth="1" style="33" min="2" max="2"/>
    <col width="35" customWidth="1" style="33" min="3" max="4"/>
    <col width="13" customWidth="1" style="34" min="4" max="4"/>
    <col width="25" customWidth="1" style="33" min="5" max="5"/>
    <col width="35" customWidth="1" style="33" min="6" max="6"/>
    <col width="18" customWidth="1" style="33" min="7" max="7"/>
    <col width="30" customWidth="1" style="33" min="8" max="8"/>
    <col width="60" customWidth="1" style="33" min="9" max="9"/>
    <col width="13" customWidth="1" style="34" min="10" max="10"/>
    <col width="28" customWidth="1" style="34" min="11" max="11"/>
    <col hidden="1" width="60" customWidth="1" style="34" min="12" max="12"/>
  </cols>
  <sheetData>
    <row r="1" ht="15" customHeight="1" s="34">
      <c r="A1" s="35" t="inlineStr">
        <is>
          <t>#</t>
        </is>
      </c>
      <c r="B1" s="35" t="inlineStr">
        <is>
          <t>Tier</t>
        </is>
      </c>
      <c r="C1" s="35" t="inlineStr">
        <is>
          <t>Campaign</t>
        </is>
      </c>
      <c r="D1" s="35" t="inlineStr">
        <is>
          <t>Brand</t>
        </is>
      </c>
      <c r="E1" s="35" t="inlineStr">
        <is>
          <t>Product/Service</t>
        </is>
      </c>
      <c r="F1" s="35" t="inlineStr">
        <is>
          <t>Agency</t>
        </is>
      </c>
      <c r="G1" s="35" t="inlineStr">
        <is>
          <t>Country</t>
        </is>
      </c>
      <c r="H1" s="35" t="inlineStr">
        <is>
          <t>Subcategory</t>
        </is>
      </c>
      <c r="I1" s="35" t="inlineStr">
        <is>
          <t>Image URL</t>
        </is>
      </c>
      <c r="J1" s="74" t="inlineStr">
        <is>
          <t>YouTube ID</t>
        </is>
      </c>
      <c r="K1" s="110" t="inlineStr">
        <is>
          <t>Campaign Group</t>
        </is>
      </c>
      <c r="L1" s="111" t="inlineStr">
        <is>
          <t>Entry URL</t>
        </is>
      </c>
    </row>
    <row r="2" ht="34.5" customHeight="1" s="34">
      <c r="A2" s="36" t="n">
        <v>1</v>
      </c>
      <c r="B2" s="37" t="inlineStr">
        <is>
          <t>Grand Prix</t>
        </is>
      </c>
      <c r="C2" s="38" t="inlineStr">
        <is>
          <t>Caption with Intention</t>
        </is>
      </c>
      <c r="D2" s="39" t="inlineStr">
        <is>
          <t>Academy of Motion Picture Arts &amp; Sciences / Chicago Hearing Society</t>
        </is>
      </c>
      <c r="E2" s="39" t="inlineStr">
        <is>
          <t>Closed Captioning</t>
        </is>
      </c>
      <c r="F2" s="39" t="inlineStr">
        <is>
          <t>FCB Chicago</t>
        </is>
      </c>
      <c r="G2" s="39" t="inlineStr">
        <is>
          <t>United States</t>
        </is>
      </c>
      <c r="H2" s="39" t="inlineStr">
        <is>
          <t>A05 - Media/Entertainment</t>
        </is>
      </c>
      <c r="I2" s="40" t="inlineStr">
        <is>
          <t>https://ascentialcdn.filespin.io/api/v1/conversion/ae51c3c9f04d452e914dba0555d8b029</t>
        </is>
      </c>
      <c r="J2" s="33" t="inlineStr">
        <is>
          <t>F48khKZhKHM</t>
        </is>
      </c>
      <c r="L2" s="33" t="inlineStr">
        <is>
          <t>https://www.lovethework.com/work/entries/caption-with-intention-746864</t>
        </is>
      </c>
    </row>
    <row r="3" ht="34.5" customHeight="1" s="34">
      <c r="A3" s="36" t="n">
        <v>2</v>
      </c>
      <c r="B3" s="41" t="inlineStr">
        <is>
          <t>Gold</t>
        </is>
      </c>
      <c r="C3" s="38" t="inlineStr">
        <is>
          <t>ADS Cover Rents</t>
        </is>
      </c>
      <c r="D3" s="39" t="inlineStr">
        <is>
          <t>Brahma</t>
        </is>
      </c>
      <c r="E3" s="39" t="inlineStr">
        <is>
          <t>Beer</t>
        </is>
      </c>
      <c r="F3" s="39" t="inlineStr">
        <is>
          <t>Africa Creative DDB Sao Paulo</t>
        </is>
      </c>
      <c r="G3" s="39" t="inlineStr">
        <is>
          <t>Brazil</t>
        </is>
      </c>
      <c r="H3" s="39" t="inlineStr">
        <is>
          <t>D02 - Guerrilla Marketing</t>
        </is>
      </c>
      <c r="I3" s="40" t="inlineStr">
        <is>
          <t>https://ascentialcdn.filespin.io/api/v1/conversion/17a255fb4a7d40d79616736a9ee7914c</t>
        </is>
      </c>
      <c r="J3" s="33" t="inlineStr">
        <is>
          <t>8R2TckoklzM</t>
        </is>
      </c>
      <c r="L3" s="33" t="inlineStr">
        <is>
          <t>https://www.lovethework.com/work/entries/ads-cover-rents-747640</t>
        </is>
      </c>
    </row>
    <row r="4" ht="34.5" customHeight="1" s="34">
      <c r="A4" s="36" t="n">
        <v>3</v>
      </c>
      <c r="B4" s="41" t="inlineStr">
        <is>
          <t>Gold</t>
        </is>
      </c>
      <c r="C4" s="38" t="inlineStr">
        <is>
          <t>Drops of Hope</t>
        </is>
      </c>
      <c r="D4" s="39" t="inlineStr">
        <is>
          <t>Kimberly-Clark</t>
        </is>
      </c>
      <c r="E4" s="39" t="inlineStr">
        <is>
          <t>Poise</t>
        </is>
      </c>
      <c r="F4" s="39" t="inlineStr">
        <is>
          <t>FCB New York</t>
        </is>
      </c>
      <c r="G4" s="39" t="inlineStr">
        <is>
          <t>United States</t>
        </is>
      </c>
      <c r="H4" s="39" t="inlineStr">
        <is>
          <t>A01 - Consumer Goods</t>
        </is>
      </c>
      <c r="I4" s="40" t="inlineStr">
        <is>
          <t>https://ascentialcdn.filespin.io/api/v1/conversion/6b9aa5b716a6476ca0f016a3c2a0dd62</t>
        </is>
      </c>
      <c r="J4" s="33" t="inlineStr">
        <is>
          <t>MnF0kip489Y</t>
        </is>
      </c>
      <c r="L4" s="33" t="inlineStr">
        <is>
          <t>https://www.lovethework.com/work/entries/drops-of-hope-748188</t>
        </is>
      </c>
    </row>
    <row r="5" ht="34.5" customHeight="1" s="34">
      <c r="A5" s="36" t="n">
        <v>4</v>
      </c>
      <c r="B5" s="41" t="inlineStr">
        <is>
          <t>Gold</t>
        </is>
      </c>
      <c r="C5" s="38" t="inlineStr">
        <is>
          <t>Drops of Hope</t>
        </is>
      </c>
      <c r="D5" s="39" t="inlineStr">
        <is>
          <t>Kimberly-Clark</t>
        </is>
      </c>
      <c r="E5" s="39" t="inlineStr">
        <is>
          <t>Poise</t>
        </is>
      </c>
      <c r="F5" s="39" t="inlineStr">
        <is>
          <t>FCB New York</t>
        </is>
      </c>
      <c r="G5" s="39" t="inlineStr">
        <is>
          <t>United States</t>
        </is>
      </c>
      <c r="H5" s="39" t="inlineStr">
        <is>
          <t>E07 - Corporate Purpose</t>
        </is>
      </c>
      <c r="I5" s="40" t="inlineStr">
        <is>
          <t>https://ascentialcdn.filespin.io/api/v1/conversion/b6b3814255234c3596fcb99868c0fbb7</t>
        </is>
      </c>
      <c r="J5" s="33" t="inlineStr">
        <is>
          <t>MnF0kip489Y</t>
        </is>
      </c>
      <c r="L5" s="33" t="inlineStr">
        <is>
          <t>https://www.lovethework.com/work/entries/drops-of-hope-748188</t>
        </is>
      </c>
    </row>
    <row r="6" ht="34.5" customHeight="1" s="34">
      <c r="A6" s="36" t="n">
        <v>5</v>
      </c>
      <c r="B6" s="41" t="inlineStr">
        <is>
          <t>Gold</t>
        </is>
      </c>
      <c r="C6" s="38" t="inlineStr">
        <is>
          <t>Fictional Insurance</t>
        </is>
      </c>
      <c r="D6" s="39" t="inlineStr">
        <is>
          <t>RCN/Prime</t>
        </is>
      </c>
      <c r="E6" s="39" t="inlineStr">
        <is>
          <t>Insurance</t>
        </is>
      </c>
      <c r="F6" s="39" t="inlineStr">
        <is>
          <t>DDB Colombia Bogota</t>
        </is>
      </c>
      <c r="G6" s="39" t="inlineStr">
        <is>
          <t>Colombia</t>
        </is>
      </c>
      <c r="H6" s="39" t="inlineStr">
        <is>
          <t>C03 - Customer Acquisition</t>
        </is>
      </c>
      <c r="I6" s="40" t="inlineStr">
        <is>
          <t>https://ascentialcdn.filespin.io/api/v1/conversion/8466955db96a4c52b6813e12a8c63226</t>
        </is>
      </c>
      <c r="J6" s="33" t="inlineStr">
        <is>
          <t>OctiVcwaiXI</t>
        </is>
      </c>
      <c r="L6" s="33" t="inlineStr">
        <is>
          <t>https://www.lovethework.com/work/entries/fictional-insurance-747450</t>
        </is>
      </c>
    </row>
    <row r="7" ht="34.5" customHeight="1" s="34">
      <c r="A7" s="36" t="n">
        <v>6</v>
      </c>
      <c r="B7" s="41" t="inlineStr">
        <is>
          <t>Gold</t>
        </is>
      </c>
      <c r="C7" s="38" t="inlineStr">
        <is>
          <t>Gulf of Mexico (Bar)</t>
        </is>
      </c>
      <c r="D7" s="39" t="inlineStr">
        <is>
          <t>Tecate</t>
        </is>
      </c>
      <c r="E7" s="39" t="inlineStr">
        <is>
          <t>Tecate Light</t>
        </is>
      </c>
      <c r="F7" s="39" t="inlineStr">
        <is>
          <t>LePub Mexico City</t>
        </is>
      </c>
      <c r="G7" s="39" t="inlineStr">
        <is>
          <t>Mexico</t>
        </is>
      </c>
      <c r="H7" s="39" t="inlineStr">
        <is>
          <t>E01 - Local Brand</t>
        </is>
      </c>
      <c r="I7" s="40" t="inlineStr">
        <is>
          <t>https://ascentialcdn.filespin.io/api/v1/conversion/afa88aa8421b41a18c68b9863bb6926c</t>
        </is>
      </c>
      <c r="J7" s="33" t="inlineStr">
        <is>
          <t>TFbAS7weMR8</t>
        </is>
      </c>
      <c r="L7" s="33" t="inlineStr">
        <is>
          <t>https://www.lovethework.com/work/entries/gulf-of-mexico-bar-747778</t>
        </is>
      </c>
    </row>
    <row r="8" ht="34.5" customHeight="1" s="34">
      <c r="A8" s="36" t="n">
        <v>7</v>
      </c>
      <c r="B8" s="41" t="inlineStr">
        <is>
          <t>Gold</t>
        </is>
      </c>
      <c r="C8" s="38" t="inlineStr">
        <is>
          <t>Lessons of Shame</t>
        </is>
      </c>
      <c r="D8" s="39" t="inlineStr">
        <is>
          <t>World Vision</t>
        </is>
      </c>
      <c r="E8" s="39" t="inlineStr">
        <is>
          <t>Institutional</t>
        </is>
      </c>
      <c r="F8" s="39" t="inlineStr">
        <is>
          <t>Havas Costa Rica</t>
        </is>
      </c>
      <c r="G8" s="39" t="inlineStr">
        <is>
          <t>Costa Rica</t>
        </is>
      </c>
      <c r="H8" s="39" t="inlineStr">
        <is>
          <t>A07 - Not-for-Profit</t>
        </is>
      </c>
      <c r="I8" s="40" t="inlineStr">
        <is>
          <t>https://ascentialcdn.filespin.io/api/v1/conversion/71112ff9b2324f9b8f9338c809483684</t>
        </is>
      </c>
      <c r="J8" s="33" t="inlineStr">
        <is>
          <t>YrNH2-6vqZo</t>
        </is>
      </c>
      <c r="L8" s="33" t="inlineStr">
        <is>
          <t>https://www.lovethework.com/work/entries/lessons-of-shame-746863</t>
        </is>
      </c>
    </row>
    <row r="9" ht="34.5" customHeight="1" s="34">
      <c r="A9" s="36" t="n">
        <v>8</v>
      </c>
      <c r="B9" s="41" t="inlineStr">
        <is>
          <t>Gold</t>
        </is>
      </c>
      <c r="C9" s="38" t="inlineStr">
        <is>
          <t>Lucky Yatra</t>
        </is>
      </c>
      <c r="D9" s="39" t="inlineStr">
        <is>
          <t>Indian Railways</t>
        </is>
      </c>
      <c r="E9" s="39" t="inlineStr">
        <is>
          <t>Railway Service</t>
        </is>
      </c>
      <c r="F9" s="39" t="inlineStr">
        <is>
          <t>FCB India Mumbai</t>
        </is>
      </c>
      <c r="G9" s="39" t="inlineStr">
        <is>
          <t>India</t>
        </is>
      </c>
      <c r="H9" s="39" t="inlineStr">
        <is>
          <t>C03 - Customer Acquisition</t>
        </is>
      </c>
      <c r="I9" s="40" t="inlineStr">
        <is>
          <t>https://ascentialcdn.filespin.io/api/v1/conversion/2e252d74f69d4889b7886d241255186a</t>
        </is>
      </c>
      <c r="J9" s="33" t="inlineStr">
        <is>
          <t>IYJlZRbvMEw</t>
        </is>
      </c>
      <c r="L9" s="33" t="inlineStr">
        <is>
          <t>https://www.lovethework.com/work/entries/lucky-yatra-747400</t>
        </is>
      </c>
    </row>
    <row r="10" ht="34.5" customHeight="1" s="34">
      <c r="A10" s="36" t="n">
        <v>9</v>
      </c>
      <c r="B10" s="41" t="inlineStr">
        <is>
          <t>Gold</t>
        </is>
      </c>
      <c r="C10" s="38" t="inlineStr">
        <is>
          <t>Price Packs</t>
        </is>
      </c>
      <c r="D10" s="39" t="inlineStr">
        <is>
          <t>Penny</t>
        </is>
      </c>
      <c r="E10" s="39" t="inlineStr">
        <is>
          <t>Food/Non-Food</t>
        </is>
      </c>
      <c r="F10" s="39" t="inlineStr">
        <is>
          <t>Serviceplan Germany</t>
        </is>
      </c>
      <c r="G10" s="39" t="inlineStr">
        <is>
          <t>Germany</t>
        </is>
      </c>
      <c r="H10" s="39" t="inlineStr">
        <is>
          <t>E08 - Market Disruption</t>
        </is>
      </c>
      <c r="I10" s="40" t="inlineStr">
        <is>
          <t>https://ascentialcdn.filespin.io/api/v1/conversion/67b6df2a0fe64deeb274c91d50040c54</t>
        </is>
      </c>
      <c r="J10" s="33" t="inlineStr">
        <is>
          <t>cnAXR4lk6R0</t>
        </is>
      </c>
      <c r="L10" s="33" t="inlineStr">
        <is>
          <t>https://www.lovethework.com/work/entries/price-packs-748536</t>
        </is>
      </c>
    </row>
    <row r="11" ht="34.5" customHeight="1" s="34">
      <c r="A11" s="36" t="n">
        <v>10</v>
      </c>
      <c r="B11" s="41" t="inlineStr">
        <is>
          <t>Gold</t>
        </is>
      </c>
      <c r="C11" s="38" t="inlineStr">
        <is>
          <t>The Kimberly Price</t>
        </is>
      </c>
      <c r="D11" s="39" t="inlineStr">
        <is>
          <t>Plaza Vea</t>
        </is>
      </c>
      <c r="E11" s="39" t="inlineStr">
        <is>
          <t>Plaza Vea</t>
        </is>
      </c>
      <c r="F11" s="39" t="inlineStr">
        <is>
          <t>Fahrenheit DDB Lima</t>
        </is>
      </c>
      <c r="G11" s="39" t="inlineStr">
        <is>
          <t>Peru</t>
        </is>
      </c>
      <c r="H11" s="39" t="inlineStr">
        <is>
          <t>B01 - Social Engagement</t>
        </is>
      </c>
      <c r="I11" s="40" t="inlineStr">
        <is>
          <t>https://ascentialcdn.filespin.io/api/v1/conversion/dd37e163320440a58d69763c047eec03</t>
        </is>
      </c>
      <c r="J11" s="33" t="inlineStr">
        <is>
          <t>pPAGka7S4_o</t>
        </is>
      </c>
      <c r="L11" s="33" t="inlineStr">
        <is>
          <t>https://www.lovethework.com/work/entries/the-kimberly-price-746894</t>
        </is>
      </c>
    </row>
    <row r="12" ht="34.5" customHeight="1" s="34">
      <c r="A12" s="36" t="n">
        <v>11</v>
      </c>
      <c r="B12" s="41" t="inlineStr">
        <is>
          <t>Gold</t>
        </is>
      </c>
      <c r="C12" s="38" t="inlineStr">
        <is>
          <t>Winter Takes on Colors</t>
        </is>
      </c>
      <c r="D12" s="39" t="inlineStr">
        <is>
          <t>McDonald's Polska</t>
        </is>
      </c>
      <c r="E12" s="39" t="inlineStr">
        <is>
          <t>Drwala Burger</t>
        </is>
      </c>
      <c r="F12" s="39" t="inlineStr">
        <is>
          <t>DDB Warsaw</t>
        </is>
      </c>
      <c r="G12" s="39" t="inlineStr">
        <is>
          <t>Poland</t>
        </is>
      </c>
      <c r="H12" s="39" t="inlineStr">
        <is>
          <t>C01 - Customer Retail</t>
        </is>
      </c>
      <c r="I12" s="40" t="inlineStr">
        <is>
          <t>https://ascentialcdn.filespin.io/api/v1/conversion/4ff9778738a146549164d3153acb8808</t>
        </is>
      </c>
      <c r="J12" s="33" t="inlineStr">
        <is>
          <t>qcSHtBgAB6o</t>
        </is>
      </c>
      <c r="L12" s="33" t="inlineStr">
        <is>
          <t>https://www.lovethework.com/work/entries/winter-takes-on-colors-747343</t>
        </is>
      </c>
    </row>
    <row r="13" ht="34.5" customHeight="1" s="34">
      <c r="A13" s="36" t="n">
        <v>12</v>
      </c>
      <c r="B13" s="42" t="inlineStr">
        <is>
          <t>Silver</t>
        </is>
      </c>
      <c r="C13" s="38" t="inlineStr">
        <is>
          <t>855-How-to-Quit-(Opioids)</t>
        </is>
      </c>
      <c r="D13" s="39" t="inlineStr">
        <is>
          <t>Anzen Health</t>
        </is>
      </c>
      <c r="E13" s="39" t="inlineStr">
        <is>
          <t>855-How-to-Quit-Helpline</t>
        </is>
      </c>
      <c r="F13" s="39" t="inlineStr">
        <is>
          <t>Serviceplan Germany</t>
        </is>
      </c>
      <c r="G13" s="39" t="inlineStr">
        <is>
          <t>Germany</t>
        </is>
      </c>
      <c r="H13" s="39" t="inlineStr">
        <is>
          <t>A02 - Healthcare</t>
        </is>
      </c>
      <c r="I13" s="40" t="inlineStr">
        <is>
          <t>https://ascentialcdn.filespin.io/api/v1/conversion/650a86946acf45c9946d15c4d5f10c86</t>
        </is>
      </c>
      <c r="J13" s="33" t="inlineStr">
        <is>
          <t>I_xvPLZ9DDk</t>
        </is>
      </c>
      <c r="L13" s="33" t="inlineStr">
        <is>
          <t>https://www.lovethework.com/work/entries/855-how-to-quit-opioids-746670</t>
        </is>
      </c>
    </row>
    <row r="14" ht="34.5" customHeight="1" s="34">
      <c r="A14" s="36" t="n">
        <v>13</v>
      </c>
      <c r="B14" s="42" t="inlineStr">
        <is>
          <t>Silver</t>
        </is>
      </c>
      <c r="C14" s="38" t="inlineStr">
        <is>
          <t>Caption with Intention</t>
        </is>
      </c>
      <c r="D14" s="39" t="inlineStr">
        <is>
          <t>Academy of Motion Picture Arts &amp; Sciences / Chicago Hearing Society</t>
        </is>
      </c>
      <c r="E14" s="39" t="inlineStr">
        <is>
          <t>Closed Captioning</t>
        </is>
      </c>
      <c r="F14" s="39" t="inlineStr">
        <is>
          <t>FCB Chicago</t>
        </is>
      </c>
      <c r="G14" s="39" t="inlineStr">
        <is>
          <t>United States</t>
        </is>
      </c>
      <c r="H14" s="39" t="inlineStr">
        <is>
          <t>E09 - Cultural Engagement</t>
        </is>
      </c>
      <c r="I14" s="40" t="inlineStr">
        <is>
          <t>https://ascentialcdn.filespin.io/api/v1/conversion/ae51c3c9f04d452e914dba0555d8b029</t>
        </is>
      </c>
      <c r="J14" s="33" t="inlineStr">
        <is>
          <t>F48khKZhKHM</t>
        </is>
      </c>
      <c r="L14" s="33" t="inlineStr">
        <is>
          <t>https://www.lovethework.com/work/entries/caption-with-intention-748520</t>
        </is>
      </c>
    </row>
    <row r="15" ht="34.5" customHeight="1" s="34">
      <c r="A15" s="36" t="n">
        <v>14</v>
      </c>
      <c r="B15" s="42" t="inlineStr">
        <is>
          <t>Silver</t>
        </is>
      </c>
      <c r="C15" s="38" t="inlineStr">
        <is>
          <t>Clandestination</t>
        </is>
      </c>
      <c r="D15" s="39" t="inlineStr">
        <is>
          <t>ProColombia</t>
        </is>
      </c>
      <c r="E15" s="39" t="inlineStr">
        <is>
          <t>Colombia, The Country of Beauty</t>
        </is>
      </c>
      <c r="F15" s="39" t="inlineStr">
        <is>
          <t>DDB Colombia Bogota</t>
        </is>
      </c>
      <c r="G15" s="39" t="inlineStr">
        <is>
          <t>Colombia</t>
        </is>
      </c>
      <c r="H15" s="39" t="inlineStr">
        <is>
          <t>D03 - Brand-Owned Experiences</t>
        </is>
      </c>
      <c r="I15" s="40" t="inlineStr">
        <is>
          <t>https://ascentialcdn.filespin.io/api/v1/conversion/082d90b5df624d84b427b48c82cd3dce</t>
        </is>
      </c>
      <c r="J15" s="33" t="inlineStr">
        <is>
          <t>C5hcv9fi0VQ</t>
        </is>
      </c>
      <c r="L15" s="33" t="inlineStr">
        <is>
          <t>https://www.lovethework.com/work/entries/clandestination-747740</t>
        </is>
      </c>
    </row>
    <row r="16" ht="34.5" customHeight="1" s="34">
      <c r="A16" s="36" t="n">
        <v>15</v>
      </c>
      <c r="B16" s="42" t="inlineStr">
        <is>
          <t>Silver</t>
        </is>
      </c>
      <c r="C16" s="38" t="inlineStr">
        <is>
          <t>Drops of Hope</t>
        </is>
      </c>
      <c r="D16" s="39" t="inlineStr">
        <is>
          <t>Kimberly-Clark</t>
        </is>
      </c>
      <c r="E16" s="39" t="inlineStr">
        <is>
          <t>Poise</t>
        </is>
      </c>
      <c r="F16" s="39" t="inlineStr">
        <is>
          <t>FCB New York</t>
        </is>
      </c>
      <c r="G16" s="39" t="inlineStr">
        <is>
          <t>United States</t>
        </is>
      </c>
      <c r="H16" s="39" t="inlineStr">
        <is>
          <t>C03 - Customer Acquisition</t>
        </is>
      </c>
      <c r="I16" s="40" t="inlineStr">
        <is>
          <t>https://ascentialcdn.filespin.io/api/v1/conversion/7a3d4cfbc07f4dd9b273dbdd4d3cdd28</t>
        </is>
      </c>
      <c r="J16" s="33" t="inlineStr">
        <is>
          <t>MnF0kip489Y</t>
        </is>
      </c>
      <c r="L16" s="33" t="inlineStr">
        <is>
          <t>https://www.lovethework.com/work/entries/drops-of-hope-747475</t>
        </is>
      </c>
    </row>
    <row r="17" ht="34.5" customHeight="1" s="34">
      <c r="A17" s="36" t="n">
        <v>16</v>
      </c>
      <c r="B17" s="42" t="inlineStr">
        <is>
          <t>Silver</t>
        </is>
      </c>
      <c r="C17" s="38" t="inlineStr">
        <is>
          <t>Fictional Insurance</t>
        </is>
      </c>
      <c r="D17" s="39" t="inlineStr">
        <is>
          <t>RCN/Prime</t>
        </is>
      </c>
      <c r="E17" s="39" t="inlineStr">
        <is>
          <t>Insurance</t>
        </is>
      </c>
      <c r="F17" s="39" t="inlineStr">
        <is>
          <t>DDB Colombia Bogota</t>
        </is>
      </c>
      <c r="G17" s="39" t="inlineStr">
        <is>
          <t>Colombia</t>
        </is>
      </c>
      <c r="H17" s="39" t="inlineStr">
        <is>
          <t>C02 - Retail Promotions</t>
        </is>
      </c>
      <c r="I17" s="40" t="inlineStr">
        <is>
          <t>https://ascentialcdn.filespin.io/api/v1/conversion/8466955db96a4c52b6813e12a8c63226</t>
        </is>
      </c>
      <c r="J17" s="33" t="inlineStr">
        <is>
          <t>OctiVcwaiXI</t>
        </is>
      </c>
      <c r="L17" s="33" t="inlineStr">
        <is>
          <t>https://www.lovethework.com/work/entries/fictional-insurance-747304</t>
        </is>
      </c>
    </row>
    <row r="18" ht="34.5" customHeight="1" s="34">
      <c r="A18" s="36" t="n">
        <v>17</v>
      </c>
      <c r="B18" s="42" t="inlineStr">
        <is>
          <t>Silver</t>
        </is>
      </c>
      <c r="C18" s="38" t="inlineStr">
        <is>
          <t>Fishermen Storytellers</t>
        </is>
      </c>
      <c r="D18" s="39" t="inlineStr">
        <is>
          <t>Corona</t>
        </is>
      </c>
      <c r="E18" s="39" t="inlineStr">
        <is>
          <t>Beer</t>
        </is>
      </c>
      <c r="F18" s="39" t="inlineStr">
        <is>
          <t>Africa Creative DDB Sao Paulo</t>
        </is>
      </c>
      <c r="G18" s="39" t="inlineStr">
        <is>
          <t>Brazil</t>
        </is>
      </c>
      <c r="H18" s="39" t="inlineStr">
        <is>
          <t>D01 - Live Brand Experience</t>
        </is>
      </c>
      <c r="I18" s="40" t="inlineStr">
        <is>
          <t>https://ascentialcdn.filespin.io/api/v1/conversion/ab9557517f1d4976963059cf5434ae7a</t>
        </is>
      </c>
      <c r="J18" s="33" t="inlineStr">
        <is>
          <t>LDbcqtL9zP8</t>
        </is>
      </c>
      <c r="L18" s="33" t="inlineStr">
        <is>
          <t>https://www.lovethework.com/work/entries/fishermen-storytellers-747530</t>
        </is>
      </c>
    </row>
    <row r="19" ht="34.5" customHeight="1" s="34">
      <c r="A19" s="36" t="n">
        <v>18</v>
      </c>
      <c r="B19" s="42" t="inlineStr">
        <is>
          <t>Silver</t>
        </is>
      </c>
      <c r="C19" s="38" t="inlineStr">
        <is>
          <t>Gulf of Mexico (Bar)</t>
        </is>
      </c>
      <c r="D19" s="39" t="inlineStr">
        <is>
          <t>Tecate</t>
        </is>
      </c>
      <c r="E19" s="39" t="inlineStr">
        <is>
          <t>Tecate Light</t>
        </is>
      </c>
      <c r="F19" s="39" t="inlineStr">
        <is>
          <t>LePub Mexico City</t>
        </is>
      </c>
      <c r="G19" s="39" t="inlineStr">
        <is>
          <t>Mexico</t>
        </is>
      </c>
      <c r="H19" s="39" t="inlineStr">
        <is>
          <t>E08 - Market Disruption</t>
        </is>
      </c>
      <c r="I19" s="40" t="inlineStr">
        <is>
          <t>https://ascentialcdn.filespin.io/api/v1/conversion/afa88aa8421b41a18c68b9863bb6926c</t>
        </is>
      </c>
      <c r="J19" s="33" t="inlineStr">
        <is>
          <t>TFbAS7weMR8</t>
        </is>
      </c>
      <c r="L19" s="33" t="inlineStr">
        <is>
          <t>https://www.lovethework.com/work/entries/gulf-of-mexico-bar-748404</t>
        </is>
      </c>
    </row>
    <row r="20" ht="34.5" customHeight="1" s="34">
      <c r="A20" s="36" t="n">
        <v>19</v>
      </c>
      <c r="B20" s="42" t="inlineStr">
        <is>
          <t>Silver</t>
        </is>
      </c>
      <c r="C20" s="38" t="inlineStr">
        <is>
          <t>Haaland Payback Time</t>
        </is>
      </c>
      <c r="D20" s="39" t="inlineStr">
        <is>
          <t>Clash of Clans</t>
        </is>
      </c>
      <c r="E20" s="39" t="inlineStr">
        <is>
          <t>Clash of Clans</t>
        </is>
      </c>
      <c r="F20" s="39" t="inlineStr">
        <is>
          <t>DAVID New York</t>
        </is>
      </c>
      <c r="G20" s="39" t="inlineStr">
        <is>
          <t>United States</t>
        </is>
      </c>
      <c r="H20" s="39" t="inlineStr">
        <is>
          <t>A05 - Media/Entertainment</t>
        </is>
      </c>
      <c r="I20" s="40" t="inlineStr">
        <is>
          <t>https://ascentialcdn.filespin.io/api/v1/conversion/e56e744cd3594eceb82733246e9035b2</t>
        </is>
      </c>
      <c r="J20" s="33" t="inlineStr">
        <is>
          <t>TcQ--NtSQ9s</t>
        </is>
      </c>
      <c r="L20" s="33" t="inlineStr">
        <is>
          <t>https://www.lovethework.com/work/entries/haaland-payback-time-763780</t>
        </is>
      </c>
    </row>
    <row r="21" ht="34.5" customHeight="1" s="34">
      <c r="A21" s="36" t="n">
        <v>20</v>
      </c>
      <c r="B21" s="42" t="inlineStr">
        <is>
          <t>Silver</t>
        </is>
      </c>
      <c r="C21" s="38" t="inlineStr">
        <is>
          <t>Harmoniser</t>
        </is>
      </c>
      <c r="D21" s="39" t="inlineStr">
        <is>
          <t>Twix</t>
        </is>
      </c>
      <c r="E21" s="39" t="inlineStr">
        <is>
          <t>Twix</t>
        </is>
      </c>
      <c r="F21" s="39" t="inlineStr">
        <is>
          <t>adam&amp;eveDDB London</t>
        </is>
      </c>
      <c r="G21" s="39" t="inlineStr">
        <is>
          <t>United Kingdom</t>
        </is>
      </c>
      <c r="H21" s="39" t="inlineStr">
        <is>
          <t>E05 - Use of Humour</t>
        </is>
      </c>
      <c r="I21" s="40" t="inlineStr">
        <is>
          <t>digital-presentation-images/brand-experience-and-activation-twix-harmoniser.webp</t>
        </is>
      </c>
      <c r="J21" s="33" t="inlineStr">
        <is>
          <t>OFY3DkMtpEk</t>
        </is>
      </c>
      <c r="L21" s="33" t="inlineStr">
        <is>
          <t>https://www.lovethework.com/work/entries/harmoniser-748338</t>
        </is>
      </c>
    </row>
    <row r="22" ht="34.5" customHeight="1" s="34">
      <c r="A22" s="36" t="n">
        <v>21</v>
      </c>
      <c r="B22" s="42" t="inlineStr">
        <is>
          <t>Silver</t>
        </is>
      </c>
      <c r="C22" s="38" t="inlineStr">
        <is>
          <t>IKEA Hidden Tags</t>
        </is>
      </c>
      <c r="D22" s="39" t="inlineStr">
        <is>
          <t>IKEA</t>
        </is>
      </c>
      <c r="E22" s="39" t="inlineStr">
        <is>
          <t>IKEA</t>
        </is>
      </c>
      <c r="F22" s="39" t="inlineStr">
        <is>
          <t>Uzina Lisbon</t>
        </is>
      </c>
      <c r="G22" s="39" t="inlineStr">
        <is>
          <t>Portugal</t>
        </is>
      </c>
      <c r="H22" s="39" t="inlineStr">
        <is>
          <t>C03 - Customer Acquisition</t>
        </is>
      </c>
      <c r="I22" s="40" t="inlineStr">
        <is>
          <t>https://ascentialcdn.filespin.io/api/v1/conversion/237ade5924eb407898bf58d19f58a52a</t>
        </is>
      </c>
      <c r="J22" s="33" t="inlineStr">
        <is>
          <t>oKWkHqlt7yA</t>
        </is>
      </c>
      <c r="L22" s="33" t="inlineStr">
        <is>
          <t>https://www.lovethework.com/work/entries/ikea-hidden-tags-747253</t>
        </is>
      </c>
    </row>
    <row r="23" ht="34.5" customHeight="1" s="34">
      <c r="A23" s="36" t="n">
        <v>22</v>
      </c>
      <c r="B23" s="42" t="inlineStr">
        <is>
          <t>Silver</t>
        </is>
      </c>
      <c r="C23" s="38" t="inlineStr">
        <is>
          <t>Lessons of Shame</t>
        </is>
      </c>
      <c r="D23" s="39" t="inlineStr">
        <is>
          <t>World Vision</t>
        </is>
      </c>
      <c r="E23" s="39" t="inlineStr">
        <is>
          <t>Institutional</t>
        </is>
      </c>
      <c r="F23" s="39" t="inlineStr">
        <is>
          <t>Havas Costa Rica</t>
        </is>
      </c>
      <c r="G23" s="39" t="inlineStr">
        <is>
          <t>Costa Rica</t>
        </is>
      </c>
      <c r="H23" s="39" t="inlineStr">
        <is>
          <t>D02 - Guerrilla Marketing</t>
        </is>
      </c>
      <c r="I23" s="40" t="inlineStr">
        <is>
          <t>https://ascentialcdn.filespin.io/api/v1/conversion/71112ff9b2324f9b8f9338c809483684</t>
        </is>
      </c>
      <c r="J23" s="33" t="inlineStr">
        <is>
          <t>YrNH2-6vqZo</t>
        </is>
      </c>
      <c r="L23" s="33" t="inlineStr">
        <is>
          <t>https://www.lovethework.com/work/entries/lessons-of-shame-747535</t>
        </is>
      </c>
    </row>
    <row r="24" ht="34.5" customHeight="1" s="34">
      <c r="A24" s="36" t="n">
        <v>23</v>
      </c>
      <c r="B24" s="42" t="inlineStr">
        <is>
          <t>Silver</t>
        </is>
      </c>
      <c r="C24" s="38" t="inlineStr">
        <is>
          <t>Life Donor Card</t>
        </is>
      </c>
      <c r="D24" s="39" t="inlineStr">
        <is>
          <t>Mastercard</t>
        </is>
      </c>
      <c r="E24" s="39" t="inlineStr">
        <is>
          <t>Life Donor Feature</t>
        </is>
      </c>
      <c r="F24" s="39" t="inlineStr">
        <is>
          <t>MRM Germany Frankfurt</t>
        </is>
      </c>
      <c r="G24" s="39" t="inlineStr">
        <is>
          <t>Germany</t>
        </is>
      </c>
      <c r="H24" s="39" t="inlineStr">
        <is>
          <t>E07 - Corporate Purpose</t>
        </is>
      </c>
      <c r="I24" s="40" t="inlineStr">
        <is>
          <t>https://ascentialcdn.filespin.io/api/v1/conversion/5801ee4249af49b0aa23167f0d131de4</t>
        </is>
      </c>
      <c r="J24" s="33" t="inlineStr">
        <is>
          <t>pe-7cdkH2dA</t>
        </is>
      </c>
      <c r="L24" s="33" t="inlineStr">
        <is>
          <t>https://www.lovethework.com/work/entries/life-donor-card-759456</t>
        </is>
      </c>
    </row>
    <row r="25" ht="34.5" customHeight="1" s="34">
      <c r="A25" s="36" t="n">
        <v>24</v>
      </c>
      <c r="B25" s="42" t="inlineStr">
        <is>
          <t>Silver</t>
        </is>
      </c>
      <c r="C25" s="38" t="inlineStr">
        <is>
          <t>Olympic Games Opening Ceremony Paris 2024</t>
        </is>
      </c>
      <c r="D25" s="39" t="inlineStr">
        <is>
          <t>Paris 2024</t>
        </is>
      </c>
      <c r="E25" s="39" t="inlineStr">
        <is>
          <t>Paris 2024</t>
        </is>
      </c>
      <c r="F25" s="39" t="inlineStr">
        <is>
          <t>Paname 24 Paris</t>
        </is>
      </c>
      <c r="G25" s="39" t="inlineStr">
        <is>
          <t>France</t>
        </is>
      </c>
      <c r="H25" s="39" t="inlineStr">
        <is>
          <t>E07 - Corporate Purpose</t>
        </is>
      </c>
      <c r="I25" s="40" t="inlineStr">
        <is>
          <t>https://ascentialcdn.filespin.io/api/v1/conversion/60aa1888e5b6444381b060dc1801de84</t>
        </is>
      </c>
      <c r="J25" s="33" t="inlineStr">
        <is>
          <t>t8o4ulxT1Cc</t>
        </is>
      </c>
      <c r="L25" s="33" t="inlineStr">
        <is>
          <t>https://www.lovethework.com/work/entries/olympic-games-opening-ceremony-paris-2024-748278</t>
        </is>
      </c>
    </row>
    <row r="26" ht="34.5" customHeight="1" s="34">
      <c r="A26" s="36" t="n">
        <v>25</v>
      </c>
      <c r="B26" s="42" t="inlineStr">
        <is>
          <t>Silver</t>
        </is>
      </c>
      <c r="C26" s="38" t="inlineStr">
        <is>
          <t>Price Packs</t>
        </is>
      </c>
      <c r="D26" s="39" t="inlineStr">
        <is>
          <t>Penny</t>
        </is>
      </c>
      <c r="E26" s="39" t="inlineStr">
        <is>
          <t>Food/Non-Food</t>
        </is>
      </c>
      <c r="F26" s="39" t="inlineStr">
        <is>
          <t>Serviceplan Germany</t>
        </is>
      </c>
      <c r="G26" s="39" t="inlineStr">
        <is>
          <t>Germany</t>
        </is>
      </c>
      <c r="H26" s="39" t="inlineStr">
        <is>
          <t>E03 - Single-Market</t>
        </is>
      </c>
      <c r="I26" s="40" t="inlineStr">
        <is>
          <t>https://ascentialcdn.filespin.io/api/v1/conversion/67b6df2a0fe64deeb274c91d50040c54</t>
        </is>
      </c>
      <c r="J26" s="33" t="inlineStr">
        <is>
          <t>cnAXR4lk6R0</t>
        </is>
      </c>
      <c r="L26" s="33" t="inlineStr">
        <is>
          <t>https://www.lovethework.com/work/entries/price-packs-748036</t>
        </is>
      </c>
    </row>
    <row r="27" ht="34.5" customHeight="1" s="34">
      <c r="A27" s="36" t="n">
        <v>26</v>
      </c>
      <c r="B27" s="42" t="inlineStr">
        <is>
          <t>Silver</t>
        </is>
      </c>
      <c r="C27" s="38" t="inlineStr">
        <is>
          <t>Progresso Soup Drops</t>
        </is>
      </c>
      <c r="D27" s="39" t="inlineStr">
        <is>
          <t>Progresso</t>
        </is>
      </c>
      <c r="E27" s="39" t="inlineStr">
        <is>
          <t>Progresso Canned Soups</t>
        </is>
      </c>
      <c r="F27" s="39" t="inlineStr">
        <is>
          <t>Edelman Chicago</t>
        </is>
      </c>
      <c r="G27" s="39" t="inlineStr">
        <is>
          <t>United States</t>
        </is>
      </c>
      <c r="H27" s="39" t="inlineStr">
        <is>
          <t>D02 - Guerrilla Marketing</t>
        </is>
      </c>
      <c r="I27" s="40" t="inlineStr">
        <is>
          <t>https://ascentialcdn.filespin.io/api/v1/conversion/8a8d409a0e954a6b8f0df7b07bba8cc9</t>
        </is>
      </c>
      <c r="J27" s="33" t="inlineStr">
        <is>
          <t>zEQhgXoMsdY</t>
        </is>
      </c>
      <c r="L27" s="33" t="inlineStr">
        <is>
          <t>https://www.lovethework.com/work/entries/progresso-soup-drops-747467</t>
        </is>
      </c>
    </row>
    <row r="28" ht="34.5" customHeight="1" s="34">
      <c r="A28" s="36" t="n">
        <v>27</v>
      </c>
      <c r="B28" s="42" t="inlineStr">
        <is>
          <t>Silver</t>
        </is>
      </c>
      <c r="C28" s="38" t="inlineStr">
        <is>
          <t>Pub Succession</t>
        </is>
      </c>
      <c r="D28" s="39" t="inlineStr">
        <is>
          <t>Heineken</t>
        </is>
      </c>
      <c r="E28" s="39" t="inlineStr">
        <is>
          <t>Heineken</t>
        </is>
      </c>
      <c r="F28" s="39" t="inlineStr">
        <is>
          <t>LePub Milan / Publicis Dublin</t>
        </is>
      </c>
      <c r="G28" s="39" t="inlineStr">
        <is>
          <t>Italy</t>
        </is>
      </c>
      <c r="H28" s="39" t="inlineStr">
        <is>
          <t>D03 - Brand-Owned Experiences</t>
        </is>
      </c>
      <c r="I28" s="40" t="inlineStr">
        <is>
          <t>https://ascentialcdn.filespin.io/api/v1/conversion/a8d4e72bb1ce47508dcea8db73d16b01</t>
        </is>
      </c>
      <c r="J28" s="33" t="inlineStr">
        <is>
          <t>Cu0FLBdZrcM</t>
        </is>
      </c>
      <c r="L28" s="33" t="inlineStr">
        <is>
          <t>https://www.lovethework.com/work/entries/pub-succession-747631</t>
        </is>
      </c>
    </row>
    <row r="29" ht="34.5" customHeight="1" s="34">
      <c r="A29" s="36" t="n">
        <v>28</v>
      </c>
      <c r="B29" s="42" t="inlineStr">
        <is>
          <t>Silver</t>
        </is>
      </c>
      <c r="C29" s="38" t="inlineStr">
        <is>
          <t>Public Money ATM</t>
        </is>
      </c>
      <c r="D29" s="39" t="inlineStr">
        <is>
          <t>Mastercard</t>
        </is>
      </c>
      <c r="E29" s="39" t="inlineStr">
        <is>
          <t>Mastercard</t>
        </is>
      </c>
      <c r="F29" s="39" t="inlineStr">
        <is>
          <t>McCann Poland Warsaw</t>
        </is>
      </c>
      <c r="G29" s="39" t="inlineStr">
        <is>
          <t>Poland</t>
        </is>
      </c>
      <c r="H29" s="39" t="inlineStr">
        <is>
          <t>B06 - Digital Installations</t>
        </is>
      </c>
      <c r="I29" s="40" t="inlineStr">
        <is>
          <t>https://ascentialcdn.filespin.io/api/v1/conversion/faa00cc4c0b94e1ea53f6e9be2461987</t>
        </is>
      </c>
      <c r="J29" s="33" t="inlineStr">
        <is>
          <t>laOOyNw0dyI</t>
        </is>
      </c>
      <c r="L29" s="33" t="inlineStr">
        <is>
          <t>https://www.lovethework.com/work/entries/public-money-atm-760036</t>
        </is>
      </c>
    </row>
    <row r="30" ht="34.5" customHeight="1" s="34">
      <c r="A30" s="36" t="n">
        <v>29</v>
      </c>
      <c r="B30" s="42" t="inlineStr">
        <is>
          <t>Silver</t>
        </is>
      </c>
      <c r="C30" s="38" t="inlineStr">
        <is>
          <t>Recipe for Change</t>
        </is>
      </c>
      <c r="D30" s="39" t="inlineStr">
        <is>
          <t>Arla</t>
        </is>
      </c>
      <c r="E30" s="39" t="inlineStr">
        <is>
          <t>Puck</t>
        </is>
      </c>
      <c r="F30" s="39" t="inlineStr">
        <is>
          <t>FP7 McCann Dubai</t>
        </is>
      </c>
      <c r="G30" s="39" t="inlineStr">
        <is>
          <t>United Arab Emirates</t>
        </is>
      </c>
      <c r="H30" s="39" t="inlineStr">
        <is>
          <t>E08 - Market Disruption</t>
        </is>
      </c>
      <c r="I30" s="40" t="inlineStr">
        <is>
          <t>https://ascentialcdn.filespin.io/api/v1/conversion/945d141f6a13498e8ad127f4cbbf0caf</t>
        </is>
      </c>
      <c r="J30" s="33" t="inlineStr">
        <is>
          <t>vimeo:1078926878</t>
        </is>
      </c>
      <c r="L30" s="33" t="inlineStr">
        <is>
          <t>https://www.lovethework.com/work/entries/recipe-for-change-748366</t>
        </is>
      </c>
    </row>
    <row r="31" ht="34.5" customHeight="1" s="34">
      <c r="A31" s="36" t="n">
        <v>30</v>
      </c>
      <c r="B31" s="42" t="inlineStr">
        <is>
          <t>Silver</t>
        </is>
      </c>
      <c r="C31" s="38" t="inlineStr">
        <is>
          <t>RooBadge</t>
        </is>
      </c>
      <c r="D31" s="39" t="inlineStr">
        <is>
          <t>Volkswagen</t>
        </is>
      </c>
      <c r="E31" s="39" t="inlineStr">
        <is>
          <t>Automotive Accessory</t>
        </is>
      </c>
      <c r="F31" s="39" t="inlineStr">
        <is>
          <t>DDB Sydney</t>
        </is>
      </c>
      <c r="G31" s="39" t="inlineStr">
        <is>
          <t>Australia</t>
        </is>
      </c>
      <c r="H31" s="39" t="inlineStr">
        <is>
          <t>A03 - Automotive</t>
        </is>
      </c>
      <c r="I31" s="40" t="inlineStr">
        <is>
          <t>https://ascentialcdn.filespin.io/api/v1/conversion/fcd0be35220a46cbbcee1dada7201da9</t>
        </is>
      </c>
      <c r="J31" s="33" t="inlineStr">
        <is>
          <t>vimeo:1093418498</t>
        </is>
      </c>
      <c r="L31" s="33" t="inlineStr">
        <is>
          <t>https://www.lovethework.com/work/entries/roobadge-746668</t>
        </is>
      </c>
    </row>
    <row r="32" ht="34.5" customHeight="1" s="34">
      <c r="A32" s="36" t="n">
        <v>31</v>
      </c>
      <c r="B32" s="42" t="inlineStr">
        <is>
          <t>Silver</t>
        </is>
      </c>
      <c r="C32" s="38" t="inlineStr">
        <is>
          <t>Spreadbeats</t>
        </is>
      </c>
      <c r="D32" s="39" t="inlineStr">
        <is>
          <t>Spotify</t>
        </is>
      </c>
      <c r="E32" s="39" t="inlineStr">
        <is>
          <t>Spotify</t>
        </is>
      </c>
      <c r="F32" s="39" t="inlineStr">
        <is>
          <t>FCB New York</t>
        </is>
      </c>
      <c r="G32" s="39" t="inlineStr">
        <is>
          <t>United States</t>
        </is>
      </c>
      <c r="H32" s="39" t="inlineStr">
        <is>
          <t>A06 - Consumer Services/B2B</t>
        </is>
      </c>
      <c r="I32" s="40" t="inlineStr">
        <is>
          <t>https://ascentialcdn.filespin.io/api/v1/conversion/3ad6c6826a8c471190e7d97b6003c486</t>
        </is>
      </c>
      <c r="J32" s="33" t="inlineStr">
        <is>
          <t>Z_lbVlhO9HE</t>
        </is>
      </c>
      <c r="L32" s="33" t="inlineStr">
        <is>
          <t>https://www.lovethework.com/work/entries/spreadbeats-746959</t>
        </is>
      </c>
    </row>
    <row r="33" ht="34.5" customHeight="1" s="34">
      <c r="A33" s="36" t="n">
        <v>32</v>
      </c>
      <c r="B33" s="42" t="inlineStr">
        <is>
          <t>Silver</t>
        </is>
      </c>
      <c r="C33" s="38" t="inlineStr">
        <is>
          <t>The Athletes Code</t>
        </is>
      </c>
      <c r="D33" s="39" t="inlineStr">
        <is>
          <t>Powerade</t>
        </is>
      </c>
      <c r="E33" s="39" t="inlineStr">
        <is>
          <t>Powerade</t>
        </is>
      </c>
      <c r="F33" s="39" t="inlineStr">
        <is>
          <t>Ogilvy New York</t>
        </is>
      </c>
      <c r="G33" s="39" t="inlineStr">
        <is>
          <t>United States</t>
        </is>
      </c>
      <c r="H33" s="39" t="inlineStr">
        <is>
          <t>E07 - Corporate Purpose</t>
        </is>
      </c>
      <c r="I33" s="40" t="inlineStr">
        <is>
          <t>https://ascentialcdn.filespin.io/api/v1/conversion/fb3c12787a614e6380d825b91a317ee9</t>
        </is>
      </c>
      <c r="J33" s="33" t="inlineStr">
        <is>
          <t>z7EwJIUlr-g</t>
        </is>
      </c>
      <c r="L33" s="33" t="inlineStr">
        <is>
          <t>https://www.lovethework.com/work/entries/the-athletes-code-748210</t>
        </is>
      </c>
    </row>
    <row r="34" ht="34.5" customHeight="1" s="34">
      <c r="A34" s="36" t="n">
        <v>33</v>
      </c>
      <c r="B34" s="42" t="inlineStr">
        <is>
          <t>Silver</t>
        </is>
      </c>
      <c r="C34" s="38" t="inlineStr">
        <is>
          <t>The Kimberly Price</t>
        </is>
      </c>
      <c r="D34" s="39" t="inlineStr">
        <is>
          <t>Plaza Vea</t>
        </is>
      </c>
      <c r="E34" s="39" t="inlineStr">
        <is>
          <t>Plaza Vea</t>
        </is>
      </c>
      <c r="F34" s="39" t="inlineStr">
        <is>
          <t>Fahrenheit DDB Lima</t>
        </is>
      </c>
      <c r="G34" s="39" t="inlineStr">
        <is>
          <t>Peru</t>
        </is>
      </c>
      <c r="H34" s="39" t="inlineStr">
        <is>
          <t>A04 - Travel/Retail</t>
        </is>
      </c>
      <c r="I34" s="40" t="inlineStr">
        <is>
          <t>https://ascentialcdn.filespin.io/api/v1/conversion/bf4eb691b7e04919bfdbea7a218c286a</t>
        </is>
      </c>
      <c r="J34" s="33" t="inlineStr">
        <is>
          <t>pPAGka7S4_o</t>
        </is>
      </c>
      <c r="L34" s="33" t="inlineStr">
        <is>
          <t>https://www.lovethework.com/work/entries/the-kimberly-price-746828</t>
        </is>
      </c>
    </row>
    <row r="35" ht="34.5" customHeight="1" s="34">
      <c r="A35" s="36" t="n">
        <v>34</v>
      </c>
      <c r="B35" s="42" t="inlineStr">
        <is>
          <t>Silver</t>
        </is>
      </c>
      <c r="C35" s="38" t="inlineStr">
        <is>
          <t>The Kimberly Price</t>
        </is>
      </c>
      <c r="D35" s="39" t="inlineStr">
        <is>
          <t>Plaza Vea</t>
        </is>
      </c>
      <c r="E35" s="39" t="inlineStr">
        <is>
          <t>Plaza Vea</t>
        </is>
      </c>
      <c r="F35" s="39" t="inlineStr">
        <is>
          <t>Fahrenheit DDB Lima</t>
        </is>
      </c>
      <c r="G35" s="39" t="inlineStr">
        <is>
          <t>Peru</t>
        </is>
      </c>
      <c r="H35" s="39" t="inlineStr">
        <is>
          <t>E01 - Local Brand</t>
        </is>
      </c>
      <c r="I35" s="40" t="inlineStr">
        <is>
          <t>https://ascentialcdn.filespin.io/api/v1/conversion/dc69ba18c3b64ddfa564f09dc300d7e0</t>
        </is>
      </c>
      <c r="J35" s="33" t="inlineStr">
        <is>
          <t>pPAGka7S4_o</t>
        </is>
      </c>
      <c r="L35" s="33" t="inlineStr">
        <is>
          <t>https://www.lovethework.com/work/entries/the-kimberly-price-746828</t>
        </is>
      </c>
    </row>
    <row r="36" ht="34.5" customHeight="1" s="34">
      <c r="A36" s="36" t="n">
        <v>35</v>
      </c>
      <c r="B36" s="42" t="inlineStr">
        <is>
          <t>Silver</t>
        </is>
      </c>
      <c r="C36" s="38" t="inlineStr">
        <is>
          <t>Time to Live</t>
        </is>
      </c>
      <c r="D36" s="39" t="inlineStr">
        <is>
          <t>Australian Cancer Research Foundation</t>
        </is>
      </c>
      <c r="E36" s="39" t="inlineStr">
        <is>
          <t>ACRF Awareness Campaign</t>
        </is>
      </c>
      <c r="F36" s="39" t="inlineStr">
        <is>
          <t>The Ministry for Communication &amp; The Arts</t>
        </is>
      </c>
      <c r="G36" s="39" t="inlineStr">
        <is>
          <t>Australia</t>
        </is>
      </c>
      <c r="H36" s="39" t="inlineStr">
        <is>
          <t>E06 - Breakthrough on a Budget</t>
        </is>
      </c>
      <c r="I36" s="40" t="inlineStr">
        <is>
          <t>https://ascentialcdn.filespin.io/api/v1/conversion/837e21468aac4c1e902d0113ac141af1</t>
        </is>
      </c>
      <c r="J36" s="33" t="inlineStr">
        <is>
          <t>z2T-Rh838GA</t>
        </is>
      </c>
      <c r="L36" s="33" t="inlineStr">
        <is>
          <t>https://www.lovethework.com/work/entries/time-to-live-748191</t>
        </is>
      </c>
    </row>
    <row r="37" ht="34.5" customHeight="1" s="34">
      <c r="A37" s="36" t="n">
        <v>36</v>
      </c>
      <c r="B37" s="43" t="inlineStr">
        <is>
          <t>Bronze</t>
        </is>
      </c>
      <c r="C37" s="38" t="inlineStr">
        <is>
          <t>Acko Tailor Test</t>
        </is>
      </c>
      <c r="D37" s="39" t="inlineStr">
        <is>
          <t>Acko</t>
        </is>
      </c>
      <c r="E37" s="39" t="inlineStr">
        <is>
          <t>Health Insurance</t>
        </is>
      </c>
      <c r="F37" s="39" t="inlineStr">
        <is>
          <t>Leo Mumbai</t>
        </is>
      </c>
      <c r="G37" s="39" t="inlineStr">
        <is>
          <t>India</t>
        </is>
      </c>
      <c r="H37" s="39" t="inlineStr">
        <is>
          <t>E07 - Corporate Purpose</t>
        </is>
      </c>
      <c r="I37" s="40" t="inlineStr">
        <is>
          <t>https://ascentialcdn.filespin.io/api/v1/conversion/a8a20a31dcb844ebad5ef04afca8370b</t>
        </is>
      </c>
      <c r="J37" s="33" t="inlineStr">
        <is>
          <t>alezIXsk0So</t>
        </is>
      </c>
      <c r="L37" s="33" t="inlineStr">
        <is>
          <t>https://www.lovethework.com/work/entries/acko-tailor-test-748463</t>
        </is>
      </c>
    </row>
    <row r="38" ht="34.5" customHeight="1" s="34">
      <c r="A38" s="36" t="n">
        <v>37</v>
      </c>
      <c r="B38" s="43" t="inlineStr">
        <is>
          <t>Bronze</t>
        </is>
      </c>
      <c r="C38" s="38" t="inlineStr">
        <is>
          <t>Airbnb Icons</t>
        </is>
      </c>
      <c r="D38" s="39" t="inlineStr">
        <is>
          <t>Airbnb</t>
        </is>
      </c>
      <c r="E38" s="39" t="inlineStr">
        <is>
          <t>Airbnb Icons</t>
        </is>
      </c>
      <c r="F38" s="39" t="inlineStr">
        <is>
          <t>Weber Shandwick San Francisco</t>
        </is>
      </c>
      <c r="G38" s="39" t="inlineStr">
        <is>
          <t>United States</t>
        </is>
      </c>
      <c r="H38" s="39" t="inlineStr">
        <is>
          <t>D04 - Sponsorship</t>
        </is>
      </c>
      <c r="I38" s="40" t="inlineStr">
        <is>
          <t>https://ascentialcdn.filespin.io/api/v1/conversion/db51bea9a01d40108f74e1fa9bd7ad3f</t>
        </is>
      </c>
      <c r="J38" s="33" t="inlineStr">
        <is>
          <t>uUDgTwzWz5U</t>
        </is>
      </c>
      <c r="L38" s="33" t="inlineStr">
        <is>
          <t>https://www.lovethework.com/work/entries/airbnb-icons-747925</t>
        </is>
      </c>
    </row>
    <row r="39" ht="34.5" customHeight="1" s="34">
      <c r="A39" s="36" t="n">
        <v>38</v>
      </c>
      <c r="B39" s="43" t="inlineStr">
        <is>
          <t>Bronze</t>
        </is>
      </c>
      <c r="C39" s="38" t="inlineStr">
        <is>
          <t>Bad Luck Reverser</t>
        </is>
      </c>
      <c r="D39" s="39" t="inlineStr">
        <is>
          <t>Refisal</t>
        </is>
      </c>
      <c r="E39" s="39" t="inlineStr">
        <is>
          <t>Refisal</t>
        </is>
      </c>
      <c r="F39" s="39" t="inlineStr">
        <is>
          <t>VML New York / NAME Bogota</t>
        </is>
      </c>
      <c r="G39" s="39" t="inlineStr">
        <is>
          <t>Colombia</t>
        </is>
      </c>
      <c r="H39" s="39" t="inlineStr">
        <is>
          <t>E04 - Social Behaviour</t>
        </is>
      </c>
      <c r="I39" s="40" t="inlineStr">
        <is>
          <t>https://ascentialcdn.filespin.io/api/v1/conversion/7e95f656b693443d8d4e60f0a4c9b853</t>
        </is>
      </c>
      <c r="J39" s="33" t="inlineStr">
        <is>
          <t>4OaN00EWwWg</t>
        </is>
      </c>
      <c r="L39" s="33" t="inlineStr">
        <is>
          <t>https://www.lovethework.com/work/entries/bad-luck-reverser-748147</t>
        </is>
      </c>
    </row>
    <row r="40" ht="34.5" customHeight="1" s="34">
      <c r="A40" s="36" t="n">
        <v>39</v>
      </c>
      <c r="B40" s="43" t="inlineStr">
        <is>
          <t>Bronze</t>
        </is>
      </c>
      <c r="C40" s="38" t="inlineStr">
        <is>
          <t>Building Futures</t>
        </is>
      </c>
      <c r="D40" s="39" t="inlineStr">
        <is>
          <t>MRV</t>
        </is>
      </c>
      <c r="E40" s="39" t="inlineStr">
        <is>
          <t>MRV Construction</t>
        </is>
      </c>
      <c r="F40" s="39" t="inlineStr">
        <is>
          <t>DM9 Sao Paulo</t>
        </is>
      </c>
      <c r="G40" s="39" t="inlineStr">
        <is>
          <t>Brazil</t>
        </is>
      </c>
      <c r="H40" s="39" t="inlineStr">
        <is>
          <t>E07 - Corporate Purpose</t>
        </is>
      </c>
      <c r="I40" s="40" t="inlineStr">
        <is>
          <t>https://ascentialcdn.filespin.io/api/v1/conversion/68d1cb58e31142a3ad6142f7ac03f65e</t>
        </is>
      </c>
      <c r="J40" s="33" t="inlineStr">
        <is>
          <t>lqnGQri4ckE</t>
        </is>
      </c>
      <c r="L40" s="33" t="inlineStr">
        <is>
          <t>https://www.lovethework.com/work/entries/building-futures-748173</t>
        </is>
      </c>
    </row>
    <row r="41" ht="34.5" customHeight="1" s="34">
      <c r="A41" s="36" t="n">
        <v>40</v>
      </c>
      <c r="B41" s="43" t="inlineStr">
        <is>
          <t>Bronze</t>
        </is>
      </c>
      <c r="C41" s="38" t="inlineStr">
        <is>
          <t>Camdom</t>
        </is>
      </c>
      <c r="D41" s="39" t="inlineStr">
        <is>
          <t>Billy Boy</t>
        </is>
      </c>
      <c r="E41" s="39" t="inlineStr">
        <is>
          <t>The First Digital Condom</t>
        </is>
      </c>
      <c r="F41" s="39" t="inlineStr">
        <is>
          <t>Innocean Berlin</t>
        </is>
      </c>
      <c r="G41" s="39" t="inlineStr">
        <is>
          <t>Germany</t>
        </is>
      </c>
      <c r="H41" s="39" t="inlineStr">
        <is>
          <t>A02 - Healthcare</t>
        </is>
      </c>
      <c r="I41" s="40" t="inlineStr">
        <is>
          <t>https://ascentialcdn.filespin.io/api/v1/conversion/abab04c347304d2a9a3b75bd9d3a0a79</t>
        </is>
      </c>
      <c r="J41" s="33" t="inlineStr">
        <is>
          <t>95RGWYXNq70</t>
        </is>
      </c>
      <c r="L41" s="33" t="inlineStr">
        <is>
          <t>https://www.lovethework.com/work/entries/camdom-746733</t>
        </is>
      </c>
    </row>
    <row r="42" ht="34.5" customHeight="1" s="34">
      <c r="A42" s="36" t="n">
        <v>41</v>
      </c>
      <c r="B42" s="43" t="inlineStr">
        <is>
          <t>Bronze</t>
        </is>
      </c>
      <c r="C42" s="38" t="inlineStr">
        <is>
          <t>Caption with Intention</t>
        </is>
      </c>
      <c r="D42" s="39" t="inlineStr">
        <is>
          <t>Academy of Motion Picture Arts &amp; Sciences / Chicago Hearing Society</t>
        </is>
      </c>
      <c r="E42" s="39" t="inlineStr">
        <is>
          <t>Closed Captioning</t>
        </is>
      </c>
      <c r="F42" s="39" t="inlineStr">
        <is>
          <t>FCB Chicago</t>
        </is>
      </c>
      <c r="G42" s="39" t="inlineStr">
        <is>
          <t>United States</t>
        </is>
      </c>
      <c r="H42" s="39" t="inlineStr">
        <is>
          <t>E07 - Corporate Purpose</t>
        </is>
      </c>
      <c r="I42" s="40" t="inlineStr">
        <is>
          <t>https://ascentialcdn.filespin.io/api/v1/conversion/d5e8778a86514f2bb1586343132de626</t>
        </is>
      </c>
      <c r="J42" s="33" t="inlineStr">
        <is>
          <t>F48khKZhKHM</t>
        </is>
      </c>
      <c r="L42" s="33" t="inlineStr">
        <is>
          <t>https://www.lovethework.com/work/entries/caption-with-intention-748489</t>
        </is>
      </c>
    </row>
    <row r="43" ht="34.5" customHeight="1" s="34">
      <c r="A43" s="36" t="n">
        <v>42</v>
      </c>
      <c r="B43" s="43" t="inlineStr">
        <is>
          <t>Bronze</t>
        </is>
      </c>
      <c r="C43" s="38" t="inlineStr">
        <is>
          <t>Certified Toasters</t>
        </is>
      </c>
      <c r="D43" s="39" t="inlineStr">
        <is>
          <t>Goodman Fielder</t>
        </is>
      </c>
      <c r="E43" s="39" t="inlineStr">
        <is>
          <t>Vogel's</t>
        </is>
      </c>
      <c r="F43" s="39" t="inlineStr">
        <is>
          <t>DDB New Zealand Auckland</t>
        </is>
      </c>
      <c r="G43" s="39" t="inlineStr">
        <is>
          <t>New Zealand</t>
        </is>
      </c>
      <c r="H43" s="39" t="inlineStr">
        <is>
          <t>C03 - Customer Acquisition</t>
        </is>
      </c>
      <c r="I43" s="40" t="inlineStr">
        <is>
          <t>https://ascentialcdn.filespin.io/api/v1/conversion/063b28ff666842b6ba0f2b6972cdd489</t>
        </is>
      </c>
      <c r="J43" s="33" t="inlineStr">
        <is>
          <t>5NNhDRF-BUY</t>
        </is>
      </c>
      <c r="L43" s="33" t="inlineStr">
        <is>
          <t>https://www.lovethework.com/work/entries/certified-toasters-747325</t>
        </is>
      </c>
    </row>
    <row r="44" ht="34.5" customHeight="1" s="34">
      <c r="A44" s="36" t="n">
        <v>43</v>
      </c>
      <c r="B44" s="43" t="inlineStr">
        <is>
          <t>Bronze</t>
        </is>
      </c>
      <c r="C44" s="38" t="inlineStr">
        <is>
          <t>Choose Uber</t>
        </is>
      </c>
      <c r="D44" s="39" t="inlineStr">
        <is>
          <t>Heetch</t>
        </is>
      </c>
      <c r="E44" s="39" t="inlineStr">
        <is>
          <t>Heetch</t>
        </is>
      </c>
      <c r="F44" s="39" t="inlineStr">
        <is>
          <t>BETC Paris</t>
        </is>
      </c>
      <c r="G44" s="39" t="inlineStr">
        <is>
          <t>France</t>
        </is>
      </c>
      <c r="H44" s="39" t="inlineStr">
        <is>
          <t>C03 - Customer Acquisition</t>
        </is>
      </c>
      <c r="I44" s="40" t="inlineStr">
        <is>
          <t>https://ascentialcdn.filespin.io/api/v1/conversion/fd2b448479ca41b7aa08b7d8a4bd8749</t>
        </is>
      </c>
      <c r="J44" s="33" t="inlineStr">
        <is>
          <t>O9A5do-GRG4</t>
        </is>
      </c>
      <c r="L44" s="33" t="inlineStr">
        <is>
          <t>https://www.lovethework.com/work/entries/choose-uber-759808</t>
        </is>
      </c>
    </row>
    <row r="45" ht="34.5" customHeight="1" s="34">
      <c r="A45" s="36" t="n">
        <v>44</v>
      </c>
      <c r="B45" s="43" t="inlineStr">
        <is>
          <t>Bronze</t>
        </is>
      </c>
      <c r="C45" s="38" t="inlineStr">
        <is>
          <t>Coupon Rain</t>
        </is>
      </c>
      <c r="D45" s="39" t="inlineStr">
        <is>
          <t>Mercado Livre</t>
        </is>
      </c>
      <c r="E45" s="39" t="inlineStr">
        <is>
          <t>Mercado Livre</t>
        </is>
      </c>
      <c r="F45" s="39" t="inlineStr">
        <is>
          <t>GUT Sao Paulo</t>
        </is>
      </c>
      <c r="G45" s="39" t="inlineStr">
        <is>
          <t>Brazil</t>
        </is>
      </c>
      <c r="H45" s="39" t="inlineStr">
        <is>
          <t>C02 - Retail Promotions</t>
        </is>
      </c>
      <c r="I45" s="40" t="inlineStr">
        <is>
          <t>https://ascentialcdn.filespin.io/api/v1/conversion/da2a035ff121404d908607d3ef09dfd2</t>
        </is>
      </c>
      <c r="J45" s="33" t="inlineStr">
        <is>
          <t>RXw_xdHILoU</t>
        </is>
      </c>
      <c r="L45" s="33" t="inlineStr">
        <is>
          <t>https://www.lovethework.com/work/entries/coupon-rain-747356</t>
        </is>
      </c>
    </row>
    <row r="46" ht="34.5" customHeight="1" s="34">
      <c r="A46" s="36" t="n">
        <v>45</v>
      </c>
      <c r="B46" s="43" t="inlineStr">
        <is>
          <t>Bronze</t>
        </is>
      </c>
      <c r="C46" s="38" t="inlineStr">
        <is>
          <t>Eye Test Menu</t>
        </is>
      </c>
      <c r="D46" s="39" t="inlineStr">
        <is>
          <t>Titan Company Limited</t>
        </is>
      </c>
      <c r="E46" s="39" t="inlineStr">
        <is>
          <t>Eyewear</t>
        </is>
      </c>
      <c r="F46" s="39" t="inlineStr">
        <is>
          <t>Ogilvy Bangalore</t>
        </is>
      </c>
      <c r="G46" s="39" t="inlineStr">
        <is>
          <t>India</t>
        </is>
      </c>
      <c r="H46" s="39" t="inlineStr">
        <is>
          <t>D03 - Brand-Owned Experiences</t>
        </is>
      </c>
      <c r="I46" s="40" t="inlineStr">
        <is>
          <t>https://ascentialcdn.filespin.io/api/v1/conversion/423282a302ed4fe187b1a0b7b5eb8284</t>
        </is>
      </c>
      <c r="J46" s="33" t="inlineStr">
        <is>
          <t>_GNOgJWpfK8</t>
        </is>
      </c>
      <c r="L46" s="33" t="inlineStr">
        <is>
          <t>https://www.lovethework.com/work/entries/eye-test-menu-747656</t>
        </is>
      </c>
    </row>
    <row r="47" ht="34.5" customHeight="1" s="34">
      <c r="A47" s="36" t="n">
        <v>46</v>
      </c>
      <c r="B47" s="43" t="inlineStr">
        <is>
          <t>Bronze</t>
        </is>
      </c>
      <c r="C47" s="38" t="inlineStr">
        <is>
          <t>Followers Store</t>
        </is>
      </c>
      <c r="D47" s="39" t="inlineStr">
        <is>
          <t>New Balance</t>
        </is>
      </c>
      <c r="E47" s="39" t="inlineStr">
        <is>
          <t>New Balance</t>
        </is>
      </c>
      <c r="F47" s="39" t="inlineStr">
        <is>
          <t>LePub Sao Paulo</t>
        </is>
      </c>
      <c r="G47" s="39" t="inlineStr">
        <is>
          <t>Brazil</t>
        </is>
      </c>
      <c r="H47" s="39" t="inlineStr">
        <is>
          <t>C02 - Retail Promotions</t>
        </is>
      </c>
      <c r="I47" s="40" t="inlineStr">
        <is>
          <t>https://ascentialcdn.filespin.io/api/v1/conversion/3f6078e96a9a4e17acada7c2ad04d652</t>
        </is>
      </c>
      <c r="J47" s="33" t="inlineStr">
        <is>
          <t>uYskstOPF4U</t>
        </is>
      </c>
      <c r="L47" s="33" t="inlineStr">
        <is>
          <t>https://www.lovethework.com/work/entries/followers-store-747160</t>
        </is>
      </c>
    </row>
    <row r="48" ht="34.5" customHeight="1" s="34">
      <c r="A48" s="36" t="n">
        <v>47</v>
      </c>
      <c r="B48" s="43" t="inlineStr">
        <is>
          <t>Bronze</t>
        </is>
      </c>
      <c r="C48" s="38" t="inlineStr">
        <is>
          <t>Hagelchup</t>
        </is>
      </c>
      <c r="D48" s="39" t="inlineStr">
        <is>
          <t>Kraft-Heinz</t>
        </is>
      </c>
      <c r="E48" s="39" t="inlineStr">
        <is>
          <t>Heinz Ketchup</t>
        </is>
      </c>
      <c r="F48" s="39" t="inlineStr">
        <is>
          <t>GUT Amsterdam</t>
        </is>
      </c>
      <c r="G48" s="39" t="inlineStr">
        <is>
          <t>Netherlands</t>
        </is>
      </c>
      <c r="H48" s="39" t="inlineStr">
        <is>
          <t>D05 - Launch/Relaunch</t>
        </is>
      </c>
      <c r="I48" s="40" t="inlineStr">
        <is>
          <t>https://ascentialcdn.filespin.io/api/v1/conversion/8e35da4f41d24cfba9b2b339c1dd1325</t>
        </is>
      </c>
      <c r="J48" s="33" t="inlineStr">
        <is>
          <t>9HpJtpvtrhs</t>
        </is>
      </c>
      <c r="L48" s="33" t="inlineStr">
        <is>
          <t>https://www.lovethework.com/work/entries/hagelchup-761247</t>
        </is>
      </c>
    </row>
    <row r="49" ht="34.5" customHeight="1" s="34">
      <c r="A49" s="36" t="n">
        <v>48</v>
      </c>
      <c r="B49" s="43" t="inlineStr">
        <is>
          <t>Bronze</t>
        </is>
      </c>
      <c r="C49" s="38" t="inlineStr">
        <is>
          <t>Harmoniser</t>
        </is>
      </c>
      <c r="D49" s="39" t="inlineStr">
        <is>
          <t>Twix</t>
        </is>
      </c>
      <c r="E49" s="39" t="inlineStr">
        <is>
          <t>Twix</t>
        </is>
      </c>
      <c r="F49" s="39" t="inlineStr">
        <is>
          <t>adam&amp;eveDDB London</t>
        </is>
      </c>
      <c r="G49" s="39" t="inlineStr">
        <is>
          <t>United Kingdom</t>
        </is>
      </c>
      <c r="H49" s="39" t="inlineStr">
        <is>
          <t>B02 - Use of Mobile</t>
        </is>
      </c>
      <c r="I49" s="40" t="inlineStr">
        <is>
          <t>digital-presentation-images/brand-experience-and-activation-twix-harmoniser.webp</t>
        </is>
      </c>
      <c r="J49" s="33" t="inlineStr">
        <is>
          <t>OFY3DkMtpEk</t>
        </is>
      </c>
      <c r="L49" s="33" t="inlineStr">
        <is>
          <t>https://www.lovethework.com/work/entries/harmoniser-746769</t>
        </is>
      </c>
    </row>
    <row r="50" ht="34.5" customHeight="1" s="34">
      <c r="A50" s="36" t="n">
        <v>49</v>
      </c>
      <c r="B50" s="43" t="inlineStr">
        <is>
          <t>Bronze</t>
        </is>
      </c>
      <c r="C50" s="38" t="inlineStr">
        <is>
          <t>Lap of Legends</t>
        </is>
      </c>
      <c r="D50" s="39" t="inlineStr">
        <is>
          <t>AB InBev - Michelob Ultra</t>
        </is>
      </c>
      <c r="E50" s="39" t="inlineStr">
        <is>
          <t>Michelob Ultra</t>
        </is>
      </c>
      <c r="F50" s="39" t="inlineStr">
        <is>
          <t>FCB New York</t>
        </is>
      </c>
      <c r="G50" s="39" t="inlineStr">
        <is>
          <t>United States</t>
        </is>
      </c>
      <c r="H50" s="39" t="inlineStr">
        <is>
          <t>B09 - Tech-Led Brand Experience</t>
        </is>
      </c>
      <c r="I50" s="40" t="inlineStr">
        <is>
          <t>https://ascentialcdn.filespin.io/api/v1/conversion/f6e7f0cb16774f6cb600e22c0c3bdfde</t>
        </is>
      </c>
      <c r="J50" s="33" t="inlineStr">
        <is>
          <t>0C3VQ6MwfIE</t>
        </is>
      </c>
      <c r="L50" s="33" t="inlineStr">
        <is>
          <t>https://www.lovethework.com/work/entries/lap-of-legends-759515</t>
        </is>
      </c>
    </row>
    <row r="51" ht="34.5" customHeight="1" s="34">
      <c r="A51" s="36" t="n">
        <v>50</v>
      </c>
      <c r="B51" s="43" t="inlineStr">
        <is>
          <t>Bronze</t>
        </is>
      </c>
      <c r="C51" s="38" t="inlineStr">
        <is>
          <t>Lynx with Catnip</t>
        </is>
      </c>
      <c r="D51" s="39" t="inlineStr">
        <is>
          <t>AXE/Lynx</t>
        </is>
      </c>
      <c r="E51" s="39" t="inlineStr">
        <is>
          <t>Deodorant</t>
        </is>
      </c>
      <c r="F51" s="39" t="inlineStr">
        <is>
          <t>Lola MullenLowe Madrid</t>
        </is>
      </c>
      <c r="G51" s="39" t="inlineStr">
        <is>
          <t>Spain</t>
        </is>
      </c>
      <c r="H51" s="39" t="inlineStr">
        <is>
          <t>D05 - Launch/Relaunch</t>
        </is>
      </c>
      <c r="I51" s="40" t="inlineStr">
        <is>
          <t>https://ascentialcdn.filespin.io/api/v1/conversion/ea3dd481097345ee8090654d39e8e874</t>
        </is>
      </c>
      <c r="J51" s="33" t="inlineStr">
        <is>
          <t>CHHeZrjP87w</t>
        </is>
      </c>
      <c r="L51" s="33" t="inlineStr">
        <is>
          <t>https://www.lovethework.com/work/entries/lynx-with-catnip-747829</t>
        </is>
      </c>
    </row>
    <row r="52" ht="34.5" customHeight="1" s="34">
      <c r="A52" s="36" t="n">
        <v>51</v>
      </c>
      <c r="B52" s="43" t="inlineStr">
        <is>
          <t>Bronze</t>
        </is>
      </c>
      <c r="C52" s="38" t="inlineStr">
        <is>
          <t>Mommyphone</t>
        </is>
      </c>
      <c r="D52" s="39" t="inlineStr">
        <is>
          <t>Laboratoire Gallia</t>
        </is>
      </c>
      <c r="E52" s="39" t="inlineStr">
        <is>
          <t>Careline</t>
        </is>
      </c>
      <c r="F52" s="39" t="inlineStr">
        <is>
          <t>BETC Paris</t>
        </is>
      </c>
      <c r="G52" s="39" t="inlineStr">
        <is>
          <t>France</t>
        </is>
      </c>
      <c r="H52" s="39" t="inlineStr">
        <is>
          <t>A02 - Healthcare</t>
        </is>
      </c>
      <c r="I52" s="40" t="inlineStr">
        <is>
          <t>https://ascentialcdn.filespin.io/api/v1/conversion/ad05d5ee96d64b4bbff51d2ad0b8ea59</t>
        </is>
      </c>
      <c r="J52" s="33" t="inlineStr">
        <is>
          <t>vimeo:1078438375</t>
        </is>
      </c>
      <c r="L52" s="33" t="inlineStr">
        <is>
          <t>https://www.lovethework.com/work/entries/mommyphone-746686</t>
        </is>
      </c>
    </row>
    <row r="53" ht="34.5" customHeight="1" s="34">
      <c r="A53" s="36" t="n">
        <v>52</v>
      </c>
      <c r="B53" s="43" t="inlineStr">
        <is>
          <t>Bronze</t>
        </is>
      </c>
      <c r="C53" s="38" t="inlineStr">
        <is>
          <t>Other Hand</t>
        </is>
      </c>
      <c r="D53" s="39" t="inlineStr">
        <is>
          <t>Cheetos | PepsiCo</t>
        </is>
      </c>
      <c r="E53" s="39" t="inlineStr">
        <is>
          <t>Cheetos</t>
        </is>
      </c>
      <c r="F53" s="39" t="inlineStr">
        <is>
          <t>Goodby Silverstein &amp; Partners</t>
        </is>
      </c>
      <c r="G53" s="39" t="inlineStr">
        <is>
          <t>United States</t>
        </is>
      </c>
      <c r="H53" s="39" t="inlineStr">
        <is>
          <t>A01 - Consumer Goods</t>
        </is>
      </c>
      <c r="I53" s="40" t="inlineStr">
        <is>
          <t>https://ascentialcdn.filespin.io/api/v1/conversion/c26e38ccd1ea4f2eae3e55a7d0c74a7c</t>
        </is>
      </c>
      <c r="J53" s="33" t="inlineStr">
        <is>
          <t>5xRoKPmsEDI</t>
        </is>
      </c>
      <c r="L53" s="33" t="inlineStr">
        <is>
          <t>https://www.lovethework.com/work/entries/other-hand-746730</t>
        </is>
      </c>
    </row>
    <row r="54" ht="34.5" customHeight="1" s="34">
      <c r="A54" s="36" t="n">
        <v>53</v>
      </c>
      <c r="B54" s="43" t="inlineStr">
        <is>
          <t>Bronze</t>
        </is>
      </c>
      <c r="C54" s="38" t="inlineStr">
        <is>
          <t>Other Hand</t>
        </is>
      </c>
      <c r="D54" s="39" t="inlineStr">
        <is>
          <t>Cheetos | PepsiCo</t>
        </is>
      </c>
      <c r="E54" s="39" t="inlineStr">
        <is>
          <t>Cheetos</t>
        </is>
      </c>
      <c r="F54" s="39" t="inlineStr">
        <is>
          <t>Goodby Silverstein &amp; Partners</t>
        </is>
      </c>
      <c r="G54" s="39" t="inlineStr">
        <is>
          <t>United States</t>
        </is>
      </c>
      <c r="H54" s="39" t="inlineStr">
        <is>
          <t>D06 - 360 Integrated</t>
        </is>
      </c>
      <c r="I54" s="40" t="inlineStr">
        <is>
          <t>https://ascentialcdn.filespin.io/api/v1/conversion/5fbcea0cb26e47f685f6856daa7051fb</t>
        </is>
      </c>
      <c r="J54" s="33" t="inlineStr">
        <is>
          <t>5xRoKPmsEDI</t>
        </is>
      </c>
      <c r="L54" s="33" t="inlineStr">
        <is>
          <t>https://www.lovethework.com/work/entries/other-hand-746730</t>
        </is>
      </c>
    </row>
    <row r="55" ht="34.5" customHeight="1" s="34">
      <c r="A55" s="36" t="n">
        <v>54</v>
      </c>
      <c r="B55" s="43" t="inlineStr">
        <is>
          <t>Bronze</t>
        </is>
      </c>
      <c r="C55" s="38" t="inlineStr">
        <is>
          <t>Prize on the Bone</t>
        </is>
      </c>
      <c r="D55" s="39" t="inlineStr">
        <is>
          <t>KFC</t>
        </is>
      </c>
      <c r="E55" s="39" t="inlineStr">
        <is>
          <t>KFC Ice-Cream</t>
        </is>
      </c>
      <c r="F55" s="39" t="inlineStr">
        <is>
          <t>DM9 Sao Paulo</t>
        </is>
      </c>
      <c r="G55" s="39" t="inlineStr">
        <is>
          <t>Brazil</t>
        </is>
      </c>
      <c r="H55" s="39" t="inlineStr">
        <is>
          <t>D05 - Launch/Relaunch</t>
        </is>
      </c>
      <c r="I55" s="40" t="inlineStr">
        <is>
          <t>https://ascentialcdn.filespin.io/api/v1/conversion/32ef7021bdbd4c4392fa51fb240d45e6</t>
        </is>
      </c>
      <c r="J55" s="33" t="inlineStr">
        <is>
          <t>h4Kl5THlsYw</t>
        </is>
      </c>
      <c r="L55" s="33" t="inlineStr">
        <is>
          <t>https://www.lovethework.com/work/entries/prize-on-the-bone-747788</t>
        </is>
      </c>
    </row>
    <row r="56" ht="34.5" customHeight="1" s="34">
      <c r="A56" s="36" t="n">
        <v>55</v>
      </c>
      <c r="B56" s="43" t="inlineStr">
        <is>
          <t>Bronze</t>
        </is>
      </c>
      <c r="C56" s="38" t="inlineStr">
        <is>
          <t>Report This Ad</t>
        </is>
      </c>
      <c r="D56" s="39" t="inlineStr">
        <is>
          <t>Veris</t>
        </is>
      </c>
      <c r="E56" s="39" t="inlineStr">
        <is>
          <t>Online Mental Health Institution</t>
        </is>
      </c>
      <c r="F56" s="39" t="inlineStr">
        <is>
          <t>Paradais DDB Guayaquil</t>
        </is>
      </c>
      <c r="G56" s="39" t="inlineStr">
        <is>
          <t>Ecuador</t>
        </is>
      </c>
      <c r="H56" s="39" t="inlineStr">
        <is>
          <t>D02 - Guerrilla Marketing</t>
        </is>
      </c>
      <c r="I56" s="40" t="inlineStr">
        <is>
          <t>https://ascentialcdn.filespin.io/api/v1/conversion/acbb86d466734cc4890607c8d8d33696</t>
        </is>
      </c>
      <c r="J56" s="33" t="inlineStr">
        <is>
          <t>hyWYqBMUTk8</t>
        </is>
      </c>
      <c r="L56" s="33" t="inlineStr">
        <is>
          <t>https://www.lovethework.com/work/entries/report-this-ad-747650</t>
        </is>
      </c>
    </row>
    <row r="57" ht="34.5" customHeight="1" s="34">
      <c r="A57" s="36" t="n">
        <v>56</v>
      </c>
      <c r="B57" s="43" t="inlineStr">
        <is>
          <t>Bronze</t>
        </is>
      </c>
      <c r="C57" s="38" t="inlineStr">
        <is>
          <t>Returning Creativity</t>
        </is>
      </c>
      <c r="D57" s="39" t="inlineStr">
        <is>
          <t>Crayola</t>
        </is>
      </c>
      <c r="E57" s="39" t="inlineStr">
        <is>
          <t>Crayola Crayons</t>
        </is>
      </c>
      <c r="F57" s="39" t="inlineStr">
        <is>
          <t>Dentsu Creative New York</t>
        </is>
      </c>
      <c r="G57" s="39" t="inlineStr">
        <is>
          <t>United States</t>
        </is>
      </c>
      <c r="H57" s="39" t="inlineStr">
        <is>
          <t>D06 - 360 Integrated</t>
        </is>
      </c>
      <c r="I57" s="40" t="inlineStr">
        <is>
          <t>https://ascentialcdn.filespin.io/api/v1/conversion/17be9285972743a1b234168fb6440ddb</t>
        </is>
      </c>
      <c r="J57" s="33" t="inlineStr">
        <is>
          <t>p8IHkizfvVE</t>
        </is>
      </c>
      <c r="L57" s="33" t="inlineStr">
        <is>
          <t>https://www.lovethework.com/work/entries/returning-creativity-747841</t>
        </is>
      </c>
    </row>
    <row r="58" ht="34.5" customHeight="1" s="34">
      <c r="A58" s="36" t="n">
        <v>57</v>
      </c>
      <c r="B58" s="43" t="inlineStr">
        <is>
          <t>Bronze</t>
        </is>
      </c>
      <c r="C58" s="38" t="inlineStr">
        <is>
          <t>Shades of Red</t>
        </is>
      </c>
      <c r="D58" s="39" t="inlineStr">
        <is>
          <t>Coca-Cola</t>
        </is>
      </c>
      <c r="E58" s="39" t="inlineStr">
        <is>
          <t>Coca-Cola</t>
        </is>
      </c>
      <c r="F58" s="39" t="inlineStr">
        <is>
          <t>DAVID Madrid</t>
        </is>
      </c>
      <c r="G58" s="39" t="inlineStr">
        <is>
          <t>Spain</t>
        </is>
      </c>
      <c r="H58" s="39" t="inlineStr">
        <is>
          <t>E03 - Single-Market</t>
        </is>
      </c>
      <c r="I58" s="40" t="inlineStr">
        <is>
          <t>https://ascentialcdn.filespin.io/api/v1/conversion/6823017bae93485e8872b6f02baedf4b</t>
        </is>
      </c>
      <c r="J58" s="33" t="inlineStr">
        <is>
          <t>7kRgxEIhX38</t>
        </is>
      </c>
      <c r="L58" s="33" t="inlineStr">
        <is>
          <t>https://www.lovethework.com/work/entries/shades-of-red-748102</t>
        </is>
      </c>
    </row>
    <row r="59" ht="34.5" customHeight="1" s="34">
      <c r="A59" s="36" t="n">
        <v>58</v>
      </c>
      <c r="B59" s="43" t="inlineStr">
        <is>
          <t>Bronze</t>
        </is>
      </c>
      <c r="C59" s="38" t="inlineStr">
        <is>
          <t>Sights of Tomorrow</t>
        </is>
      </c>
      <c r="D59" s="39" t="inlineStr">
        <is>
          <t>Letzte Generation Austria</t>
        </is>
      </c>
      <c r="E59" s="39" t="inlineStr">
        <is>
          <t>Letzte Generation Austria</t>
        </is>
      </c>
      <c r="F59" s="39" t="inlineStr">
        <is>
          <t>Demner Merlicek &amp; Bergmann Vienna</t>
        </is>
      </c>
      <c r="G59" s="39" t="inlineStr">
        <is>
          <t>Austria</t>
        </is>
      </c>
      <c r="H59" s="39" t="inlineStr">
        <is>
          <t>E06 - Breakthrough on a Budget</t>
        </is>
      </c>
      <c r="I59" s="40" t="inlineStr">
        <is>
          <t>https://ascentialcdn.filespin.io/api/v1/conversion/a542046c9e4a4704b0c1f7f075a95f4c</t>
        </is>
      </c>
      <c r="J59" s="33" t="inlineStr">
        <is>
          <t>cjnTY_qX2wM</t>
        </is>
      </c>
      <c r="L59" s="33" t="inlineStr">
        <is>
          <t>https://www.lovethework.com/work/entries/sights-of-tomorrow-748200</t>
        </is>
      </c>
    </row>
    <row r="60" ht="34.5" customHeight="1" s="34">
      <c r="A60" s="36" t="n">
        <v>59</v>
      </c>
      <c r="B60" s="43" t="inlineStr">
        <is>
          <t>Bronze</t>
        </is>
      </c>
      <c r="C60" s="38" t="inlineStr">
        <is>
          <t>SupportBelt</t>
        </is>
      </c>
      <c r="D60" s="39" t="inlineStr">
        <is>
          <t>Ford</t>
        </is>
      </c>
      <c r="E60" s="39" t="inlineStr">
        <is>
          <t>Ford SupportBelt</t>
        </is>
      </c>
      <c r="F60" s="39" t="inlineStr">
        <is>
          <t>VML Detroit</t>
        </is>
      </c>
      <c r="G60" s="39" t="inlineStr">
        <is>
          <t>United States</t>
        </is>
      </c>
      <c r="H60" s="39" t="inlineStr">
        <is>
          <t>A03 - Automotive</t>
        </is>
      </c>
      <c r="I60" s="40" t="inlineStr">
        <is>
          <t>https://ascentialcdn.filespin.io/api/v1/conversion/325a5a7b867c43a7a400829c3a94a862</t>
        </is>
      </c>
      <c r="J60" s="33" t="inlineStr">
        <is>
          <t>BU0WI3A9bKQ</t>
        </is>
      </c>
      <c r="L60" s="33" t="inlineStr">
        <is>
          <t>https://www.lovethework.com/work/entries/supportbelt-746697</t>
        </is>
      </c>
    </row>
    <row r="61" ht="34.5" customHeight="1" s="34">
      <c r="A61" s="36" t="n">
        <v>60</v>
      </c>
      <c r="B61" s="43" t="inlineStr">
        <is>
          <t>Bronze</t>
        </is>
      </c>
      <c r="C61" s="38" t="inlineStr">
        <is>
          <t>Thanks for Coke-Creating</t>
        </is>
      </c>
      <c r="D61" s="39" t="inlineStr">
        <is>
          <t>Coca-Cola</t>
        </is>
      </c>
      <c r="E61" s="39" t="inlineStr">
        <is>
          <t>Coca-Cola</t>
        </is>
      </c>
      <c r="F61" s="39" t="inlineStr">
        <is>
          <t>VML New York</t>
        </is>
      </c>
      <c r="G61" s="39" t="inlineStr">
        <is>
          <t>United States</t>
        </is>
      </c>
      <c r="H61" s="39" t="inlineStr">
        <is>
          <t>E04 - Social Behaviour</t>
        </is>
      </c>
      <c r="I61" s="40" t="inlineStr">
        <is>
          <t>https://ascentialcdn.filespin.io/api/v1/conversion/e2d391a076394851ad0376152ece61bb</t>
        </is>
      </c>
      <c r="J61" s="33" t="inlineStr">
        <is>
          <t>gFQUmcwgoMg</t>
        </is>
      </c>
      <c r="L61" s="33" t="inlineStr">
        <is>
          <t>https://www.lovethework.com/work/entries/thanks-for-coke-creating-748058</t>
        </is>
      </c>
    </row>
    <row r="62" ht="34.5" customHeight="1" s="34">
      <c r="A62" s="36" t="n">
        <v>61</v>
      </c>
      <c r="B62" s="43" t="inlineStr">
        <is>
          <t>Bronze</t>
        </is>
      </c>
      <c r="C62" s="38" t="inlineStr">
        <is>
          <t>The Athletes Code</t>
        </is>
      </c>
      <c r="D62" s="39" t="inlineStr">
        <is>
          <t>Powerade</t>
        </is>
      </c>
      <c r="E62" s="39" t="inlineStr">
        <is>
          <t>Powerade</t>
        </is>
      </c>
      <c r="F62" s="39" t="inlineStr">
        <is>
          <t>Ogilvy New York</t>
        </is>
      </c>
      <c r="G62" s="39" t="inlineStr">
        <is>
          <t>United States</t>
        </is>
      </c>
      <c r="H62" s="39" t="inlineStr">
        <is>
          <t>D04 - Sponsorship</t>
        </is>
      </c>
      <c r="I62" s="40" t="inlineStr">
        <is>
          <t>https://ascentialcdn.filespin.io/api/v1/conversion/fb3c12787a614e6380d825b91a317ee9</t>
        </is>
      </c>
      <c r="J62" s="33" t="inlineStr">
        <is>
          <t>z7EwJIUlr-g</t>
        </is>
      </c>
      <c r="L62" s="33" t="inlineStr">
        <is>
          <t>https://www.lovethework.com/work/entries/the-athletes-code-747839</t>
        </is>
      </c>
    </row>
    <row r="63" ht="34.5" customHeight="1" s="34">
      <c r="A63" s="36" t="n">
        <v>62</v>
      </c>
      <c r="B63" s="43" t="inlineStr">
        <is>
          <t>Bronze</t>
        </is>
      </c>
      <c r="C63" s="38" t="inlineStr">
        <is>
          <t>The Final Exam</t>
        </is>
      </c>
      <c r="D63" s="39" t="inlineStr">
        <is>
          <t>Change the Ref</t>
        </is>
      </c>
      <c r="E63" s="39" t="inlineStr">
        <is>
          <t>Pro Bono</t>
        </is>
      </c>
      <c r="F63" s="39" t="inlineStr">
        <is>
          <t>Energy BBDO Chicago</t>
        </is>
      </c>
      <c r="G63" s="39" t="inlineStr">
        <is>
          <t>United States</t>
        </is>
      </c>
      <c r="H63" s="39" t="inlineStr">
        <is>
          <t>A07 - Not-for-Profit</t>
        </is>
      </c>
      <c r="I63" s="40" t="inlineStr">
        <is>
          <t>https://ascentialcdn.filespin.io/api/v1/conversion/ccce75b37e6345528c0db780024c9818</t>
        </is>
      </c>
      <c r="J63" s="33" t="inlineStr">
        <is>
          <t>Ljsstj4eiko</t>
        </is>
      </c>
      <c r="L63" s="33" t="inlineStr">
        <is>
          <t>https://www.lovethework.com/work/entries/the-final-exam-761168</t>
        </is>
      </c>
    </row>
    <row r="64" ht="34.5" customHeight="1" s="34">
      <c r="A64" s="36" t="n">
        <v>63</v>
      </c>
      <c r="B64" s="43" t="inlineStr">
        <is>
          <t>Bronze</t>
        </is>
      </c>
      <c r="C64" s="38" t="inlineStr">
        <is>
          <t>The Flame That Wasn't a Flame</t>
        </is>
      </c>
      <c r="D64" s="39" t="inlineStr">
        <is>
          <t>EDF</t>
        </is>
      </c>
      <c r="E64" s="39" t="inlineStr">
        <is>
          <t>EDF</t>
        </is>
      </c>
      <c r="F64" s="39" t="inlineStr">
        <is>
          <t>BETC Paris</t>
        </is>
      </c>
      <c r="G64" s="39" t="inlineStr">
        <is>
          <t>France</t>
        </is>
      </c>
      <c r="H64" s="39" t="inlineStr">
        <is>
          <t>D01 - Live Brand Experience</t>
        </is>
      </c>
      <c r="I64" s="40" t="inlineStr">
        <is>
          <t>https://ascentialcdn.filespin.io/api/v1/conversion/309901ab87bb4eabaa1bae30d983f38c</t>
        </is>
      </c>
      <c r="J64" s="33" t="inlineStr">
        <is>
          <t>sXFFpanPbNE</t>
        </is>
      </c>
      <c r="L64" s="33" t="inlineStr">
        <is>
          <t>https://www.lovethework.com/work/entries/the-flame-that-wasnt-a-flame-747506</t>
        </is>
      </c>
    </row>
    <row r="65" ht="34.5" customHeight="1" s="34">
      <c r="A65" s="36" t="n">
        <v>64</v>
      </c>
      <c r="B65" s="43" t="inlineStr">
        <is>
          <t>Bronze</t>
        </is>
      </c>
      <c r="C65" s="38" t="inlineStr">
        <is>
          <t>The Meal</t>
        </is>
      </c>
      <c r="D65" s="39" t="inlineStr">
        <is>
          <t>McDonald's</t>
        </is>
      </c>
      <c r="E65" s="39" t="inlineStr">
        <is>
          <t>Happy Meal</t>
        </is>
      </c>
      <c r="F65" s="39" t="inlineStr">
        <is>
          <t>Leo London</t>
        </is>
      </c>
      <c r="G65" s="39" t="inlineStr">
        <is>
          <t>United Kingdom</t>
        </is>
      </c>
      <c r="H65" s="39" t="inlineStr">
        <is>
          <t>E07 - Corporate Purpose</t>
        </is>
      </c>
      <c r="I65" s="40" t="inlineStr">
        <is>
          <t>https://ascentialcdn.filespin.io/api/v1/conversion/5e2b835a636345e0a9110a3076d31dca</t>
        </is>
      </c>
      <c r="J65" s="33" t="inlineStr">
        <is>
          <t>YEPttzbn0Z0</t>
        </is>
      </c>
      <c r="L65" s="33" t="inlineStr">
        <is>
          <t>https://www.lovethework.com/work/entries/the-meal-748307</t>
        </is>
      </c>
    </row>
    <row r="66" ht="34.5" customHeight="1" s="34">
      <c r="A66" s="36" t="n">
        <v>65</v>
      </c>
      <c r="B66" s="43" t="inlineStr">
        <is>
          <t>Bronze</t>
        </is>
      </c>
      <c r="C66" s="38" t="inlineStr">
        <is>
          <t>The Parental Leave Mortgage</t>
        </is>
      </c>
      <c r="D66" s="39" t="inlineStr">
        <is>
          <t>Nordea</t>
        </is>
      </c>
      <c r="E66" s="39" t="inlineStr">
        <is>
          <t>The Parental Leave Mortgage</t>
        </is>
      </c>
      <c r="F66" s="39" t="inlineStr">
        <is>
          <t>Nord DDB Stockholm</t>
        </is>
      </c>
      <c r="G66" s="39" t="inlineStr">
        <is>
          <t>Sweden</t>
        </is>
      </c>
      <c r="H66" s="39" t="inlineStr">
        <is>
          <t>C03 - Customer Acquisition</t>
        </is>
      </c>
      <c r="I66" s="40" t="inlineStr">
        <is>
          <t>https://ascentialcdn.filespin.io/api/v1/conversion/a8b9edfd44de47b893b950770030cf54</t>
        </is>
      </c>
      <c r="J66" s="33" t="inlineStr">
        <is>
          <t>9xzGRtPDwCU</t>
        </is>
      </c>
      <c r="L66" s="33" t="inlineStr">
        <is>
          <t>https://www.lovethework.com/work/entries/the-parental-leave-mortgage-747202</t>
        </is>
      </c>
    </row>
    <row r="67" ht="34.5" customHeight="1" s="34">
      <c r="A67" s="36" t="n">
        <v>66</v>
      </c>
      <c r="B67" s="43" t="inlineStr">
        <is>
          <t>Bronze</t>
        </is>
      </c>
      <c r="C67" s="38" t="inlineStr">
        <is>
          <t>The Social Feed</t>
        </is>
      </c>
      <c r="D67" s="39" t="inlineStr">
        <is>
          <t>Hungerstation</t>
        </is>
      </c>
      <c r="E67" s="39" t="inlineStr">
        <is>
          <t>Food Delivery App</t>
        </is>
      </c>
      <c r="F67" s="39" t="inlineStr">
        <is>
          <t>VML Dubai</t>
        </is>
      </c>
      <c r="G67" s="39" t="inlineStr">
        <is>
          <t>United Arab Emirates</t>
        </is>
      </c>
      <c r="H67" s="39" t="inlineStr">
        <is>
          <t>B01 - Social Engagement</t>
        </is>
      </c>
      <c r="I67" s="40" t="inlineStr">
        <is>
          <t>https://ascentialcdn.filespin.io/api/v1/conversion/eb0ad333e56946e5a9a52aed1980943d</t>
        </is>
      </c>
      <c r="J67" s="33" t="inlineStr">
        <is>
          <t>pPJWz8RBsoo</t>
        </is>
      </c>
      <c r="L67" s="33" t="inlineStr">
        <is>
          <t>https://www.lovethework.com/work/entries/the-social-feed-746763</t>
        </is>
      </c>
    </row>
    <row r="68" ht="34.5" customHeight="1" s="34">
      <c r="A68" s="36" t="n">
        <v>67</v>
      </c>
      <c r="B68" s="43" t="inlineStr">
        <is>
          <t>Bronze</t>
        </is>
      </c>
      <c r="C68" s="38" t="inlineStr">
        <is>
          <t>Worst Children's Library</t>
        </is>
      </c>
      <c r="D68" s="39" t="inlineStr">
        <is>
          <t>Samsung</t>
        </is>
      </c>
      <c r="E68" s="39" t="inlineStr">
        <is>
          <t>Samsung</t>
        </is>
      </c>
      <c r="F68" s="39" t="inlineStr">
        <is>
          <t>DDB New Zealand Auckland</t>
        </is>
      </c>
      <c r="G68" s="39" t="inlineStr">
        <is>
          <t>New Zealand</t>
        </is>
      </c>
      <c r="H68" s="39" t="inlineStr">
        <is>
          <t>E04 - Social Behaviour</t>
        </is>
      </c>
      <c r="I68" s="40" t="inlineStr">
        <is>
          <t>https://ascentialcdn.filespin.io/api/v1/conversion/24a4ad960f3c4ac8a1a86823848e8d17</t>
        </is>
      </c>
      <c r="J68" s="33" t="inlineStr">
        <is>
          <t>2B2-joqRoHc</t>
        </is>
      </c>
      <c r="L68" s="33" t="inlineStr">
        <is>
          <t>https://www.lovethework.com/work/entries/worst-childrens-library-748079</t>
        </is>
      </c>
    </row>
  </sheetData>
  <autoFilter ref="A1:I6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 ht="20" customHeight="1" s="34">
      <c r="A1" s="91" t="inlineStr">
        <is>
          <t>#</t>
        </is>
      </c>
      <c r="B1" s="91" t="inlineStr">
        <is>
          <t>Tier</t>
        </is>
      </c>
      <c r="C1" s="91" t="inlineStr">
        <is>
          <t>Campaign</t>
        </is>
      </c>
      <c r="D1" s="91" t="inlineStr">
        <is>
          <t>Brand</t>
        </is>
      </c>
      <c r="E1" s="91" t="inlineStr">
        <is>
          <t>Product/Service</t>
        </is>
      </c>
      <c r="F1" s="91" t="inlineStr">
        <is>
          <t>Agency</t>
        </is>
      </c>
      <c r="G1" s="91" t="inlineStr">
        <is>
          <t>Country</t>
        </is>
      </c>
      <c r="H1" s="91" t="inlineStr">
        <is>
          <t>Subcategory</t>
        </is>
      </c>
      <c r="I1" s="91" t="inlineStr">
        <is>
          <t>Image URL</t>
        </is>
      </c>
      <c r="J1" s="91" t="inlineStr">
        <is>
          <t>YouTube ID</t>
        </is>
      </c>
      <c r="K1" s="110" t="inlineStr">
        <is>
          <t>Campaign Group</t>
        </is>
      </c>
      <c r="L1" s="91" t="inlineStr">
        <is>
          <t>Entry URL</t>
        </is>
      </c>
    </row>
    <row r="2">
      <c r="A2" s="92" t="n">
        <v>1</v>
      </c>
      <c r="B2" s="93" t="inlineStr">
        <is>
          <t>Grand Prix</t>
        </is>
      </c>
      <c r="C2" s="94" t="inlineStr">
        <is>
          <t>One Second Ads</t>
        </is>
      </c>
      <c r="D2" s="92" t="inlineStr">
        <is>
          <t>Budweiser</t>
        </is>
      </c>
      <c r="E2" s="92" t="inlineStr">
        <is>
          <t>Beer</t>
        </is>
      </c>
      <c r="F2" s="92" t="inlineStr">
        <is>
          <t>Africa Creative DDB</t>
        </is>
      </c>
      <c r="G2" s="92" t="inlineStr">
        <is>
          <t>Brazil</t>
        </is>
      </c>
      <c r="H2" s="92" t="inlineStr">
        <is>
          <t>B01 - Use of Music</t>
        </is>
      </c>
      <c r="I2" s="95" t="inlineStr">
        <is>
          <t>digital-presentation-images/audio-and-radio-budweiser-one-second-ads.webp</t>
        </is>
      </c>
      <c r="J2" s="92" t="inlineStr">
        <is>
          <t>RpvlshoKIrE</t>
        </is>
      </c>
      <c r="L2" s="33" t="inlineStr">
        <is>
          <t>https://www.lovethework.com/work/entries/one-second-ads-741948</t>
        </is>
      </c>
    </row>
    <row r="3">
      <c r="A3" s="92" t="n">
        <v>2</v>
      </c>
      <c r="B3" s="93" t="inlineStr">
        <is>
          <t>Gold</t>
        </is>
      </c>
      <c r="C3" s="94" t="inlineStr">
        <is>
          <t>Name This Oreo</t>
        </is>
      </c>
      <c r="D3" s="92" t="inlineStr">
        <is>
          <t>Oreo</t>
        </is>
      </c>
      <c r="E3" s="92" t="inlineStr">
        <is>
          <t>Oreo</t>
        </is>
      </c>
      <c r="F3" s="92" t="inlineStr">
        <is>
          <t>VML</t>
        </is>
      </c>
      <c r="G3" s="92" t="inlineStr">
        <is>
          <t>United States</t>
        </is>
      </c>
      <c r="H3" s="92" t="inlineStr">
        <is>
          <t>A03 - Voice Activation</t>
        </is>
      </c>
      <c r="I3" s="95" t="inlineStr">
        <is>
          <t>digital-presentation-images/audio-and-radio-oreo-name-this-oreo.webp</t>
        </is>
      </c>
      <c r="J3" s="92" t="inlineStr">
        <is>
          <t>hRp6cBmbfIw</t>
        </is>
      </c>
      <c r="L3" s="33" t="inlineStr">
        <is>
          <t>https://www.lovethework.com/work/entries/name-this-oreo-741853</t>
        </is>
      </c>
    </row>
    <row r="4">
      <c r="A4" s="92" t="n">
        <v>3</v>
      </c>
      <c r="B4" s="93" t="inlineStr">
        <is>
          <t>Gold</t>
        </is>
      </c>
      <c r="C4" s="94" t="inlineStr">
        <is>
          <t>One Second Ads</t>
        </is>
      </c>
      <c r="D4" s="92" t="inlineStr">
        <is>
          <t>Budweiser</t>
        </is>
      </c>
      <c r="E4" s="92" t="inlineStr">
        <is>
          <t>Beer</t>
        </is>
      </c>
      <c r="F4" s="92" t="inlineStr">
        <is>
          <t>Africa Creative DDB</t>
        </is>
      </c>
      <c r="G4" s="92" t="inlineStr">
        <is>
          <t>Brazil</t>
        </is>
      </c>
      <c r="H4" s="92" t="inlineStr">
        <is>
          <t>A06 - Audio-Led Creativity</t>
        </is>
      </c>
      <c r="I4" s="95" t="inlineStr">
        <is>
          <t>digital-presentation-images/audio-and-radio-budweiser-one-second-ads.webp</t>
        </is>
      </c>
      <c r="J4" s="92" t="inlineStr">
        <is>
          <t>RpvlshoKIrE</t>
        </is>
      </c>
      <c r="L4" s="33" t="inlineStr">
        <is>
          <t>https://www.lovethework.com/work/entries/one-second-ads-741888</t>
        </is>
      </c>
    </row>
    <row r="5">
      <c r="A5" s="92" t="n">
        <v>4</v>
      </c>
      <c r="B5" s="93" t="inlineStr">
        <is>
          <t>Gold</t>
        </is>
      </c>
      <c r="C5" s="94" t="inlineStr">
        <is>
          <t>The Second Release</t>
        </is>
      </c>
      <c r="D5" s="92" t="inlineStr">
        <is>
          <t>Billboard Arabia</t>
        </is>
      </c>
      <c r="E5" s="92" t="inlineStr">
        <is>
          <t>Billboard Magazine</t>
        </is>
      </c>
      <c r="F5" s="92" t="inlineStr">
        <is>
          <t>SRMG Labs</t>
        </is>
      </c>
      <c r="G5" s="92" t="inlineStr">
        <is>
          <t>Saudi Arabia</t>
        </is>
      </c>
      <c r="H5" s="92" t="inlineStr">
        <is>
          <t>C03 - Single-Market Campaign</t>
        </is>
      </c>
      <c r="I5" s="95" t="inlineStr">
        <is>
          <t>digital-presentation-images/audio-and-radio-billboard-arabia-the-second-release.webp</t>
        </is>
      </c>
      <c r="J5" s="92" t="inlineStr">
        <is>
          <t>gD1XqvQaMR0</t>
        </is>
      </c>
      <c r="L5" s="33" t="inlineStr">
        <is>
          <t>https://www.lovethework.com/work/entries/the-second-release-742149</t>
        </is>
      </c>
    </row>
    <row r="6">
      <c r="A6" s="92" t="n">
        <v>5</v>
      </c>
      <c r="B6" s="96" t="inlineStr">
        <is>
          <t>Silver</t>
        </is>
      </c>
      <c r="C6" s="94" t="inlineStr">
        <is>
          <t>Name This Oreo</t>
        </is>
      </c>
      <c r="D6" s="92" t="inlineStr">
        <is>
          <t>Oreo</t>
        </is>
      </c>
      <c r="E6" s="92" t="inlineStr">
        <is>
          <t>Oreo</t>
        </is>
      </c>
      <c r="F6" s="92" t="inlineStr">
        <is>
          <t>VML</t>
        </is>
      </c>
      <c r="G6" s="92" t="inlineStr">
        <is>
          <t>United States</t>
        </is>
      </c>
      <c r="H6" s="92" t="inlineStr">
        <is>
          <t>A01 - Use of Audio &amp; Radio as a Medium</t>
        </is>
      </c>
      <c r="I6" s="95" t="inlineStr">
        <is>
          <t>digital-presentation-images/audio-and-radio-oreo-name-this-oreo.webp</t>
        </is>
      </c>
      <c r="J6" s="92" t="inlineStr">
        <is>
          <t>hRp6cBmbfIw</t>
        </is>
      </c>
      <c r="L6" s="33" t="inlineStr">
        <is>
          <t>https://www.lovethework.com/work/entries/name-this-oreo-741778</t>
        </is>
      </c>
    </row>
    <row r="7">
      <c r="A7" s="92" t="n">
        <v>6</v>
      </c>
      <c r="B7" s="96" t="inlineStr">
        <is>
          <t>Silver</t>
        </is>
      </c>
      <c r="C7" s="94" t="inlineStr">
        <is>
          <t>Fishermen Storytellers</t>
        </is>
      </c>
      <c r="D7" s="92" t="inlineStr">
        <is>
          <t>Corona</t>
        </is>
      </c>
      <c r="E7" s="92" t="inlineStr">
        <is>
          <t>Beer</t>
        </is>
      </c>
      <c r="F7" s="92" t="inlineStr">
        <is>
          <t>Africa Creative DDB</t>
        </is>
      </c>
      <c r="G7" s="92" t="inlineStr">
        <is>
          <t>Brazil</t>
        </is>
      </c>
      <c r="H7" s="92" t="inlineStr">
        <is>
          <t>A04 - Branded Content/Podcasts</t>
        </is>
      </c>
      <c r="I7" s="95" t="inlineStr">
        <is>
          <t>digital-presentation-images/audio-and-radio-corona-fishermen-storytellers.webp</t>
        </is>
      </c>
      <c r="J7" s="92" t="inlineStr">
        <is>
          <t>LDbcqtL9zP8</t>
        </is>
      </c>
      <c r="L7" s="33" t="inlineStr">
        <is>
          <t>https://www.lovethework.com/work/entries/fishermen-storytellers-764514</t>
        </is>
      </c>
    </row>
    <row r="8">
      <c r="A8" s="92" t="n">
        <v>7</v>
      </c>
      <c r="B8" s="96" t="inlineStr">
        <is>
          <t>Silver</t>
        </is>
      </c>
      <c r="C8" s="94" t="inlineStr">
        <is>
          <t>1. High Energy Intern</t>
        </is>
      </c>
      <c r="D8" s="92" t="inlineStr">
        <is>
          <t>Fusion Energy Drink</t>
        </is>
      </c>
      <c r="E8" s="92" t="inlineStr">
        <is>
          <t>Energy Drink</t>
        </is>
      </c>
      <c r="F8" s="92" t="inlineStr">
        <is>
          <t>David</t>
        </is>
      </c>
      <c r="G8" s="92" t="inlineStr">
        <is>
          <t>Spain</t>
        </is>
      </c>
      <c r="H8" s="92" t="inlineStr">
        <is>
          <t>B03 - Script</t>
        </is>
      </c>
      <c r="I8" s="95" t="inlineStr">
        <is>
          <t>https://ascentialcdn.filespin.io/api/v1/storyboard/846afe3e468240929823119e42cf3b99/storyboard_000008.jpg</t>
        </is>
      </c>
      <c r="J8" s="92" t="inlineStr">
        <is>
          <t>vimeo:1093833122</t>
        </is>
      </c>
      <c r="L8" s="33" t="inlineStr">
        <is>
          <t>https://www.lovethework.com/work/entries/1-high-energy-intern-762404</t>
        </is>
      </c>
    </row>
    <row r="9">
      <c r="A9" s="92" t="n">
        <v>8</v>
      </c>
      <c r="B9" s="96" t="inlineStr">
        <is>
          <t>Silver</t>
        </is>
      </c>
      <c r="C9" s="94" t="inlineStr">
        <is>
          <t>Chill Enough</t>
        </is>
      </c>
      <c r="D9" s="92" t="inlineStr">
        <is>
          <t>Coors Light</t>
        </is>
      </c>
      <c r="E9" s="92" t="inlineStr">
        <is>
          <t>Coors Light</t>
        </is>
      </c>
      <c r="F9" s="92" t="inlineStr">
        <is>
          <t>Alma Advertising Agency</t>
        </is>
      </c>
      <c r="G9" s="92" t="inlineStr">
        <is>
          <t>United States</t>
        </is>
      </c>
      <c r="H9" s="92" t="inlineStr">
        <is>
          <t>B04 - Casting &amp; Performance</t>
        </is>
      </c>
      <c r="I9" s="95" t="inlineStr">
        <is>
          <t>digital-presentation-images/audio-and-radio-coors-light-chill-enough.webp</t>
        </is>
      </c>
      <c r="J9" s="92" t="inlineStr">
        <is>
          <t>BqqqBYEADPg</t>
        </is>
      </c>
      <c r="L9" s="33" t="inlineStr">
        <is>
          <t>https://www.lovethework.com/work/entries/chill-enough-762433</t>
        </is>
      </c>
    </row>
    <row r="10">
      <c r="A10" s="92" t="n">
        <v>9</v>
      </c>
      <c r="B10" s="96" t="inlineStr">
        <is>
          <t>Silver</t>
        </is>
      </c>
      <c r="C10" s="94" t="inlineStr">
        <is>
          <t>Burger to King</t>
        </is>
      </c>
      <c r="D10" s="92" t="inlineStr">
        <is>
          <t>Burger King</t>
        </is>
      </c>
      <c r="E10" s="92" t="inlineStr">
        <is>
          <t>Burger King</t>
        </is>
      </c>
      <c r="F10" s="92" t="inlineStr">
        <is>
          <t>Happiness, an FCB Alliance</t>
        </is>
      </c>
      <c r="G10" s="92" t="inlineStr">
        <is>
          <t>Belgium</t>
        </is>
      </c>
      <c r="H10" s="92" t="inlineStr">
        <is>
          <t>C02 - Challenger Brand</t>
        </is>
      </c>
      <c r="I10" s="95" t="inlineStr">
        <is>
          <t>digital-presentation-images/audio-and-radio-burger-king-burger-to-king.webp</t>
        </is>
      </c>
      <c r="J10" s="92" t="inlineStr">
        <is>
          <t>RQVaoU4CGRk</t>
        </is>
      </c>
      <c r="L10" s="33" t="inlineStr">
        <is>
          <t>https://www.lovethework.com/work/entries/burger-to-king-763482</t>
        </is>
      </c>
    </row>
    <row r="11">
      <c r="A11" s="92" t="n">
        <v>10</v>
      </c>
      <c r="B11" s="96" t="inlineStr">
        <is>
          <t>Silver</t>
        </is>
      </c>
      <c r="C11" s="94" t="inlineStr">
        <is>
          <t>The Second Release</t>
        </is>
      </c>
      <c r="D11" s="92" t="inlineStr">
        <is>
          <t>Billboard Arabia</t>
        </is>
      </c>
      <c r="E11" s="92" t="inlineStr">
        <is>
          <t>Billboard Magazine</t>
        </is>
      </c>
      <c r="F11" s="92" t="inlineStr">
        <is>
          <t>SRMG Labs</t>
        </is>
      </c>
      <c r="G11" s="92" t="inlineStr">
        <is>
          <t>Saudi Arabia</t>
        </is>
      </c>
      <c r="H11" s="92" t="inlineStr">
        <is>
          <t>C04 - Social Behaviour</t>
        </is>
      </c>
      <c r="I11" s="95" t="inlineStr">
        <is>
          <t>digital-presentation-images/audio-and-radio-billboard-arabia-the-second-release.webp</t>
        </is>
      </c>
      <c r="J11" s="92" t="inlineStr">
        <is>
          <t>gD1XqvQaMR0</t>
        </is>
      </c>
      <c r="L11" s="33" t="inlineStr">
        <is>
          <t>https://www.lovethework.com/work/entries/the-second-release-742142</t>
        </is>
      </c>
    </row>
    <row r="12">
      <c r="A12" s="92" t="n">
        <v>11</v>
      </c>
      <c r="B12" s="96" t="inlineStr">
        <is>
          <t>Silver</t>
        </is>
      </c>
      <c r="C12" s="94" t="inlineStr">
        <is>
          <t>From Hurt to Hit</t>
        </is>
      </c>
      <c r="D12" s="92" t="inlineStr">
        <is>
          <t>Brahma</t>
        </is>
      </c>
      <c r="E12" s="92" t="inlineStr">
        <is>
          <t>Beer</t>
        </is>
      </c>
      <c r="F12" s="92" t="inlineStr">
        <is>
          <t>Africa Creative DDB</t>
        </is>
      </c>
      <c r="G12" s="92" t="inlineStr">
        <is>
          <t>Brazil</t>
        </is>
      </c>
      <c r="H12" s="92" t="inlineStr">
        <is>
          <t>C05 - Use of Humour</t>
        </is>
      </c>
      <c r="I12" s="95" t="inlineStr">
        <is>
          <t>https://ascentialcdn.filespin.io/api/v1/conversion/2c4c0601d34e42cf931304cf072f6fa8</t>
        </is>
      </c>
      <c r="J12" s="92" t="inlineStr">
        <is>
          <t>t10NTUNmF8c</t>
        </is>
      </c>
      <c r="L12" s="33" t="inlineStr">
        <is>
          <t>https://www.lovethework.com/work/entries/from-hurt-to-hit-742107</t>
        </is>
      </c>
    </row>
    <row r="13">
      <c r="A13" s="92" t="n">
        <v>12</v>
      </c>
      <c r="B13" s="96" t="inlineStr">
        <is>
          <t>Silver</t>
        </is>
      </c>
      <c r="C13" s="94" t="inlineStr">
        <is>
          <t>Me Feat. Me</t>
        </is>
      </c>
      <c r="D13" s="92" t="inlineStr">
        <is>
          <t>Nosotras</t>
        </is>
      </c>
      <c r="E13" s="92" t="inlineStr">
        <is>
          <t>Nosotras</t>
        </is>
      </c>
      <c r="F13" s="92" t="inlineStr">
        <is>
          <t>DDB Chile</t>
        </is>
      </c>
      <c r="G13" s="92" t="inlineStr">
        <is>
          <t>Chile</t>
        </is>
      </c>
      <c r="H13" s="92" t="inlineStr">
        <is>
          <t>C09 - Cultural Engagement</t>
        </is>
      </c>
      <c r="I13" s="95" t="inlineStr">
        <is>
          <t>https://ascentialcdn.filespin.io/api/v1/conversion/a6ac5c5dd4fc4487966ae01ac52f95ff</t>
        </is>
      </c>
      <c r="J13" s="92" t="inlineStr">
        <is>
          <t>KBcSEzHf5DA</t>
        </is>
      </c>
      <c r="L13" s="33" t="inlineStr">
        <is>
          <t>https://www.lovethework.com/work/entries/me-feat-me-742031</t>
        </is>
      </c>
    </row>
    <row r="14">
      <c r="A14" s="92" t="n">
        <v>13</v>
      </c>
      <c r="B14" s="97" t="inlineStr">
        <is>
          <t>Bronze</t>
        </is>
      </c>
      <c r="C14" s="94" t="inlineStr">
        <is>
          <t>The Future Fan Stage</t>
        </is>
      </c>
      <c r="D14" s="92" t="inlineStr">
        <is>
          <t>Way Out West</t>
        </is>
      </c>
      <c r="E14" s="92" t="inlineStr">
        <is>
          <t>Music Festival</t>
        </is>
      </c>
      <c r="F14" s="92" t="inlineStr">
        <is>
          <t>Nord DDB</t>
        </is>
      </c>
      <c r="G14" s="92" t="inlineStr">
        <is>
          <t>Sweden</t>
        </is>
      </c>
      <c r="H14" s="92" t="inlineStr">
        <is>
          <t>A04 - Branded Content/Podcasts</t>
        </is>
      </c>
      <c r="I14" s="95" t="inlineStr">
        <is>
          <t>https://ascentialcdn.filespin.io/api/v1/conversion/4e75651ba0a54a7fbba80de2e2684670</t>
        </is>
      </c>
      <c r="J14" s="92" t="inlineStr">
        <is>
          <t>cjnTY_qX2wM</t>
        </is>
      </c>
      <c r="L14" s="33" t="inlineStr">
        <is>
          <t>https://www.lovethework.com/work/entries/the-future-fan-stage-741957</t>
        </is>
      </c>
    </row>
    <row r="15">
      <c r="A15" s="92" t="n">
        <v>14</v>
      </c>
      <c r="B15" s="97" t="inlineStr">
        <is>
          <t>Bronze</t>
        </is>
      </c>
      <c r="C15" s="94" t="inlineStr">
        <is>
          <t>Roobadge</t>
        </is>
      </c>
      <c r="D15" s="92" t="inlineStr">
        <is>
          <t>Volkswagen</t>
        </is>
      </c>
      <c r="E15" s="92" t="inlineStr">
        <is>
          <t>Automotive Accessory</t>
        </is>
      </c>
      <c r="F15" s="92" t="inlineStr">
        <is>
          <t>DDB Sydney</t>
        </is>
      </c>
      <c r="G15" s="92" t="inlineStr">
        <is>
          <t>Australia</t>
        </is>
      </c>
      <c r="H15" s="92" t="inlineStr">
        <is>
          <t>A06 - Audio-Led Creativity</t>
        </is>
      </c>
      <c r="I15" s="95" t="inlineStr">
        <is>
          <t>digital-presentation-images/audio-and-radio-volkswagen-roobadge.webp</t>
        </is>
      </c>
      <c r="J15" s="92" t="inlineStr">
        <is>
          <t>vimeo:1093418498</t>
        </is>
      </c>
      <c r="L15" s="33" t="inlineStr">
        <is>
          <t>https://www.lovethework.com/work/entries/roobadge-741761</t>
        </is>
      </c>
    </row>
    <row r="16">
      <c r="A16" s="92" t="n">
        <v>15</v>
      </c>
      <c r="B16" s="97" t="inlineStr">
        <is>
          <t>Bronze</t>
        </is>
      </c>
      <c r="C16" s="94" t="inlineStr">
        <is>
          <t>The Sound of Divorce</t>
        </is>
      </c>
      <c r="D16" s="92" t="inlineStr">
        <is>
          <t>Calm</t>
        </is>
      </c>
      <c r="E16" s="92" t="inlineStr">
        <is>
          <t>Calm</t>
        </is>
      </c>
      <c r="F16" s="92" t="inlineStr">
        <is>
          <t>Ogilvy Argentina</t>
        </is>
      </c>
      <c r="G16" s="92" t="inlineStr">
        <is>
          <t>Argentina</t>
        </is>
      </c>
      <c r="H16" s="92" t="inlineStr">
        <is>
          <t>A06 - Audio-Led Creativity</t>
        </is>
      </c>
      <c r="I16" s="95" t="inlineStr">
        <is>
          <t>digital-presentation-images/audio-and-radio-calm-the-sound-of-divorce.webp</t>
        </is>
      </c>
      <c r="J16" s="92" t="inlineStr">
        <is>
          <t>FVsx6MQYNRc</t>
        </is>
      </c>
      <c r="L16" s="33" t="inlineStr">
        <is>
          <t>https://www.lovethework.com/work/entries/the-sound-of-divorce-764375</t>
        </is>
      </c>
    </row>
    <row r="17">
      <c r="A17" s="92" t="n">
        <v>16</v>
      </c>
      <c r="B17" s="97" t="inlineStr">
        <is>
          <t>Bronze</t>
        </is>
      </c>
      <c r="C17" s="94" t="inlineStr">
        <is>
          <t>Megan Thee [____]</t>
        </is>
      </c>
      <c r="D17" s="92" t="inlineStr">
        <is>
          <t>Amazon</t>
        </is>
      </c>
      <c r="E17" s="92" t="inlineStr">
        <is>
          <t>Amazon Prime Day</t>
        </is>
      </c>
      <c r="F17" s="92" t="inlineStr">
        <is>
          <t>Amazon XCM</t>
        </is>
      </c>
      <c r="G17" s="92" t="inlineStr">
        <is>
          <t>United States</t>
        </is>
      </c>
      <c r="H17" s="92" t="inlineStr">
        <is>
          <t>B01 - Use of Music</t>
        </is>
      </c>
      <c r="I17" s="95" t="inlineStr">
        <is>
          <t>digital-presentation-images/audio-and-radio-amazon-megan-thee.webp</t>
        </is>
      </c>
      <c r="J17" s="92" t="inlineStr">
        <is>
          <t>vimeo:1082442482</t>
        </is>
      </c>
      <c r="L17" s="33" t="inlineStr">
        <is>
          <t>https://www.lovethework.com/work/entries/megan-thee-741954</t>
        </is>
      </c>
    </row>
    <row r="18">
      <c r="A18" s="92" t="n">
        <v>17</v>
      </c>
      <c r="B18" s="97" t="inlineStr">
        <is>
          <t>Bronze</t>
        </is>
      </c>
      <c r="C18" s="94" t="inlineStr">
        <is>
          <t>Me Feat. Me</t>
        </is>
      </c>
      <c r="D18" s="92" t="inlineStr">
        <is>
          <t>Nosotras</t>
        </is>
      </c>
      <c r="E18" s="92" t="inlineStr">
        <is>
          <t>Nosotras</t>
        </is>
      </c>
      <c r="F18" s="92" t="inlineStr">
        <is>
          <t>DDB Chile</t>
        </is>
      </c>
      <c r="G18" s="92" t="inlineStr">
        <is>
          <t>Chile</t>
        </is>
      </c>
      <c r="H18" s="92" t="inlineStr">
        <is>
          <t>B01 - Use of Music</t>
        </is>
      </c>
      <c r="I18" s="95" t="inlineStr">
        <is>
          <t>https://ascentialcdn.filespin.io/api/v1/conversion/a6ac5c5dd4fc4487966ae01ac52f95ff</t>
        </is>
      </c>
      <c r="J18" s="92" t="inlineStr">
        <is>
          <t>KBcSEzHf5DA</t>
        </is>
      </c>
      <c r="L18" s="33" t="inlineStr">
        <is>
          <t>https://www.lovethework.com/work/entries/me-feat-me-741958</t>
        </is>
      </c>
    </row>
    <row r="19">
      <c r="A19" s="92" t="n">
        <v>18</v>
      </c>
      <c r="B19" s="97" t="inlineStr">
        <is>
          <t>Bronze</t>
        </is>
      </c>
      <c r="C19" s="94" t="inlineStr">
        <is>
          <t>What's Gucci?</t>
        </is>
      </c>
      <c r="D19" s="92" t="inlineStr">
        <is>
          <t>Hansa Pilsener</t>
        </is>
      </c>
      <c r="E19" s="92" t="inlineStr">
        <is>
          <t>Hansa Pilsener</t>
        </is>
      </c>
      <c r="F19" s="92" t="inlineStr">
        <is>
          <t>Joe Public</t>
        </is>
      </c>
      <c r="G19" s="92" t="inlineStr">
        <is>
          <t>South Africa</t>
        </is>
      </c>
      <c r="H19" s="92" t="inlineStr">
        <is>
          <t>B03 - Script</t>
        </is>
      </c>
      <c r="I19" s="95" t="inlineStr">
        <is>
          <t>https://ascentialcdn.filespin.io/api/v1/storyboard/0bca684772274dd9a6e2c0c6cd401876/storyboard_000008.jpg</t>
        </is>
      </c>
      <c r="J19" s="92" t="inlineStr">
        <is>
          <t>vimeo:1082457043</t>
        </is>
      </c>
      <c r="L19" s="33" t="inlineStr">
        <is>
          <t>https://www.lovethework.com/work/entries/whats-gucci-741935</t>
        </is>
      </c>
    </row>
    <row r="20">
      <c r="A20" s="92" t="n">
        <v>19</v>
      </c>
      <c r="B20" s="97" t="inlineStr">
        <is>
          <t>Bronze</t>
        </is>
      </c>
      <c r="C20" s="94" t="inlineStr">
        <is>
          <t>Harmoniser</t>
        </is>
      </c>
      <c r="D20" s="92" t="inlineStr">
        <is>
          <t>Twix</t>
        </is>
      </c>
      <c r="E20" s="92" t="inlineStr">
        <is>
          <t>Twix</t>
        </is>
      </c>
      <c r="F20" s="92" t="inlineStr">
        <is>
          <t>adam&amp;eveDDB</t>
        </is>
      </c>
      <c r="G20" s="92" t="inlineStr">
        <is>
          <t>United Kingdom</t>
        </is>
      </c>
      <c r="H20" s="92" t="inlineStr">
        <is>
          <t>C04 - Social Behaviour</t>
        </is>
      </c>
      <c r="I20" s="95" t="inlineStr">
        <is>
          <t>digital-presentation-images/audio-and-radio-twix-harmoniser.webp</t>
        </is>
      </c>
      <c r="J20" s="92" t="inlineStr">
        <is>
          <t>OFY3DkMtpEk</t>
        </is>
      </c>
      <c r="L20" s="33" t="inlineStr">
        <is>
          <t>https://www.lovethework.com/work/entries/harmoniser-742056</t>
        </is>
      </c>
    </row>
    <row r="21">
      <c r="A21" s="92" t="n">
        <v>20</v>
      </c>
      <c r="B21" s="97" t="inlineStr">
        <is>
          <t>Bronze</t>
        </is>
      </c>
      <c r="C21" s="94" t="inlineStr">
        <is>
          <t>Football Lover FM</t>
        </is>
      </c>
      <c r="D21" s="92" t="inlineStr">
        <is>
          <t>So Foot</t>
        </is>
      </c>
      <c r="E21" s="92" t="inlineStr">
        <is>
          <t>So Foot</t>
        </is>
      </c>
      <c r="F21" s="92" t="inlineStr">
        <is>
          <t>BETC</t>
        </is>
      </c>
      <c r="G21" s="92" t="inlineStr">
        <is>
          <t>France</t>
        </is>
      </c>
      <c r="H21" s="92" t="inlineStr">
        <is>
          <t>C05 - Use of Humour</t>
        </is>
      </c>
      <c r="I21" s="95" t="inlineStr">
        <is>
          <t>https://ascentialcdn.filespin.io/api/v1/conversion/0b397234b3d74a5aa798ad871042c23c</t>
        </is>
      </c>
      <c r="J21" s="92" t="inlineStr">
        <is>
          <t>j0eeoSEDFn0</t>
        </is>
      </c>
      <c r="L21" s="33" t="inlineStr">
        <is>
          <t>https://www.lovethework.com/work/entries/football-lover-fm-741973</t>
        </is>
      </c>
    </row>
    <row r="22">
      <c r="A22" s="92" t="n">
        <v>21</v>
      </c>
      <c r="B22" s="97" t="inlineStr">
        <is>
          <t>Bronze</t>
        </is>
      </c>
      <c r="C22" s="94" t="inlineStr">
        <is>
          <t>Sounds Right</t>
        </is>
      </c>
      <c r="D22" s="92" t="inlineStr">
        <is>
          <t>Museum for the United Nations - UN Live, Spotify</t>
        </is>
      </c>
      <c r="E22" s="92" t="inlineStr">
        <is>
          <t>Music</t>
        </is>
      </c>
      <c r="F22" s="92" t="inlineStr">
        <is>
          <t>AKQA</t>
        </is>
      </c>
      <c r="G22" s="92" t="inlineStr">
        <is>
          <t>Denmark</t>
        </is>
      </c>
      <c r="H22" s="92" t="inlineStr">
        <is>
          <t>C07 - Corporate Purpose &amp; Social Responsibility</t>
        </is>
      </c>
      <c r="I22" s="95" t="inlineStr">
        <is>
          <t>digital-presentation-images/audio-and-radio-museum-for-the-united-nations-sounds-right.webp</t>
        </is>
      </c>
      <c r="J22" s="92" t="inlineStr">
        <is>
          <t>5newTxSZ9bU</t>
        </is>
      </c>
      <c r="L22" s="33" t="inlineStr">
        <is>
          <t>https://www.lovethework.com/work/entries/sounds-right-759882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 ht="20" customHeight="1" s="34">
      <c r="A1" s="98" t="inlineStr">
        <is>
          <t>#</t>
        </is>
      </c>
      <c r="B1" s="98" t="inlineStr">
        <is>
          <t>Tier</t>
        </is>
      </c>
      <c r="C1" s="98" t="inlineStr">
        <is>
          <t>Campaign</t>
        </is>
      </c>
      <c r="D1" s="98" t="inlineStr">
        <is>
          <t>Brand</t>
        </is>
      </c>
      <c r="E1" s="98" t="inlineStr">
        <is>
          <t>Product/Service</t>
        </is>
      </c>
      <c r="F1" s="98" t="inlineStr">
        <is>
          <t>Agency</t>
        </is>
      </c>
      <c r="G1" s="98" t="inlineStr">
        <is>
          <t>Country</t>
        </is>
      </c>
      <c r="H1" s="98" t="inlineStr">
        <is>
          <t>Subcategory</t>
        </is>
      </c>
      <c r="I1" s="98" t="inlineStr">
        <is>
          <t>Image URL</t>
        </is>
      </c>
      <c r="J1" s="98" t="inlineStr">
        <is>
          <t>YouTube ID</t>
        </is>
      </c>
      <c r="K1" s="110" t="inlineStr">
        <is>
          <t>Campaign Group</t>
        </is>
      </c>
      <c r="L1" s="98" t="inlineStr">
        <is>
          <t>Entry URL</t>
        </is>
      </c>
    </row>
    <row r="2" ht="30" customHeight="1" s="34">
      <c r="A2" s="99" t="n">
        <v>1</v>
      </c>
      <c r="B2" s="100" t="inlineStr">
        <is>
          <t>Grand Prix</t>
        </is>
      </c>
      <c r="C2" s="101" t="inlineStr">
        <is>
          <t>Paris Paralympics 2024: Considering What?</t>
        </is>
      </c>
      <c r="D2" s="99" t="inlineStr">
        <is>
          <t>CHANNEL 4</t>
        </is>
      </c>
      <c r="E2" s="99" t="inlineStr">
        <is>
          <t>CHANNEL 4</t>
        </is>
      </c>
      <c r="F2" s="99" t="inlineStr">
        <is>
          <t>CHANNEL 4</t>
        </is>
      </c>
      <c r="G2" s="99" t="inlineStr">
        <is>
          <t>United Kingdom</t>
        </is>
      </c>
      <c r="H2" s="102" t="inlineStr">
        <is>
          <t>A05 - Media/Entertainment</t>
        </is>
      </c>
      <c r="I2" s="102" t="inlineStr">
        <is>
          <t>digital-presentation-images/film-channel-4-paris-paralympic-2024-considering-what.webp</t>
        </is>
      </c>
      <c r="J2" s="99" t="inlineStr">
        <is>
          <t>bUs_mNTNwvE</t>
        </is>
      </c>
      <c r="L2" s="33" t="inlineStr">
        <is>
          <t>https://www.lovethework.com/work/entries/paris-paralympics-2024-considering-what-738686</t>
        </is>
      </c>
    </row>
    <row r="3" ht="30" customHeight="1" s="34">
      <c r="A3" s="99" t="n">
        <v>2</v>
      </c>
      <c r="B3" s="100" t="inlineStr">
        <is>
          <t>Grand Prix</t>
        </is>
      </c>
      <c r="C3" s="101" t="inlineStr">
        <is>
          <t>The Final Copy of Ilon Specht</t>
        </is>
      </c>
      <c r="D3" s="99" t="inlineStr">
        <is>
          <t>L'ORÉAL PARIS</t>
        </is>
      </c>
      <c r="E3" s="99" t="inlineStr">
        <is>
          <t>L'ORÉAL PARIS</t>
        </is>
      </c>
      <c r="F3" s="99" t="inlineStr">
        <is>
          <t>McCANN</t>
        </is>
      </c>
      <c r="G3" s="99" t="inlineStr">
        <is>
          <t>France</t>
        </is>
      </c>
      <c r="H3" s="102" t="inlineStr">
        <is>
          <t>F07 - Corporate Purpose &amp; Social Responsibility</t>
        </is>
      </c>
      <c r="I3" s="102" t="inlineStr">
        <is>
          <t>digital-presentation-images/film-loreal-paris-the-final-copy-of-ilona-specht.webp</t>
        </is>
      </c>
      <c r="J3" s="99" t="inlineStr">
        <is>
          <t>-4o8bCc6-GM</t>
        </is>
      </c>
      <c r="L3" s="33" t="inlineStr">
        <is>
          <t>https://www.lovethework.com/work/entries/the-final-copy-of-ilon-specht-739568</t>
        </is>
      </c>
    </row>
    <row r="4" ht="30" customHeight="1" s="34">
      <c r="A4" s="99" t="n">
        <v>3</v>
      </c>
      <c r="B4" s="100" t="inlineStr">
        <is>
          <t>Gold</t>
        </is>
      </c>
      <c r="C4" s="101" t="inlineStr">
        <is>
          <t>Find Your Friends</t>
        </is>
      </c>
      <c r="D4" s="99" t="inlineStr">
        <is>
          <t>APPLE</t>
        </is>
      </c>
      <c r="E4" s="99" t="inlineStr">
        <is>
          <t>PRECISION FINDING</t>
        </is>
      </c>
      <c r="F4" s="99" t="inlineStr">
        <is>
          <t>APPLE</t>
        </is>
      </c>
      <c r="G4" s="99" t="inlineStr">
        <is>
          <t>United States</t>
        </is>
      </c>
      <c r="H4" s="102" t="inlineStr">
        <is>
          <t>B01 - Consumer Goods</t>
        </is>
      </c>
      <c r="I4" s="102" t="inlineStr">
        <is>
          <t>digital-presentation-images/film-apple-find-your-friends.webp</t>
        </is>
      </c>
      <c r="J4" s="99" t="inlineStr">
        <is>
          <t>LO4wamMlCKQ</t>
        </is>
      </c>
      <c r="K4" s="33" t="n"/>
      <c r="L4" s="33" t="inlineStr">
        <is>
          <t>https://www.lovethework.com/work/entries/find-your-friends-738592</t>
        </is>
      </c>
    </row>
    <row r="5" ht="30" customHeight="1" s="34">
      <c r="A5" s="99" t="n">
        <v>4</v>
      </c>
      <c r="B5" s="100" t="inlineStr">
        <is>
          <t>Gold</t>
        </is>
      </c>
      <c r="C5" s="101" t="inlineStr">
        <is>
          <t>Never Just a Period</t>
        </is>
      </c>
      <c r="D5" s="99" t="inlineStr">
        <is>
          <t>BODYFORM</t>
        </is>
      </c>
      <c r="E5" s="99" t="inlineStr">
        <is>
          <t>BODYFORM</t>
        </is>
      </c>
      <c r="F5" s="99" t="inlineStr">
        <is>
          <t>AMV BBDO</t>
        </is>
      </c>
      <c r="G5" s="99" t="inlineStr">
        <is>
          <t>United Kingdom</t>
        </is>
      </c>
      <c r="H5" s="102" t="inlineStr">
        <is>
          <t>B02 - Healthcare</t>
        </is>
      </c>
      <c r="I5" s="102" t="inlineStr">
        <is>
          <t>digital-presentation-images/film-bodyform-never-just-a-period.webp</t>
        </is>
      </c>
      <c r="J5" s="99" t="inlineStr">
        <is>
          <t>EQW59KR3c4U</t>
        </is>
      </c>
      <c r="L5" s="33" t="inlineStr">
        <is>
          <t>https://www.lovethework.com/work/entries/never-just-a-period-738863</t>
        </is>
      </c>
    </row>
    <row r="6" ht="30" customHeight="1" s="34">
      <c r="A6" s="99" t="n">
        <v>5</v>
      </c>
      <c r="B6" s="100" t="inlineStr">
        <is>
          <t>Gold</t>
        </is>
      </c>
      <c r="C6" s="101" t="inlineStr">
        <is>
          <t>Let There Be Cake</t>
        </is>
      </c>
      <c r="D6" s="99" t="inlineStr">
        <is>
          <t>KFC THAILAND</t>
        </is>
      </c>
      <c r="E6" s="99" t="inlineStr">
        <is>
          <t>KFC 40TH</t>
        </is>
      </c>
      <c r="F6" s="99" t="inlineStr">
        <is>
          <t>BANANAS</t>
        </is>
      </c>
      <c r="G6" s="99" t="inlineStr">
        <is>
          <t>South Africa</t>
        </is>
      </c>
      <c r="H6" s="102" t="inlineStr">
        <is>
          <t>B04 - Travel, Leisure, Retail, Restaurants &amp; Fast-Food Chains</t>
        </is>
      </c>
      <c r="I6" s="102" t="inlineStr">
        <is>
          <t>https://ascentialcdn.filespin.io/api/v1/storyboard/880f481b580e4ddbb51427137d8c2233/storyboard_000008.jpg</t>
        </is>
      </c>
      <c r="J6" s="99" t="inlineStr">
        <is>
          <t>YDaAgeyVXiw</t>
        </is>
      </c>
      <c r="L6" s="33" t="inlineStr">
        <is>
          <t>https://www.lovethework.com/work/entries/let-there-be-cake-759113</t>
        </is>
      </c>
    </row>
    <row r="7" ht="30" customHeight="1" s="34">
      <c r="A7" s="99" t="n">
        <v>6</v>
      </c>
      <c r="B7" s="100" t="inlineStr">
        <is>
          <t>Gold</t>
        </is>
      </c>
      <c r="C7" s="101" t="inlineStr">
        <is>
          <t>The Last Birthday</t>
        </is>
      </c>
      <c r="D7" s="99" t="inlineStr">
        <is>
          <t>ASSOCIATION VALENTIN HAÜY</t>
        </is>
      </c>
      <c r="E7" s="99" t="inlineStr">
        <is>
          <t>Non Profit Organization - Defense of the Rights of Blind and Visually Impaired People</t>
        </is>
      </c>
      <c r="F7" s="99" t="inlineStr">
        <is>
          <t>JOSIANE</t>
        </is>
      </c>
      <c r="G7" s="99" t="inlineStr">
        <is>
          <t>France</t>
        </is>
      </c>
      <c r="H7" s="102" t="inlineStr">
        <is>
          <t>B07 - Not-For-Profit / Charity / Government</t>
        </is>
      </c>
      <c r="I7" s="102" t="inlineStr">
        <is>
          <t>digital-presentation-images/film-association-valentin-hauy-the-last-birthday.webp</t>
        </is>
      </c>
      <c r="J7" s="99" t="inlineStr">
        <is>
          <t>E4mGmGE8fC0</t>
        </is>
      </c>
      <c r="L7" s="33" t="inlineStr">
        <is>
          <t>https://www.lovethework.com/work/entries/the-last-birthday-739026</t>
        </is>
      </c>
    </row>
    <row r="8" ht="30" customHeight="1" s="34">
      <c r="A8" s="99" t="n">
        <v>7</v>
      </c>
      <c r="B8" s="100" t="inlineStr">
        <is>
          <t>Gold</t>
        </is>
      </c>
      <c r="C8" s="101" t="inlineStr">
        <is>
          <t>Telstra - Better on a Better Network</t>
        </is>
      </c>
      <c r="D8" s="99" t="inlineStr">
        <is>
          <t>TELSTRA</t>
        </is>
      </c>
      <c r="E8" s="99" t="inlineStr">
        <is>
          <t>TELSTRA</t>
        </is>
      </c>
      <c r="F8" s="99" t="inlineStr">
        <is>
          <t>BEAR MEETS EAGLE ON FIRE</t>
        </is>
      </c>
      <c r="G8" s="99" t="inlineStr">
        <is>
          <t>Australia</t>
        </is>
      </c>
      <c r="H8" s="102" t="inlineStr">
        <is>
          <t>F03 - Single-Market Campaign</t>
        </is>
      </c>
      <c r="I8" s="102" t="inlineStr">
        <is>
          <t>digital-presentation-images/film-telstra-telstra-better-on-a-better-network.webp</t>
        </is>
      </c>
      <c r="J8" s="99" t="inlineStr">
        <is>
          <t>L8wOtakkr28</t>
        </is>
      </c>
      <c r="L8" s="33" t="inlineStr">
        <is>
          <t>https://www.lovethework.com/work/entries/telstra-better-on-a-better-network-739331</t>
        </is>
      </c>
    </row>
    <row r="9" ht="30" customHeight="1" s="34">
      <c r="A9" s="99" t="n">
        <v>8</v>
      </c>
      <c r="B9" s="100" t="inlineStr">
        <is>
          <t>Gold</t>
        </is>
      </c>
      <c r="C9" s="101" t="inlineStr">
        <is>
          <t>The Best Place in the World to Have Herpes</t>
        </is>
      </c>
      <c r="D9" s="99" t="inlineStr">
        <is>
          <t>NEW ZEALAND HERPES FOUNDATION</t>
        </is>
      </c>
      <c r="E9" s="99" t="inlineStr">
        <is>
          <t>NEW ZEALAND HERPES FOUNDATION</t>
        </is>
      </c>
      <c r="F9" s="99" t="inlineStr">
        <is>
          <t>FINCH</t>
        </is>
      </c>
      <c r="G9" s="99" t="inlineStr">
        <is>
          <t>Australia</t>
        </is>
      </c>
      <c r="H9" s="102" t="inlineStr">
        <is>
          <t>F05 - Use of Humour</t>
        </is>
      </c>
      <c r="I9" s="102" t="inlineStr">
        <is>
          <t>digital-presentation-images/film-new-zealand-herpes-foundation-the-best-place-in-the-world-to-have-herpes.webp</t>
        </is>
      </c>
      <c r="J9" s="99" t="inlineStr">
        <is>
          <t>DvaU3-VCk8I</t>
        </is>
      </c>
      <c r="L9" s="33" t="inlineStr">
        <is>
          <t>https://www.lovethework.com/work/entries/the-best-place-in-the-world-to-have-herpes-739431</t>
        </is>
      </c>
    </row>
    <row r="10" ht="30" customHeight="1" s="34">
      <c r="A10" s="99" t="n">
        <v>9</v>
      </c>
      <c r="B10" s="100" t="inlineStr">
        <is>
          <t>Gold</t>
        </is>
      </c>
      <c r="C10" s="101" t="inlineStr">
        <is>
          <t>Brian Cox Goes to College</t>
        </is>
      </c>
      <c r="D10" s="99" t="inlineStr">
        <is>
          <t>UBER ONE</t>
        </is>
      </c>
      <c r="E10" s="99" t="inlineStr">
        <is>
          <t>UBER ONE FOR STUDENTS</t>
        </is>
      </c>
      <c r="F10" s="99" t="inlineStr">
        <is>
          <t>SPECIAL</t>
        </is>
      </c>
      <c r="G10" s="99" t="inlineStr">
        <is>
          <t>United States</t>
        </is>
      </c>
      <c r="H10" s="102" t="inlineStr">
        <is>
          <t>F05 - Use of Humour</t>
        </is>
      </c>
      <c r="I10" s="102" t="inlineStr">
        <is>
          <t>digital-presentation-images/film-uber-one-brian-cox-goes-to-college.webp</t>
        </is>
      </c>
      <c r="J10" s="99" t="inlineStr">
        <is>
          <t>vimeo:1035756667</t>
        </is>
      </c>
      <c r="L10" s="33" t="inlineStr">
        <is>
          <t>https://www.lovethework.com/work/entries/brian-cox-goes-to-college-739411</t>
        </is>
      </c>
    </row>
    <row r="11" ht="30" customHeight="1" s="34">
      <c r="A11" s="99" t="n">
        <v>10</v>
      </c>
      <c r="B11" s="100" t="inlineStr">
        <is>
          <t>Gold</t>
        </is>
      </c>
      <c r="C11" s="101" t="inlineStr">
        <is>
          <t>Group Therapy</t>
        </is>
      </c>
      <c r="D11" s="99" t="inlineStr">
        <is>
          <t>AXA</t>
        </is>
      </c>
      <c r="E11" s="99" t="inlineStr">
        <is>
          <t>AXA</t>
        </is>
      </c>
      <c r="F11" s="99" t="inlineStr">
        <is>
          <t>VML</t>
        </is>
      </c>
      <c r="G11" s="99" t="inlineStr">
        <is>
          <t>France</t>
        </is>
      </c>
      <c r="H11" s="102" t="inlineStr">
        <is>
          <t>F05 - Use of Humour</t>
        </is>
      </c>
      <c r="I11" s="102" t="inlineStr">
        <is>
          <t>digital-presentation-images/film-axa-group-therapy.webp</t>
        </is>
      </c>
      <c r="J11" s="99" t="inlineStr">
        <is>
          <t>cH8-sNMfrOM</t>
        </is>
      </c>
      <c r="L11" s="33" t="inlineStr">
        <is>
          <t>https://www.lovethework.com/work/entries/group-therapy-739424</t>
        </is>
      </c>
    </row>
    <row r="12" ht="30" customHeight="1" s="34">
      <c r="A12" s="99" t="n">
        <v>11</v>
      </c>
      <c r="B12" s="103" t="inlineStr">
        <is>
          <t>Silver</t>
        </is>
      </c>
      <c r="C12" s="101" t="inlineStr">
        <is>
          <t>Flock</t>
        </is>
      </c>
      <c r="D12" s="99" t="inlineStr">
        <is>
          <t>APPLE</t>
        </is>
      </c>
      <c r="E12" s="99" t="inlineStr">
        <is>
          <t>IPHONE</t>
        </is>
      </c>
      <c r="F12" s="99" t="inlineStr">
        <is>
          <t>TBWA\MEDIA ARTS LAB</t>
        </is>
      </c>
      <c r="G12" s="99" t="inlineStr">
        <is>
          <t>United States</t>
        </is>
      </c>
      <c r="H12" s="102" t="inlineStr">
        <is>
          <t>A01 - Consumer Goods</t>
        </is>
      </c>
      <c r="I12" s="102" t="inlineStr">
        <is>
          <t>digital-presentation-images/film-apple-flock.webp</t>
        </is>
      </c>
      <c r="J12" s="99" t="inlineStr">
        <is>
          <t>jom8zBix-4c</t>
        </is>
      </c>
      <c r="L12" s="33" t="inlineStr">
        <is>
          <t>https://www.lovethework.com/work/entries/flock-738495</t>
        </is>
      </c>
    </row>
    <row r="13" ht="30" customHeight="1" s="34">
      <c r="A13" s="99" t="n">
        <v>12</v>
      </c>
      <c r="B13" s="103" t="inlineStr">
        <is>
          <t>Silver</t>
        </is>
      </c>
      <c r="C13" s="101" t="inlineStr">
        <is>
          <t>Jordan Can't Ban Greatness</t>
        </is>
      </c>
      <c r="D13" s="99" t="inlineStr">
        <is>
          <t>NIKE</t>
        </is>
      </c>
      <c r="E13" s="99" t="inlineStr">
        <is>
          <t>NIKE</t>
        </is>
      </c>
      <c r="F13" s="99" t="inlineStr">
        <is>
          <t>WIEDEN+KENNEDY</t>
        </is>
      </c>
      <c r="G13" s="99" t="inlineStr">
        <is>
          <t>United States</t>
        </is>
      </c>
      <c r="H13" s="102" t="inlineStr">
        <is>
          <t>A01 - Consumer Goods</t>
        </is>
      </c>
      <c r="I13" s="102" t="inlineStr">
        <is>
          <t>digital-presentation-images/film-nike-jordan-cant-ban-greatness.webp</t>
        </is>
      </c>
      <c r="J13" s="99" t="inlineStr">
        <is>
          <t>L-upphAEYGc</t>
        </is>
      </c>
      <c r="K13" s="33" t="n"/>
      <c r="L13" s="33" t="inlineStr">
        <is>
          <t>https://www.lovethework.com/work/entries/jordan-cant-ban-greatness-738501</t>
        </is>
      </c>
    </row>
    <row r="14" ht="30" customHeight="1" s="34">
      <c r="A14" s="99" t="n">
        <v>13</v>
      </c>
      <c r="B14" s="103" t="inlineStr">
        <is>
          <t>Silver</t>
        </is>
      </c>
      <c r="C14" s="101" t="inlineStr">
        <is>
          <t>Winning Isn't for Everyone</t>
        </is>
      </c>
      <c r="D14" s="99" t="inlineStr">
        <is>
          <t>NIKE</t>
        </is>
      </c>
      <c r="E14" s="99" t="inlineStr">
        <is>
          <t>NIKE</t>
        </is>
      </c>
      <c r="F14" s="99" t="inlineStr">
        <is>
          <t>WIEDEN+KENNEDY</t>
        </is>
      </c>
      <c r="G14" s="99" t="inlineStr">
        <is>
          <t>United States</t>
        </is>
      </c>
      <c r="H14" s="102" t="inlineStr">
        <is>
          <t>A01 - Consumer Goods</t>
        </is>
      </c>
      <c r="I14" s="102" t="inlineStr">
        <is>
          <t>digital-presentation-images/film-nike-winning-isnt-for-everyone.webp</t>
        </is>
      </c>
      <c r="J14" s="99" t="inlineStr">
        <is>
          <t>FFFmnfdBrm8</t>
        </is>
      </c>
      <c r="K14" s="33" t="n"/>
      <c r="L14" s="33" t="inlineStr">
        <is>
          <t>https://www.lovethework.com/work/entries/winning-isnt-for-everyone-738402</t>
        </is>
      </c>
    </row>
    <row r="15" ht="30" customHeight="1" s="34">
      <c r="A15" s="99" t="n">
        <v>14</v>
      </c>
      <c r="B15" s="103" t="inlineStr">
        <is>
          <t>Silver</t>
        </is>
      </c>
      <c r="C15" s="101" t="inlineStr">
        <is>
          <t>Snitch</t>
        </is>
      </c>
      <c r="D15" s="99" t="inlineStr">
        <is>
          <t>AXION</t>
        </is>
      </c>
      <c r="E15" s="99" t="inlineStr">
        <is>
          <t>CASTROL LUBRICANTS</t>
        </is>
      </c>
      <c r="F15" s="99" t="inlineStr">
        <is>
          <t>GUT</t>
        </is>
      </c>
      <c r="G15" s="99" t="inlineStr">
        <is>
          <t>Argentina</t>
        </is>
      </c>
      <c r="H15" s="102" t="inlineStr">
        <is>
          <t>A03 - Automotive</t>
        </is>
      </c>
      <c r="I15" s="102" t="inlineStr">
        <is>
          <t>https://ascentialcdn.filespin.io/api/v1/storyboard/9b40129018d74d94bf27680ed70fddbf/storyboard_000008.jpg</t>
        </is>
      </c>
      <c r="J15" s="99" t="inlineStr">
        <is>
          <t>vimeo:1084058452</t>
        </is>
      </c>
      <c r="L15" s="33" t="inlineStr">
        <is>
          <t>https://www.lovethework.com/work/entries/snitch-760290</t>
        </is>
      </c>
    </row>
    <row r="16" ht="30" customHeight="1" s="34">
      <c r="A16" s="99" t="n">
        <v>15</v>
      </c>
      <c r="B16" s="103" t="inlineStr">
        <is>
          <t>Silver</t>
        </is>
      </c>
      <c r="C16" s="101" t="inlineStr">
        <is>
          <t>A Tale as Old as Websites</t>
        </is>
      </c>
      <c r="D16" s="99" t="inlineStr">
        <is>
          <t>SQUARESPACE</t>
        </is>
      </c>
      <c r="E16" s="99" t="inlineStr">
        <is>
          <t>SQUARESPACE</t>
        </is>
      </c>
      <c r="F16" s="99" t="inlineStr">
        <is>
          <t>SQUARESPACE</t>
        </is>
      </c>
      <c r="G16" s="99" t="inlineStr">
        <is>
          <t>United States</t>
        </is>
      </c>
      <c r="H16" s="102" t="inlineStr">
        <is>
          <t>A06 - Consumer Services/Business to Business</t>
        </is>
      </c>
      <c r="I16" s="102" t="inlineStr">
        <is>
          <t>digital-presentation-images/film-squarespace-a-tale-as-old-as-websites.webp</t>
        </is>
      </c>
      <c r="J16" s="99" t="inlineStr">
        <is>
          <t>LXQtg237SKY</t>
        </is>
      </c>
      <c r="L16" s="33" t="inlineStr">
        <is>
          <t>https://www.lovethework.com/work/entries/a-tale-as-old-as-websites-738642</t>
        </is>
      </c>
    </row>
    <row r="17" ht="30" customHeight="1" s="34">
      <c r="A17" s="99" t="n">
        <v>16</v>
      </c>
      <c r="B17" s="103" t="inlineStr">
        <is>
          <t>Silver</t>
        </is>
      </c>
      <c r="C17" s="101" t="inlineStr">
        <is>
          <t>Warren</t>
        </is>
      </c>
      <c r="D17" s="99" t="inlineStr">
        <is>
          <t>APPLE</t>
        </is>
      </c>
      <c r="E17" s="99" t="inlineStr">
        <is>
          <t>IPHONE 16 / APPLE INTELLIGENCE</t>
        </is>
      </c>
      <c r="F17" s="99" t="inlineStr">
        <is>
          <t>APPLE</t>
        </is>
      </c>
      <c r="G17" s="99" t="inlineStr">
        <is>
          <t>United States</t>
        </is>
      </c>
      <c r="H17" s="102" t="inlineStr">
        <is>
          <t>B01 - Consumer Goods</t>
        </is>
      </c>
      <c r="I17" s="102" t="inlineStr">
        <is>
          <t>https://ascentialcdn.filespin.io/api/v1/storyboard/2775467c7cd54c3d9baa72e25671a229/storyboard_000008.jpg</t>
        </is>
      </c>
      <c r="J17" s="99" t="inlineStr">
        <is>
          <t>gGXMP0PpimM</t>
        </is>
      </c>
      <c r="K17" s="33" t="n"/>
      <c r="L17" s="33" t="inlineStr">
        <is>
          <t>https://www.lovethework.com/work/entries/warren-738574</t>
        </is>
      </c>
    </row>
    <row r="18" ht="30" customHeight="1" s="34">
      <c r="A18" s="99" t="n">
        <v>17</v>
      </c>
      <c r="B18" s="103" t="inlineStr">
        <is>
          <t>Silver</t>
        </is>
      </c>
      <c r="C18" s="101" t="inlineStr">
        <is>
          <t>100 Years of Meisterstück, Montblanc X Wes Anderson</t>
        </is>
      </c>
      <c r="D18" s="99" t="inlineStr">
        <is>
          <t>MONTBLANC INTERNATIONAL GMBH</t>
        </is>
      </c>
      <c r="E18" s="99" t="inlineStr">
        <is>
          <t>WRITING INSTRUMENTS</t>
        </is>
      </c>
      <c r="F18" s="99" t="inlineStr">
        <is>
          <t>SOLOMON WINTER</t>
        </is>
      </c>
      <c r="G18" s="99" t="inlineStr">
        <is>
          <t>Germany</t>
        </is>
      </c>
      <c r="H18" s="102" t="inlineStr">
        <is>
          <t>B01 - Consumer Goods</t>
        </is>
      </c>
      <c r="I18" s="102" t="inlineStr">
        <is>
          <t>digital-presentation-images/film-montblanc-international-gmbh-100-years-of-meisterstuck-montblanc-x-wes-anderson.webp</t>
        </is>
      </c>
      <c r="J18" s="99" t="inlineStr">
        <is>
          <t>vimeo:1094958124</t>
        </is>
      </c>
      <c r="L18" s="33" t="inlineStr">
        <is>
          <t>https://www.lovethework.com/work/entries/100-years-of-meisterstck-montblanc-x-wes-anderson-738682</t>
        </is>
      </c>
    </row>
    <row r="19" ht="30" customHeight="1" s="34">
      <c r="A19" s="99" t="n">
        <v>18</v>
      </c>
      <c r="B19" s="103" t="inlineStr">
        <is>
          <t>Silver</t>
        </is>
      </c>
      <c r="C19" s="101" t="inlineStr">
        <is>
          <t>Is It Even a City?</t>
        </is>
      </c>
      <c r="D19" s="99" t="inlineStr">
        <is>
          <t>VISIT OSLO</t>
        </is>
      </c>
      <c r="E19" s="99" t="inlineStr">
        <is>
          <t>VISIT OSLO</t>
        </is>
      </c>
      <c r="F19" s="99" t="inlineStr">
        <is>
          <t>NEWSLAB</t>
        </is>
      </c>
      <c r="G19" s="99" t="inlineStr">
        <is>
          <t>Norway</t>
        </is>
      </c>
      <c r="H19" s="102" t="inlineStr">
        <is>
          <t>B04 - Travel, Leisure, Retail, Restaurants &amp; Fast-Food Chains</t>
        </is>
      </c>
      <c r="I19" s="102" t="inlineStr">
        <is>
          <t>https://ascentialcdn.filespin.io/api/v1/storyboard/b0649b3b520e450ca4b8d80fb3fb66ca/storyboard_000008.jpg</t>
        </is>
      </c>
      <c r="J19" s="99" t="inlineStr">
        <is>
          <t>8vhD59ac7nw</t>
        </is>
      </c>
      <c r="L19" s="33" t="inlineStr">
        <is>
          <t>https://www.lovethework.com/work/entries/is-it-even-a-city-738902</t>
        </is>
      </c>
    </row>
    <row r="20" ht="30" customHeight="1" s="34">
      <c r="A20" s="99" t="n">
        <v>19</v>
      </c>
      <c r="B20" s="103" t="inlineStr">
        <is>
          <t>Silver</t>
        </is>
      </c>
      <c r="C20" s="101" t="inlineStr">
        <is>
          <t>The Shooting</t>
        </is>
      </c>
      <c r="D20" s="99" t="inlineStr">
        <is>
          <t>LA UNIÓN NEWSPAPER / ARTICULO 19</t>
        </is>
      </c>
      <c r="E20" s="99" t="inlineStr">
        <is>
          <t>LA UNIÓN NEWSPAPER / ARTICULO 19</t>
        </is>
      </c>
      <c r="F20" s="99" t="inlineStr">
        <is>
          <t>GREY</t>
        </is>
      </c>
      <c r="G20" s="99" t="inlineStr">
        <is>
          <t>Mexico</t>
        </is>
      </c>
      <c r="H20" s="102" t="inlineStr">
        <is>
          <t>B05 - Media/Entertainment</t>
        </is>
      </c>
      <c r="I20" s="102" t="inlineStr">
        <is>
          <t>digital-presentation-images/film-la-union-newspaper-the-shooting.webp</t>
        </is>
      </c>
      <c r="J20" s="99" t="inlineStr">
        <is>
          <t>9vpZNqaMVaQ</t>
        </is>
      </c>
      <c r="L20" s="33" t="inlineStr">
        <is>
          <t>https://www.lovethework.com/work/entries/the-shooting-759301</t>
        </is>
      </c>
    </row>
    <row r="21" ht="30" customHeight="1" s="34">
      <c r="A21" s="99" t="n">
        <v>20</v>
      </c>
      <c r="B21" s="103" t="inlineStr">
        <is>
          <t>Silver</t>
        </is>
      </c>
      <c r="C21" s="101" t="inlineStr">
        <is>
          <t>Everything, Covered – 100 Years of the New Yorker</t>
        </is>
      </c>
      <c r="D21" s="99" t="inlineStr">
        <is>
          <t>THE NEW YORKER</t>
        </is>
      </c>
      <c r="E21" s="99" t="inlineStr">
        <is>
          <t>THE NEW YORKER</t>
        </is>
      </c>
      <c r="F21" s="99" t="inlineStr">
        <is>
          <t>LE TRUC</t>
        </is>
      </c>
      <c r="G21" s="99" t="inlineStr">
        <is>
          <t>United States</t>
        </is>
      </c>
      <c r="H21" s="102" t="inlineStr">
        <is>
          <t>B05 - Media/Entertainment</t>
        </is>
      </c>
      <c r="I21" s="102" t="inlineStr">
        <is>
          <t>https://ascentialcdn.filespin.io/api/v1/storyboard/e88276602e7e4dcc875c78f16cb77a65/storyboard_000008.jpg</t>
        </is>
      </c>
      <c r="J21" s="99" t="inlineStr">
        <is>
          <t>TJOY7vPB_hU</t>
        </is>
      </c>
      <c r="L21" s="33" t="inlineStr">
        <is>
          <t>https://www.lovethework.com/work/entries/everything-covered-100-years-of-the-new-yorker-760528</t>
        </is>
      </c>
    </row>
    <row r="22" ht="30" customHeight="1" s="34">
      <c r="A22" s="99" t="n">
        <v>21</v>
      </c>
      <c r="B22" s="103" t="inlineStr">
        <is>
          <t>Silver</t>
        </is>
      </c>
      <c r="C22" s="101" t="inlineStr">
        <is>
          <t>The Count</t>
        </is>
      </c>
      <c r="D22" s="99" t="inlineStr">
        <is>
          <t>SICKKIDS FOUNDATION</t>
        </is>
      </c>
      <c r="E22" s="99" t="inlineStr">
        <is>
          <t>SICKKIDS FOUNDATION</t>
        </is>
      </c>
      <c r="F22" s="99" t="inlineStr">
        <is>
          <t>FCB TORONTO</t>
        </is>
      </c>
      <c r="G22" s="99" t="inlineStr">
        <is>
          <t>Canada</t>
        </is>
      </c>
      <c r="H22" s="102" t="inlineStr">
        <is>
          <t>B07 - Not-For-Profit / Charity / Government</t>
        </is>
      </c>
      <c r="I22" s="102" t="inlineStr">
        <is>
          <t>digital-presentation-images/film-sickkids-foundation-the-count.webp</t>
        </is>
      </c>
      <c r="J22" s="99" t="inlineStr">
        <is>
          <t>qNF34ZROR8s</t>
        </is>
      </c>
      <c r="L22" s="33" t="inlineStr">
        <is>
          <t>https://www.lovethework.com/work/entries/the-count-738967</t>
        </is>
      </c>
    </row>
    <row r="23" ht="30" customHeight="1" s="34">
      <c r="A23" s="99" t="n">
        <v>22</v>
      </c>
      <c r="B23" s="103" t="inlineStr">
        <is>
          <t>Silver</t>
        </is>
      </c>
      <c r="C23" s="101" t="inlineStr">
        <is>
          <t>The Comments Section</t>
        </is>
      </c>
      <c r="D23" s="99" t="inlineStr">
        <is>
          <t>MEAT &amp; LIVESTOCK AUSTRALIA</t>
        </is>
      </c>
      <c r="E23" s="99" t="inlineStr">
        <is>
          <t>AUSTRALIAN LAMB</t>
        </is>
      </c>
      <c r="F23" s="99" t="inlineStr">
        <is>
          <t>DROGA5 ANZ, PART OF ACCENTURE SONG</t>
        </is>
      </c>
      <c r="G23" s="99" t="inlineStr">
        <is>
          <t>Australia</t>
        </is>
      </c>
      <c r="H23" s="102" t="inlineStr">
        <is>
          <t>C01 - Viral Film</t>
        </is>
      </c>
      <c r="I23" s="102" t="inlineStr">
        <is>
          <t>digital-presentation-images/film-meat-and-livestock-australia-the-comments-section.webp</t>
        </is>
      </c>
      <c r="J23" s="99" t="inlineStr">
        <is>
          <t>4P6ltRZaCLU</t>
        </is>
      </c>
      <c r="L23" s="33" t="inlineStr">
        <is>
          <t>https://www.lovethework.com/work/entries/the-comments-section-739054</t>
        </is>
      </c>
    </row>
    <row r="24" ht="30" customHeight="1" s="34">
      <c r="A24" s="99" t="n">
        <v>23</v>
      </c>
      <c r="B24" s="103" t="inlineStr">
        <is>
          <t>Silver</t>
        </is>
      </c>
      <c r="C24" s="101" t="inlineStr">
        <is>
          <t>Someday</t>
        </is>
      </c>
      <c r="D24" s="99" t="inlineStr">
        <is>
          <t>APPLE</t>
        </is>
      </c>
      <c r="E24" s="99" t="inlineStr">
        <is>
          <t>AIRPODS</t>
        </is>
      </c>
      <c r="F24" s="99" t="inlineStr">
        <is>
          <t>TBWA\MEDIA ARTS LAB</t>
        </is>
      </c>
      <c r="G24" s="99" t="inlineStr">
        <is>
          <t>United States</t>
        </is>
      </c>
      <c r="H24" s="102" t="inlineStr">
        <is>
          <t>C01 - Viral Film</t>
        </is>
      </c>
      <c r="I24" s="102" t="inlineStr">
        <is>
          <t>digital-presentation-images/film-apple-someday.webp</t>
        </is>
      </c>
      <c r="J24" s="99" t="inlineStr">
        <is>
          <t>LO4wamMlCKQ</t>
        </is>
      </c>
      <c r="L24" s="33" t="inlineStr">
        <is>
          <t>https://www.lovethework.com/work/entries/someday-739091</t>
        </is>
      </c>
    </row>
    <row r="25" ht="30" customHeight="1" s="34">
      <c r="A25" s="99" t="n">
        <v>24</v>
      </c>
      <c r="B25" s="103" t="inlineStr">
        <is>
          <t>Silver</t>
        </is>
      </c>
      <c r="C25" s="101" t="inlineStr">
        <is>
          <t>Night Fishing</t>
        </is>
      </c>
      <c r="D25" s="99" t="inlineStr">
        <is>
          <t>HYUNDAI MOTOR COMPANY</t>
        </is>
      </c>
      <c r="E25" s="99" t="inlineStr">
        <is>
          <t>IONIQ</t>
        </is>
      </c>
      <c r="F25" s="99" t="inlineStr">
        <is>
          <t>INNOCEAN</t>
        </is>
      </c>
      <c r="G25" s="99" t="inlineStr">
        <is>
          <t>South Korea</t>
        </is>
      </c>
      <c r="H25" s="102" t="inlineStr">
        <is>
          <t>E01 - TV/Cinema Film</t>
        </is>
      </c>
      <c r="I25" s="102" t="inlineStr">
        <is>
          <t>digital-presentation-images/film-hyundai-motor-company-night-fishing.webp</t>
        </is>
      </c>
      <c r="J25" s="99" t="inlineStr">
        <is>
          <t>BTcsn4aLOkQ</t>
        </is>
      </c>
      <c r="L25" s="33" t="inlineStr">
        <is>
          <t>https://www.lovethework.com/work/entries/night-fishing-739123</t>
        </is>
      </c>
    </row>
    <row r="26" ht="30" customHeight="1" s="34">
      <c r="A26" s="99" t="n">
        <v>25</v>
      </c>
      <c r="B26" s="103" t="inlineStr">
        <is>
          <t>Silver</t>
        </is>
      </c>
      <c r="C26" s="101" t="inlineStr">
        <is>
          <t>Love Captured</t>
        </is>
      </c>
      <c r="D26" s="99" t="inlineStr">
        <is>
          <t>THE EXODUS ROAD</t>
        </is>
      </c>
      <c r="E26" s="99" t="inlineStr">
        <is>
          <t>Human Trafficking Awareness</t>
        </is>
      </c>
      <c r="F26" s="99" t="inlineStr">
        <is>
          <t>KLICK HEALTH</t>
        </is>
      </c>
      <c r="G26" s="99" t="inlineStr">
        <is>
          <t>Canada</t>
        </is>
      </c>
      <c r="H26" s="102" t="inlineStr">
        <is>
          <t>E02 - Online &amp; Viral Film</t>
        </is>
      </c>
      <c r="I26" s="102" t="inlineStr">
        <is>
          <t>digital-presentation-images/film-the-exodus-road-love-captured.webp</t>
        </is>
      </c>
      <c r="J26" s="99" t="inlineStr">
        <is>
          <t>udite96Jhl8</t>
        </is>
      </c>
      <c r="L26" s="33" t="inlineStr">
        <is>
          <t>https://www.lovethework.com/work/entries/love-captured-739069</t>
        </is>
      </c>
    </row>
    <row r="27" ht="30" customHeight="1" s="34">
      <c r="A27" s="99" t="n">
        <v>26</v>
      </c>
      <c r="B27" s="104" t="inlineStr">
        <is>
          <t>Bronze</t>
        </is>
      </c>
      <c r="C27" s="101" t="inlineStr">
        <is>
          <t>So Win</t>
        </is>
      </c>
      <c r="D27" s="99" t="inlineStr">
        <is>
          <t>NIKE</t>
        </is>
      </c>
      <c r="E27" s="99" t="inlineStr">
        <is>
          <t>NIKE</t>
        </is>
      </c>
      <c r="F27" s="99" t="inlineStr">
        <is>
          <t>WIEDEN+KENNEDY</t>
        </is>
      </c>
      <c r="G27" s="99" t="inlineStr">
        <is>
          <t>United States</t>
        </is>
      </c>
      <c r="H27" s="102" t="inlineStr">
        <is>
          <t>A01 - Consumer Goods</t>
        </is>
      </c>
      <c r="I27" s="102" t="inlineStr">
        <is>
          <t>digital-presentation-images/film-nike-so-win.webp</t>
        </is>
      </c>
      <c r="J27" s="99" t="inlineStr">
        <is>
          <t>Bcpu-jqAL6w</t>
        </is>
      </c>
      <c r="K27" s="33" t="n"/>
      <c r="L27" s="33" t="inlineStr">
        <is>
          <t>https://www.lovethework.com/work/entries/so-win-738552</t>
        </is>
      </c>
    </row>
    <row r="28" ht="30" customHeight="1" s="34">
      <c r="A28" s="99" t="n">
        <v>27</v>
      </c>
      <c r="B28" s="104" t="inlineStr">
        <is>
          <t>Bronze</t>
        </is>
      </c>
      <c r="C28" s="101" t="inlineStr">
        <is>
          <t>Go Further</t>
        </is>
      </c>
      <c r="D28" s="99" t="inlineStr">
        <is>
          <t>7-ELEVEN</t>
        </is>
      </c>
      <c r="E28" s="99" t="inlineStr">
        <is>
          <t>MOBIL FUELS</t>
        </is>
      </c>
      <c r="F28" s="99" t="inlineStr">
        <is>
          <t>CLEMENGER BBDO</t>
        </is>
      </c>
      <c r="G28" s="99" t="inlineStr">
        <is>
          <t>Australia</t>
        </is>
      </c>
      <c r="H28" s="102" t="inlineStr">
        <is>
          <t>A01 - Consumer Goods</t>
        </is>
      </c>
      <c r="I28" s="102" t="inlineStr">
        <is>
          <t>https://ascentialcdn.filespin.io/api/v1/storyboard/21b5a87a37054403bf6297def115d30e/storyboard_000008.jpg</t>
        </is>
      </c>
      <c r="J28" s="99" t="inlineStr">
        <is>
          <t>mSPou5OfPyw</t>
        </is>
      </c>
      <c r="L28" s="33" t="inlineStr">
        <is>
          <t>https://www.lovethework.com/work/entries/go-further-738542</t>
        </is>
      </c>
    </row>
    <row r="29" ht="30" customHeight="1" s="34">
      <c r="A29" s="99" t="n">
        <v>28</v>
      </c>
      <c r="B29" s="104" t="inlineStr">
        <is>
          <t>Bronze</t>
        </is>
      </c>
      <c r="C29" s="101" t="inlineStr">
        <is>
          <t>Century of Cravings</t>
        </is>
      </c>
      <c r="D29" s="99" t="inlineStr">
        <is>
          <t>UBER EATS</t>
        </is>
      </c>
      <c r="E29" s="99" t="inlineStr">
        <is>
          <t>UBER EATS</t>
        </is>
      </c>
      <c r="F29" s="99" t="inlineStr">
        <is>
          <t>SPECIAL</t>
        </is>
      </c>
      <c r="G29" s="99" t="inlineStr">
        <is>
          <t>United States</t>
        </is>
      </c>
      <c r="H29" s="102" t="inlineStr">
        <is>
          <t>A04 - Travel, Leisure, Retail, Restaurants &amp; Fast-Food Chains</t>
        </is>
      </c>
      <c r="I29" s="102" t="inlineStr">
        <is>
          <t>https://ascentialcdn.filespin.io/api/v1/storyboard/e82a1b3a62ff4635b7d927f608411604/storyboard_000008.jpg</t>
        </is>
      </c>
      <c r="J29" s="99" t="inlineStr">
        <is>
          <t>vimeo:1055406573</t>
        </is>
      </c>
      <c r="L29" s="33" t="inlineStr">
        <is>
          <t>https://www.lovethework.com/work/entries/century-of-cravings-738462</t>
        </is>
      </c>
    </row>
    <row r="30" ht="30" customHeight="1" s="34">
      <c r="A30" s="99" t="n">
        <v>29</v>
      </c>
      <c r="B30" s="104" t="inlineStr">
        <is>
          <t>Bronze</t>
        </is>
      </c>
      <c r="C30" s="101" t="inlineStr">
        <is>
          <t>Obsession</t>
        </is>
      </c>
      <c r="D30" s="99" t="inlineStr">
        <is>
          <t>RIYADH SEASON</t>
        </is>
      </c>
      <c r="E30" s="99" t="inlineStr">
        <is>
          <t>BOXING FIGHT</t>
        </is>
      </c>
      <c r="F30" s="99" t="inlineStr">
        <is>
          <t>BIGTIME CREATIVE SHOP</t>
        </is>
      </c>
      <c r="G30" s="99" t="inlineStr">
        <is>
          <t>Saudi Arabia</t>
        </is>
      </c>
      <c r="H30" s="102" t="inlineStr">
        <is>
          <t>A05 - Media/Entertainment</t>
        </is>
      </c>
      <c r="I30" s="102" t="inlineStr">
        <is>
          <t>digital-presentation-images/film-riyadh-season-obsession.webp</t>
        </is>
      </c>
      <c r="J30" s="99" t="inlineStr">
        <is>
          <t>B687Xux1-Bs</t>
        </is>
      </c>
      <c r="L30" s="33" t="inlineStr">
        <is>
          <t>https://www.lovethework.com/work/entries/obsession-738673</t>
        </is>
      </c>
    </row>
    <row r="31" ht="30" customHeight="1" s="34">
      <c r="A31" s="99" t="n">
        <v>30</v>
      </c>
      <c r="B31" s="104" t="inlineStr">
        <is>
          <t>Bronze</t>
        </is>
      </c>
      <c r="C31" s="101" t="inlineStr">
        <is>
          <t>Together Is for Christmas</t>
        </is>
      </c>
      <c r="D31" s="99" t="inlineStr">
        <is>
          <t>TELSTRA</t>
        </is>
      </c>
      <c r="E31" s="99" t="inlineStr">
        <is>
          <t>TELSTRA</t>
        </is>
      </c>
      <c r="F31" s="99" t="inlineStr">
        <is>
          <t>BEAR MEETS EAGLE ON FIRE</t>
        </is>
      </c>
      <c r="G31" s="99" t="inlineStr">
        <is>
          <t>Australia</t>
        </is>
      </c>
      <c r="H31" s="102" t="inlineStr">
        <is>
          <t>A06 - Consumer Services/Business to Business</t>
        </is>
      </c>
      <c r="I31" s="102" t="inlineStr">
        <is>
          <t>digital-presentation-images/film-telstra-together-is-for-christmas.webp</t>
        </is>
      </c>
      <c r="J31" s="99" t="inlineStr">
        <is>
          <t>_I-QedV87Nw</t>
        </is>
      </c>
      <c r="L31" s="33" t="inlineStr">
        <is>
          <t>https://www.lovethework.com/work/entries/together-is-for-christmas-738755</t>
        </is>
      </c>
    </row>
    <row r="32" ht="30" customHeight="1" s="34">
      <c r="A32" s="99" t="n">
        <v>31</v>
      </c>
      <c r="B32" s="104" t="inlineStr">
        <is>
          <t>Bronze</t>
        </is>
      </c>
      <c r="C32" s="101" t="inlineStr">
        <is>
          <t>Orange - The Greatest Run</t>
        </is>
      </c>
      <c r="D32" s="99" t="inlineStr">
        <is>
          <t>ORANGE</t>
        </is>
      </c>
      <c r="E32" s="99" t="inlineStr">
        <is>
          <t>PARALYMPICS GAMES</t>
        </is>
      </c>
      <c r="F32" s="99" t="inlineStr">
        <is>
          <t>PUBLICIS CONSEIL</t>
        </is>
      </c>
      <c r="G32" s="99" t="inlineStr">
        <is>
          <t>France</t>
        </is>
      </c>
      <c r="H32" s="102" t="inlineStr">
        <is>
          <t>A06 - Consumer Services/Business to Business</t>
        </is>
      </c>
      <c r="I32" s="102" t="inlineStr">
        <is>
          <t>digital-presentation-images/film-orange-orange-the-greatest-run.webp</t>
        </is>
      </c>
      <c r="J32" s="99" t="inlineStr">
        <is>
          <t>AbLLBcDM064</t>
        </is>
      </c>
      <c r="L32" s="33" t="inlineStr">
        <is>
          <t>https://www.lovethework.com/work/entries/orange-the-greatest-run-738603</t>
        </is>
      </c>
    </row>
    <row r="33" ht="30" customHeight="1" s="34">
      <c r="A33" s="99" t="n">
        <v>32</v>
      </c>
      <c r="B33" s="104" t="inlineStr">
        <is>
          <t>Bronze</t>
        </is>
      </c>
      <c r="C33" s="101" t="inlineStr">
        <is>
          <t>The Ugliest Sweater</t>
        </is>
      </c>
      <c r="D33" s="99" t="inlineStr">
        <is>
          <t>ILAS</t>
        </is>
      </c>
      <c r="E33" s="99" t="inlineStr">
        <is>
          <t>CHILD ABUSE FOUNDATION</t>
        </is>
      </c>
      <c r="F33" s="99" t="inlineStr">
        <is>
          <t>MADE</t>
        </is>
      </c>
      <c r="G33" s="99" t="inlineStr">
        <is>
          <t>Mexico</t>
        </is>
      </c>
      <c r="H33" s="102" t="inlineStr">
        <is>
          <t>A07 - Not-For-Profit / Charity / Government</t>
        </is>
      </c>
      <c r="I33" s="102" t="inlineStr">
        <is>
          <t>https://ascentialcdn.filespin.io/api/v1/storyboard/1912e691abfe4b2ea4037335ca76487c/storyboard_000008.jpg</t>
        </is>
      </c>
      <c r="J33" s="99" t="inlineStr">
        <is>
          <t>0mfkxE8e2HI</t>
        </is>
      </c>
      <c r="L33" s="33" t="inlineStr">
        <is>
          <t>https://www.lovethework.com/work/entries/the-ugliest-sweater-764667</t>
        </is>
      </c>
    </row>
    <row r="34" ht="30" customHeight="1" s="34">
      <c r="A34" s="99" t="n">
        <v>33</v>
      </c>
      <c r="B34" s="104" t="inlineStr">
        <is>
          <t>Bronze</t>
        </is>
      </c>
      <c r="C34" s="101" t="inlineStr">
        <is>
          <t>Dog</t>
        </is>
      </c>
      <c r="D34" s="99" t="inlineStr">
        <is>
          <t>AXE/LYNX</t>
        </is>
      </c>
      <c r="E34" s="99" t="inlineStr">
        <is>
          <t>DEODORANT</t>
        </is>
      </c>
      <c r="F34" s="99" t="inlineStr">
        <is>
          <t>LOLA MULLENLOWE</t>
        </is>
      </c>
      <c r="G34" s="99" t="inlineStr">
        <is>
          <t>Spain</t>
        </is>
      </c>
      <c r="H34" s="102" t="inlineStr">
        <is>
          <t>B01 - Consumer Goods</t>
        </is>
      </c>
      <c r="I34" s="102" t="inlineStr">
        <is>
          <t>https://ascentialcdn.filespin.io/api/v1/storyboard/cee60b478e9e4b1cbf40f1225c244475/storyboard_000008.jpg</t>
        </is>
      </c>
      <c r="J34" s="99" t="inlineStr">
        <is>
          <t>-Vk5cTxiMfA</t>
        </is>
      </c>
      <c r="K34" s="33" t="n"/>
      <c r="L34" s="33" t="inlineStr">
        <is>
          <t>https://www.lovethework.com/work/entries/dog-738683</t>
        </is>
      </c>
    </row>
    <row r="35" ht="30" customHeight="1" s="34">
      <c r="A35" s="99" t="n">
        <v>34</v>
      </c>
      <c r="B35" s="104" t="inlineStr">
        <is>
          <t>Bronze</t>
        </is>
      </c>
      <c r="C35" s="101" t="inlineStr">
        <is>
          <t>Call Me When You Need Me</t>
        </is>
      </c>
      <c r="D35" s="99" t="inlineStr">
        <is>
          <t>VIVO</t>
        </is>
      </c>
      <c r="E35" s="99" t="inlineStr">
        <is>
          <t>VIVO X100 ULTRA</t>
        </is>
      </c>
      <c r="F35" s="99" t="inlineStr">
        <is>
          <t>HAVAS BEIJING</t>
        </is>
      </c>
      <c r="G35" s="99" t="inlineStr">
        <is>
          <t>China</t>
        </is>
      </c>
      <c r="H35" s="102" t="inlineStr">
        <is>
          <t>B01 - Consumer Goods</t>
        </is>
      </c>
      <c r="I35" s="102" t="inlineStr">
        <is>
          <t>digital-presentation-images/film-vivo-call-me-when-you-need-me.webp</t>
        </is>
      </c>
      <c r="J35" s="99" t="inlineStr">
        <is>
          <t>uXaZyGTQNKw</t>
        </is>
      </c>
      <c r="L35" s="33" t="inlineStr">
        <is>
          <t>https://www.lovethework.com/work/entries/call-me-when-you-need-me-738636</t>
        </is>
      </c>
    </row>
    <row r="36" ht="30" customHeight="1" s="34">
      <c r="A36" s="99" t="n">
        <v>35</v>
      </c>
      <c r="B36" s="104" t="inlineStr">
        <is>
          <t>Bronze</t>
        </is>
      </c>
      <c r="C36" s="101" t="inlineStr">
        <is>
          <t>Invisible Stain</t>
        </is>
      </c>
      <c r="D36" s="99" t="inlineStr">
        <is>
          <t>VANISH</t>
        </is>
      </c>
      <c r="E36" s="99" t="inlineStr">
        <is>
          <t>BULLYING AWARENESS</t>
        </is>
      </c>
      <c r="F36" s="99" t="inlineStr">
        <is>
          <t>BETC HAVAS</t>
        </is>
      </c>
      <c r="G36" s="99" t="inlineStr">
        <is>
          <t>Brazil</t>
        </is>
      </c>
      <c r="H36" s="102" t="inlineStr">
        <is>
          <t>B01 - Consumer Goods</t>
        </is>
      </c>
      <c r="I36" s="102" t="inlineStr">
        <is>
          <t>digital-presentation-images/film-vanish-invisible-stain.webp</t>
        </is>
      </c>
      <c r="J36" s="99" t="inlineStr">
        <is>
          <t>OXK-4pQhM7o</t>
        </is>
      </c>
      <c r="L36" s="33" t="inlineStr">
        <is>
          <t>https://www.lovethework.com/work/entries/invisible-stain-738669</t>
        </is>
      </c>
    </row>
    <row r="37" ht="30" customHeight="1" s="34">
      <c r="A37" s="99" t="n">
        <v>36</v>
      </c>
      <c r="B37" s="104" t="inlineStr">
        <is>
          <t>Bronze</t>
        </is>
      </c>
      <c r="C37" s="101" t="inlineStr">
        <is>
          <t>Cats Lose Their Cool | DJ Cat</t>
        </is>
      </c>
      <c r="D37" s="99" t="inlineStr">
        <is>
          <t>TEMPTATIONS</t>
        </is>
      </c>
      <c r="E37" s="99" t="inlineStr">
        <is>
          <t>TEMPTATIONS LICKABLE SPOONS</t>
        </is>
      </c>
      <c r="F37" s="99" t="inlineStr">
        <is>
          <t>adam&amp;eveDDB</t>
        </is>
      </c>
      <c r="G37" s="99" t="inlineStr">
        <is>
          <t>United Kingdom</t>
        </is>
      </c>
      <c r="H37" s="102" t="inlineStr">
        <is>
          <t>B01 - Consumer Goods</t>
        </is>
      </c>
      <c r="I37" s="102" t="inlineStr">
        <is>
          <t>https://ascentialcdn.filespin.io/api/v1/storyboard/9fa88b83d0b8433088c04fb2f6724d65/storyboard_000008.jpg</t>
        </is>
      </c>
      <c r="J37" s="99" t="inlineStr">
        <is>
          <t>s5iVbNCmAJg</t>
        </is>
      </c>
      <c r="L37" s="33" t="inlineStr">
        <is>
          <t>https://www.lovethework.com/work/entries/cats-lose-their-cool-dj-cat-738942</t>
        </is>
      </c>
    </row>
    <row r="38" ht="30" customHeight="1" s="34">
      <c r="A38" s="99" t="n">
        <v>37</v>
      </c>
      <c r="B38" s="104" t="inlineStr">
        <is>
          <t>Bronze</t>
        </is>
      </c>
      <c r="C38" s="101" t="inlineStr">
        <is>
          <t>Lynx with Catnip</t>
        </is>
      </c>
      <c r="D38" s="99" t="inlineStr">
        <is>
          <t>AXE/LYNX</t>
        </is>
      </c>
      <c r="E38" s="99" t="inlineStr">
        <is>
          <t>DEODORANT</t>
        </is>
      </c>
      <c r="F38" s="99" t="inlineStr">
        <is>
          <t>LOLA MULLENLOWE</t>
        </is>
      </c>
      <c r="G38" s="99" t="inlineStr">
        <is>
          <t>Spain</t>
        </is>
      </c>
      <c r="H38" s="102" t="inlineStr">
        <is>
          <t>B01 - Consumer Goods</t>
        </is>
      </c>
      <c r="I38" s="102" t="inlineStr">
        <is>
          <t>digital-presentation-images/film-axe-lynx-with-catnip.webp</t>
        </is>
      </c>
      <c r="J38" s="99" t="inlineStr">
        <is>
          <t>CHHeZrjP87w</t>
        </is>
      </c>
      <c r="K38" s="33" t="n"/>
      <c r="L38" s="33" t="inlineStr">
        <is>
          <t>https://www.lovethework.com/work/entries/lynx-with-catnip-738842</t>
        </is>
      </c>
    </row>
    <row r="39" ht="30" customHeight="1" s="34">
      <c r="A39" s="99" t="n">
        <v>38</v>
      </c>
      <c r="B39" s="104" t="inlineStr">
        <is>
          <t>Bronze</t>
        </is>
      </c>
      <c r="C39" s="101" t="inlineStr">
        <is>
          <t>The Reinfall</t>
        </is>
      </c>
      <c r="D39" s="99" t="inlineStr">
        <is>
          <t>THE NORWEGIAN POSTAL SERVICE</t>
        </is>
      </c>
      <c r="E39" s="99" t="inlineStr">
        <is>
          <t>POST DELIVERY</t>
        </is>
      </c>
      <c r="F39" s="99" t="inlineStr">
        <is>
          <t>POL</t>
        </is>
      </c>
      <c r="G39" s="99" t="inlineStr">
        <is>
          <t>Norway</t>
        </is>
      </c>
      <c r="H39" s="102" t="inlineStr">
        <is>
          <t>B06 - Consumer Services/Business to Business</t>
        </is>
      </c>
      <c r="I39" s="102" t="inlineStr">
        <is>
          <t>https://ascentialcdn.filespin.io/api/v1/storyboard/5ed8965efd35470096adab00a480bd1c/storyboard_000008.jpg</t>
        </is>
      </c>
      <c r="J39" s="99" t="inlineStr">
        <is>
          <t>RCyAAsOn70Y</t>
        </is>
      </c>
      <c r="L39" s="33" t="inlineStr">
        <is>
          <t>https://www.lovethework.com/work/entries/the-reinfall-738770</t>
        </is>
      </c>
    </row>
    <row r="40" ht="30" customHeight="1" s="34">
      <c r="A40" s="99" t="n">
        <v>39</v>
      </c>
      <c r="B40" s="104" t="inlineStr">
        <is>
          <t>Bronze</t>
        </is>
      </c>
      <c r="C40" s="101" t="inlineStr">
        <is>
          <t>Irmela vs. Nazis</t>
        </is>
      </c>
      <c r="D40" s="99" t="inlineStr">
        <is>
          <t>TOOM DIY MARKET</t>
        </is>
      </c>
      <c r="E40" s="99" t="inlineStr">
        <is>
          <t>TOOM PRODUCTS</t>
        </is>
      </c>
      <c r="F40" s="99" t="inlineStr">
        <is>
          <t>SCHOLZ &amp; FRIENDS</t>
        </is>
      </c>
      <c r="G40" s="99" t="inlineStr">
        <is>
          <t>Germany</t>
        </is>
      </c>
      <c r="H40" s="102" t="inlineStr">
        <is>
          <t>D02 - Microfilm</t>
        </is>
      </c>
      <c r="I40" s="102" t="inlineStr">
        <is>
          <t>digital-presentation-images/film-toom-diy-market-irmela-vs-nazis.webp</t>
        </is>
      </c>
      <c r="J40" s="99" t="inlineStr">
        <is>
          <t>62AGpToKLuk</t>
        </is>
      </c>
      <c r="L40" s="33" t="inlineStr">
        <is>
          <t>https://www.lovethework.com/work/entries/irmela-vs-nazis-739076</t>
        </is>
      </c>
    </row>
    <row r="41" ht="30" customHeight="1" s="34">
      <c r="A41" s="99" t="n">
        <v>40</v>
      </c>
      <c r="B41" s="104" t="inlineStr">
        <is>
          <t>Bronze</t>
        </is>
      </c>
      <c r="C41" s="101" t="inlineStr">
        <is>
          <t>You Have What It Takes</t>
        </is>
      </c>
      <c r="D41" s="99" t="inlineStr">
        <is>
          <t>FÖRSVARSMAKTEN</t>
        </is>
      </c>
      <c r="E41" s="99" t="inlineStr">
        <is>
          <t>SWEDISH ARMED FORCE</t>
        </is>
      </c>
      <c r="F41" s="99" t="inlineStr">
        <is>
          <t>NORD DDB</t>
        </is>
      </c>
      <c r="G41" s="99" t="inlineStr">
        <is>
          <t>Sweden</t>
        </is>
      </c>
      <c r="H41" s="102" t="inlineStr">
        <is>
          <t>D02 - Microfilm</t>
        </is>
      </c>
      <c r="I41" s="102" t="inlineStr">
        <is>
          <t>https://ascentialcdn.filespin.io/api/v1/storyboard/e26b3466ac96451cb63011afdbc16dc4/storyboard_000008.jpg</t>
        </is>
      </c>
      <c r="J41" s="99" t="inlineStr">
        <is>
          <t>jBg5Cpabq8Q</t>
        </is>
      </c>
      <c r="L41" s="33" t="inlineStr">
        <is>
          <t>https://www.lovethework.com/work/entries/you-have-what-it-takes-738975</t>
        </is>
      </c>
    </row>
    <row r="42" ht="30" customHeight="1" s="34">
      <c r="A42" s="99" t="n">
        <v>41</v>
      </c>
      <c r="B42" s="104" t="inlineStr">
        <is>
          <t>Bronze</t>
        </is>
      </c>
      <c r="C42" s="101" t="inlineStr">
        <is>
          <t>Submerged</t>
        </is>
      </c>
      <c r="D42" s="99" t="inlineStr">
        <is>
          <t>APPLE</t>
        </is>
      </c>
      <c r="E42" s="99" t="inlineStr">
        <is>
          <t>APPLE VISION PRO</t>
        </is>
      </c>
      <c r="F42" s="99" t="inlineStr">
        <is>
          <t>APPLE</t>
        </is>
      </c>
      <c r="G42" s="99" t="inlineStr">
        <is>
          <t>United States</t>
        </is>
      </c>
      <c r="H42" s="102" t="inlineStr">
        <is>
          <t>D03 - New Realities &amp; Emerging Tech</t>
        </is>
      </c>
      <c r="I42" s="102" t="inlineStr">
        <is>
          <t>digital-presentation-images/film-apple-submerged.webp</t>
        </is>
      </c>
      <c r="J42" s="99" t="inlineStr">
        <is>
          <t>lP8LLIjCe6Q</t>
        </is>
      </c>
      <c r="L42" s="33" t="inlineStr">
        <is>
          <t>https://www.lovethework.com/work/entries/submerged-765078</t>
        </is>
      </c>
    </row>
    <row r="43" ht="30" customHeight="1" s="34">
      <c r="A43" s="99" t="n">
        <v>42</v>
      </c>
      <c r="B43" s="104" t="inlineStr">
        <is>
          <t>Bronze</t>
        </is>
      </c>
      <c r="C43" s="101" t="inlineStr">
        <is>
          <t>Gambol "Dare to Step"</t>
        </is>
      </c>
      <c r="D43" s="99" t="inlineStr">
        <is>
          <t>GAMBOL</t>
        </is>
      </c>
      <c r="E43" s="99" t="inlineStr">
        <is>
          <t>GAMBOL SANDALS</t>
        </is>
      </c>
      <c r="F43" s="99" t="inlineStr">
        <is>
          <t>YDM THAILAND</t>
        </is>
      </c>
      <c r="G43" s="99" t="inlineStr">
        <is>
          <t>Thailand</t>
        </is>
      </c>
      <c r="H43" s="102" t="inlineStr">
        <is>
          <t>F01 - Local Brand</t>
        </is>
      </c>
      <c r="I43" s="102" t="inlineStr">
        <is>
          <t>digital-presentation-images/film-gambol-gambol-dare-to-step.webp</t>
        </is>
      </c>
      <c r="J43" s="99" t="inlineStr">
        <is>
          <t>428dy-MQabg</t>
        </is>
      </c>
      <c r="L43" s="33" t="inlineStr">
        <is>
          <t>https://www.lovethework.com/work/entries/gambol-dare-to-step-758622</t>
        </is>
      </c>
    </row>
    <row r="44" ht="30" customHeight="1" s="34">
      <c r="A44" s="99" t="n">
        <v>43</v>
      </c>
      <c r="B44" s="104" t="inlineStr">
        <is>
          <t>Bronze</t>
        </is>
      </c>
      <c r="C44" s="101" t="inlineStr">
        <is>
          <t>Steal</t>
        </is>
      </c>
      <c r="D44" s="99" t="inlineStr">
        <is>
          <t>MANDAUE FOAM HOME STORE</t>
        </is>
      </c>
      <c r="E44" s="99" t="inlineStr">
        <is>
          <t>MANDAUE FOAM HOME STORE</t>
        </is>
      </c>
      <c r="F44" s="99" t="inlineStr">
        <is>
          <t>GIGIL</t>
        </is>
      </c>
      <c r="G44" s="99" t="inlineStr">
        <is>
          <t>The Philippines</t>
        </is>
      </c>
      <c r="H44" s="102" t="inlineStr">
        <is>
          <t>F02 - Challenger Brand</t>
        </is>
      </c>
      <c r="I44" s="102" t="inlineStr">
        <is>
          <t>https://ascentialcdn.filespin.io/api/v1/storyboard/9ec1161c272f499ea887c4236fda3363/storyboard_000008.jpg</t>
        </is>
      </c>
      <c r="J44" s="99" t="inlineStr">
        <is>
          <t>pB69hy7B2TY</t>
        </is>
      </c>
      <c r="L44" s="33" t="inlineStr">
        <is>
          <t>https://www.lovethework.com/work/entries/steal-739321</t>
        </is>
      </c>
    </row>
    <row r="45" ht="30" customHeight="1" s="34">
      <c r="A45" s="99" t="n">
        <v>44</v>
      </c>
      <c r="B45" s="104" t="inlineStr">
        <is>
          <t>Bronze</t>
        </is>
      </c>
      <c r="C45" s="101" t="inlineStr">
        <is>
          <t>Miracle</t>
        </is>
      </c>
      <c r="D45" s="99" t="inlineStr">
        <is>
          <t>RC COLA</t>
        </is>
      </c>
      <c r="E45" s="99" t="inlineStr">
        <is>
          <t>RC COLA</t>
        </is>
      </c>
      <c r="F45" s="99" t="inlineStr">
        <is>
          <t>GIGIL</t>
        </is>
      </c>
      <c r="G45" s="99" t="inlineStr">
        <is>
          <t>The Philippines</t>
        </is>
      </c>
      <c r="H45" s="102" t="inlineStr">
        <is>
          <t>F03 - Single-Market Campaign</t>
        </is>
      </c>
      <c r="I45" s="102" t="inlineStr">
        <is>
          <t>digital-presentation-images/film-rc-cola-miracle.webp</t>
        </is>
      </c>
      <c r="J45" s="99" t="inlineStr">
        <is>
          <t>BoVS5Yq_H18</t>
        </is>
      </c>
      <c r="L45" s="33" t="inlineStr">
        <is>
          <t>https://www.lovethework.com/work/entries/miracle-739313</t>
        </is>
      </c>
    </row>
    <row r="46" ht="30" customHeight="1" s="34">
      <c r="A46" s="99" t="n">
        <v>45</v>
      </c>
      <c r="B46" s="104" t="inlineStr">
        <is>
          <t>Bronze</t>
        </is>
      </c>
      <c r="C46" s="101" t="inlineStr">
        <is>
          <t>Hey Jude</t>
        </is>
      </c>
      <c r="D46" s="99" t="inlineStr">
        <is>
          <t>ADIDAS FOOTBALL</t>
        </is>
      </c>
      <c r="E46" s="99" t="inlineStr">
        <is>
          <t>ADIDAS</t>
        </is>
      </c>
      <c r="F46" s="99" t="inlineStr">
        <is>
          <t>JOHANNES LEONARDO</t>
        </is>
      </c>
      <c r="G46" s="99" t="inlineStr">
        <is>
          <t>United States</t>
        </is>
      </c>
      <c r="H46" s="102" t="inlineStr">
        <is>
          <t>F03 - Single-Market Campaign</t>
        </is>
      </c>
      <c r="I46" s="102" t="inlineStr">
        <is>
          <t>digital-presentation-images/film-adidas-football-hey-jude.webp</t>
        </is>
      </c>
      <c r="J46" s="99" t="inlineStr">
        <is>
          <t>aoOfn_W8PWg</t>
        </is>
      </c>
      <c r="L46" s="33" t="inlineStr">
        <is>
          <t>https://www.lovethework.com/work/entries/hey-jude-739186</t>
        </is>
      </c>
    </row>
    <row r="47" ht="30" customHeight="1" s="34">
      <c r="A47" s="99" t="n">
        <v>46</v>
      </c>
      <c r="B47" s="104" t="inlineStr">
        <is>
          <t>Bronze</t>
        </is>
      </c>
      <c r="C47" s="101" t="inlineStr">
        <is>
          <t>Fer</t>
        </is>
      </c>
      <c r="D47" s="99" t="inlineStr">
        <is>
          <t>SAVE THE CHILDREN, MEXICO</t>
        </is>
      </c>
      <c r="E47" s="99" t="inlineStr">
        <is>
          <t>SAVE THE CHILDREN</t>
        </is>
      </c>
      <c r="F47" s="99" t="inlineStr">
        <is>
          <t>ANONIMO</t>
        </is>
      </c>
      <c r="G47" s="99" t="inlineStr">
        <is>
          <t>Mexico</t>
        </is>
      </c>
      <c r="H47" s="102" t="inlineStr">
        <is>
          <t>F04 - Social Behaviour</t>
        </is>
      </c>
      <c r="I47" s="102" t="inlineStr">
        <is>
          <t>digital-presentation-images/film-save-the-children-mexico-fer.webp</t>
        </is>
      </c>
      <c r="J47" s="99" t="inlineStr">
        <is>
          <t>RBQ-IoHfimQ</t>
        </is>
      </c>
      <c r="L47" s="33" t="inlineStr">
        <is>
          <t>https://www.lovethework.com/work/entries/fer-739197</t>
        </is>
      </c>
    </row>
    <row r="48" ht="30" customHeight="1" s="34">
      <c r="A48" s="99" t="n">
        <v>47</v>
      </c>
      <c r="B48" s="104" t="inlineStr">
        <is>
          <t>Bronze</t>
        </is>
      </c>
      <c r="C48" s="101" t="inlineStr">
        <is>
          <t>18 Months</t>
        </is>
      </c>
      <c r="D48" s="99" t="inlineStr">
        <is>
          <t>SECOND NURTURE</t>
        </is>
      </c>
      <c r="E48" s="99" t="inlineStr">
        <is>
          <t>CHARITY</t>
        </is>
      </c>
      <c r="F48" s="99" t="inlineStr">
        <is>
          <t>KLICK HEALTH</t>
        </is>
      </c>
      <c r="G48" s="99" t="inlineStr">
        <is>
          <t>Canada</t>
        </is>
      </c>
      <c r="H48" s="102" t="inlineStr">
        <is>
          <t>F04 - Social Behaviour</t>
        </is>
      </c>
      <c r="I48" s="102" t="inlineStr">
        <is>
          <t>digital-presentation-images/film-second-nurture-18-months.webp</t>
        </is>
      </c>
      <c r="J48" s="99" t="inlineStr">
        <is>
          <t>vimeo:1092249009</t>
        </is>
      </c>
      <c r="L48" s="33" t="inlineStr">
        <is>
          <t>https://www.lovethework.com/work/entries/18-months-739267</t>
        </is>
      </c>
    </row>
    <row r="49" ht="30" customHeight="1" s="34">
      <c r="A49" s="99" t="n">
        <v>48</v>
      </c>
      <c r="B49" s="104" t="inlineStr">
        <is>
          <t>Bronze</t>
        </is>
      </c>
      <c r="C49" s="101" t="inlineStr">
        <is>
          <t>Read Better</t>
        </is>
      </c>
      <c r="D49" s="99" t="inlineStr">
        <is>
          <t>WATERSTONES</t>
        </is>
      </c>
      <c r="E49" s="99" t="inlineStr">
        <is>
          <t>BOOKS</t>
        </is>
      </c>
      <c r="F49" s="99" t="inlineStr">
        <is>
          <t>FP7 McCANN</t>
        </is>
      </c>
      <c r="G49" s="99" t="inlineStr">
        <is>
          <t>United Arab Emirates</t>
        </is>
      </c>
      <c r="H49" s="102" t="inlineStr">
        <is>
          <t>F04 - Social Behaviour</t>
        </is>
      </c>
      <c r="I49" s="102" t="inlineStr">
        <is>
          <t>https://ascentialcdn.filespin.io/api/v1/conversion/fdf308fea817428794e5b51cfe09d79e</t>
        </is>
      </c>
      <c r="J49" s="99" t="inlineStr">
        <is>
          <t>vimeo:1104424991</t>
        </is>
      </c>
      <c r="L49" s="33" t="inlineStr">
        <is>
          <t>https://www.lovethework.com/work/entries/read-better-762379</t>
        </is>
      </c>
    </row>
    <row r="50" ht="30" customHeight="1" s="34">
      <c r="A50" s="99" t="n">
        <v>49</v>
      </c>
      <c r="B50" s="104" t="inlineStr">
        <is>
          <t>Bronze</t>
        </is>
      </c>
      <c r="C50" s="101" t="inlineStr">
        <is>
          <t>Telstra - Better on a Better Network</t>
        </is>
      </c>
      <c r="D50" s="99" t="inlineStr">
        <is>
          <t>TELSTRA</t>
        </is>
      </c>
      <c r="E50" s="99" t="inlineStr">
        <is>
          <t>TELSTRA</t>
        </is>
      </c>
      <c r="F50" s="99" t="inlineStr">
        <is>
          <t>BEAR MEETS EAGLE ON FIRE</t>
        </is>
      </c>
      <c r="G50" s="99" t="inlineStr">
        <is>
          <t>Australia</t>
        </is>
      </c>
      <c r="H50" s="102" t="inlineStr">
        <is>
          <t>F05 - Use of Humour</t>
        </is>
      </c>
      <c r="I50" s="102" t="inlineStr">
        <is>
          <t>digital-presentation-images/film-telstra-telstra-better-on-a-better-network.webp</t>
        </is>
      </c>
      <c r="J50" s="99" t="inlineStr">
        <is>
          <t>L8wOtakkr28</t>
        </is>
      </c>
      <c r="L50" s="33" t="inlineStr">
        <is>
          <t>https://www.lovethework.com/work/entries/telstra-better-on-a-better-network-739394</t>
        </is>
      </c>
    </row>
    <row r="51" ht="30" customHeight="1" s="34">
      <c r="A51" s="99" t="n">
        <v>50</v>
      </c>
      <c r="B51" s="104" t="inlineStr">
        <is>
          <t>Bronze</t>
        </is>
      </c>
      <c r="C51" s="101" t="inlineStr">
        <is>
          <t>Squad Up</t>
        </is>
      </c>
      <c r="D51" s="99" t="inlineStr">
        <is>
          <t>SUPERCELL</t>
        </is>
      </c>
      <c r="E51" s="99" t="inlineStr">
        <is>
          <t>ENTERTAINMENT</t>
        </is>
      </c>
      <c r="F51" s="99" t="inlineStr">
        <is>
          <t>UNCOMMON CREATIVE STUDIO</t>
        </is>
      </c>
      <c r="G51" s="99" t="inlineStr">
        <is>
          <t>United Kingdom</t>
        </is>
      </c>
      <c r="H51" s="102" t="inlineStr">
        <is>
          <t>F05 - Use of Humour</t>
        </is>
      </c>
      <c r="I51" s="102" t="inlineStr">
        <is>
          <t>https://ascentialcdn.filespin.io/api/v1/conversion/d7137ce2bd54485cbcd0f8ed8ef89240</t>
        </is>
      </c>
      <c r="J51" s="99" t="inlineStr">
        <is>
          <t>L265a4WchmA</t>
        </is>
      </c>
      <c r="L51" s="33" t="inlineStr">
        <is>
          <t>https://www.lovethework.com/work/entries/squad-up-739443</t>
        </is>
      </c>
    </row>
    <row r="52" ht="30" customHeight="1" s="34">
      <c r="A52" s="99" t="n">
        <v>51</v>
      </c>
      <c r="B52" s="104" t="inlineStr">
        <is>
          <t>Bronze</t>
        </is>
      </c>
      <c r="C52" s="101" t="inlineStr">
        <is>
          <t>Paris Paralympics 2024: Considering What?</t>
        </is>
      </c>
      <c r="D52" s="99" t="inlineStr">
        <is>
          <t>CHANNEL 4</t>
        </is>
      </c>
      <c r="E52" s="99" t="inlineStr">
        <is>
          <t>CHANNEL 4</t>
        </is>
      </c>
      <c r="F52" s="99" t="inlineStr">
        <is>
          <t>CHANNEL 4</t>
        </is>
      </c>
      <c r="G52" s="99" t="inlineStr">
        <is>
          <t>United Kingdom</t>
        </is>
      </c>
      <c r="H52" s="102" t="inlineStr">
        <is>
          <t>F07 - Corporate Purpose &amp; Social Responsibility</t>
        </is>
      </c>
      <c r="I52" s="102" t="inlineStr">
        <is>
          <t>digital-presentation-images/film-channel-4-paris-paralympic-2024-considering-what.webp</t>
        </is>
      </c>
      <c r="J52" s="99" t="inlineStr">
        <is>
          <t>bUs_mNTNwvE</t>
        </is>
      </c>
      <c r="L52" s="33" t="inlineStr">
        <is>
          <t>https://www.lovethework.com/work/entries/paris-paralympics-2024-considering-what-739501</t>
        </is>
      </c>
    </row>
    <row r="53" ht="30" customHeight="1" s="34">
      <c r="A53" s="99" t="n">
        <v>52</v>
      </c>
      <c r="B53" s="104" t="inlineStr">
        <is>
          <t>Bronze</t>
        </is>
      </c>
      <c r="C53" s="101" t="inlineStr">
        <is>
          <t>Skin</t>
        </is>
      </c>
      <c r="D53" s="99" t="inlineStr">
        <is>
          <t>RAÇA MAGAZINE</t>
        </is>
      </c>
      <c r="E53" s="99" t="inlineStr">
        <is>
          <t>INSTITUTIONAL</t>
        </is>
      </c>
      <c r="F53" s="99" t="inlineStr">
        <is>
          <t>LEPUB</t>
        </is>
      </c>
      <c r="G53" s="99" t="inlineStr">
        <is>
          <t>Brazil</t>
        </is>
      </c>
      <c r="H53" s="102" t="inlineStr">
        <is>
          <t>F09 - Cultural Engagement</t>
        </is>
      </c>
      <c r="I53" s="102" t="inlineStr">
        <is>
          <t>digital-presentation-images/film-raca-magazine-skin.webp</t>
        </is>
      </c>
      <c r="J53" s="99" t="inlineStr">
        <is>
          <t>vimeo:1088284685</t>
        </is>
      </c>
      <c r="L53" s="33" t="inlineStr">
        <is>
          <t>https://www.lovethework.com/work/entries/skin-739661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05" t="inlineStr">
        <is>
          <t>#</t>
        </is>
      </c>
      <c r="B1" s="105" t="inlineStr">
        <is>
          <t>Tier</t>
        </is>
      </c>
      <c r="C1" s="105" t="inlineStr">
        <is>
          <t>Campaign</t>
        </is>
      </c>
      <c r="D1" s="105" t="inlineStr">
        <is>
          <t>Brand</t>
        </is>
      </c>
      <c r="E1" s="105" t="inlineStr">
        <is>
          <t>Product/Service</t>
        </is>
      </c>
      <c r="F1" s="105" t="inlineStr">
        <is>
          <t>Agency</t>
        </is>
      </c>
      <c r="G1" s="105" t="inlineStr">
        <is>
          <t>Country</t>
        </is>
      </c>
      <c r="H1" s="105" t="inlineStr">
        <is>
          <t>Subcategory</t>
        </is>
      </c>
      <c r="I1" s="105" t="inlineStr">
        <is>
          <t>Image URL</t>
        </is>
      </c>
      <c r="J1" s="105" t="inlineStr">
        <is>
          <t>YouTube ID</t>
        </is>
      </c>
      <c r="K1" s="110" t="inlineStr">
        <is>
          <t>Campaign Group</t>
        </is>
      </c>
      <c r="L1" s="105" t="inlineStr">
        <is>
          <t>Entry URL</t>
        </is>
      </c>
    </row>
    <row r="2">
      <c r="A2" s="33" t="n">
        <v>1</v>
      </c>
      <c r="B2" s="106" t="inlineStr">
        <is>
          <t>Grand Prix</t>
        </is>
      </c>
      <c r="C2" s="107" t="inlineStr">
        <is>
          <t>Crowd</t>
        </is>
      </c>
      <c r="D2" s="33" t="inlineStr">
        <is>
          <t>KitKat</t>
        </is>
      </c>
      <c r="E2" s="33" t="inlineStr">
        <is>
          <t>KitKat</t>
        </is>
      </c>
      <c r="F2" s="33" t="inlineStr">
        <is>
          <t>VML</t>
        </is>
      </c>
      <c r="G2" s="33" t="inlineStr">
        <is>
          <t>Czech Republic</t>
        </is>
      </c>
      <c r="H2" s="33" t="inlineStr">
        <is>
          <t>A01 - Consumer Goods</t>
        </is>
      </c>
      <c r="I2" s="33" t="inlineStr">
        <is>
          <t>https://ascentialcdn.filespin.io/api/v1/conversion/6dc8ee87b55d449f88c8f8a0868b533a</t>
        </is>
      </c>
      <c r="J2" s="33" t="inlineStr">
        <is>
          <t>ByGNQ3wEbEY</t>
        </is>
      </c>
      <c r="K2" s="33" t="inlineStr">
        <is>
          <t>kitkat-a01-consumer-goods</t>
        </is>
      </c>
      <c r="L2" s="33" t="inlineStr">
        <is>
          <t>https://www.lovethework.com/work/entries/crowd-740225</t>
        </is>
      </c>
    </row>
    <row r="3">
      <c r="A3" s="33" t="n">
        <v>2</v>
      </c>
      <c r="B3" s="106" t="inlineStr">
        <is>
          <t>Grand Prix</t>
        </is>
      </c>
      <c r="C3" s="107" t="inlineStr">
        <is>
          <t>Public Transport</t>
        </is>
      </c>
      <c r="D3" s="33" t="inlineStr">
        <is>
          <t>KitKat</t>
        </is>
      </c>
      <c r="E3" s="33" t="inlineStr">
        <is>
          <t>KitKat</t>
        </is>
      </c>
      <c r="F3" s="33" t="inlineStr">
        <is>
          <t>VML</t>
        </is>
      </c>
      <c r="G3" s="33" t="inlineStr">
        <is>
          <t>Czech Republic</t>
        </is>
      </c>
      <c r="H3" s="33" t="inlineStr">
        <is>
          <t>A01 - Consumer Goods</t>
        </is>
      </c>
      <c r="I3" s="33" t="inlineStr">
        <is>
          <t>https://ascentialcdn.filespin.io/api/v1/conversion/9b1fc196d863402282277d81f4bdf031</t>
        </is>
      </c>
      <c r="J3" s="33" t="inlineStr">
        <is>
          <t>ByGNQ3wEbEY</t>
        </is>
      </c>
      <c r="K3" s="33" t="inlineStr">
        <is>
          <t>kitkat-a01-consumer-goods</t>
        </is>
      </c>
      <c r="L3" s="33" t="inlineStr">
        <is>
          <t>https://www.lovethework.com/work/entries/public-transport-758659</t>
        </is>
      </c>
    </row>
    <row r="4">
      <c r="A4" s="33" t="n">
        <v>3</v>
      </c>
      <c r="B4" s="106" t="inlineStr">
        <is>
          <t>Grand Prix</t>
        </is>
      </c>
      <c r="C4" s="107" t="inlineStr">
        <is>
          <t>Street</t>
        </is>
      </c>
      <c r="D4" s="33" t="inlineStr">
        <is>
          <t>KitKat</t>
        </is>
      </c>
      <c r="E4" s="33" t="inlineStr">
        <is>
          <t>KitKat</t>
        </is>
      </c>
      <c r="F4" s="33" t="inlineStr">
        <is>
          <t>VML</t>
        </is>
      </c>
      <c r="G4" s="33" t="inlineStr">
        <is>
          <t>Czech Republic</t>
        </is>
      </c>
      <c r="H4" s="33" t="inlineStr">
        <is>
          <t>A01 - Consumer Goods</t>
        </is>
      </c>
      <c r="I4" s="33" t="inlineStr">
        <is>
          <t>https://ascentialcdn.filespin.io/api/v1/conversion/ad97fbb0d50649118006eac4d5a902a7</t>
        </is>
      </c>
      <c r="J4" s="33" t="inlineStr">
        <is>
          <t>ByGNQ3wEbEY</t>
        </is>
      </c>
      <c r="K4" s="33" t="inlineStr">
        <is>
          <t>kitkat-a01-consumer-goods</t>
        </is>
      </c>
      <c r="L4" s="33" t="inlineStr">
        <is>
          <t>https://www.lovethework.com/work/entries/street-758667</t>
        </is>
      </c>
    </row>
    <row r="5">
      <c r="A5" s="33" t="n">
        <v>4</v>
      </c>
      <c r="B5" s="106" t="inlineStr">
        <is>
          <t>Grand Prix</t>
        </is>
      </c>
      <c r="C5" s="107" t="inlineStr">
        <is>
          <t>Olympic Games Opening Ceremony Paris 2024</t>
        </is>
      </c>
      <c r="D5" s="33" t="inlineStr">
        <is>
          <t>Paris 2024</t>
        </is>
      </c>
      <c r="E5" s="33" t="inlineStr">
        <is>
          <t>Paris 2024</t>
        </is>
      </c>
      <c r="F5" s="33" t="inlineStr">
        <is>
          <t>PANAME 24</t>
        </is>
      </c>
      <c r="G5" s="33" t="inlineStr">
        <is>
          <t>France</t>
        </is>
      </c>
      <c r="H5" s="33" t="inlineStr">
        <is>
          <t>C04 - Live Advertising and Events</t>
        </is>
      </c>
      <c r="I5" s="33" t="inlineStr">
        <is>
          <t>https://ascentialcdn.filespin.io/api/v1/conversion/60aa1888e5b6444381b060dc1801de84</t>
        </is>
      </c>
      <c r="J5" s="33" t="inlineStr">
        <is>
          <t>t8o4ulxT1Cc</t>
        </is>
      </c>
      <c r="L5" s="33" t="inlineStr">
        <is>
          <t>https://www.lovethework.com/work/entries/olympic-games-opening-ceremony-paris-2024-740923</t>
        </is>
      </c>
    </row>
    <row r="6">
      <c r="A6" s="33" t="n">
        <v>5</v>
      </c>
      <c r="B6" s="106" t="inlineStr">
        <is>
          <t>Gold</t>
        </is>
      </c>
      <c r="C6" s="107" t="inlineStr">
        <is>
          <t>The Sip of Sanctuary</t>
        </is>
      </c>
      <c r="D6" s="33" t="inlineStr">
        <is>
          <t>Stella Artois</t>
        </is>
      </c>
      <c r="E6" s="33" t="inlineStr">
        <is>
          <t>Stella Artois</t>
        </is>
      </c>
      <c r="F6" s="33" t="inlineStr">
        <is>
          <t>GREY</t>
        </is>
      </c>
      <c r="G6" s="33" t="inlineStr">
        <is>
          <t>United Kingdom</t>
        </is>
      </c>
      <c r="H6" s="33" t="inlineStr">
        <is>
          <t>A01 - Consumer Goods</t>
        </is>
      </c>
      <c r="I6" s="33" t="inlineStr">
        <is>
          <t>https://ascentialcdn.filespin.io/api/v1/conversion/bc046e548975443980453424bc30515a</t>
        </is>
      </c>
      <c r="J6" s="33" t="inlineStr"/>
      <c r="K6" s="33" t="inlineStr">
        <is>
          <t>stella-artois-philosophical</t>
        </is>
      </c>
      <c r="L6" s="33" t="inlineStr">
        <is>
          <t>https://www.lovethework.com/work/entries/the-sip-of-sanctuary-740333</t>
        </is>
      </c>
    </row>
    <row r="7">
      <c r="A7" s="33" t="n">
        <v>6</v>
      </c>
      <c r="B7" s="106" t="inlineStr">
        <is>
          <t>Gold</t>
        </is>
      </c>
      <c r="C7" s="107" t="inlineStr">
        <is>
          <t>Protector of the Chalice</t>
        </is>
      </c>
      <c r="D7" s="33" t="inlineStr">
        <is>
          <t>Stella Artois</t>
        </is>
      </c>
      <c r="E7" s="33" t="inlineStr">
        <is>
          <t>Stella Artois</t>
        </is>
      </c>
      <c r="F7" s="33" t="inlineStr">
        <is>
          <t>GREY</t>
        </is>
      </c>
      <c r="G7" s="33" t="inlineStr">
        <is>
          <t>United Kingdom</t>
        </is>
      </c>
      <c r="H7" s="33" t="inlineStr">
        <is>
          <t>A01 - Consumer Goods</t>
        </is>
      </c>
      <c r="I7" s="33" t="inlineStr">
        <is>
          <t>https://ascentialcdn.filespin.io/api/v1/conversion/a33c9462c05d4330895b056745b6a602</t>
        </is>
      </c>
      <c r="J7" s="33" t="inlineStr"/>
      <c r="K7" s="33" t="inlineStr">
        <is>
          <t>stella-artois-philosophical</t>
        </is>
      </c>
      <c r="L7" s="33" t="inlineStr">
        <is>
          <t>https://www.lovethework.com/work/entries/protector-of-the-chalice-740342</t>
        </is>
      </c>
    </row>
    <row r="8">
      <c r="A8" s="33" t="n">
        <v>7</v>
      </c>
      <c r="B8" s="106" t="inlineStr">
        <is>
          <t>Gold</t>
        </is>
      </c>
      <c r="C8" s="107" t="inlineStr">
        <is>
          <t>Happiness Within Chaos</t>
        </is>
      </c>
      <c r="D8" s="33" t="inlineStr">
        <is>
          <t>Stella Artois</t>
        </is>
      </c>
      <c r="E8" s="33" t="inlineStr">
        <is>
          <t>Stella Artois</t>
        </is>
      </c>
      <c r="F8" s="33" t="inlineStr">
        <is>
          <t>GREY</t>
        </is>
      </c>
      <c r="G8" s="33" t="inlineStr">
        <is>
          <t>United Kingdom</t>
        </is>
      </c>
      <c r="H8" s="33" t="inlineStr">
        <is>
          <t>A01 - Consumer Goods</t>
        </is>
      </c>
      <c r="I8" s="33" t="inlineStr">
        <is>
          <t>https://ascentialcdn.filespin.io/api/v1/conversion/882ea591b6fa40b29a529180b71afa65</t>
        </is>
      </c>
      <c r="J8" s="33" t="n"/>
      <c r="K8" s="33" t="inlineStr">
        <is>
          <t>stella-artois-philosophical</t>
        </is>
      </c>
      <c r="L8" s="33" t="inlineStr">
        <is>
          <t>https://www.lovethework.com/work/entries/happiness-within-chaos-740351</t>
        </is>
      </c>
    </row>
    <row r="9">
      <c r="A9" s="33" t="n">
        <v>8</v>
      </c>
      <c r="B9" s="106" t="inlineStr">
        <is>
          <t>Gold</t>
        </is>
      </c>
      <c r="C9" s="107" t="inlineStr">
        <is>
          <t>Fries</t>
        </is>
      </c>
      <c r="D9" s="33" t="inlineStr">
        <is>
          <t>Heinz</t>
        </is>
      </c>
      <c r="E9" s="33" t="inlineStr">
        <is>
          <t>Heinz</t>
        </is>
      </c>
      <c r="F9" s="33" t="inlineStr">
        <is>
          <t>Wieden+Kennedy</t>
        </is>
      </c>
      <c r="G9" s="33" t="inlineStr">
        <is>
          <t>United Kingdom</t>
        </is>
      </c>
      <c r="H9" s="33" t="inlineStr">
        <is>
          <t>B01 - Consumer Goods</t>
        </is>
      </c>
      <c r="I9" s="33" t="inlineStr">
        <is>
          <t>https://ascentialcdn.filespin.io/api/v1/conversion/9e7a10af468b4293bb13624b6ac695d7</t>
        </is>
      </c>
      <c r="J9" s="33" t="inlineStr">
        <is>
          <t>GR2NjU6fhZw</t>
        </is>
      </c>
      <c r="K9" s="33" t="inlineStr">
        <is>
          <t>heinz-b01-consumer-goods</t>
        </is>
      </c>
      <c r="L9" s="33" t="inlineStr">
        <is>
          <t>https://www.lovethework.com/work/entries/fries-740416</t>
        </is>
      </c>
    </row>
    <row r="10">
      <c r="A10" s="33" t="n">
        <v>9</v>
      </c>
      <c r="B10" s="106" t="inlineStr">
        <is>
          <t>Gold</t>
        </is>
      </c>
      <c r="C10" s="107" t="inlineStr">
        <is>
          <t>Chips</t>
        </is>
      </c>
      <c r="D10" s="33" t="inlineStr">
        <is>
          <t>Heinz</t>
        </is>
      </c>
      <c r="E10" s="33" t="inlineStr">
        <is>
          <t>Heinz</t>
        </is>
      </c>
      <c r="F10" s="33" t="inlineStr">
        <is>
          <t>Wieden+Kennedy</t>
        </is>
      </c>
      <c r="G10" s="33" t="inlineStr">
        <is>
          <t>United Kingdom</t>
        </is>
      </c>
      <c r="H10" s="33" t="inlineStr">
        <is>
          <t>B01 - Consumer Goods</t>
        </is>
      </c>
      <c r="I10" s="33" t="inlineStr">
        <is>
          <t>https://ascentialcdn.filespin.io/api/v1/conversion/98502860304b486096f96cbacf35f7ac</t>
        </is>
      </c>
      <c r="J10" s="33" t="inlineStr">
        <is>
          <t>9HpJtpvtrhs</t>
        </is>
      </c>
      <c r="K10" s="33" t="inlineStr">
        <is>
          <t>heinz-b01-consumer-goods</t>
        </is>
      </c>
      <c r="L10" s="33" t="inlineStr">
        <is>
          <t>https://www.lovethework.com/work/entries/chips-740534</t>
        </is>
      </c>
    </row>
    <row r="11">
      <c r="A11" s="33" t="n">
        <v>10</v>
      </c>
      <c r="B11" s="106" t="inlineStr">
        <is>
          <t>Gold</t>
        </is>
      </c>
      <c r="C11" s="107" t="inlineStr">
        <is>
          <t>Toast</t>
        </is>
      </c>
      <c r="D11" s="33" t="inlineStr">
        <is>
          <t>Heinz</t>
        </is>
      </c>
      <c r="E11" s="33" t="inlineStr">
        <is>
          <t>Heinz</t>
        </is>
      </c>
      <c r="F11" s="33" t="inlineStr">
        <is>
          <t>Wieden+Kennedy</t>
        </is>
      </c>
      <c r="G11" s="33" t="inlineStr">
        <is>
          <t>United Kingdom</t>
        </is>
      </c>
      <c r="H11" s="33" t="inlineStr">
        <is>
          <t>B01 - Consumer Goods</t>
        </is>
      </c>
      <c r="I11" s="33" t="inlineStr">
        <is>
          <t>https://ascentialcdn.filespin.io/api/v1/conversion/19b79ceaf445400d88e358d61316e067</t>
        </is>
      </c>
      <c r="J11" s="33" t="inlineStr">
        <is>
          <t>keOaQm6RpBg</t>
        </is>
      </c>
      <c r="K11" s="33" t="inlineStr">
        <is>
          <t>heinz-b01-consumer-goods</t>
        </is>
      </c>
      <c r="L11" s="33" t="inlineStr">
        <is>
          <t>https://www.lovethework.com/work/entries/toast-740549</t>
        </is>
      </c>
    </row>
    <row r="12">
      <c r="A12" s="33" t="n">
        <v>11</v>
      </c>
      <c r="B12" s="106" t="inlineStr">
        <is>
          <t>Gold</t>
        </is>
      </c>
      <c r="C12" s="107" t="inlineStr">
        <is>
          <t>Scratch &amp; Sniff</t>
        </is>
      </c>
      <c r="D12" s="33" t="inlineStr">
        <is>
          <t>Axe/Lynx</t>
        </is>
      </c>
      <c r="E12" s="33" t="inlineStr">
        <is>
          <t>Deodorant</t>
        </is>
      </c>
      <c r="F12" s="33" t="inlineStr">
        <is>
          <t>LOLA MullenLowe</t>
        </is>
      </c>
      <c r="G12" s="33" t="inlineStr">
        <is>
          <t>Spain</t>
        </is>
      </c>
      <c r="H12" s="33" t="inlineStr">
        <is>
          <t>C01 - Displays</t>
        </is>
      </c>
      <c r="I12" s="33" t="inlineStr">
        <is>
          <t>https://ascentialcdn.filespin.io/api/v1/conversion/a4189a00c22b49558f6796c1b0fdf90c</t>
        </is>
      </c>
      <c r="J12" s="33" t="inlineStr">
        <is>
          <t>L5RfU7Jmoug</t>
        </is>
      </c>
      <c r="L12" s="33" t="inlineStr">
        <is>
          <t>https://www.lovethework.com/work/entries/scratch-sniff-740665</t>
        </is>
      </c>
    </row>
    <row r="13">
      <c r="A13" s="33" t="n">
        <v>12</v>
      </c>
      <c r="B13" s="106" t="inlineStr">
        <is>
          <t>Gold</t>
        </is>
      </c>
      <c r="C13" s="107" t="inlineStr">
        <is>
          <t>Shades of Red</t>
        </is>
      </c>
      <c r="D13" s="33" t="inlineStr">
        <is>
          <t>Coca-Cola</t>
        </is>
      </c>
      <c r="E13" s="33" t="inlineStr">
        <is>
          <t>Coca-Cola Company</t>
        </is>
      </c>
      <c r="F13" s="33" t="inlineStr">
        <is>
          <t>DAVID</t>
        </is>
      </c>
      <c r="G13" s="33" t="inlineStr">
        <is>
          <t>Spain</t>
        </is>
      </c>
      <c r="H13" s="33" t="inlineStr">
        <is>
          <t>C03 - Special Build</t>
        </is>
      </c>
      <c r="I13" s="33" t="inlineStr">
        <is>
          <t>https://ascentialcdn.filespin.io/api/v1/conversion/b9b1ac806434448cb6648aa308f263db</t>
        </is>
      </c>
      <c r="J13" s="33" t="inlineStr">
        <is>
          <t>7kRgxEIhX38</t>
        </is>
      </c>
      <c r="K13" s="33" t="inlineStr">
        <is>
          <t>coca-cola-shades-of-red</t>
        </is>
      </c>
      <c r="L13" s="33" t="inlineStr">
        <is>
          <t>https://www.lovethework.com/work/entries/shades-of-red-740785</t>
        </is>
      </c>
    </row>
    <row r="14">
      <c r="A14" s="33" t="n">
        <v>13</v>
      </c>
      <c r="B14" s="106" t="inlineStr">
        <is>
          <t>Gold</t>
        </is>
      </c>
      <c r="C14" s="107" t="inlineStr">
        <is>
          <t>Missed Birthdays</t>
        </is>
      </c>
      <c r="D14" s="33" t="inlineStr">
        <is>
          <t>ITV X CALM</t>
        </is>
      </c>
      <c r="E14" s="33" t="inlineStr">
        <is>
          <t>ITV X CALM</t>
        </is>
      </c>
      <c r="F14" s="33" t="inlineStr">
        <is>
          <t>adam&amp;eveDDB</t>
        </is>
      </c>
      <c r="G14" s="33" t="inlineStr">
        <is>
          <t>United Kingdom</t>
        </is>
      </c>
      <c r="H14" s="33" t="inlineStr">
        <is>
          <t>C04 - Live Advertising and Events</t>
        </is>
      </c>
      <c r="I14" s="33" t="inlineStr">
        <is>
          <t>https://ascentialcdn.filespin.io/api/v1/conversion/238b3e3f0aab4c3fa9adf2b23d50eab3</t>
        </is>
      </c>
      <c r="J14" s="33" t="inlineStr">
        <is>
          <t>ifZVZ4fX4gg</t>
        </is>
      </c>
      <c r="L14" s="33" t="inlineStr">
        <is>
          <t>https://www.lovethework.com/work/entries/missed-birthdays-740958</t>
        </is>
      </c>
    </row>
    <row r="15">
      <c r="A15" s="33" t="n">
        <v>14</v>
      </c>
      <c r="B15" s="106" t="inlineStr">
        <is>
          <t>Gold</t>
        </is>
      </c>
      <c r="C15" s="107" t="inlineStr">
        <is>
          <t>Tracking Bad Bunny</t>
        </is>
      </c>
      <c r="D15" s="33" t="inlineStr">
        <is>
          <t>Rimas Music</t>
        </is>
      </c>
      <c r="E15" s="33" t="inlineStr">
        <is>
          <t>Bad Bunny</t>
        </is>
      </c>
      <c r="F15" s="33" t="inlineStr">
        <is>
          <t>DDB Latina Puerto Rico</t>
        </is>
      </c>
      <c r="G15" s="33" t="inlineStr">
        <is>
          <t>Puerto Rico</t>
        </is>
      </c>
      <c r="H15" s="33" t="inlineStr">
        <is>
          <t>C05 - Interactive Experiences</t>
        </is>
      </c>
      <c r="I15" s="33" t="inlineStr">
        <is>
          <t>https://ascentialcdn.filespin.io/api/v1/conversion/8c433c0437494277a7cb3b8c1148b82c</t>
        </is>
      </c>
      <c r="J15" s="33" t="inlineStr">
        <is>
          <t>-3Aq3u6EJZ4</t>
        </is>
      </c>
      <c r="L15" s="33" t="inlineStr">
        <is>
          <t>https://www.lovethework.com/work/entries/tracking-bad-bunny-759229</t>
        </is>
      </c>
    </row>
    <row r="16">
      <c r="A16" s="33" t="n">
        <v>15</v>
      </c>
      <c r="B16" s="106" t="inlineStr">
        <is>
          <t>Gold</t>
        </is>
      </c>
      <c r="C16" s="107" t="inlineStr">
        <is>
          <t>Gulf of Mexico (Bar)</t>
        </is>
      </c>
      <c r="D16" s="33" t="inlineStr">
        <is>
          <t>Tecate</t>
        </is>
      </c>
      <c r="E16" s="33" t="inlineStr">
        <is>
          <t>Tecate Light</t>
        </is>
      </c>
      <c r="F16" s="33" t="inlineStr">
        <is>
          <t>LePub</t>
        </is>
      </c>
      <c r="G16" s="33" t="inlineStr">
        <is>
          <t>Mexico</t>
        </is>
      </c>
      <c r="H16" s="33" t="inlineStr">
        <is>
          <t>E01 - Local Brand</t>
        </is>
      </c>
      <c r="I16" s="33" t="inlineStr">
        <is>
          <t>https://ascentialcdn.filespin.io/api/v1/conversion/afa88aa8421b41a18c68b9863bb6926c</t>
        </is>
      </c>
      <c r="J16" s="33" t="inlineStr">
        <is>
          <t>TFbAS7weMR8</t>
        </is>
      </c>
      <c r="L16" s="33" t="inlineStr">
        <is>
          <t>https://www.lovethework.com/work/entries/gulf-of-mexico-bar-741350</t>
        </is>
      </c>
    </row>
    <row r="17">
      <c r="A17" s="33" t="n">
        <v>16</v>
      </c>
      <c r="B17" s="106" t="inlineStr">
        <is>
          <t>Gold</t>
        </is>
      </c>
      <c r="C17" s="107" t="inlineStr">
        <is>
          <t>Price Packs</t>
        </is>
      </c>
      <c r="D17" s="33" t="inlineStr">
        <is>
          <t>Penny</t>
        </is>
      </c>
      <c r="E17" s="33" t="inlineStr">
        <is>
          <t>Food/Non-Food</t>
        </is>
      </c>
      <c r="F17" s="33" t="inlineStr">
        <is>
          <t>Serviceplan Germany</t>
        </is>
      </c>
      <c r="G17" s="33" t="inlineStr">
        <is>
          <t>Germany</t>
        </is>
      </c>
      <c r="H17" s="33" t="inlineStr">
        <is>
          <t>E02 - Challenger Brand</t>
        </is>
      </c>
      <c r="I17" s="33" t="inlineStr">
        <is>
          <t>https://ascentialcdn.filespin.io/api/v1/conversion/67b6df2a0fe64deeb274c91d50040c54</t>
        </is>
      </c>
      <c r="J17" s="33" t="inlineStr">
        <is>
          <t>cnAXR4lk6R0</t>
        </is>
      </c>
      <c r="L17" s="33" t="inlineStr">
        <is>
          <t>https://www.lovethework.com/work/entries/price-packs-741243</t>
        </is>
      </c>
    </row>
    <row r="18">
      <c r="A18" s="33" t="n">
        <v>17</v>
      </c>
      <c r="B18" s="106" t="inlineStr">
        <is>
          <t>Gold</t>
        </is>
      </c>
      <c r="C18" s="107" t="inlineStr">
        <is>
          <t>Lucky Yatra</t>
        </is>
      </c>
      <c r="D18" s="33" t="inlineStr">
        <is>
          <t>Indian Railways</t>
        </is>
      </c>
      <c r="E18" s="33" t="inlineStr">
        <is>
          <t>Railway Service</t>
        </is>
      </c>
      <c r="F18" s="33" t="inlineStr">
        <is>
          <t>FCB India</t>
        </is>
      </c>
      <c r="G18" s="33" t="inlineStr">
        <is>
          <t>India</t>
        </is>
      </c>
      <c r="H18" s="33" t="inlineStr">
        <is>
          <t>E04 - Social Behaviour</t>
        </is>
      </c>
      <c r="I18" s="33" t="inlineStr">
        <is>
          <t>https://ascentialcdn.filespin.io/api/v1/conversion/7771593e59654e55b2c0654f5d61ec8e</t>
        </is>
      </c>
      <c r="J18" s="33" t="inlineStr">
        <is>
          <t>IYJlZRbvMEw</t>
        </is>
      </c>
      <c r="L18" s="33" t="inlineStr">
        <is>
          <t>https://www.lovethework.com/work/entries/lucky-yatra-741463</t>
        </is>
      </c>
    </row>
    <row r="19">
      <c r="A19" s="33" t="n">
        <v>18</v>
      </c>
      <c r="B19" s="108" t="inlineStr">
        <is>
          <t>Silver</t>
        </is>
      </c>
      <c r="C19" s="107" t="inlineStr">
        <is>
          <t>Windsurf</t>
        </is>
      </c>
      <c r="D19" s="33" t="inlineStr">
        <is>
          <t>Cornetto</t>
        </is>
      </c>
      <c r="E19" s="33" t="inlineStr">
        <is>
          <t>Cornetto Ice Cream</t>
        </is>
      </c>
      <c r="F19" s="33" t="inlineStr">
        <is>
          <t>LOLA MullenLowe</t>
        </is>
      </c>
      <c r="G19" s="33" t="inlineStr">
        <is>
          <t>Spain</t>
        </is>
      </c>
      <c r="H19" s="33" t="inlineStr">
        <is>
          <t>B01 - Consumer Goods</t>
        </is>
      </c>
      <c r="I19" s="33" t="inlineStr">
        <is>
          <t>https://ascentialcdn.filespin.io/api/v1/conversion/2f9ebcc7b9ec4ad9a4dcf79bd56fa88b</t>
        </is>
      </c>
      <c r="J19" s="33" t="inlineStr">
        <is>
          <t>hWhvFLwHOlE</t>
        </is>
      </c>
      <c r="K19" s="33" t="inlineStr">
        <is>
          <t>cornetto-b01-consumer-goods</t>
        </is>
      </c>
      <c r="L19" s="33" t="inlineStr">
        <is>
          <t>https://www.lovethework.com/work/entries/windsurf-740535</t>
        </is>
      </c>
    </row>
    <row r="20">
      <c r="A20" s="33" t="n">
        <v>19</v>
      </c>
      <c r="B20" s="108" t="inlineStr">
        <is>
          <t>Silver</t>
        </is>
      </c>
      <c r="C20" s="107" t="inlineStr">
        <is>
          <t>Surfer</t>
        </is>
      </c>
      <c r="D20" s="33" t="inlineStr">
        <is>
          <t>Cornetto</t>
        </is>
      </c>
      <c r="E20" s="33" t="inlineStr">
        <is>
          <t>Cornetto Ice Cream</t>
        </is>
      </c>
      <c r="F20" s="33" t="inlineStr">
        <is>
          <t>LOLA MullenLowe</t>
        </is>
      </c>
      <c r="G20" s="33" t="inlineStr">
        <is>
          <t>Spain</t>
        </is>
      </c>
      <c r="H20" s="33" t="inlineStr">
        <is>
          <t>B01 - Consumer Goods</t>
        </is>
      </c>
      <c r="I20" s="33" t="inlineStr">
        <is>
          <t>https://ascentialcdn.filespin.io/api/v1/conversion/9ceaf650a007496f90b6d5670786b4df</t>
        </is>
      </c>
      <c r="J20" s="33" t="inlineStr">
        <is>
          <t>hWhvFLwHOlE</t>
        </is>
      </c>
      <c r="K20" s="33" t="inlineStr">
        <is>
          <t>cornetto-b01-consumer-goods</t>
        </is>
      </c>
      <c r="L20" s="33" t="inlineStr">
        <is>
          <t>https://www.lovethework.com/work/entries/surfer-740546</t>
        </is>
      </c>
    </row>
    <row r="21">
      <c r="A21" s="33" t="n">
        <v>20</v>
      </c>
      <c r="B21" s="108" t="inlineStr">
        <is>
          <t>Silver</t>
        </is>
      </c>
      <c r="C21" s="107" t="inlineStr">
        <is>
          <t>Waves</t>
        </is>
      </c>
      <c r="D21" s="33" t="inlineStr">
        <is>
          <t>Cornetto</t>
        </is>
      </c>
      <c r="E21" s="33" t="inlineStr">
        <is>
          <t>Cornetto Ice Cream</t>
        </is>
      </c>
      <c r="F21" s="33" t="inlineStr">
        <is>
          <t>LOLA MullenLowe</t>
        </is>
      </c>
      <c r="G21" s="33" t="inlineStr">
        <is>
          <t>Spain</t>
        </is>
      </c>
      <c r="H21" s="33" t="inlineStr">
        <is>
          <t>B01 - Consumer Goods</t>
        </is>
      </c>
      <c r="I21" s="33" t="inlineStr">
        <is>
          <t>https://ascentialcdn.filespin.io/api/v1/conversion/35c567148f6e40e1a267849bde62ba92</t>
        </is>
      </c>
      <c r="J21" s="33" t="inlineStr">
        <is>
          <t>hWhvFLwHOlE</t>
        </is>
      </c>
      <c r="K21" s="33" t="inlineStr">
        <is>
          <t>cornetto-b01-consumer-goods</t>
        </is>
      </c>
      <c r="L21" s="33" t="inlineStr">
        <is>
          <t>https://www.lovethework.com/work/entries/waves-740554</t>
        </is>
      </c>
    </row>
    <row r="22">
      <c r="A22" s="33" t="n">
        <v>21</v>
      </c>
      <c r="B22" s="108" t="inlineStr">
        <is>
          <t>Silver</t>
        </is>
      </c>
      <c r="C22" s="107" t="inlineStr">
        <is>
          <t>Boat</t>
        </is>
      </c>
      <c r="D22" s="33" t="inlineStr">
        <is>
          <t>Cornetto</t>
        </is>
      </c>
      <c r="E22" s="33" t="inlineStr">
        <is>
          <t>Cornetto Ice Cream</t>
        </is>
      </c>
      <c r="F22" s="33" t="inlineStr">
        <is>
          <t>LOLA MullenLowe</t>
        </is>
      </c>
      <c r="G22" s="33" t="inlineStr">
        <is>
          <t>Spain</t>
        </is>
      </c>
      <c r="H22" s="33" t="inlineStr">
        <is>
          <t>B01 - Consumer Goods</t>
        </is>
      </c>
      <c r="I22" s="33" t="inlineStr">
        <is>
          <t>https://ascentialcdn.filespin.io/api/v1/conversion/3a177c8b37754037a19ddf0d99c858db</t>
        </is>
      </c>
      <c r="J22" s="33" t="inlineStr">
        <is>
          <t>hWhvFLwHOlE</t>
        </is>
      </c>
      <c r="K22" s="33" t="inlineStr">
        <is>
          <t>cornetto-b01-consumer-goods</t>
        </is>
      </c>
      <c r="L22" s="33" t="inlineStr">
        <is>
          <t>https://www.lovethework.com/work/entries/boat-740365</t>
        </is>
      </c>
    </row>
    <row r="23">
      <c r="A23" s="33" t="n">
        <v>22</v>
      </c>
      <c r="B23" s="108" t="inlineStr">
        <is>
          <t>Silver</t>
        </is>
      </c>
      <c r="C23" s="107" t="inlineStr">
        <is>
          <t>Bundles of Joy OOH2</t>
        </is>
      </c>
      <c r="D23" s="33" t="inlineStr">
        <is>
          <t>Burger King UK</t>
        </is>
      </c>
      <c r="E23" s="33" t="inlineStr">
        <is>
          <t>Whopper</t>
        </is>
      </c>
      <c r="F23" s="33" t="inlineStr">
        <is>
          <t>BBH</t>
        </is>
      </c>
      <c r="G23" s="33" t="inlineStr">
        <is>
          <t>United Kingdom</t>
        </is>
      </c>
      <c r="H23" s="33" t="inlineStr">
        <is>
          <t>B04 - Travel, Leisure, Retail, Restaurants &amp; Fast-Food Chains</t>
        </is>
      </c>
      <c r="I23" s="33" t="inlineStr">
        <is>
          <t>digital-presentation-images/outdoor-burger-king-bundles-of-joy-ooh2.webp</t>
        </is>
      </c>
      <c r="J23" s="33" t="inlineStr">
        <is>
          <t>aVzEfsIC9KQ</t>
        </is>
      </c>
      <c r="K23" s="33" t="inlineStr">
        <is>
          <t>burger-king-uk-b04-travel-leisure-retail-restaurants-fast-food-chains</t>
        </is>
      </c>
      <c r="L23" s="33" t="inlineStr">
        <is>
          <t>https://www.lovethework.com/work/entries/bundles-of-joy-ooh2-740450</t>
        </is>
      </c>
    </row>
    <row r="24">
      <c r="A24" s="33" t="n">
        <v>23</v>
      </c>
      <c r="B24" s="108" t="inlineStr">
        <is>
          <t>Silver</t>
        </is>
      </c>
      <c r="C24" s="107" t="inlineStr">
        <is>
          <t>Bundles of Joy OOH1</t>
        </is>
      </c>
      <c r="D24" s="33" t="inlineStr">
        <is>
          <t>Burger King UK</t>
        </is>
      </c>
      <c r="E24" s="33" t="inlineStr">
        <is>
          <t>Whopper</t>
        </is>
      </c>
      <c r="F24" s="33" t="inlineStr">
        <is>
          <t>BBH</t>
        </is>
      </c>
      <c r="G24" s="33" t="inlineStr">
        <is>
          <t>United Kingdom</t>
        </is>
      </c>
      <c r="H24" s="33" t="inlineStr">
        <is>
          <t>B04 - Travel, Leisure, Retail, Restaurants &amp; Fast-Food Chains</t>
        </is>
      </c>
      <c r="I24" s="33" t="inlineStr">
        <is>
          <t>digital-presentation-images/outdoor-burger-king-bundles-of-joy-ooh1.webp</t>
        </is>
      </c>
      <c r="J24" s="33" t="inlineStr">
        <is>
          <t>aVzEfsIC9KQ</t>
        </is>
      </c>
      <c r="K24" s="33" t="inlineStr">
        <is>
          <t>burger-king-uk-b04-travel-leisure-retail-restaurants-fast-food-chains</t>
        </is>
      </c>
      <c r="L24" s="33" t="inlineStr">
        <is>
          <t>https://www.lovethework.com/work/entries/bundles-of-joy-ooh1-740460</t>
        </is>
      </c>
    </row>
    <row r="25">
      <c r="A25" s="33" t="n">
        <v>24</v>
      </c>
      <c r="B25" s="108" t="inlineStr">
        <is>
          <t>Silver</t>
        </is>
      </c>
      <c r="C25" s="107" t="inlineStr">
        <is>
          <t>Bundles of Joy OOH4</t>
        </is>
      </c>
      <c r="D25" s="33" t="inlineStr">
        <is>
          <t>Burger King UK</t>
        </is>
      </c>
      <c r="E25" s="33" t="inlineStr">
        <is>
          <t>Whopper</t>
        </is>
      </c>
      <c r="F25" s="33" t="inlineStr">
        <is>
          <t>BBH</t>
        </is>
      </c>
      <c r="G25" s="33" t="inlineStr">
        <is>
          <t>United Kingdom</t>
        </is>
      </c>
      <c r="H25" s="33" t="inlineStr">
        <is>
          <t>B04 - Travel, Leisure, Retail, Restaurants &amp; Fast-Food Chains</t>
        </is>
      </c>
      <c r="I25" s="33" t="inlineStr">
        <is>
          <t>digital-presentation-images/outdoor-burger-king-bundles-of-joy-ooh4.webp</t>
        </is>
      </c>
      <c r="J25" s="33" t="inlineStr">
        <is>
          <t>aVzEfsIC9KQ</t>
        </is>
      </c>
      <c r="K25" s="33" t="inlineStr">
        <is>
          <t>burger-king-uk-b04-travel-leisure-retail-restaurants-fast-food-chains</t>
        </is>
      </c>
      <c r="L25" s="33" t="inlineStr">
        <is>
          <t>https://www.lovethework.com/work/entries/bundles-of-joy-ooh4-740466</t>
        </is>
      </c>
    </row>
    <row r="26">
      <c r="A26" s="33" t="n">
        <v>25</v>
      </c>
      <c r="B26" s="108" t="inlineStr">
        <is>
          <t>Silver</t>
        </is>
      </c>
      <c r="C26" s="107" t="inlineStr">
        <is>
          <t>Bundles of Joy OOH3</t>
        </is>
      </c>
      <c r="D26" s="33" t="inlineStr">
        <is>
          <t>Burger King UK</t>
        </is>
      </c>
      <c r="E26" s="33" t="inlineStr">
        <is>
          <t>Whopper</t>
        </is>
      </c>
      <c r="F26" s="33" t="inlineStr">
        <is>
          <t>BBH</t>
        </is>
      </c>
      <c r="G26" s="33" t="inlineStr">
        <is>
          <t>United Kingdom</t>
        </is>
      </c>
      <c r="H26" s="33" t="inlineStr">
        <is>
          <t>B04 - Travel, Leisure, Retail, Restaurants &amp; Fast-Food Chains</t>
        </is>
      </c>
      <c r="I26" s="33" t="inlineStr">
        <is>
          <t>digital-presentation-images/outdoor-burger-king-bundles-of-joy-ooh3.webp</t>
        </is>
      </c>
      <c r="J26" s="33" t="inlineStr">
        <is>
          <t>aVzEfsIC9KQ</t>
        </is>
      </c>
      <c r="K26" s="33" t="inlineStr">
        <is>
          <t>burger-king-uk-b04-travel-leisure-retail-restaurants-fast-food-chains</t>
        </is>
      </c>
      <c r="L26" s="33" t="inlineStr">
        <is>
          <t>https://www.lovethework.com/work/entries/bundles-of-joy-ooh3-762361</t>
        </is>
      </c>
    </row>
    <row r="27">
      <c r="A27" s="33" t="n">
        <v>26</v>
      </c>
      <c r="B27" s="108" t="inlineStr">
        <is>
          <t>Silver</t>
        </is>
      </c>
      <c r="C27" s="107" t="inlineStr">
        <is>
          <t>'Til I Died</t>
        </is>
      </c>
      <c r="D27" s="33" t="inlineStr">
        <is>
          <t>British Heart Foundation</t>
        </is>
      </c>
      <c r="E27" s="33" t="inlineStr">
        <is>
          <t>British Heart Foundation</t>
        </is>
      </c>
      <c r="F27" s="33" t="inlineStr">
        <is>
          <t>Saatchi &amp; Saatchi</t>
        </is>
      </c>
      <c r="G27" s="33" t="inlineStr">
        <is>
          <t>United Kingdom</t>
        </is>
      </c>
      <c r="H27" s="33" t="inlineStr">
        <is>
          <t>C01 - Displays</t>
        </is>
      </c>
      <c r="I27" s="33" t="inlineStr">
        <is>
          <t>https://ascentialcdn.filespin.io/api/v1/conversion/7c797fcbd4784d318b810a3e30777a8a</t>
        </is>
      </c>
      <c r="J27" s="33" t="inlineStr">
        <is>
          <t>jB_R0uQ_qcg</t>
        </is>
      </c>
      <c r="L27" s="33" t="inlineStr">
        <is>
          <t>https://www.lovethework.com/work/entries/til-i-died-740701</t>
        </is>
      </c>
    </row>
    <row r="28">
      <c r="A28" s="33" t="n">
        <v>27</v>
      </c>
      <c r="B28" s="108" t="inlineStr">
        <is>
          <t>Silver</t>
        </is>
      </c>
      <c r="C28" s="107" t="inlineStr">
        <is>
          <t>Winter Takes on Colors</t>
        </is>
      </c>
      <c r="D28" s="33" t="inlineStr">
        <is>
          <t>McDonald's Polska</t>
        </is>
      </c>
      <c r="E28" s="33" t="inlineStr">
        <is>
          <t>Drwala Burger (Limited Timed Offer)</t>
        </is>
      </c>
      <c r="F28" s="33" t="inlineStr">
        <is>
          <t>DDB Warsaw</t>
        </is>
      </c>
      <c r="G28" s="33" t="inlineStr">
        <is>
          <t>Poland</t>
        </is>
      </c>
      <c r="H28" s="33" t="inlineStr">
        <is>
          <t>C03 - Special Build</t>
        </is>
      </c>
      <c r="I28" s="33" t="inlineStr">
        <is>
          <t>https://ascentialcdn.filespin.io/api/v1/conversion/5c6b7faa74e6455a830e3ef1f22b78d7</t>
        </is>
      </c>
      <c r="J28" s="33" t="inlineStr">
        <is>
          <t>qcSHtBgAB6o</t>
        </is>
      </c>
      <c r="L28" s="33" t="inlineStr">
        <is>
          <t>https://www.lovethework.com/work/entries/winter-takes-on-colors-740759</t>
        </is>
      </c>
    </row>
    <row r="29">
      <c r="A29" s="33" t="n">
        <v>28</v>
      </c>
      <c r="B29" s="108" t="inlineStr">
        <is>
          <t>Silver</t>
        </is>
      </c>
      <c r="C29" s="107" t="inlineStr">
        <is>
          <t>Night Signals</t>
        </is>
      </c>
      <c r="D29" s="33" t="inlineStr">
        <is>
          <t>Chevrolet Dominican Republic</t>
        </is>
      </c>
      <c r="E29" s="33" t="inlineStr">
        <is>
          <t>Chevrolet</t>
        </is>
      </c>
      <c r="F29" s="33" t="inlineStr">
        <is>
          <t>Ogilvy Dominican Republic</t>
        </is>
      </c>
      <c r="G29" s="33" t="inlineStr">
        <is>
          <t>Dominican Republic</t>
        </is>
      </c>
      <c r="H29" s="33" t="inlineStr">
        <is>
          <t>C06 - Transit</t>
        </is>
      </c>
      <c r="I29" s="33" t="inlineStr">
        <is>
          <t>https://ascentialcdn.filespin.io/api/v1/conversion/08a2258d5d1348b1bc8f6014ff0c6655</t>
        </is>
      </c>
      <c r="J29" s="33" t="inlineStr">
        <is>
          <t>XVCXMuUU9s8</t>
        </is>
      </c>
      <c r="L29" s="33" t="inlineStr">
        <is>
          <t>https://www.lovethework.com/work/entries/night-signals-741104</t>
        </is>
      </c>
    </row>
    <row r="30">
      <c r="A30" s="33" t="n">
        <v>29</v>
      </c>
      <c r="B30" s="108" t="inlineStr">
        <is>
          <t>Silver</t>
        </is>
      </c>
      <c r="C30" s="107" t="inlineStr">
        <is>
          <t>Speed Coupons</t>
        </is>
      </c>
      <c r="D30" s="33" t="inlineStr">
        <is>
          <t>Mercado Livre</t>
        </is>
      </c>
      <c r="E30" s="33" t="inlineStr">
        <is>
          <t>Mercado Livre</t>
        </is>
      </c>
      <c r="F30" s="33" t="inlineStr">
        <is>
          <t>GUT</t>
        </is>
      </c>
      <c r="G30" s="33" t="inlineStr">
        <is>
          <t>Brazil</t>
        </is>
      </c>
      <c r="H30" s="33" t="inlineStr">
        <is>
          <t>D01 - Standard Sites</t>
        </is>
      </c>
      <c r="I30" s="33" t="inlineStr">
        <is>
          <t>https://ascentialcdn.filespin.io/api/v1/conversion/7e353b967fd64b6692fd97647bd4fbd2</t>
        </is>
      </c>
      <c r="J30" s="33" t="inlineStr">
        <is>
          <t>l3Sxq8LCXZA</t>
        </is>
      </c>
      <c r="L30" s="33" t="inlineStr">
        <is>
          <t>https://www.lovethework.com/work/entries/speed-coupons-741121</t>
        </is>
      </c>
    </row>
    <row r="31">
      <c r="A31" s="33" t="n">
        <v>30</v>
      </c>
      <c r="B31" s="108" t="inlineStr">
        <is>
          <t>Silver</t>
        </is>
      </c>
      <c r="C31" s="107" t="inlineStr">
        <is>
          <t>Sun Reserve</t>
        </is>
      </c>
      <c r="D31" s="33" t="inlineStr">
        <is>
          <t>Corona</t>
        </is>
      </c>
      <c r="E31" s="33" t="inlineStr">
        <is>
          <t>Corona</t>
        </is>
      </c>
      <c r="F31" s="33" t="inlineStr">
        <is>
          <t>GREY</t>
        </is>
      </c>
      <c r="G31" s="33" t="inlineStr">
        <is>
          <t>Brazil</t>
        </is>
      </c>
      <c r="H31" s="33" t="inlineStr">
        <is>
          <t>D02 - Ambient Outdoor</t>
        </is>
      </c>
      <c r="I31" s="33" t="inlineStr">
        <is>
          <t>https://ascentialcdn.filespin.io/api/v1/conversion/652b705dcecc4cb7a72c76e4e22c80e5</t>
        </is>
      </c>
      <c r="J31" s="33" t="inlineStr">
        <is>
          <t>7i2fC6qJR2o</t>
        </is>
      </c>
      <c r="L31" s="33" t="inlineStr">
        <is>
          <t>https://www.lovethework.com/work/entries/sun-reserve-741012</t>
        </is>
      </c>
    </row>
    <row r="32">
      <c r="A32" s="33" t="n">
        <v>31</v>
      </c>
      <c r="B32" s="108" t="inlineStr">
        <is>
          <t>Silver</t>
        </is>
      </c>
      <c r="C32" s="107" t="inlineStr">
        <is>
          <t>The Philharmonic Prints</t>
        </is>
      </c>
      <c r="D32" s="33" t="inlineStr">
        <is>
          <t>Berliner Philharmonie</t>
        </is>
      </c>
      <c r="E32" s="33" t="inlineStr">
        <is>
          <t>Berliner Philharmoniker</t>
        </is>
      </c>
      <c r="F32" s="33" t="inlineStr">
        <is>
          <t>Scholz &amp; Friends</t>
        </is>
      </c>
      <c r="G32" s="33" t="inlineStr">
        <is>
          <t>Germany</t>
        </is>
      </c>
      <c r="H32" s="33" t="inlineStr">
        <is>
          <t>E01 - Local Brand</t>
        </is>
      </c>
      <c r="I32" s="33" t="inlineStr">
        <is>
          <t>https://ascentialcdn.filespin.io/api/v1/conversion/a41ca6a9e9454bb585e089d1abcf0187</t>
        </is>
      </c>
      <c r="J32" s="33" t="inlineStr">
        <is>
          <t>6JuPo6BNhqU</t>
        </is>
      </c>
      <c r="L32" s="33" t="inlineStr">
        <is>
          <t>https://www.lovethework.com/work/entries/the-philharmonic-prints-741191</t>
        </is>
      </c>
    </row>
    <row r="33">
      <c r="A33" s="33" t="n">
        <v>32</v>
      </c>
      <c r="B33" s="108" t="inlineStr">
        <is>
          <t>Silver</t>
        </is>
      </c>
      <c r="C33" s="107" t="inlineStr">
        <is>
          <t>See Them for Real</t>
        </is>
      </c>
      <c r="D33" s="33" t="inlineStr">
        <is>
          <t>Musée de l'Armée</t>
        </is>
      </c>
      <c r="E33" s="33" t="inlineStr">
        <is>
          <t>Museum</t>
        </is>
      </c>
      <c r="F33" s="33" t="inlineStr">
        <is>
          <t>Buzzman</t>
        </is>
      </c>
      <c r="G33" s="33" t="inlineStr">
        <is>
          <t>France</t>
        </is>
      </c>
      <c r="H33" s="33" t="inlineStr">
        <is>
          <t>E02 - Challenger Brand</t>
        </is>
      </c>
      <c r="I33" s="33" t="inlineStr">
        <is>
          <t>https://ascentialcdn.filespin.io/api/v1/conversion/f23ad7b894c14298b819130d99bc560f</t>
        </is>
      </c>
      <c r="J33" s="33" t="inlineStr">
        <is>
          <t>vimeo:1162577214</t>
        </is>
      </c>
      <c r="L33" s="33" t="inlineStr">
        <is>
          <t>https://www.lovethework.com/work/entries/see-them-for-real-741246</t>
        </is>
      </c>
    </row>
    <row r="34">
      <c r="A34" s="33" t="n">
        <v>33</v>
      </c>
      <c r="B34" s="108" t="inlineStr">
        <is>
          <t>Silver</t>
        </is>
      </c>
      <c r="C34" s="107" t="inlineStr">
        <is>
          <t>Bumpboards</t>
        </is>
      </c>
      <c r="D34" s="33" t="inlineStr">
        <is>
          <t>Citroen</t>
        </is>
      </c>
      <c r="E34" s="33" t="inlineStr">
        <is>
          <t>Citroen</t>
        </is>
      </c>
      <c r="F34" s="33" t="inlineStr">
        <is>
          <t>BETC</t>
        </is>
      </c>
      <c r="G34" s="33" t="inlineStr">
        <is>
          <t>France</t>
        </is>
      </c>
      <c r="H34" s="33" t="inlineStr">
        <is>
          <t>E03 - Single-Market Campaign</t>
        </is>
      </c>
      <c r="I34" s="33" t="inlineStr">
        <is>
          <t>https://ascentialcdn.filespin.io/api/v1/conversion/51f7223ae6f6484caace1b6d0e8df74c</t>
        </is>
      </c>
      <c r="J34" s="33" t="inlineStr">
        <is>
          <t>Qh8iW06HWYI</t>
        </is>
      </c>
      <c r="L34" s="33" t="inlineStr">
        <is>
          <t>https://www.lovethework.com/work/entries/bumpboards-741287</t>
        </is>
      </c>
    </row>
    <row r="35">
      <c r="A35" s="33" t="n">
        <v>34</v>
      </c>
      <c r="B35" s="108" t="inlineStr">
        <is>
          <t>Silver</t>
        </is>
      </c>
      <c r="C35" s="107" t="inlineStr">
        <is>
          <t>Balikbayan Magic: Philippine Oriental Food Market</t>
        </is>
      </c>
      <c r="D35" s="33" t="inlineStr">
        <is>
          <t>Coca-Cola</t>
        </is>
      </c>
      <c r="E35" s="33" t="inlineStr">
        <is>
          <t>Coca-Cola</t>
        </is>
      </c>
      <c r="F35" s="33" t="inlineStr">
        <is>
          <t>VML</t>
        </is>
      </c>
      <c r="G35" s="33" t="inlineStr">
        <is>
          <t>Canada</t>
        </is>
      </c>
      <c r="H35" s="33" t="inlineStr">
        <is>
          <t>E04 - Social Behaviour</t>
        </is>
      </c>
      <c r="I35" s="33" t="inlineStr">
        <is>
          <t>digital-presentation-images/outdoor-coca-cola-balikbayan-magic-philippine-oriental-food-market.webp</t>
        </is>
      </c>
      <c r="J35" s="33" t="inlineStr">
        <is>
          <t>8WbE3jyFeM8</t>
        </is>
      </c>
      <c r="K35" s="33" t="n"/>
      <c r="L35" s="33" t="inlineStr">
        <is>
          <t>https://www.lovethework.com/work/entries/balikbayan-magic-philippine-oriental-food-market-741455</t>
        </is>
      </c>
    </row>
    <row r="36">
      <c r="A36" s="33" t="n">
        <v>35</v>
      </c>
      <c r="B36" s="108" t="inlineStr">
        <is>
          <t>Silver</t>
        </is>
      </c>
      <c r="C36" s="107" t="inlineStr">
        <is>
          <t>Meet Me at the Coke Sign</t>
        </is>
      </c>
      <c r="D36" s="33" t="inlineStr">
        <is>
          <t>Coca-Cola</t>
        </is>
      </c>
      <c r="E36" s="33" t="inlineStr">
        <is>
          <t>Coca-Cola</t>
        </is>
      </c>
      <c r="F36" s="33" t="inlineStr">
        <is>
          <t>Ogilvy</t>
        </is>
      </c>
      <c r="G36" s="33" t="inlineStr">
        <is>
          <t>Australia</t>
        </is>
      </c>
      <c r="H36" s="33" t="inlineStr">
        <is>
          <t>E04 - Social Behaviour</t>
        </is>
      </c>
      <c r="I36" s="33" t="inlineStr">
        <is>
          <t>https://ascentialcdn.filespin.io/api/v1/conversion/e4e51d450eb8458dab81e55d80f5d56b</t>
        </is>
      </c>
      <c r="J36" s="33" t="inlineStr">
        <is>
          <t>V2RVAsIFjF0</t>
        </is>
      </c>
      <c r="K36" s="33" t="n"/>
      <c r="L36" s="33" t="inlineStr">
        <is>
          <t>https://www.lovethework.com/work/entries/meet-me-at-the-coke-sign-741472</t>
        </is>
      </c>
    </row>
    <row r="37">
      <c r="A37" s="33" t="n">
        <v>36</v>
      </c>
      <c r="B37" s="108" t="inlineStr">
        <is>
          <t>Silver</t>
        </is>
      </c>
      <c r="C37" s="107" t="inlineStr">
        <is>
          <t>Nature Shapes Britannia</t>
        </is>
      </c>
      <c r="D37" s="33" t="inlineStr">
        <is>
          <t>Britannia Industries Ltd.</t>
        </is>
      </c>
      <c r="E37" s="33" t="inlineStr">
        <is>
          <t>Britannia Sustainability</t>
        </is>
      </c>
      <c r="F37" s="33" t="inlineStr">
        <is>
          <t>Talented</t>
        </is>
      </c>
      <c r="G37" s="33" t="inlineStr">
        <is>
          <t>India</t>
        </is>
      </c>
      <c r="H37" s="33" t="inlineStr">
        <is>
          <t>E06 - Breakthrough on a Budget</t>
        </is>
      </c>
      <c r="I37" s="33" t="inlineStr">
        <is>
          <t>https://ascentialcdn.filespin.io/api/v1/conversion/716b17d07a0d40d2b7b2a29d2ae9e171</t>
        </is>
      </c>
      <c r="J37" s="33" t="inlineStr">
        <is>
          <t>dEC4Wo3ZlXQ</t>
        </is>
      </c>
      <c r="L37" s="33" t="inlineStr">
        <is>
          <t>https://www.lovethework.com/work/entries/nature-shapes-britannia-741532</t>
        </is>
      </c>
    </row>
    <row r="38">
      <c r="A38" s="33" t="n">
        <v>37</v>
      </c>
      <c r="B38" s="108" t="inlineStr">
        <is>
          <t>Silver</t>
        </is>
      </c>
      <c r="C38" s="107" t="inlineStr">
        <is>
          <t>Too Yumm to Cheer\!</t>
        </is>
      </c>
      <c r="D38" s="33" t="inlineStr">
        <is>
          <t>Too Yumm\!</t>
        </is>
      </c>
      <c r="E38" s="33" t="inlineStr">
        <is>
          <t>Too Yumm\!</t>
        </is>
      </c>
      <c r="F38" s="33" t="inlineStr">
        <is>
          <t>FCB Kinnect</t>
        </is>
      </c>
      <c r="G38" s="33" t="inlineStr">
        <is>
          <t>India</t>
        </is>
      </c>
      <c r="H38" s="33" t="inlineStr">
        <is>
          <t>E06 - Breakthrough on a Budget</t>
        </is>
      </c>
      <c r="I38" s="33" t="inlineStr">
        <is>
          <t>https://ascentialcdn.filespin.io/api/v1/conversion/cb9c8fa9b4464dc6bdc84535bb7991d5</t>
        </is>
      </c>
      <c r="J38" s="33" t="inlineStr">
        <is>
          <t>2Kf-xAN5WCI</t>
        </is>
      </c>
      <c r="L38" s="33" t="inlineStr">
        <is>
          <t>https://www.lovethework.com/work/entries/too-yumm-to-cheer-741592</t>
        </is>
      </c>
    </row>
    <row r="39">
      <c r="A39" s="33" t="n">
        <v>38</v>
      </c>
      <c r="B39" s="108" t="inlineStr">
        <is>
          <t>Silver</t>
        </is>
      </c>
      <c r="C39" s="107" t="inlineStr">
        <is>
          <t>Estibadores</t>
        </is>
      </c>
      <c r="D39" s="33" t="inlineStr">
        <is>
          <t>MiBanco</t>
        </is>
      </c>
      <c r="E39" s="33" t="inlineStr">
        <is>
          <t>Financial Inclusion Program</t>
        </is>
      </c>
      <c r="F39" s="33" t="inlineStr">
        <is>
          <t>Circus Grey</t>
        </is>
      </c>
      <c r="G39" s="33" t="inlineStr">
        <is>
          <t>Peru</t>
        </is>
      </c>
      <c r="H39" s="33" t="inlineStr">
        <is>
          <t>E07 - Corporate Purpose &amp; Social Responsibility</t>
        </is>
      </c>
      <c r="I39" s="33" t="inlineStr">
        <is>
          <t>https://ascentialcdn.filespin.io/api/v1/conversion/0ee92655171346d888a62ac1b5baeb96</t>
        </is>
      </c>
      <c r="J39" s="33" t="inlineStr">
        <is>
          <t>AwhMuPdXnUE</t>
        </is>
      </c>
      <c r="L39" s="33" t="inlineStr">
        <is>
          <t>https://www.lovethework.com/work/entries/estibadores-741560</t>
        </is>
      </c>
    </row>
    <row r="40">
      <c r="A40" s="33" t="n">
        <v>39</v>
      </c>
      <c r="B40" s="108" t="inlineStr">
        <is>
          <t>Silver</t>
        </is>
      </c>
      <c r="C40" s="107" t="inlineStr">
        <is>
          <t>Still Open</t>
        </is>
      </c>
      <c r="D40" s="33" t="inlineStr">
        <is>
          <t>JCDecaux</t>
        </is>
      </c>
      <c r="E40" s="33" t="inlineStr">
        <is>
          <t>OOH Media</t>
        </is>
      </c>
      <c r="F40" s="33" t="inlineStr">
        <is>
          <t>DAVID</t>
        </is>
      </c>
      <c r="G40" s="33" t="inlineStr">
        <is>
          <t>Spain</t>
        </is>
      </c>
      <c r="H40" s="33" t="inlineStr">
        <is>
          <t>E07 - Corporate Purpose &amp; Social Responsibility</t>
        </is>
      </c>
      <c r="I40" s="33" t="inlineStr">
        <is>
          <t>https://ascentialcdn.filespin.io/api/v1/conversion/dd37db0fdabf4182b51ade62463b79e2</t>
        </is>
      </c>
      <c r="J40" s="33" t="inlineStr">
        <is>
          <t>4j2UkSs-cSo</t>
        </is>
      </c>
      <c r="L40" s="33" t="inlineStr">
        <is>
          <t>https://www.lovethework.com/work/entries/still-open-741731</t>
        </is>
      </c>
    </row>
    <row r="41">
      <c r="A41" s="33" t="n">
        <v>40</v>
      </c>
      <c r="B41" s="108" t="inlineStr">
        <is>
          <t>Silver</t>
        </is>
      </c>
      <c r="C41" s="107" t="inlineStr">
        <is>
          <t>Olympic Games Opening Ceremony Paris 2024</t>
        </is>
      </c>
      <c r="D41" s="33" t="inlineStr">
        <is>
          <t>Paris 2024</t>
        </is>
      </c>
      <c r="E41" s="33" t="inlineStr">
        <is>
          <t>Paris 2024</t>
        </is>
      </c>
      <c r="F41" s="33" t="inlineStr">
        <is>
          <t>PANAME 24</t>
        </is>
      </c>
      <c r="G41" s="33" t="inlineStr">
        <is>
          <t>France</t>
        </is>
      </c>
      <c r="H41" s="33" t="inlineStr">
        <is>
          <t>E09 - Cultural Engagement</t>
        </is>
      </c>
      <c r="I41" s="33" t="inlineStr">
        <is>
          <t>https://ascentialcdn.filespin.io/api/v1/conversion/60aa1888e5b6444381b060dc1801de84</t>
        </is>
      </c>
      <c r="J41" s="33" t="inlineStr">
        <is>
          <t>t8o4ulxT1Cc</t>
        </is>
      </c>
      <c r="L41" s="33" t="inlineStr">
        <is>
          <t>https://www.lovethework.com/work/entries/olympic-games-opening-ceremony-paris-2024-741644</t>
        </is>
      </c>
    </row>
    <row r="42">
      <c r="A42" s="33" t="n">
        <v>41</v>
      </c>
      <c r="B42" s="108" t="inlineStr">
        <is>
          <t>Silver</t>
        </is>
      </c>
      <c r="C42" s="107" t="inlineStr">
        <is>
          <t>Found in Translation</t>
        </is>
      </c>
      <c r="D42" s="33" t="inlineStr">
        <is>
          <t>Medalla Light</t>
        </is>
      </c>
      <c r="E42" s="33" t="inlineStr">
        <is>
          <t>Medalla Light</t>
        </is>
      </c>
      <c r="F42" s="33" t="inlineStr">
        <is>
          <t>DDB Latina Puerto Rico</t>
        </is>
      </c>
      <c r="G42" s="33" t="inlineStr">
        <is>
          <t>Puerto Rico</t>
        </is>
      </c>
      <c r="H42" s="33" t="inlineStr">
        <is>
          <t>E09 - Cultural Engagement</t>
        </is>
      </c>
      <c r="I42" s="33" t="inlineStr">
        <is>
          <t>https://ascentialcdn.filespin.io/api/v1/conversion/aa75461755994abb9341413d542beaa8</t>
        </is>
      </c>
      <c r="J42" s="33" t="inlineStr">
        <is>
          <t>5E08r_ShJQQ</t>
        </is>
      </c>
      <c r="L42" s="33" t="inlineStr">
        <is>
          <t>https://www.lovethework.com/work/entries/found-in-translation-741695</t>
        </is>
      </c>
    </row>
    <row r="43">
      <c r="A43" s="33" t="n">
        <v>42</v>
      </c>
      <c r="B43" s="108" t="inlineStr">
        <is>
          <t>Silver</t>
        </is>
      </c>
      <c r="C43" s="107" t="inlineStr">
        <is>
          <t>Pub Succession</t>
        </is>
      </c>
      <c r="D43" s="33" t="inlineStr">
        <is>
          <t>Heineken</t>
        </is>
      </c>
      <c r="E43" s="33" t="inlineStr">
        <is>
          <t>Heineken</t>
        </is>
      </c>
      <c r="F43" s="33" t="inlineStr">
        <is>
          <t>LePub</t>
        </is>
      </c>
      <c r="G43" s="33" t="inlineStr">
        <is>
          <t>Italy</t>
        </is>
      </c>
      <c r="H43" s="33" t="inlineStr">
        <is>
          <t>E09 - Cultural Engagement</t>
        </is>
      </c>
      <c r="I43" s="33" t="inlineStr">
        <is>
          <t>https://ascentialcdn.filespin.io/api/v1/conversion/a8d4e72bb1ce47508dcea8db73d16b01</t>
        </is>
      </c>
      <c r="J43" s="33" t="inlineStr">
        <is>
          <t>Cu0FLBdZrcM</t>
        </is>
      </c>
      <c r="L43" s="33" t="inlineStr">
        <is>
          <t>https://www.lovethework.com/work/entries/pub-succession-741618</t>
        </is>
      </c>
    </row>
    <row r="44">
      <c r="A44" s="33" t="n">
        <v>43</v>
      </c>
      <c r="B44" s="109" t="inlineStr">
        <is>
          <t>Bronze</t>
        </is>
      </c>
      <c r="C44" s="107" t="inlineStr">
        <is>
          <t>'The Shining'</t>
        </is>
      </c>
      <c r="D44" s="33" t="inlineStr">
        <is>
          <t>Coca-Cola</t>
        </is>
      </c>
      <c r="E44" s="33" t="inlineStr">
        <is>
          <t>Coca-Cola</t>
        </is>
      </c>
      <c r="F44" s="33" t="inlineStr">
        <is>
          <t>VML</t>
        </is>
      </c>
      <c r="G44" s="33" t="inlineStr">
        <is>
          <t>United States</t>
        </is>
      </c>
      <c r="H44" s="33" t="inlineStr">
        <is>
          <t>A01 - Consumer Goods</t>
        </is>
      </c>
      <c r="I44" s="33" t="inlineStr">
        <is>
          <t>https://ascentialcdn.filespin.io/api/v1/conversion/44405bf6f33b4e919c5b283211199392</t>
        </is>
      </c>
      <c r="J44" s="33" t="inlineStr">
        <is>
          <t>vimeo:1124237531</t>
        </is>
      </c>
      <c r="K44" s="33" t="n"/>
      <c r="L44" s="33" t="inlineStr">
        <is>
          <t>https://www.lovethework.com/work/entries/the-shining-740263</t>
        </is>
      </c>
    </row>
    <row r="45">
      <c r="A45" s="33" t="n">
        <v>44</v>
      </c>
      <c r="B45" s="109" t="inlineStr">
        <is>
          <t>Bronze</t>
        </is>
      </c>
      <c r="C45" s="107" t="inlineStr">
        <is>
          <t>Mimi's Red</t>
        </is>
      </c>
      <c r="D45" s="33" t="inlineStr">
        <is>
          <t>Coca-Cola</t>
        </is>
      </c>
      <c r="E45" s="33" t="inlineStr">
        <is>
          <t>Coca-Cola Company</t>
        </is>
      </c>
      <c r="F45" s="33" t="inlineStr">
        <is>
          <t>DAVID</t>
        </is>
      </c>
      <c r="G45" s="33" t="inlineStr">
        <is>
          <t>Spain</t>
        </is>
      </c>
      <c r="H45" s="33" t="inlineStr">
        <is>
          <t>A01 - Consumer Goods</t>
        </is>
      </c>
      <c r="I45" s="33" t="inlineStr">
        <is>
          <t>https://ascentialcdn.filespin.io/api/v1/conversion/476f91b3c4024d889f9c5a3071d2af7f</t>
        </is>
      </c>
      <c r="J45" s="33" t="inlineStr">
        <is>
          <t>ELBlWKeEqQQ</t>
        </is>
      </c>
      <c r="K45" s="33" t="inlineStr">
        <is>
          <t>coca-cola-shades-of-red</t>
        </is>
      </c>
      <c r="L45" s="33" t="inlineStr">
        <is>
          <t>https://www.lovethework.com/work/entries/mimis-red-740318</t>
        </is>
      </c>
    </row>
    <row r="46">
      <c r="A46" s="33" t="n">
        <v>45</v>
      </c>
      <c r="B46" s="109" t="inlineStr">
        <is>
          <t>Bronze</t>
        </is>
      </c>
      <c r="C46" s="107" t="inlineStr">
        <is>
          <t>Prado's Red</t>
        </is>
      </c>
      <c r="D46" s="33" t="inlineStr">
        <is>
          <t>Coca-Cola</t>
        </is>
      </c>
      <c r="E46" s="33" t="inlineStr">
        <is>
          <t>Coca-Cola Company</t>
        </is>
      </c>
      <c r="F46" s="33" t="inlineStr">
        <is>
          <t>DAVID</t>
        </is>
      </c>
      <c r="G46" s="33" t="inlineStr">
        <is>
          <t>Spain</t>
        </is>
      </c>
      <c r="H46" s="33" t="inlineStr">
        <is>
          <t>A01 - Consumer Goods</t>
        </is>
      </c>
      <c r="I46" s="33" t="inlineStr">
        <is>
          <t>https://ascentialcdn.filespin.io/api/v1/conversion/9d778b6a2550440b9a1b11e17c7ad280</t>
        </is>
      </c>
      <c r="J46" s="33" t="inlineStr">
        <is>
          <t>VGa1imApfdg</t>
        </is>
      </c>
      <c r="K46" s="33" t="inlineStr">
        <is>
          <t>coca-cola-shades-of-red</t>
        </is>
      </c>
      <c r="L46" s="33" t="inlineStr">
        <is>
          <t>https://www.lovethework.com/work/entries/prados-red-740326</t>
        </is>
      </c>
    </row>
    <row r="47">
      <c r="A47" s="33" t="n">
        <v>46</v>
      </c>
      <c r="B47" s="109" t="inlineStr">
        <is>
          <t>Bronze</t>
        </is>
      </c>
      <c r="C47" s="107" t="inlineStr">
        <is>
          <t>El Campo's Red</t>
        </is>
      </c>
      <c r="D47" s="33" t="inlineStr">
        <is>
          <t>Coca-Cola</t>
        </is>
      </c>
      <c r="E47" s="33" t="inlineStr">
        <is>
          <t>Coca-Cola Company</t>
        </is>
      </c>
      <c r="F47" s="33" t="inlineStr">
        <is>
          <t>DAVID</t>
        </is>
      </c>
      <c r="G47" s="33" t="inlineStr">
        <is>
          <t>Spain</t>
        </is>
      </c>
      <c r="H47" s="33" t="inlineStr">
        <is>
          <t>A01 - Consumer Goods</t>
        </is>
      </c>
      <c r="I47" s="33" t="inlineStr">
        <is>
          <t>https://ascentialcdn.filespin.io/api/v1/conversion/cc0c84dd54874fdea4173e4874a381c3</t>
        </is>
      </c>
      <c r="J47" s="33" t="inlineStr">
        <is>
          <t>WcQDr4HxPKU</t>
        </is>
      </c>
      <c r="K47" s="33" t="inlineStr">
        <is>
          <t>coca-cola-shades-of-red</t>
        </is>
      </c>
      <c r="L47" s="33" t="inlineStr">
        <is>
          <t>https://www.lovethework.com/work/entries/el-campos-red-740334</t>
        </is>
      </c>
    </row>
    <row r="48">
      <c r="A48" s="33" t="n">
        <v>47</v>
      </c>
      <c r="B48" s="109" t="inlineStr">
        <is>
          <t>Bronze</t>
        </is>
      </c>
      <c r="C48" s="107" t="inlineStr">
        <is>
          <t>Corona Eclipse - Uruguay</t>
        </is>
      </c>
      <c r="D48" s="33" t="inlineStr">
        <is>
          <t>Corona</t>
        </is>
      </c>
      <c r="E48" s="33" t="inlineStr">
        <is>
          <t>Corona</t>
        </is>
      </c>
      <c r="F48" s="33" t="inlineStr">
        <is>
          <t>DAVID</t>
        </is>
      </c>
      <c r="G48" s="33" t="inlineStr">
        <is>
          <t>United States</t>
        </is>
      </c>
      <c r="H48" s="33" t="inlineStr">
        <is>
          <t>A01 - Consumer Goods</t>
        </is>
      </c>
      <c r="I48" s="33" t="inlineStr">
        <is>
          <t>https://ascentialcdn.filespin.io/api/v1/conversion/77eb12aacaf340e1b7d9e79c99556281</t>
        </is>
      </c>
      <c r="J48" s="33" t="inlineStr">
        <is>
          <t>ViJvHO9BxvU</t>
        </is>
      </c>
      <c r="K48" s="33" t="inlineStr">
        <is>
          <t>corona-a01-consumer-goods</t>
        </is>
      </c>
      <c r="L48" s="33" t="inlineStr">
        <is>
          <t>https://www.lovethework.com/work/entries/corona-eclipse-uruguay-740235</t>
        </is>
      </c>
    </row>
    <row r="49">
      <c r="A49" s="33" t="n">
        <v>48</v>
      </c>
      <c r="B49" s="109" t="inlineStr">
        <is>
          <t>Bronze</t>
        </is>
      </c>
      <c r="C49" s="107" t="inlineStr">
        <is>
          <t>Corona Eclipse - Argentina 1</t>
        </is>
      </c>
      <c r="D49" s="33" t="inlineStr">
        <is>
          <t>Corona</t>
        </is>
      </c>
      <c r="E49" s="33" t="inlineStr">
        <is>
          <t>Corona</t>
        </is>
      </c>
      <c r="F49" s="33" t="inlineStr">
        <is>
          <t>DAVID</t>
        </is>
      </c>
      <c r="G49" s="33" t="inlineStr">
        <is>
          <t>United States</t>
        </is>
      </c>
      <c r="H49" s="33" t="inlineStr">
        <is>
          <t>A01 - Consumer Goods</t>
        </is>
      </c>
      <c r="I49" s="33" t="inlineStr">
        <is>
          <t>https://ascentialcdn.filespin.io/api/v1/conversion/923c26278b3042ac83d908e11d20b46c</t>
        </is>
      </c>
      <c r="J49" s="33" t="inlineStr">
        <is>
          <t>pitw8c1AXpI</t>
        </is>
      </c>
      <c r="K49" s="33" t="inlineStr">
        <is>
          <t>corona-a01-consumer-goods</t>
        </is>
      </c>
      <c r="L49" s="33" t="inlineStr">
        <is>
          <t>https://www.lovethework.com/work/entries/corona-eclipse-argentina-1-740248</t>
        </is>
      </c>
    </row>
    <row r="50">
      <c r="A50" s="33" t="n">
        <v>49</v>
      </c>
      <c r="B50" s="109" t="inlineStr">
        <is>
          <t>Bronze</t>
        </is>
      </c>
      <c r="C50" s="107" t="inlineStr">
        <is>
          <t>Corona Eclipse - Argentina 2</t>
        </is>
      </c>
      <c r="D50" s="33" t="inlineStr">
        <is>
          <t>Corona</t>
        </is>
      </c>
      <c r="E50" s="33" t="inlineStr">
        <is>
          <t>Corona</t>
        </is>
      </c>
      <c r="F50" s="33" t="inlineStr">
        <is>
          <t>DAVID</t>
        </is>
      </c>
      <c r="G50" s="33" t="inlineStr">
        <is>
          <t>United States</t>
        </is>
      </c>
      <c r="H50" s="33" t="inlineStr">
        <is>
          <t>A01 - Consumer Goods</t>
        </is>
      </c>
      <c r="I50" s="33" t="inlineStr">
        <is>
          <t>https://ascentialcdn.filespin.io/api/v1/conversion/7a260b4ceb6f4f7c998edf6aa5b09344</t>
        </is>
      </c>
      <c r="J50" s="33" t="inlineStr">
        <is>
          <t>pitw8c1AXpI</t>
        </is>
      </c>
      <c r="K50" s="33" t="inlineStr">
        <is>
          <t>corona-a01-consumer-goods</t>
        </is>
      </c>
      <c r="L50" s="33" t="inlineStr">
        <is>
          <t>https://www.lovethework.com/work/entries/corona-eclipse-argentina-2-740260</t>
        </is>
      </c>
    </row>
    <row r="51">
      <c r="A51" s="33" t="n">
        <v>50</v>
      </c>
      <c r="B51" s="109" t="inlineStr">
        <is>
          <t>Bronze</t>
        </is>
      </c>
      <c r="C51" s="107" t="inlineStr">
        <is>
          <t>Price Packs - Chips</t>
        </is>
      </c>
      <c r="D51" s="33" t="inlineStr">
        <is>
          <t>Penny</t>
        </is>
      </c>
      <c r="E51" s="33" t="inlineStr">
        <is>
          <t>Food/Non-Food</t>
        </is>
      </c>
      <c r="F51" s="33" t="inlineStr">
        <is>
          <t>Serviceplan Germany</t>
        </is>
      </c>
      <c r="G51" s="33" t="inlineStr">
        <is>
          <t>Germany</t>
        </is>
      </c>
      <c r="H51" s="33" t="inlineStr">
        <is>
          <t>A04 - Travel, Leisure, Retail, Restaurants &amp; Fast-Food Chains</t>
        </is>
      </c>
      <c r="I51" s="33" t="inlineStr">
        <is>
          <t>https://ascentialcdn.filespin.io/api/v1/conversion/27ff97121fa2498480c1c23ae148604d</t>
        </is>
      </c>
      <c r="J51" s="33" t="inlineStr">
        <is>
          <t>wXx6z3mDnVc</t>
        </is>
      </c>
      <c r="K51" s="33" t="inlineStr">
        <is>
          <t>penny-a04-travel-leisure-retail-restaurants-fast-food-chains</t>
        </is>
      </c>
      <c r="L51" s="33" t="inlineStr">
        <is>
          <t>https://www.lovethework.com/work/entries/price-packs-chips-740364</t>
        </is>
      </c>
    </row>
    <row r="52">
      <c r="A52" s="33" t="n">
        <v>51</v>
      </c>
      <c r="B52" s="109" t="inlineStr">
        <is>
          <t>Bronze</t>
        </is>
      </c>
      <c r="C52" s="107" t="inlineStr">
        <is>
          <t>Price Packs - Oatmeal</t>
        </is>
      </c>
      <c r="D52" s="33" t="inlineStr">
        <is>
          <t>Penny</t>
        </is>
      </c>
      <c r="E52" s="33" t="inlineStr">
        <is>
          <t>Food/Non-Food</t>
        </is>
      </c>
      <c r="F52" s="33" t="inlineStr">
        <is>
          <t>Serviceplan Germany</t>
        </is>
      </c>
      <c r="G52" s="33" t="inlineStr">
        <is>
          <t>Germany</t>
        </is>
      </c>
      <c r="H52" s="33" t="inlineStr">
        <is>
          <t>A04 - Travel, Leisure, Retail, Restaurants &amp; Fast-Food Chains</t>
        </is>
      </c>
      <c r="I52" s="33" t="inlineStr">
        <is>
          <t>https://ascentialcdn.filespin.io/api/v1/conversion/c3069b2a659a442aaabf5389719b9fa6</t>
        </is>
      </c>
      <c r="J52" s="33" t="inlineStr">
        <is>
          <t>cnAXR4lk6R0</t>
        </is>
      </c>
      <c r="K52" s="33" t="inlineStr">
        <is>
          <t>penny-a04-travel-leisure-retail-restaurants-fast-food-chains</t>
        </is>
      </c>
      <c r="L52" s="33" t="inlineStr">
        <is>
          <t>https://www.lovethework.com/work/entries/price-packs-oatmeal-740376</t>
        </is>
      </c>
    </row>
    <row r="53">
      <c r="A53" s="33" t="n">
        <v>52</v>
      </c>
      <c r="B53" s="109" t="inlineStr">
        <is>
          <t>Bronze</t>
        </is>
      </c>
      <c r="C53" s="107" t="inlineStr">
        <is>
          <t>Price Packs - Toast</t>
        </is>
      </c>
      <c r="D53" s="33" t="inlineStr">
        <is>
          <t>Penny</t>
        </is>
      </c>
      <c r="E53" s="33" t="inlineStr">
        <is>
          <t>Food/Non-Food</t>
        </is>
      </c>
      <c r="F53" s="33" t="inlineStr">
        <is>
          <t>Serviceplan Germany</t>
        </is>
      </c>
      <c r="G53" s="33" t="inlineStr">
        <is>
          <t>Germany</t>
        </is>
      </c>
      <c r="H53" s="33" t="inlineStr">
        <is>
          <t>A04 - Travel, Leisure, Retail, Restaurants &amp; Fast-Food Chains</t>
        </is>
      </c>
      <c r="I53" s="33" t="inlineStr">
        <is>
          <t>https://ascentialcdn.filespin.io/api/v1/conversion/0f62d161bf704e03bcece90e78e11d29</t>
        </is>
      </c>
      <c r="J53" s="33" t="inlineStr">
        <is>
          <t>7GVxwv6ZNfw</t>
        </is>
      </c>
      <c r="K53" s="33" t="inlineStr">
        <is>
          <t>penny-a04-travel-leisure-retail-restaurants-fast-food-chains</t>
        </is>
      </c>
      <c r="L53" s="33" t="inlineStr">
        <is>
          <t>https://www.lovethework.com/work/entries/price-packs-toast-740385</t>
        </is>
      </c>
    </row>
    <row r="54">
      <c r="A54" s="33" t="n">
        <v>53</v>
      </c>
      <c r="B54" s="109" t="inlineStr">
        <is>
          <t>Bronze</t>
        </is>
      </c>
      <c r="C54" s="107" t="inlineStr">
        <is>
          <t>The Sip of Sanctuary</t>
        </is>
      </c>
      <c r="D54" s="33" t="inlineStr">
        <is>
          <t>Stella Artois</t>
        </is>
      </c>
      <c r="E54" s="33" t="inlineStr">
        <is>
          <t>Stella Artois</t>
        </is>
      </c>
      <c r="F54" s="33" t="inlineStr">
        <is>
          <t>GREY</t>
        </is>
      </c>
      <c r="G54" s="33" t="inlineStr">
        <is>
          <t>United Kingdom</t>
        </is>
      </c>
      <c r="H54" s="33" t="inlineStr">
        <is>
          <t>B01 - Consumer Goods</t>
        </is>
      </c>
      <c r="I54" s="33" t="inlineStr">
        <is>
          <t>https://ascentialcdn.filespin.io/api/v1/conversion/bc046e548975443980453424bc30515a</t>
        </is>
      </c>
      <c r="J54" s="33" t="inlineStr"/>
      <c r="K54" s="33" t="inlineStr">
        <is>
          <t>stella-artois-philosophical</t>
        </is>
      </c>
      <c r="L54" s="33" t="inlineStr">
        <is>
          <t>https://www.lovethework.com/work/entries/the-sip-of-sanctuary-740553</t>
        </is>
      </c>
    </row>
    <row r="55">
      <c r="A55" s="33" t="n">
        <v>54</v>
      </c>
      <c r="B55" s="109" t="inlineStr">
        <is>
          <t>Bronze</t>
        </is>
      </c>
      <c r="C55" s="107" t="inlineStr">
        <is>
          <t>Happiness Within Chaos</t>
        </is>
      </c>
      <c r="D55" s="33" t="inlineStr">
        <is>
          <t>Stella Artois</t>
        </is>
      </c>
      <c r="E55" s="33" t="inlineStr">
        <is>
          <t>Stella Artois</t>
        </is>
      </c>
      <c r="F55" s="33" t="inlineStr">
        <is>
          <t>GREY</t>
        </is>
      </c>
      <c r="G55" s="33" t="inlineStr">
        <is>
          <t>United Kingdom</t>
        </is>
      </c>
      <c r="H55" s="33" t="inlineStr">
        <is>
          <t>B01 - Consumer Goods</t>
        </is>
      </c>
      <c r="I55" s="33" t="inlineStr">
        <is>
          <t>https://ascentialcdn.filespin.io/api/v1/conversion/882ea591b6fa40b29a529180b71afa65</t>
        </is>
      </c>
      <c r="J55" s="33" t="n"/>
      <c r="K55" s="33" t="inlineStr">
        <is>
          <t>stella-artois-philosophical</t>
        </is>
      </c>
      <c r="L55" s="33" t="inlineStr">
        <is>
          <t>https://www.lovethework.com/work/entries/happiness-within-chaos-740366</t>
        </is>
      </c>
    </row>
    <row r="56">
      <c r="A56" s="33" t="n">
        <v>55</v>
      </c>
      <c r="B56" s="109" t="inlineStr">
        <is>
          <t>Bronze</t>
        </is>
      </c>
      <c r="C56" s="107" t="inlineStr">
        <is>
          <t>Protector of the Chalice</t>
        </is>
      </c>
      <c r="D56" s="33" t="inlineStr">
        <is>
          <t>Stella Artois</t>
        </is>
      </c>
      <c r="E56" s="33" t="inlineStr">
        <is>
          <t>Stella Artois</t>
        </is>
      </c>
      <c r="F56" s="33" t="inlineStr">
        <is>
          <t>GREY</t>
        </is>
      </c>
      <c r="G56" s="33" t="inlineStr">
        <is>
          <t>United Kingdom</t>
        </is>
      </c>
      <c r="H56" s="33" t="inlineStr">
        <is>
          <t>B01 - Consumer Goods</t>
        </is>
      </c>
      <c r="I56" s="33" t="inlineStr">
        <is>
          <t>https://ascentialcdn.filespin.io/api/v1/conversion/a33c9462c05d4330895b056745b6a602</t>
        </is>
      </c>
      <c r="J56" s="33" t="inlineStr"/>
      <c r="K56" s="33" t="inlineStr">
        <is>
          <t>stella-artois-philosophical</t>
        </is>
      </c>
      <c r="L56" s="33" t="inlineStr">
        <is>
          <t>https://www.lovethework.com/work/entries/protector-of-the-chalice-740439</t>
        </is>
      </c>
    </row>
    <row r="57">
      <c r="A57" s="33" t="n">
        <v>56</v>
      </c>
      <c r="B57" s="109" t="inlineStr">
        <is>
          <t>Bronze</t>
        </is>
      </c>
      <c r="C57" s="107" t="inlineStr">
        <is>
          <t>Likes</t>
        </is>
      </c>
      <c r="D57" s="33" t="inlineStr">
        <is>
          <t>History Channel</t>
        </is>
      </c>
      <c r="E57" s="33" t="inlineStr">
        <is>
          <t>History Channel</t>
        </is>
      </c>
      <c r="F57" s="33" t="inlineStr">
        <is>
          <t>Dentsu Creative</t>
        </is>
      </c>
      <c r="G57" s="33" t="inlineStr">
        <is>
          <t>Portugal</t>
        </is>
      </c>
      <c r="H57" s="33" t="inlineStr">
        <is>
          <t>B05 - Media/Entertainment</t>
        </is>
      </c>
      <c r="I57" s="33" t="inlineStr">
        <is>
          <t>https://ascentialcdn.filespin.io/api/v1/conversion/9e6eef6a84b640f9b2da45ad47d321c9</t>
        </is>
      </c>
      <c r="J57" s="33" t="inlineStr">
        <is>
          <t>5xRoKPmsEDI</t>
        </is>
      </c>
      <c r="K57" s="33" t="inlineStr">
        <is>
          <t>history-channel-b05-media-entertainment</t>
        </is>
      </c>
      <c r="L57" s="33" t="inlineStr">
        <is>
          <t>https://www.lovethework.com/work/entries/likes-763469</t>
        </is>
      </c>
    </row>
    <row r="58">
      <c r="A58" s="33" t="n">
        <v>57</v>
      </c>
      <c r="B58" s="109" t="inlineStr">
        <is>
          <t>Bronze</t>
        </is>
      </c>
      <c r="C58" s="107" t="inlineStr">
        <is>
          <t>Marches</t>
        </is>
      </c>
      <c r="D58" s="33" t="inlineStr">
        <is>
          <t>History Channel</t>
        </is>
      </c>
      <c r="E58" s="33" t="inlineStr">
        <is>
          <t>History Channel</t>
        </is>
      </c>
      <c r="F58" s="33" t="inlineStr">
        <is>
          <t>Dentsu Creative</t>
        </is>
      </c>
      <c r="G58" s="33" t="inlineStr">
        <is>
          <t>Portugal</t>
        </is>
      </c>
      <c r="H58" s="33" t="inlineStr">
        <is>
          <t>B05 - Media/Entertainment</t>
        </is>
      </c>
      <c r="I58" s="33" t="inlineStr">
        <is>
          <t>https://ascentialcdn.filespin.io/api/v1/conversion/848c6f5fe00a4cc2be171136fcd87b87</t>
        </is>
      </c>
      <c r="J58" s="33" t="inlineStr">
        <is>
          <t>H6qzUSoN2Pc</t>
        </is>
      </c>
      <c r="K58" s="33" t="inlineStr">
        <is>
          <t>history-channel-b05-media-entertainment</t>
        </is>
      </c>
      <c r="L58" s="33" t="inlineStr">
        <is>
          <t>https://www.lovethework.com/work/entries/marches-763480</t>
        </is>
      </c>
    </row>
    <row r="59">
      <c r="A59" s="33" t="n">
        <v>58</v>
      </c>
      <c r="B59" s="109" t="inlineStr">
        <is>
          <t>Bronze</t>
        </is>
      </c>
      <c r="C59" s="107" t="inlineStr">
        <is>
          <t>Crimes</t>
        </is>
      </c>
      <c r="D59" s="33" t="inlineStr">
        <is>
          <t>History Channel</t>
        </is>
      </c>
      <c r="E59" s="33" t="inlineStr">
        <is>
          <t>History Channel</t>
        </is>
      </c>
      <c r="F59" s="33" t="inlineStr">
        <is>
          <t>Dentsu Creative</t>
        </is>
      </c>
      <c r="G59" s="33" t="inlineStr">
        <is>
          <t>Portugal</t>
        </is>
      </c>
      <c r="H59" s="33" t="inlineStr">
        <is>
          <t>B05 - Media/Entertainment</t>
        </is>
      </c>
      <c r="I59" s="33" t="inlineStr">
        <is>
          <t>https://ascentialcdn.filespin.io/api/v1/conversion/2aba4c2194414c37b9cf328c0dcc193f</t>
        </is>
      </c>
      <c r="J59" s="33" t="inlineStr">
        <is>
          <t>SDME83-pHnQ</t>
        </is>
      </c>
      <c r="K59" s="33" t="inlineStr">
        <is>
          <t>history-channel-b05-media-entertainment</t>
        </is>
      </c>
      <c r="L59" s="33" t="inlineStr">
        <is>
          <t>https://www.lovethework.com/work/entries/crimes-763490</t>
        </is>
      </c>
    </row>
    <row r="60">
      <c r="A60" s="33" t="n">
        <v>59</v>
      </c>
      <c r="B60" s="109" t="inlineStr">
        <is>
          <t>Bronze</t>
        </is>
      </c>
      <c r="C60" s="107" t="inlineStr">
        <is>
          <t>Signs from Heaven</t>
        </is>
      </c>
      <c r="D60" s="33" t="inlineStr">
        <is>
          <t>Pangu Cloud</t>
        </is>
      </c>
      <c r="E60" s="33" t="inlineStr">
        <is>
          <t>Pangu Meteorological Model</t>
        </is>
      </c>
      <c r="F60" s="33" t="inlineStr">
        <is>
          <t>Ogilvy</t>
        </is>
      </c>
      <c r="G60" s="33" t="inlineStr">
        <is>
          <t>China</t>
        </is>
      </c>
      <c r="H60" s="33" t="inlineStr">
        <is>
          <t>C01 - Displays</t>
        </is>
      </c>
      <c r="I60" s="33" t="inlineStr">
        <is>
          <t>https://ascentialcdn.filespin.io/api/v1/conversion/09dbff10bf5e4eaeae2d578fe9cc19b0</t>
        </is>
      </c>
      <c r="J60" s="33" t="inlineStr">
        <is>
          <t>CLTN81ECv6E</t>
        </is>
      </c>
      <c r="L60" s="33" t="inlineStr">
        <is>
          <t>https://www.lovethework.com/work/entries/signs-from-heaven-740708</t>
        </is>
      </c>
    </row>
    <row r="61">
      <c r="A61" s="33" t="n">
        <v>60</v>
      </c>
      <c r="B61" s="109" t="inlineStr">
        <is>
          <t>Bronze</t>
        </is>
      </c>
      <c r="C61" s="107" t="inlineStr">
        <is>
          <t>Smile 20</t>
        </is>
      </c>
      <c r="D61" s="33" t="inlineStr">
        <is>
          <t>Goody's Pain Powder</t>
        </is>
      </c>
      <c r="E61" s="33" t="inlineStr">
        <is>
          <t>Goody's Pain Powder</t>
        </is>
      </c>
      <c r="F61" s="33" t="inlineStr">
        <is>
          <t>FCB Chicago</t>
        </is>
      </c>
      <c r="G61" s="33" t="inlineStr">
        <is>
          <t>United States</t>
        </is>
      </c>
      <c r="H61" s="33" t="inlineStr">
        <is>
          <t>C02 - Interactive/Dynamic Digital Screens</t>
        </is>
      </c>
      <c r="I61" s="33" t="inlineStr">
        <is>
          <t>https://ascentialcdn.filespin.io/api/v1/conversion/102f0d648c284c6e98ed2de341d6a49d</t>
        </is>
      </c>
      <c r="J61" s="33" t="inlineStr">
        <is>
          <t>vimeo:1081666376</t>
        </is>
      </c>
      <c r="L61" s="33" t="inlineStr">
        <is>
          <t>https://www.lovethework.com/work/entries/smile-20-740676</t>
        </is>
      </c>
    </row>
    <row r="62">
      <c r="A62" s="33" t="n">
        <v>61</v>
      </c>
      <c r="B62" s="109" t="inlineStr">
        <is>
          <t>Bronze</t>
        </is>
      </c>
      <c r="C62" s="107" t="inlineStr">
        <is>
          <t>Carrefoursa - Ghost Town</t>
        </is>
      </c>
      <c r="D62" s="33" t="inlineStr">
        <is>
          <t>Carrefoursa</t>
        </is>
      </c>
      <c r="E62" s="33" t="inlineStr">
        <is>
          <t>Retail</t>
        </is>
      </c>
      <c r="F62" s="33" t="inlineStr">
        <is>
          <t>TBWA\Istanbul</t>
        </is>
      </c>
      <c r="G62" s="33" t="inlineStr">
        <is>
          <t>Turkey</t>
        </is>
      </c>
      <c r="H62" s="33" t="inlineStr">
        <is>
          <t>C03 - Special Build</t>
        </is>
      </c>
      <c r="I62" s="33" t="inlineStr">
        <is>
          <t>https://ascentialcdn.filespin.io/api/v1/conversion/7aeda253bc4a4f4e8c659c64a4721596</t>
        </is>
      </c>
      <c r="J62" s="33" t="inlineStr">
        <is>
          <t>0tKFbogECr4</t>
        </is>
      </c>
      <c r="L62" s="33" t="inlineStr">
        <is>
          <t>https://www.lovethework.com/work/entries/carrefoursa-ghost-town-740781</t>
        </is>
      </c>
    </row>
    <row r="63">
      <c r="A63" s="33" t="n">
        <v>62</v>
      </c>
      <c r="B63" s="109" t="inlineStr">
        <is>
          <t>Bronze</t>
        </is>
      </c>
      <c r="C63" s="107" t="inlineStr">
        <is>
          <t>Chai Bansuri - the Tea Flute</t>
        </is>
      </c>
      <c r="D63" s="33" t="inlineStr">
        <is>
          <t>Unilever</t>
        </is>
      </c>
      <c r="E63" s="33" t="inlineStr">
        <is>
          <t>Brooke Bond Taj Mahal Tea</t>
        </is>
      </c>
      <c r="F63" s="33" t="inlineStr">
        <is>
          <t>Ogilvy</t>
        </is>
      </c>
      <c r="G63" s="33" t="inlineStr">
        <is>
          <t>India</t>
        </is>
      </c>
      <c r="H63" s="33" t="inlineStr">
        <is>
          <t>C04 - Live Advertising and Events</t>
        </is>
      </c>
      <c r="I63" s="33" t="inlineStr">
        <is>
          <t>https://ascentialcdn.filespin.io/api/v1/conversion/b79b43804eae486ea54374794321d26f</t>
        </is>
      </c>
      <c r="J63" s="33" t="inlineStr">
        <is>
          <t>rUaCL7lrVa4</t>
        </is>
      </c>
      <c r="L63" s="33" t="inlineStr">
        <is>
          <t>https://www.lovethework.com/work/entries/chai-bansuri-the-tea-flute-740791</t>
        </is>
      </c>
    </row>
    <row r="64">
      <c r="A64" s="33" t="n">
        <v>63</v>
      </c>
      <c r="B64" s="109" t="inlineStr">
        <is>
          <t>Bronze</t>
        </is>
      </c>
      <c r="C64" s="107" t="inlineStr">
        <is>
          <t>Worst Children's Library</t>
        </is>
      </c>
      <c r="D64" s="33" t="inlineStr">
        <is>
          <t>Samsung</t>
        </is>
      </c>
      <c r="E64" s="33" t="inlineStr">
        <is>
          <t>Samsung</t>
        </is>
      </c>
      <c r="F64" s="33" t="inlineStr">
        <is>
          <t>DDB New Zealand</t>
        </is>
      </c>
      <c r="G64" s="33" t="inlineStr">
        <is>
          <t>New Zealand</t>
        </is>
      </c>
      <c r="H64" s="33" t="inlineStr">
        <is>
          <t>C05 - Interactive Experiences</t>
        </is>
      </c>
      <c r="I64" s="33" t="inlineStr">
        <is>
          <t>https://ascentialcdn.filespin.io/api/v1/conversion/0e92a3c97dfe4f05b663ae448b0f27d4</t>
        </is>
      </c>
      <c r="J64" s="33" t="inlineStr">
        <is>
          <t>VGa1imApfdg</t>
        </is>
      </c>
      <c r="L64" s="33" t="inlineStr">
        <is>
          <t>https://www.lovethework.com/work/entries/worst-childrens-library-740810</t>
        </is>
      </c>
    </row>
    <row r="65">
      <c r="A65" s="33" t="n">
        <v>64</v>
      </c>
      <c r="B65" s="109" t="inlineStr">
        <is>
          <t>Bronze</t>
        </is>
      </c>
      <c r="C65" s="107" t="inlineStr">
        <is>
          <t>Mayo Exchange</t>
        </is>
      </c>
      <c r="D65" s="33" t="inlineStr">
        <is>
          <t>Hellmann's</t>
        </is>
      </c>
      <c r="E65" s="33" t="inlineStr">
        <is>
          <t>Hellmann's Mayonnaise</t>
        </is>
      </c>
      <c r="F65" s="33" t="inlineStr">
        <is>
          <t>Edelman</t>
        </is>
      </c>
      <c r="G65" s="33" t="inlineStr">
        <is>
          <t>United Kingdom</t>
        </is>
      </c>
      <c r="H65" s="33" t="inlineStr">
        <is>
          <t>C05 - Interactive Experiences</t>
        </is>
      </c>
      <c r="I65" s="33" t="inlineStr">
        <is>
          <t>https://ascentialcdn.filespin.io/api/v1/conversion/2f963ba6e5b3402fb58a7907daa78953</t>
        </is>
      </c>
      <c r="J65" s="33" t="inlineStr">
        <is>
          <t>4NpEnDNRwc0</t>
        </is>
      </c>
      <c r="L65" s="33" t="inlineStr">
        <is>
          <t>https://www.lovethework.com/work/entries/mayo-exchange-740956</t>
        </is>
      </c>
    </row>
    <row r="66">
      <c r="A66" s="33" t="n">
        <v>65</v>
      </c>
      <c r="B66" s="109" t="inlineStr">
        <is>
          <t>Bronze</t>
        </is>
      </c>
      <c r="C66" s="107" t="inlineStr">
        <is>
          <t>Touchboards Discount</t>
        </is>
      </c>
      <c r="D66" s="33" t="inlineStr">
        <is>
          <t>Itaú Unibanco</t>
        </is>
      </c>
      <c r="E66" s="33" t="inlineStr">
        <is>
          <t>Bank</t>
        </is>
      </c>
      <c r="F66" s="33" t="inlineStr">
        <is>
          <t>Africa Creative DDB</t>
        </is>
      </c>
      <c r="G66" s="33" t="inlineStr">
        <is>
          <t>Brazil</t>
        </is>
      </c>
      <c r="H66" s="33" t="inlineStr">
        <is>
          <t>C05 - Interactive Experiences</t>
        </is>
      </c>
      <c r="I66" s="33" t="inlineStr">
        <is>
          <t>https://ascentialcdn.filespin.io/api/v1/conversion/e14b84bfe13a475898db5ad4b54d8a97</t>
        </is>
      </c>
      <c r="J66" s="33" t="inlineStr">
        <is>
          <t>vimeo:1136599182</t>
        </is>
      </c>
      <c r="L66" s="33" t="inlineStr">
        <is>
          <t>https://www.lovethework.com/work/entries/touchboards-discount-740763</t>
        </is>
      </c>
    </row>
    <row r="67">
      <c r="A67" s="33" t="n">
        <v>66</v>
      </c>
      <c r="B67" s="109" t="inlineStr">
        <is>
          <t>Bronze</t>
        </is>
      </c>
      <c r="C67" s="107" t="inlineStr">
        <is>
          <t>Followers Store</t>
        </is>
      </c>
      <c r="D67" s="33" t="inlineStr">
        <is>
          <t>New Balance</t>
        </is>
      </c>
      <c r="E67" s="33" t="inlineStr">
        <is>
          <t>New Balance</t>
        </is>
      </c>
      <c r="F67" s="33" t="inlineStr">
        <is>
          <t>LePub</t>
        </is>
      </c>
      <c r="G67" s="33" t="inlineStr">
        <is>
          <t>Brazil</t>
        </is>
      </c>
      <c r="H67" s="33" t="inlineStr">
        <is>
          <t>C06 - Transit</t>
        </is>
      </c>
      <c r="I67" s="33" t="inlineStr">
        <is>
          <t>https://ascentialcdn.filespin.io/api/v1/conversion/3f6078e96a9a4e17acada7c2ad04d652</t>
        </is>
      </c>
      <c r="J67" s="33" t="inlineStr">
        <is>
          <t>uYskstOPF4U</t>
        </is>
      </c>
      <c r="L67" s="33" t="inlineStr">
        <is>
          <t>https://www.lovethework.com/work/entries/followers-store-741098</t>
        </is>
      </c>
    </row>
    <row r="68">
      <c r="A68" s="33" t="n">
        <v>67</v>
      </c>
      <c r="B68" s="109" t="inlineStr">
        <is>
          <t>Bronze</t>
        </is>
      </c>
      <c r="C68" s="107" t="inlineStr">
        <is>
          <t>Lucky Yatra</t>
        </is>
      </c>
      <c r="D68" s="33" t="inlineStr">
        <is>
          <t>Indian Railways</t>
        </is>
      </c>
      <c r="E68" s="33" t="inlineStr">
        <is>
          <t>Railway Service</t>
        </is>
      </c>
      <c r="F68" s="33" t="inlineStr">
        <is>
          <t>FCB India</t>
        </is>
      </c>
      <c r="G68" s="33" t="inlineStr">
        <is>
          <t>India</t>
        </is>
      </c>
      <c r="H68" s="33" t="inlineStr">
        <is>
          <t>C06 - Transit</t>
        </is>
      </c>
      <c r="I68" s="33" t="inlineStr">
        <is>
          <t>https://ascentialcdn.filespin.io/api/v1/conversion/cf238077a73e4204aff7e28913d98b1d</t>
        </is>
      </c>
      <c r="J68" s="33" t="inlineStr">
        <is>
          <t>IYJlZRbvMEw</t>
        </is>
      </c>
      <c r="L68" s="33" t="inlineStr">
        <is>
          <t>https://www.lovethework.com/work/entries/lucky-yatra-741094</t>
        </is>
      </c>
    </row>
    <row r="69">
      <c r="A69" s="33" t="n">
        <v>68</v>
      </c>
      <c r="B69" s="109" t="inlineStr">
        <is>
          <t>Bronze</t>
        </is>
      </c>
      <c r="C69" s="107" t="inlineStr">
        <is>
          <t>Hidden Message</t>
        </is>
      </c>
      <c r="D69" s="33" t="inlineStr">
        <is>
          <t>Heineken</t>
        </is>
      </c>
      <c r="E69" s="33" t="inlineStr">
        <is>
          <t>Heineken</t>
        </is>
      </c>
      <c r="F69" s="33" t="inlineStr">
        <is>
          <t>LePub</t>
        </is>
      </c>
      <c r="G69" s="33" t="inlineStr">
        <is>
          <t>Italy</t>
        </is>
      </c>
      <c r="H69" s="33" t="inlineStr">
        <is>
          <t>D03 - Technology</t>
        </is>
      </c>
      <c r="I69" s="33" t="inlineStr">
        <is>
          <t>https://ascentialcdn.filespin.io/api/v1/conversion/459dc31c901d4c3385f219939e6621a9</t>
        </is>
      </c>
      <c r="J69" s="33" t="inlineStr">
        <is>
          <t>PPtbr6aJ7_A</t>
        </is>
      </c>
      <c r="L69" s="33" t="inlineStr">
        <is>
          <t>https://www.lovethework.com/work/entries/hidden-message-741175</t>
        </is>
      </c>
    </row>
    <row r="70">
      <c r="A70" s="33" t="n">
        <v>69</v>
      </c>
      <c r="B70" s="109" t="inlineStr">
        <is>
          <t>Bronze</t>
        </is>
      </c>
      <c r="C70" s="107" t="inlineStr">
        <is>
          <t>The Shaded Route</t>
        </is>
      </c>
      <c r="D70" s="33" t="inlineStr">
        <is>
          <t>HungerStation</t>
        </is>
      </c>
      <c r="E70" s="33" t="inlineStr">
        <is>
          <t>HungerStation Delivery App</t>
        </is>
      </c>
      <c r="F70" s="33" t="inlineStr">
        <is>
          <t>VML</t>
        </is>
      </c>
      <c r="G70" s="33" t="inlineStr">
        <is>
          <t>Saudi Arabia</t>
        </is>
      </c>
      <c r="H70" s="33" t="inlineStr">
        <is>
          <t>D03 - Technology</t>
        </is>
      </c>
      <c r="I70" s="33" t="inlineStr">
        <is>
          <t>https://ascentialcdn.filespin.io/api/v1/conversion/a5387631458b48648c6dba4b21efb3d0</t>
        </is>
      </c>
      <c r="J70" s="33" t="inlineStr">
        <is>
          <t>NZcCfqEoFoo</t>
        </is>
      </c>
      <c r="L70" s="33" t="inlineStr">
        <is>
          <t>https://www.lovethework.com/work/entries/the-shaded-route-741203</t>
        </is>
      </c>
    </row>
    <row r="71">
      <c r="A71" s="33" t="n">
        <v>70</v>
      </c>
      <c r="B71" s="109" t="inlineStr">
        <is>
          <t>Bronze</t>
        </is>
      </c>
      <c r="C71" s="107" t="inlineStr">
        <is>
          <t>Winning Isn't Comfortable</t>
        </is>
      </c>
      <c r="D71" s="33" t="inlineStr">
        <is>
          <t>Nike</t>
        </is>
      </c>
      <c r="E71" s="33" t="inlineStr">
        <is>
          <t>Nike</t>
        </is>
      </c>
      <c r="F71" s="33" t="inlineStr">
        <is>
          <t>Wieden+Kennedy</t>
        </is>
      </c>
      <c r="G71" s="33" t="inlineStr">
        <is>
          <t>United States</t>
        </is>
      </c>
      <c r="H71" s="33" t="inlineStr">
        <is>
          <t>E04 - Social Behaviour</t>
        </is>
      </c>
      <c r="I71" s="33" t="inlineStr">
        <is>
          <t>digital-presentation-images/outdoor-nike-winning-isnt-comfortable.webp</t>
        </is>
      </c>
      <c r="J71" s="33" t="inlineStr">
        <is>
          <t>FFFmnfdBrm8</t>
        </is>
      </c>
      <c r="L71" s="33" t="inlineStr">
        <is>
          <t>https://www.lovethework.com/work/entries/winning-isnt-comfortable-741524</t>
        </is>
      </c>
    </row>
    <row r="72">
      <c r="A72" s="33" t="n">
        <v>71</v>
      </c>
      <c r="B72" s="109" t="inlineStr">
        <is>
          <t>Bronze</t>
        </is>
      </c>
      <c r="C72" s="107" t="inlineStr">
        <is>
          <t>Not for First Dates</t>
        </is>
      </c>
      <c r="D72" s="33" t="inlineStr">
        <is>
          <t>McDonald's</t>
        </is>
      </c>
      <c r="E72" s="33" t="inlineStr">
        <is>
          <t>McDonald's Meals</t>
        </is>
      </c>
      <c r="F72" s="33" t="inlineStr">
        <is>
          <t>FP7 McCann</t>
        </is>
      </c>
      <c r="G72" s="33" t="inlineStr">
        <is>
          <t>United Arab Emirates</t>
        </is>
      </c>
      <c r="H72" s="33" t="inlineStr">
        <is>
          <t>E04 - Social Behaviour</t>
        </is>
      </c>
      <c r="I72" s="33" t="inlineStr">
        <is>
          <t>https://ascentialcdn.filespin.io/api/v1/conversion/591a046477ac42a3973af316aacb0ac5</t>
        </is>
      </c>
      <c r="J72" s="33" t="inlineStr">
        <is>
          <t>A8syQeFtBKc</t>
        </is>
      </c>
      <c r="L72" s="33" t="inlineStr">
        <is>
          <t>https://www.lovethework.com/work/entries/not-for-first-dates-741459</t>
        </is>
      </c>
    </row>
    <row r="73">
      <c r="A73" s="33" t="n">
        <v>72</v>
      </c>
      <c r="B73" s="109" t="inlineStr">
        <is>
          <t>Bronze</t>
        </is>
      </c>
      <c r="C73" s="107" t="inlineStr">
        <is>
          <t>Awkboards</t>
        </is>
      </c>
      <c r="D73" s="33" t="inlineStr">
        <is>
          <t>Life Pharmacy</t>
        </is>
      </c>
      <c r="E73" s="33" t="inlineStr">
        <is>
          <t>OTC Products</t>
        </is>
      </c>
      <c r="F73" s="33" t="inlineStr">
        <is>
          <t>FCB New Zealand</t>
        </is>
      </c>
      <c r="G73" s="33" t="inlineStr">
        <is>
          <t>New Zealand</t>
        </is>
      </c>
      <c r="H73" s="33" t="inlineStr">
        <is>
          <t>E05 - Use of Humour</t>
        </is>
      </c>
      <c r="I73" s="33" t="inlineStr">
        <is>
          <t>https://ascentialcdn.filespin.io/api/v1/conversion/acd8d741c65343949410395ac1ef1341</t>
        </is>
      </c>
      <c r="J73" s="33" t="inlineStr">
        <is>
          <t>vimeo:1065727535</t>
        </is>
      </c>
      <c r="L73" s="33" t="inlineStr">
        <is>
          <t>https://www.lovethework.com/work/entries/awkboards-741401</t>
        </is>
      </c>
    </row>
    <row r="74">
      <c r="A74" s="33" t="n">
        <v>73</v>
      </c>
      <c r="B74" s="109" t="inlineStr">
        <is>
          <t>Bronze</t>
        </is>
      </c>
      <c r="C74" s="107" t="inlineStr">
        <is>
          <t>Trollboards</t>
        </is>
      </c>
      <c r="D74" s="33" t="inlineStr">
        <is>
          <t>Skyscanner</t>
        </is>
      </c>
      <c r="E74" s="33" t="inlineStr">
        <is>
          <t>Skyscanner Search Aggregator and Travel Agency</t>
        </is>
      </c>
      <c r="F74" s="33" t="inlineStr">
        <is>
          <t>Courage</t>
        </is>
      </c>
      <c r="G74" s="33" t="inlineStr">
        <is>
          <t>Canada</t>
        </is>
      </c>
      <c r="H74" s="33" t="inlineStr">
        <is>
          <t>E06 - Breakthrough on a Budget</t>
        </is>
      </c>
      <c r="I74" s="33" t="inlineStr">
        <is>
          <t>https://ascentialcdn.filespin.io/api/v1/conversion/2e3e8abad74c4c44a8e303b53e1f6eea</t>
        </is>
      </c>
      <c r="J74" s="33" t="inlineStr">
        <is>
          <t>vimeo:1030104933</t>
        </is>
      </c>
      <c r="L74" s="33" t="inlineStr">
        <is>
          <t>https://www.lovethework.com/work/entries/trollboards-741387</t>
        </is>
      </c>
    </row>
    <row r="75">
      <c r="A75" s="33" t="n">
        <v>74</v>
      </c>
      <c r="B75" s="109" t="inlineStr">
        <is>
          <t>Bronze</t>
        </is>
      </c>
      <c r="C75" s="107" t="inlineStr">
        <is>
          <t>Save Us from the USA</t>
        </is>
      </c>
      <c r="D75" s="33" t="inlineStr">
        <is>
          <t>Change the Ref</t>
        </is>
      </c>
      <c r="E75" s="33" t="inlineStr">
        <is>
          <t>Gun Violence Awareness</t>
        </is>
      </c>
      <c r="F75" s="33" t="inlineStr">
        <is>
          <t>Stream and Tough Guy</t>
        </is>
      </c>
      <c r="G75" s="33" t="inlineStr">
        <is>
          <t>Portugal</t>
        </is>
      </c>
      <c r="H75" s="33" t="inlineStr">
        <is>
          <t>E08 - Market Disruption</t>
        </is>
      </c>
      <c r="I75" s="33" t="inlineStr">
        <is>
          <t>https://ascentialcdn.filespin.io/api/v1/conversion/01a9990a2bf44119a25722e3b82f52aa</t>
        </is>
      </c>
      <c r="J75" s="33" t="inlineStr">
        <is>
          <t>pSNhG9OHuJw</t>
        </is>
      </c>
      <c r="L75" s="33" t="inlineStr">
        <is>
          <t>https://www.lovethework.com/work/entries/save-us-from-the-usa-741701</t>
        </is>
      </c>
    </row>
    <row r="76">
      <c r="A76" s="33" t="n">
        <v>75</v>
      </c>
      <c r="B76" s="109" t="inlineStr">
        <is>
          <t>Bronze</t>
        </is>
      </c>
      <c r="C76" s="107" t="inlineStr">
        <is>
          <t>See My Name</t>
        </is>
      </c>
      <c r="D76" s="33" t="inlineStr">
        <is>
          <t>Molson Coors</t>
        </is>
      </c>
      <c r="E76" s="33" t="inlineStr">
        <is>
          <t>Molson Coors</t>
        </is>
      </c>
      <c r="F76" s="33" t="inlineStr">
        <is>
          <t>Rethink</t>
        </is>
      </c>
      <c r="G76" s="33" t="inlineStr">
        <is>
          <t>Canada</t>
        </is>
      </c>
      <c r="H76" s="33" t="inlineStr">
        <is>
          <t>E09 - Cultural Engagement</t>
        </is>
      </c>
      <c r="I76" s="33" t="inlineStr">
        <is>
          <t>https://ascentialcdn.filespin.io/api/v1/conversion/50b54ec5009448c5b2d59e4b93bfd487</t>
        </is>
      </c>
      <c r="J76" s="33" t="inlineStr">
        <is>
          <t>8urf8-B-xrE</t>
        </is>
      </c>
      <c r="L76" s="33" t="inlineStr">
        <is>
          <t>https://www.lovethework.com/work/entries/see-my-name-741591</t>
        </is>
      </c>
    </row>
    <row r="77">
      <c r="A77" s="33" t="n">
        <v>76</v>
      </c>
      <c r="B77" s="109" t="inlineStr">
        <is>
          <t>Bronze</t>
        </is>
      </c>
      <c r="C77" s="107" t="inlineStr">
        <is>
          <t>VI Guardian Beads</t>
        </is>
      </c>
      <c r="D77" s="33" t="inlineStr">
        <is>
          <t>VI (Vodafone Idea)</t>
        </is>
      </c>
      <c r="E77" s="33" t="inlineStr">
        <is>
          <t>Holy Beads</t>
        </is>
      </c>
      <c r="F77" s="33" t="inlineStr">
        <is>
          <t>Ogilvy</t>
        </is>
      </c>
      <c r="G77" s="33" t="inlineStr">
        <is>
          <t>India</t>
        </is>
      </c>
      <c r="H77" s="33" t="inlineStr">
        <is>
          <t>E09 - Cultural Engagement</t>
        </is>
      </c>
      <c r="I77" s="33" t="inlineStr">
        <is>
          <t>https://ascentialcdn.filespin.io/api/v1/conversion/b018a310a849410db9cc6b9091ca2dcb</t>
        </is>
      </c>
      <c r="J77" s="33" t="inlineStr">
        <is>
          <t>mp4:videos/vi_guardian_beads.mp4</t>
        </is>
      </c>
      <c r="L77" s="33" t="inlineStr">
        <is>
          <t>https://www.lovethework.com/work/entries/vi-guardian-beads-741561</t>
        </is>
      </c>
    </row>
    <row r="78">
      <c r="A78" s="33" t="n">
        <v>77</v>
      </c>
      <c r="B78" s="109" t="inlineStr">
        <is>
          <t>Bronze</t>
        </is>
      </c>
      <c r="C78" s="107" t="inlineStr">
        <is>
          <t>Aeromexicanos</t>
        </is>
      </c>
      <c r="D78" s="33" t="inlineStr">
        <is>
          <t>Aeromexico</t>
        </is>
      </c>
      <c r="E78" s="33" t="inlineStr">
        <is>
          <t>Aeromexico</t>
        </is>
      </c>
      <c r="F78" s="33" t="inlineStr">
        <is>
          <t>Ogilvy</t>
        </is>
      </c>
      <c r="G78" s="33" t="inlineStr">
        <is>
          <t>Mexico</t>
        </is>
      </c>
      <c r="H78" s="33" t="inlineStr">
        <is>
          <t>E09 - Cultural Engagement</t>
        </is>
      </c>
      <c r="I78" s="33" t="inlineStr">
        <is>
          <t>https://ascentialcdn.filespin.io/api/v1/conversion/f9f2a8cb575c498084f110de98272a4a</t>
        </is>
      </c>
      <c r="J78" s="33" t="inlineStr">
        <is>
          <t>6MDBJbej100</t>
        </is>
      </c>
      <c r="L78" s="33" t="inlineStr">
        <is>
          <t>https://www.lovethework.com/work/entries/aeromexicanos-741588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33" min="1" max="1"/>
    <col width="12" customWidth="1" style="33" min="2" max="2"/>
    <col width="35" customWidth="1" style="33" min="3" max="3"/>
    <col width="13" customWidth="1" style="33" min="4" max="4"/>
    <col width="25" customWidth="1" style="33" min="5" max="5"/>
    <col width="35" customWidth="1" style="33" min="6" max="6"/>
    <col width="18" customWidth="1" style="33" min="7" max="7"/>
    <col width="30" customWidth="1" style="33" min="8" max="8"/>
    <col width="60" customWidth="1" style="33" min="9" max="9"/>
    <col width="13" customWidth="1" style="34" min="10" max="10"/>
    <col width="28" customWidth="1" style="34" min="11" max="11"/>
    <col hidden="1" width="60" customWidth="1" style="34" min="12" max="12"/>
  </cols>
  <sheetData>
    <row r="1" ht="15" customHeight="1" s="34">
      <c r="A1" s="85" t="inlineStr">
        <is>
          <t>#</t>
        </is>
      </c>
      <c r="B1" s="85" t="inlineStr">
        <is>
          <t>Tier</t>
        </is>
      </c>
      <c r="C1" s="85" t="inlineStr">
        <is>
          <t>Campaign</t>
        </is>
      </c>
      <c r="D1" s="85" t="inlineStr">
        <is>
          <t>Brand</t>
        </is>
      </c>
      <c r="E1" s="85" t="inlineStr">
        <is>
          <t>Product/Service</t>
        </is>
      </c>
      <c r="F1" s="85" t="inlineStr">
        <is>
          <t>Agency</t>
        </is>
      </c>
      <c r="G1" s="85" t="inlineStr">
        <is>
          <t>Country</t>
        </is>
      </c>
      <c r="H1" s="85" t="inlineStr">
        <is>
          <t>Subcategory</t>
        </is>
      </c>
      <c r="I1" s="85" t="inlineStr">
        <is>
          <t>Image URL</t>
        </is>
      </c>
      <c r="J1" s="85" t="inlineStr">
        <is>
          <t>YouTube ID</t>
        </is>
      </c>
      <c r="K1" s="110" t="inlineStr">
        <is>
          <t>Campaign Group</t>
        </is>
      </c>
      <c r="L1" s="85" t="inlineStr">
        <is>
          <t>Entry URL</t>
        </is>
      </c>
    </row>
    <row r="2" ht="34.5" customHeight="1" s="34">
      <c r="A2" s="77" t="n">
        <v>1</v>
      </c>
      <c r="B2" s="86" t="inlineStr">
        <is>
          <t>Grand Prix</t>
        </is>
      </c>
      <c r="C2" s="79" t="inlineStr">
        <is>
          <t>Caption with Intention</t>
        </is>
      </c>
      <c r="D2" s="80" t="inlineStr">
        <is>
          <t>Academy of Motion Picture Arts &amp; Sciences / Chicago Hearing Society</t>
        </is>
      </c>
      <c r="E2" s="80" t="inlineStr">
        <is>
          <t>Closed Captioning</t>
        </is>
      </c>
      <c r="F2" s="80" t="inlineStr">
        <is>
          <t>FCB Chicago</t>
        </is>
      </c>
      <c r="G2" s="80" t="inlineStr">
        <is>
          <t>United States</t>
        </is>
      </c>
      <c r="H2" s="80" t="inlineStr">
        <is>
          <t>B01 - Inclusive Design</t>
        </is>
      </c>
      <c r="I2" s="87" t="inlineStr">
        <is>
          <t>https://ascentialcdn.filespin.io/api/v1/conversion/1a22539ff6e94e288d6a3aa1a3a9ace5</t>
        </is>
      </c>
      <c r="J2" s="80" t="inlineStr">
        <is>
          <t>F48khKZhKHM</t>
        </is>
      </c>
      <c r="L2" s="33" t="inlineStr">
        <is>
          <t>https://www.lovethework.com/work/entries/caption-with-intention-758922</t>
        </is>
      </c>
    </row>
    <row r="3" ht="34.5" customHeight="1" s="34">
      <c r="A3" s="77" t="n">
        <v>2</v>
      </c>
      <c r="B3" s="88" t="inlineStr">
        <is>
          <t>Gold</t>
        </is>
      </c>
      <c r="C3" s="79" t="inlineStr">
        <is>
          <t>AirPods Pro 2 Hearing Aid Feature</t>
        </is>
      </c>
      <c r="D3" s="80" t="inlineStr">
        <is>
          <t>Apple</t>
        </is>
      </c>
      <c r="E3" s="80" t="inlineStr">
        <is>
          <t>AirPods Pro 2</t>
        </is>
      </c>
      <c r="F3" s="80" t="inlineStr">
        <is>
          <t>Apple</t>
        </is>
      </c>
      <c r="G3" s="80" t="inlineStr">
        <is>
          <t>United States</t>
        </is>
      </c>
      <c r="H3" s="80" t="inlineStr">
        <is>
          <t>A04 - Product Design</t>
        </is>
      </c>
      <c r="I3" s="87" t="inlineStr">
        <is>
          <t>https://ascentialcdn.filespin.io/api/v1/conversion/d124f3704bf34fe8a63e19e8325d9220</t>
        </is>
      </c>
      <c r="J3" s="80" t="inlineStr">
        <is>
          <t>OzScknoWq6U</t>
        </is>
      </c>
      <c r="L3" s="33" t="inlineStr">
        <is>
          <t>https://www.lovethework.com/work/entries/airpods-pro-2-hearing-aid-feature-748829</t>
        </is>
      </c>
    </row>
    <row r="4" ht="34.5" customHeight="1" s="34">
      <c r="A4" s="77" t="n">
        <v>3</v>
      </c>
      <c r="B4" s="88" t="inlineStr">
        <is>
          <t>Gold</t>
        </is>
      </c>
      <c r="C4" s="79" t="inlineStr">
        <is>
          <t>Nigrum Corpus</t>
        </is>
      </c>
      <c r="D4" s="80" t="inlineStr">
        <is>
          <t>Idomed</t>
        </is>
      </c>
      <c r="E4" s="80" t="inlineStr">
        <is>
          <t>Nigrum Corpus</t>
        </is>
      </c>
      <c r="F4" s="80" t="inlineStr">
        <is>
          <t>Artplan</t>
        </is>
      </c>
      <c r="G4" s="80" t="inlineStr">
        <is>
          <t>Brazil</t>
        </is>
      </c>
      <c r="H4" s="80" t="inlineStr">
        <is>
          <t>A06 - Books</t>
        </is>
      </c>
      <c r="I4" s="87" t="inlineStr">
        <is>
          <t>https://ascentialcdn.filespin.io/api/v1/conversion/83e9fc2a93254c029a34755ff3c96853</t>
        </is>
      </c>
      <c r="J4" s="80" t="inlineStr">
        <is>
          <t>RCK4iiCB2P0</t>
        </is>
      </c>
      <c r="L4" s="33" t="inlineStr">
        <is>
          <t>https://www.lovethework.com/work/entries/nigrum-corpus-764511</t>
        </is>
      </c>
    </row>
    <row r="5" ht="34.5" customHeight="1" s="34">
      <c r="A5" s="77" t="n">
        <v>4</v>
      </c>
      <c r="B5" s="88" t="inlineStr">
        <is>
          <t>Gold</t>
        </is>
      </c>
      <c r="C5" s="79" t="inlineStr">
        <is>
          <t>CarrefourSA - Ghost Town</t>
        </is>
      </c>
      <c r="D5" s="80" t="inlineStr">
        <is>
          <t>CarrefourSA</t>
        </is>
      </c>
      <c r="E5" s="80" t="inlineStr">
        <is>
          <t>Retail</t>
        </is>
      </c>
      <c r="F5" s="80" t="inlineStr">
        <is>
          <t>TBWA\Istanbul</t>
        </is>
      </c>
      <c r="G5" s="80" t="inlineStr">
        <is>
          <t>Turkey</t>
        </is>
      </c>
      <c r="H5" s="80" t="inlineStr">
        <is>
          <t>A08 - Brand Environment &amp; Experience Design</t>
        </is>
      </c>
      <c r="I5" s="87" t="inlineStr">
        <is>
          <t>https://ascentialcdn.filespin.io/api/v1/conversion/a8b0865217084e348df3921cebc7c41f</t>
        </is>
      </c>
      <c r="J5" s="80" t="inlineStr">
        <is>
          <t>0tKFbogECr4</t>
        </is>
      </c>
      <c r="L5" s="33" t="inlineStr">
        <is>
          <t>https://www.lovethework.com/work/entries/carrefoursa-ghost-town-748805</t>
        </is>
      </c>
    </row>
    <row r="6" ht="34.5" customHeight="1" s="34">
      <c r="A6" s="77" t="n">
        <v>5</v>
      </c>
      <c r="B6" s="88" t="inlineStr">
        <is>
          <t>Gold</t>
        </is>
      </c>
      <c r="C6" s="79" t="inlineStr">
        <is>
          <t>Spreadbeats</t>
        </is>
      </c>
      <c r="D6" s="80" t="inlineStr">
        <is>
          <t>Spotify</t>
        </is>
      </c>
      <c r="E6" s="80" t="inlineStr">
        <is>
          <t>Spotify</t>
        </is>
      </c>
      <c r="F6" s="80" t="inlineStr">
        <is>
          <t>FCB New York</t>
        </is>
      </c>
      <c r="G6" s="80" t="inlineStr">
        <is>
          <t>United States</t>
        </is>
      </c>
      <c r="H6" s="80" t="inlineStr">
        <is>
          <t>A09 - Design-Driven Effectiveness</t>
        </is>
      </c>
      <c r="I6" s="87" t="inlineStr">
        <is>
          <t>https://ascentialcdn.filespin.io/api/v1/conversion/4ebdb10e5b80456a925dc283ac7e501a</t>
        </is>
      </c>
      <c r="J6" s="80" t="inlineStr">
        <is>
          <t>Z_lbVlhO9HE</t>
        </is>
      </c>
      <c r="L6" s="33" t="inlineStr">
        <is>
          <t>https://www.lovethework.com/work/entries/spreadbeats-748953</t>
        </is>
      </c>
    </row>
    <row r="7" ht="34.5" customHeight="1" s="34">
      <c r="A7" s="77" t="n">
        <v>6</v>
      </c>
      <c r="B7" s="89" t="inlineStr">
        <is>
          <t>Silver</t>
        </is>
      </c>
      <c r="C7" s="79" t="inlineStr">
        <is>
          <t>Spreadbeats</t>
        </is>
      </c>
      <c r="D7" s="80" t="inlineStr">
        <is>
          <t>Spotify</t>
        </is>
      </c>
      <c r="E7" s="80" t="inlineStr">
        <is>
          <t>Spotify</t>
        </is>
      </c>
      <c r="F7" s="80" t="inlineStr">
        <is>
          <t>FCB New York</t>
        </is>
      </c>
      <c r="G7" s="80" t="inlineStr">
        <is>
          <t>United States</t>
        </is>
      </c>
      <c r="H7" s="80" t="inlineStr">
        <is>
          <t>A07 - Digital Design</t>
        </is>
      </c>
      <c r="I7" s="87" t="inlineStr">
        <is>
          <t>https://ascentialcdn.filespin.io/api/v1/conversion/1cc1b629542a4d1db92e5b0d90116de7</t>
        </is>
      </c>
      <c r="J7" s="80" t="inlineStr">
        <is>
          <t>Z_lbVlhO9HE</t>
        </is>
      </c>
      <c r="L7" s="33" t="inlineStr">
        <is>
          <t>https://www.lovethework.com/work/entries/spreadbeats-748925</t>
        </is>
      </c>
    </row>
    <row r="8" ht="34.5" customHeight="1" s="34">
      <c r="A8" s="77" t="n">
        <v>7</v>
      </c>
      <c r="B8" s="89" t="inlineStr">
        <is>
          <t>Silver</t>
        </is>
      </c>
      <c r="C8" s="79" t="inlineStr">
        <is>
          <t>Price Packs</t>
        </is>
      </c>
      <c r="D8" s="80" t="inlineStr">
        <is>
          <t>Penny</t>
        </is>
      </c>
      <c r="E8" s="80" t="inlineStr">
        <is>
          <t>Food/Non-Food</t>
        </is>
      </c>
      <c r="F8" s="80" t="inlineStr">
        <is>
          <t>Serviceplan Germany</t>
        </is>
      </c>
      <c r="G8" s="80" t="inlineStr">
        <is>
          <t>Germany</t>
        </is>
      </c>
      <c r="H8" s="80" t="inlineStr">
        <is>
          <t>A09 - Design-Driven Effectiveness</t>
        </is>
      </c>
      <c r="I8" s="87" t="inlineStr">
        <is>
          <t>https://ascentialcdn.filespin.io/api/v1/conversion/67b6df2a0fe64deeb274c91d50040c54</t>
        </is>
      </c>
      <c r="J8" s="80" t="inlineStr">
        <is>
          <t>cnAXR4lk6R0</t>
        </is>
      </c>
      <c r="L8" s="33" t="inlineStr">
        <is>
          <t>https://www.lovethework.com/work/entries/price-packs-748846</t>
        </is>
      </c>
    </row>
    <row r="9" ht="34.5" customHeight="1" s="34">
      <c r="A9" s="77" t="n">
        <v>8</v>
      </c>
      <c r="B9" s="89" t="inlineStr">
        <is>
          <t>Silver</t>
        </is>
      </c>
      <c r="C9" s="79" t="inlineStr">
        <is>
          <t>The Shakespeare BIC</t>
        </is>
      </c>
      <c r="D9" s="80" t="inlineStr">
        <is>
          <t>BIC</t>
        </is>
      </c>
      <c r="E9" s="80" t="inlineStr">
        <is>
          <t>BIC Crystal Pen</t>
        </is>
      </c>
      <c r="F9" s="80" t="inlineStr">
        <is>
          <t>VML</t>
        </is>
      </c>
      <c r="G9" s="80" t="inlineStr">
        <is>
          <t>Brazil</t>
        </is>
      </c>
      <c r="H9" s="80" t="inlineStr">
        <is>
          <t>A11 - Special Editions &amp; Bespoke Items</t>
        </is>
      </c>
      <c r="I9" s="87" t="inlineStr">
        <is>
          <t>https://ascentialcdn.filespin.io/api/v1/conversion/352257f3d008491e95e0ccbdfe8a4469</t>
        </is>
      </c>
      <c r="J9" s="80" t="inlineStr">
        <is>
          <t>5ngNVTeyi4g</t>
        </is>
      </c>
      <c r="L9" s="33" t="inlineStr">
        <is>
          <t>https://www.lovethework.com/work/entries/the-shakespeare-bic-749146</t>
        </is>
      </c>
    </row>
    <row r="10" ht="34.5" customHeight="1" s="34">
      <c r="A10" s="77" t="n">
        <v>9</v>
      </c>
      <c r="B10" s="89" t="inlineStr">
        <is>
          <t>Silver</t>
        </is>
      </c>
      <c r="C10" s="79" t="inlineStr">
        <is>
          <t>Sounds of the Land</t>
        </is>
      </c>
      <c r="D10" s="80" t="inlineStr">
        <is>
          <t>Billboard Arabia</t>
        </is>
      </c>
      <c r="E10" s="80" t="inlineStr">
        <is>
          <t>Billboard Arabia</t>
        </is>
      </c>
      <c r="F10" s="80" t="inlineStr">
        <is>
          <t>SRMG Labs</t>
        </is>
      </c>
      <c r="G10" s="80" t="inlineStr">
        <is>
          <t>Saudi Arabia</t>
        </is>
      </c>
      <c r="H10" s="80" t="inlineStr">
        <is>
          <t>A14 - Promotional Items/Promotional Printed Media</t>
        </is>
      </c>
      <c r="I10" s="87" t="inlineStr">
        <is>
          <t>https://ascentialcdn.filespin.io/api/v1/conversion/19a407ae77ab4664baed61135cc5ae9f</t>
        </is>
      </c>
      <c r="J10" s="80" t="inlineStr">
        <is>
          <t>gD1XqvQaMR0</t>
        </is>
      </c>
      <c r="L10" s="33" t="inlineStr">
        <is>
          <t>https://www.lovethework.com/work/entries/sounds-of-the-land-758892</t>
        </is>
      </c>
    </row>
    <row r="11" ht="34.5" customHeight="1" s="34">
      <c r="A11" s="77" t="n">
        <v>10</v>
      </c>
      <c r="B11" s="89" t="inlineStr">
        <is>
          <t>Silver</t>
        </is>
      </c>
      <c r="C11" s="79" t="inlineStr">
        <is>
          <t>Code My Crown</t>
        </is>
      </c>
      <c r="D11" s="80" t="inlineStr">
        <is>
          <t>Dove</t>
        </is>
      </c>
      <c r="E11" s="80" t="inlineStr">
        <is>
          <t>Dove</t>
        </is>
      </c>
      <c r="F11" s="80" t="inlineStr">
        <is>
          <t>Edelman</t>
        </is>
      </c>
      <c r="G11" s="80" t="inlineStr">
        <is>
          <t>United Kingdom</t>
        </is>
      </c>
      <c r="H11" s="80" t="inlineStr">
        <is>
          <t>B01 - Inclusive Design</t>
        </is>
      </c>
      <c r="I11" s="87" t="inlineStr">
        <is>
          <t>https://ascentialcdn.filespin.io/api/v1/conversion/dc773a5191b947ea85626af886046a69</t>
        </is>
      </c>
      <c r="J11" s="80" t="inlineStr">
        <is>
          <t>stQ442QJ9pg</t>
        </is>
      </c>
      <c r="L11" s="33" t="inlineStr">
        <is>
          <t>https://www.lovethework.com/work/entries/code-my-crown-749303</t>
        </is>
      </c>
    </row>
    <row r="12" ht="34.5" customHeight="1" s="34">
      <c r="A12" s="77" t="n">
        <v>11</v>
      </c>
      <c r="B12" s="89" t="inlineStr">
        <is>
          <t>Silver</t>
        </is>
      </c>
      <c r="C12" s="79" t="inlineStr">
        <is>
          <t>1837 Tiffany Blue Conservation</t>
        </is>
      </c>
      <c r="D12" s="80" t="inlineStr">
        <is>
          <t>Tiffany &amp; Co.</t>
        </is>
      </c>
      <c r="E12" s="80" t="inlineStr">
        <is>
          <t>Tiffany &amp; Co.</t>
        </is>
      </c>
      <c r="F12" s="80" t="inlineStr">
        <is>
          <t>L&amp;C</t>
        </is>
      </c>
      <c r="G12" s="80" t="inlineStr">
        <is>
          <t>United States</t>
        </is>
      </c>
      <c r="H12" s="80" t="inlineStr">
        <is>
          <t>B02 - Sustainability-Focused Design</t>
        </is>
      </c>
      <c r="I12" s="87" t="inlineStr">
        <is>
          <t>https://ascentialcdn.filespin.io/api/v1/conversion/a9e8fdb5892d441587b7c4c55eb3d5fb</t>
        </is>
      </c>
      <c r="J12" s="80" t="inlineStr">
        <is>
          <t>npGswWNcZC8</t>
        </is>
      </c>
      <c r="L12" s="33" t="inlineStr">
        <is>
          <t>https://www.lovethework.com/work/entries/1837-tiffany-blue-conservation-749213</t>
        </is>
      </c>
    </row>
    <row r="13" ht="34.5" customHeight="1" s="34">
      <c r="A13" s="77" t="n">
        <v>12</v>
      </c>
      <c r="B13" s="89" t="inlineStr">
        <is>
          <t>Silver</t>
        </is>
      </c>
      <c r="C13" s="79" t="inlineStr">
        <is>
          <t>Fixables</t>
        </is>
      </c>
      <c r="D13" s="80" t="inlineStr">
        <is>
          <t>Philips</t>
        </is>
      </c>
      <c r="E13" s="80" t="inlineStr">
        <is>
          <t>Philips Personal Care</t>
        </is>
      </c>
      <c r="F13" s="80" t="inlineStr">
        <is>
          <t>LePub</t>
        </is>
      </c>
      <c r="G13" s="80" t="inlineStr">
        <is>
          <t>Netherlands</t>
        </is>
      </c>
      <c r="H13" s="80" t="inlineStr">
        <is>
          <t>B02 - Sustainability-Focused Design</t>
        </is>
      </c>
      <c r="I13" s="87" t="inlineStr">
        <is>
          <t>https://ascentialcdn.filespin.io/api/v1/conversion/9e978f653c5c45cf903985a90708656d</t>
        </is>
      </c>
      <c r="J13" s="80" t="inlineStr">
        <is>
          <t>grgsxQjK0B4</t>
        </is>
      </c>
      <c r="L13" s="33" t="inlineStr">
        <is>
          <t>https://www.lovethework.com/work/entries/fixables-761443</t>
        </is>
      </c>
    </row>
    <row r="14" ht="34.5" customHeight="1" s="34">
      <c r="A14" s="77" t="n">
        <v>13</v>
      </c>
      <c r="B14" s="89" t="inlineStr">
        <is>
          <t>Silver</t>
        </is>
      </c>
      <c r="C14" s="79" t="inlineStr">
        <is>
          <t>Airquity</t>
        </is>
      </c>
      <c r="D14" s="80" t="inlineStr">
        <is>
          <t>Ear Switch</t>
        </is>
      </c>
      <c r="E14" s="80" t="inlineStr">
        <is>
          <t>Health Equity - Diagnostics</t>
        </is>
      </c>
      <c r="F14" s="80" t="inlineStr">
        <is>
          <t>Havas Lynx</t>
        </is>
      </c>
      <c r="G14" s="80" t="inlineStr">
        <is>
          <t>United Kingdom</t>
        </is>
      </c>
      <c r="H14" s="80" t="inlineStr">
        <is>
          <t>B03 - Innovation in Design</t>
        </is>
      </c>
      <c r="I14" s="87" t="inlineStr">
        <is>
          <t>https://ascentialcdn.filespin.io/api/v1/conversion/14dd689fdcf14ce4a777dc6c4aad2522</t>
        </is>
      </c>
      <c r="J14" s="80" t="inlineStr">
        <is>
          <t>Un9NkS9jsws</t>
        </is>
      </c>
      <c r="L14" s="33" t="inlineStr">
        <is>
          <t>https://www.lovethework.com/work/entries/airquity-749221</t>
        </is>
      </c>
    </row>
    <row r="15" ht="34.5" customHeight="1" s="34">
      <c r="A15" s="77" t="n">
        <v>14</v>
      </c>
      <c r="B15" s="89" t="inlineStr">
        <is>
          <t>Silver</t>
        </is>
      </c>
      <c r="C15" s="79" t="inlineStr">
        <is>
          <t>The 100% Home Compostable Sticker</t>
        </is>
      </c>
      <c r="D15" s="80" t="inlineStr">
        <is>
          <t>Zespri</t>
        </is>
      </c>
      <c r="E15" s="80" t="inlineStr">
        <is>
          <t>Kiwifruit</t>
        </is>
      </c>
      <c r="F15" s="80" t="inlineStr">
        <is>
          <t>Grey</t>
        </is>
      </c>
      <c r="G15" s="80" t="inlineStr">
        <is>
          <t>Brazil</t>
        </is>
      </c>
      <c r="H15" s="80" t="inlineStr">
        <is>
          <t>B03 - Innovation in Design</t>
        </is>
      </c>
      <c r="I15" s="87" t="inlineStr">
        <is>
          <t>https://ascentialcdn.filespin.io/api/v1/conversion/b852cca2fa1a4002b499bc5cf7f064f1</t>
        </is>
      </c>
      <c r="J15" s="80" t="inlineStr">
        <is>
          <t>vimeo:1094224721</t>
        </is>
      </c>
      <c r="L15" s="33" t="inlineStr">
        <is>
          <t>https://www.lovethework.com/work/entries/the-100-home-compostable-sticker-749240</t>
        </is>
      </c>
    </row>
    <row r="16" ht="34.5" customHeight="1" s="34">
      <c r="A16" s="77" t="n">
        <v>15</v>
      </c>
      <c r="B16" s="89" t="inlineStr">
        <is>
          <t>Silver</t>
        </is>
      </c>
      <c r="C16" s="79" t="inlineStr">
        <is>
          <t>Self-Packing Cheese</t>
        </is>
      </c>
      <c r="D16" s="80" t="inlineStr">
        <is>
          <t>Nestlé</t>
        </is>
      </c>
      <c r="E16" s="80" t="inlineStr">
        <is>
          <t>Que Rico Cheese</t>
        </is>
      </c>
      <c r="F16" s="80" t="inlineStr">
        <is>
          <t>Ogilvy Colombia</t>
        </is>
      </c>
      <c r="G16" s="80" t="inlineStr">
        <is>
          <t>Colombia</t>
        </is>
      </c>
      <c r="H16" s="80" t="inlineStr">
        <is>
          <t>B03 - Innovation in Design</t>
        </is>
      </c>
      <c r="I16" s="87" t="inlineStr">
        <is>
          <t>https://ascentialcdn.filespin.io/api/v1/conversion/897a79315f0b4bf2a5afd35d6e3217ac</t>
        </is>
      </c>
      <c r="J16" s="80" t="inlineStr">
        <is>
          <t>7GVxwv6ZNfw</t>
        </is>
      </c>
      <c r="L16" s="33" t="inlineStr">
        <is>
          <t>https://www.lovethework.com/work/entries/self-packing-cheese-758771</t>
        </is>
      </c>
    </row>
    <row r="17" ht="34.5" customHeight="1" s="34">
      <c r="A17" s="77" t="n">
        <v>16</v>
      </c>
      <c r="B17" s="90" t="inlineStr">
        <is>
          <t>Bronze</t>
        </is>
      </c>
      <c r="C17" s="79" t="inlineStr">
        <is>
          <t>Forest Carbon - In Tune with Nature</t>
        </is>
      </c>
      <c r="D17" s="80" t="inlineStr">
        <is>
          <t>Forest Carbon</t>
        </is>
      </c>
      <c r="E17" s="80" t="inlineStr">
        <is>
          <t>Forest Carbon</t>
        </is>
      </c>
      <c r="F17" s="80" t="inlineStr">
        <is>
          <t>Design Bridge and Partners</t>
        </is>
      </c>
      <c r="G17" s="80" t="inlineStr">
        <is>
          <t>Singapore</t>
        </is>
      </c>
      <c r="H17" s="80" t="inlineStr">
        <is>
          <t>A02 - Rebrand/Refresh of an Existing Brand</t>
        </is>
      </c>
      <c r="I17" s="87" t="inlineStr">
        <is>
          <t>https://ascentialcdn.filespin.io/api/v1/conversion/760f7006f943444ab3c918192eebdfad</t>
        </is>
      </c>
      <c r="J17" s="80" t="inlineStr">
        <is>
          <t>XwYYolWWG-4</t>
        </is>
      </c>
      <c r="L17" s="33" t="inlineStr">
        <is>
          <t>https://www.lovethework.com/work/entries/forest-carbon-in-tune-with-nature-748684</t>
        </is>
      </c>
    </row>
    <row r="18" ht="34.5" customHeight="1" s="34">
      <c r="A18" s="77" t="n">
        <v>17</v>
      </c>
      <c r="B18" s="90" t="inlineStr">
        <is>
          <t>Bronze</t>
        </is>
      </c>
      <c r="C18" s="79" t="inlineStr">
        <is>
          <t>Imperia - Genius of Form and Substance</t>
        </is>
      </c>
      <c r="D18" s="80" t="inlineStr">
        <is>
          <t>Imperia</t>
        </is>
      </c>
      <c r="E18" s="80" t="inlineStr">
        <is>
          <t>Pasta Machines</t>
        </is>
      </c>
      <c r="F18" s="80" t="inlineStr">
        <is>
          <t>Imperia &amp; Monferrina</t>
        </is>
      </c>
      <c r="G18" s="80" t="inlineStr">
        <is>
          <t>Italy</t>
        </is>
      </c>
      <c r="H18" s="80" t="inlineStr">
        <is>
          <t>A02 - Rebrand/Refresh of an Existing Brand</t>
        </is>
      </c>
      <c r="I18" s="87" t="inlineStr">
        <is>
          <t>https://ascentialcdn.filespin.io/api/v1/conversion/145b3050646d4642adeb6588b0db97cf</t>
        </is>
      </c>
      <c r="J18" s="80" t="inlineStr">
        <is>
          <t>tS0qNXl9a4U</t>
        </is>
      </c>
      <c r="L18" s="33" t="inlineStr">
        <is>
          <t>https://www.lovethework.com/work/entries/imperia-genius-of-form-and-substance-748618</t>
        </is>
      </c>
    </row>
    <row r="19" ht="34.5" customHeight="1" s="34">
      <c r="A19" s="77" t="n">
        <v>18</v>
      </c>
      <c r="B19" s="90" t="inlineStr">
        <is>
          <t>Bronze</t>
        </is>
      </c>
      <c r="C19" s="79" t="inlineStr">
        <is>
          <t>FC25</t>
        </is>
      </c>
      <c r="D19" s="80" t="inlineStr">
        <is>
          <t>EA Sports FC</t>
        </is>
      </c>
      <c r="E19" s="80" t="inlineStr">
        <is>
          <t>Entertainment</t>
        </is>
      </c>
      <c r="F19" s="80" t="inlineStr">
        <is>
          <t>Uncommon Creative Studio</t>
        </is>
      </c>
      <c r="G19" s="80" t="inlineStr">
        <is>
          <t>United Kingdom</t>
        </is>
      </c>
      <c r="H19" s="80" t="inlineStr">
        <is>
          <t>A02 - Rebrand/Refresh of an Existing Brand</t>
        </is>
      </c>
      <c r="I19" s="87" t="inlineStr">
        <is>
          <t>https://ascentialcdn.filespin.io/api/v1/conversion/5d4639fd2bc1430db0604b45d23a8ed6</t>
        </is>
      </c>
      <c r="J19" s="80" t="inlineStr">
        <is>
          <t>tmIsp44QoIA</t>
        </is>
      </c>
      <c r="L19" s="33" t="inlineStr">
        <is>
          <t>https://www.lovethework.com/work/entries/fc25-758851</t>
        </is>
      </c>
    </row>
    <row r="20" ht="34.5" customHeight="1" s="34">
      <c r="A20" s="77" t="n">
        <v>19</v>
      </c>
      <c r="B20" s="90" t="inlineStr">
        <is>
          <t>Bronze</t>
        </is>
      </c>
      <c r="C20" s="79" t="inlineStr">
        <is>
          <t>Price Packs</t>
        </is>
      </c>
      <c r="D20" s="80" t="inlineStr">
        <is>
          <t>Penny</t>
        </is>
      </c>
      <c r="E20" s="80" t="inlineStr">
        <is>
          <t>Food/Non-Food</t>
        </is>
      </c>
      <c r="F20" s="80" t="inlineStr">
        <is>
          <t>Serviceplan Germany</t>
        </is>
      </c>
      <c r="G20" s="80" t="inlineStr">
        <is>
          <t>Germany</t>
        </is>
      </c>
      <c r="H20" s="80" t="inlineStr">
        <is>
          <t>A03 - Packaging Design</t>
        </is>
      </c>
      <c r="I20" s="87" t="inlineStr">
        <is>
          <t>https://ascentialcdn.filespin.io/api/v1/conversion/67b6df2a0fe64deeb274c91d50040c54</t>
        </is>
      </c>
      <c r="J20" s="80" t="inlineStr">
        <is>
          <t>cnAXR4lk6R0</t>
        </is>
      </c>
      <c r="L20" s="33" t="inlineStr">
        <is>
          <t>https://www.lovethework.com/work/entries/price-packs-748709</t>
        </is>
      </c>
    </row>
    <row r="21" ht="34.5" customHeight="1" s="34">
      <c r="A21" s="77" t="n">
        <v>20</v>
      </c>
      <c r="B21" s="90" t="inlineStr">
        <is>
          <t>Bronze</t>
        </is>
      </c>
      <c r="C21" s="79" t="inlineStr">
        <is>
          <t>Mattel Creations Not Wheels</t>
        </is>
      </c>
      <c r="D21" s="80" t="inlineStr">
        <is>
          <t>Mattel Creations</t>
        </is>
      </c>
      <c r="E21" s="80" t="inlineStr">
        <is>
          <t>Hot Wheels x MSCHF</t>
        </is>
      </c>
      <c r="F21" s="80" t="inlineStr">
        <is>
          <t>Mattel</t>
        </is>
      </c>
      <c r="G21" s="80" t="inlineStr">
        <is>
          <t>United States</t>
        </is>
      </c>
      <c r="H21" s="80" t="inlineStr">
        <is>
          <t>A04 - Product Design</t>
        </is>
      </c>
      <c r="I21" s="87" t="inlineStr">
        <is>
          <t>https://ascentialcdn.filespin.io/api/v1/conversion/558c6e807d6740a6a711540be7529132</t>
        </is>
      </c>
      <c r="J21" s="80" t="inlineStr">
        <is>
          <t>2uWOMMH9PLk</t>
        </is>
      </c>
      <c r="L21" s="33" t="inlineStr">
        <is>
          <t>https://www.lovethework.com/work/entries/mattel-creations-not-wheels-748931</t>
        </is>
      </c>
    </row>
    <row r="22" ht="34.5" customHeight="1" s="34">
      <c r="A22" s="77" t="n">
        <v>21</v>
      </c>
      <c r="B22" s="90" t="inlineStr">
        <is>
          <t>Bronze</t>
        </is>
      </c>
      <c r="C22" s="79" t="inlineStr">
        <is>
          <t>Winter Takes on Colors</t>
        </is>
      </c>
      <c r="D22" s="80" t="inlineStr">
        <is>
          <t>McDonald's Polska</t>
        </is>
      </c>
      <c r="E22" s="80" t="inlineStr">
        <is>
          <t>Drwala Burger (LTO)</t>
        </is>
      </c>
      <c r="F22" s="80" t="inlineStr">
        <is>
          <t>DDB Warsaw</t>
        </is>
      </c>
      <c r="G22" s="80" t="inlineStr">
        <is>
          <t>Poland</t>
        </is>
      </c>
      <c r="H22" s="80" t="inlineStr">
        <is>
          <t>A08 - Brand Environment &amp; Experience Design</t>
        </is>
      </c>
      <c r="I22" s="87" t="inlineStr">
        <is>
          <t>https://ascentialcdn.filespin.io/api/v1/conversion/0bcb01dc0d92499c8033fe42497178ff</t>
        </is>
      </c>
      <c r="J22" s="80" t="inlineStr">
        <is>
          <t>qcSHtBgAB6o</t>
        </is>
      </c>
      <c r="L22" s="33" t="inlineStr">
        <is>
          <t>https://www.lovethework.com/work/entries/winter-takes-on-colors-748849</t>
        </is>
      </c>
    </row>
    <row r="23" ht="34.5" customHeight="1" s="34">
      <c r="A23" s="77" t="n">
        <v>22</v>
      </c>
      <c r="B23" s="90" t="inlineStr">
        <is>
          <t>Bronze</t>
        </is>
      </c>
      <c r="C23" s="79" t="inlineStr">
        <is>
          <t>Justice by Her Type</t>
        </is>
      </c>
      <c r="D23" s="80" t="inlineStr">
        <is>
          <t>Families Surviving Feminicides Collective</t>
        </is>
      </c>
      <c r="E23" s="80" t="inlineStr">
        <is>
          <t>Families Surviving Feminicides Collective</t>
        </is>
      </c>
      <c r="F23" s="80" t="inlineStr">
        <is>
          <t>Garnier BBDO</t>
        </is>
      </c>
      <c r="G23" s="80" t="inlineStr">
        <is>
          <t>Costa Rica</t>
        </is>
      </c>
      <c r="H23" s="80" t="inlineStr">
        <is>
          <t>A09 - Design-Driven Effectiveness</t>
        </is>
      </c>
      <c r="I23" s="87" t="inlineStr">
        <is>
          <t>https://ascentialcdn.filespin.io/api/v1/conversion/09f9e036aeb845c58e96f2c55d8dd7f9</t>
        </is>
      </c>
      <c r="J23" s="80" t="inlineStr">
        <is>
          <t>W_-UgnjJBRc</t>
        </is>
      </c>
      <c r="L23" s="33" t="inlineStr">
        <is>
          <t>https://www.lovethework.com/work/entries/justice-by-her-type-748777</t>
        </is>
      </c>
    </row>
    <row r="24" ht="34.5" customHeight="1" s="34">
      <c r="A24" s="77" t="n">
        <v>23</v>
      </c>
      <c r="B24" s="90" t="inlineStr">
        <is>
          <t>Bronze</t>
        </is>
      </c>
      <c r="C24" s="79" t="inlineStr">
        <is>
          <t>Sad Kama-Chan</t>
        </is>
      </c>
      <c r="D24" s="80" t="inlineStr">
        <is>
          <t>Bar B Q Plaza</t>
        </is>
      </c>
      <c r="E24" s="80" t="inlineStr">
        <is>
          <t>Bar B Q Plaza</t>
        </is>
      </c>
      <c r="F24" s="80" t="inlineStr">
        <is>
          <t>Grey Thailand</t>
        </is>
      </c>
      <c r="G24" s="80" t="inlineStr">
        <is>
          <t>Thailand</t>
        </is>
      </c>
      <c r="H24" s="80" t="inlineStr">
        <is>
          <t>A09 - Design-Driven Effectiveness</t>
        </is>
      </c>
      <c r="I24" s="87" t="inlineStr">
        <is>
          <t>https://ascentialcdn.filespin.io/api/v1/conversion/b1a090f7c816487f8dcee01d4c656df9</t>
        </is>
      </c>
      <c r="J24" s="80" t="inlineStr">
        <is>
          <t>h7MYlQFAKMg</t>
        </is>
      </c>
      <c r="L24" s="33" t="inlineStr">
        <is>
          <t>https://www.lovethework.com/work/entries/sad-kama-chan-748974</t>
        </is>
      </c>
    </row>
    <row r="25" ht="34.5" customHeight="1" s="34">
      <c r="A25" s="77" t="n">
        <v>24</v>
      </c>
      <c r="B25" s="90" t="inlineStr">
        <is>
          <t>Bronze</t>
        </is>
      </c>
      <c r="C25" s="79" t="inlineStr">
        <is>
          <t>Packed Full of History</t>
        </is>
      </c>
      <c r="D25" s="80" t="inlineStr">
        <is>
          <t>Samsung Australia</t>
        </is>
      </c>
      <c r="E25" s="80" t="inlineStr">
        <is>
          <t>Samsung Galaxy S24 Ultra</t>
        </is>
      </c>
      <c r="F25" s="80" t="inlineStr">
        <is>
          <t>Clemenger BBDO</t>
        </is>
      </c>
      <c r="G25" s="80" t="inlineStr">
        <is>
          <t>Australia</t>
        </is>
      </c>
      <c r="H25" s="80" t="inlineStr">
        <is>
          <t>A11 - Special Editions &amp; Bespoke Items</t>
        </is>
      </c>
      <c r="I25" s="87" t="inlineStr">
        <is>
          <t>https://ascentialcdn.filespin.io/api/v1/conversion/1403dc4c3f49430e95623bac41b290a1</t>
        </is>
      </c>
      <c r="J25" s="80" t="inlineStr">
        <is>
          <t>I0W4kYosSXU</t>
        </is>
      </c>
      <c r="L25" s="33" t="inlineStr">
        <is>
          <t>https://www.lovethework.com/work/entries/packed-full-of-history-749085</t>
        </is>
      </c>
    </row>
    <row r="26" ht="34.5" customHeight="1" s="34">
      <c r="A26" s="77" t="n">
        <v>25</v>
      </c>
      <c r="B26" s="90" t="inlineStr">
        <is>
          <t>Bronze</t>
        </is>
      </c>
      <c r="C26" s="79" t="inlineStr">
        <is>
          <t>Eye Test Menu</t>
        </is>
      </c>
      <c r="D26" s="80" t="inlineStr">
        <is>
          <t>Titan Company Limited</t>
        </is>
      </c>
      <c r="E26" s="80" t="inlineStr">
        <is>
          <t>Eyewear</t>
        </is>
      </c>
      <c r="F26" s="80" t="inlineStr">
        <is>
          <t>Ogilvy</t>
        </is>
      </c>
      <c r="G26" s="80" t="inlineStr">
        <is>
          <t>India</t>
        </is>
      </c>
      <c r="H26" s="80" t="inlineStr">
        <is>
          <t>A13 - Posters</t>
        </is>
      </c>
      <c r="I26" s="87" t="inlineStr">
        <is>
          <t>https://ascentialcdn.filespin.io/api/v1/conversion/e1437e92753d4a789ee8e1f1be1c30ba</t>
        </is>
      </c>
      <c r="J26" s="80" t="inlineStr">
        <is>
          <t>_GNOgJWpfK8</t>
        </is>
      </c>
      <c r="L26" s="33" t="inlineStr">
        <is>
          <t>https://www.lovethework.com/work/entries/eye-test-menu-748977</t>
        </is>
      </c>
    </row>
    <row r="27" ht="34.5" customHeight="1" s="34">
      <c r="A27" s="77" t="n">
        <v>26</v>
      </c>
      <c r="B27" s="90" t="inlineStr">
        <is>
          <t>Bronze</t>
        </is>
      </c>
      <c r="C27" s="79" t="inlineStr">
        <is>
          <t>Rice of Glory</t>
        </is>
      </c>
      <c r="D27" s="80" t="inlineStr">
        <is>
          <t>Super Extra Rice</t>
        </is>
      </c>
      <c r="E27" s="80" t="inlineStr">
        <is>
          <t>Super Extra Rice</t>
        </is>
      </c>
      <c r="F27" s="80" t="inlineStr">
        <is>
          <t>Maruri</t>
        </is>
      </c>
      <c r="G27" s="80" t="inlineStr">
        <is>
          <t>Ecuador</t>
        </is>
      </c>
      <c r="H27" s="80" t="inlineStr">
        <is>
          <t>A14 - Promotional Items/Promotional Printed Media</t>
        </is>
      </c>
      <c r="I27" s="87" t="inlineStr">
        <is>
          <t>https://ascentialcdn.filespin.io/api/v1/conversion/4023e98735c5497cb6e2d7dea5c76318</t>
        </is>
      </c>
      <c r="J27" s="80" t="inlineStr">
        <is>
          <t>vimeo:1116149596</t>
        </is>
      </c>
      <c r="L27" s="33" t="inlineStr">
        <is>
          <t>https://www.lovethework.com/work/entries/rice-of-glory-749256</t>
        </is>
      </c>
    </row>
    <row r="28" ht="34.5" customHeight="1" s="34">
      <c r="A28" s="77" t="n">
        <v>27</v>
      </c>
      <c r="B28" s="90" t="inlineStr">
        <is>
          <t>Bronze</t>
        </is>
      </c>
      <c r="C28" s="79" t="inlineStr">
        <is>
          <t>Workwear for Kids</t>
        </is>
      </c>
      <c r="D28" s="80" t="inlineStr">
        <is>
          <t>SOS Children's Villages</t>
        </is>
      </c>
      <c r="E28" s="80" t="inlineStr">
        <is>
          <t>Charity</t>
        </is>
      </c>
      <c r="F28" s="80" t="inlineStr">
        <is>
          <t>Nord DDB</t>
        </is>
      </c>
      <c r="G28" s="80" t="inlineStr">
        <is>
          <t>Sweden</t>
        </is>
      </c>
      <c r="H28" s="80" t="inlineStr">
        <is>
          <t>A14 - Promotional Items/Promotional Printed Media</t>
        </is>
      </c>
      <c r="I28" s="87" t="inlineStr">
        <is>
          <t>https://ascentialcdn.filespin.io/api/v1/conversion/eeb72dfd60ee48fa902e472badb2512e</t>
        </is>
      </c>
      <c r="J28" s="80" t="inlineStr">
        <is>
          <t>vimeo:1094221760</t>
        </is>
      </c>
      <c r="L28" s="33" t="inlineStr">
        <is>
          <t>https://www.lovethework.com/work/entries/workwear-for-kids-749238</t>
        </is>
      </c>
    </row>
    <row r="29" ht="34.5" customHeight="1" s="34">
      <c r="A29" s="77" t="n">
        <v>28</v>
      </c>
      <c r="B29" s="90" t="inlineStr">
        <is>
          <t>Bronze</t>
        </is>
      </c>
      <c r="C29" s="79" t="inlineStr">
        <is>
          <t>Project Voice</t>
        </is>
      </c>
      <c r="D29" s="80" t="inlineStr">
        <is>
          <t>Google</t>
        </is>
      </c>
      <c r="E29" s="80" t="inlineStr">
        <is>
          <t>Project Voice</t>
        </is>
      </c>
      <c r="F29" s="80" t="inlineStr">
        <is>
          <t>Google</t>
        </is>
      </c>
      <c r="G29" s="80" t="inlineStr">
        <is>
          <t>Japan</t>
        </is>
      </c>
      <c r="H29" s="80" t="inlineStr">
        <is>
          <t>B01 - Inclusive Design</t>
        </is>
      </c>
      <c r="I29" s="87" t="inlineStr">
        <is>
          <t>https://ascentialcdn.filespin.io/api/v1/conversion/afc236f1ded24f46a0b77a8e8bbb969b</t>
        </is>
      </c>
      <c r="J29" s="80" t="inlineStr">
        <is>
          <t>SqqroFfqKRc</t>
        </is>
      </c>
      <c r="L29" s="33" t="inlineStr">
        <is>
          <t>https://www.lovethework.com/work/entries/project-voice-749358</t>
        </is>
      </c>
    </row>
    <row r="30" ht="34.5" customHeight="1" s="34">
      <c r="A30" s="77" t="n">
        <v>29</v>
      </c>
      <c r="B30" s="90" t="inlineStr">
        <is>
          <t>Bronze</t>
        </is>
      </c>
      <c r="C30" s="79" t="inlineStr">
        <is>
          <t>RooBadge</t>
        </is>
      </c>
      <c r="D30" s="80" t="inlineStr">
        <is>
          <t>Volkswagen</t>
        </is>
      </c>
      <c r="E30" s="80" t="inlineStr">
        <is>
          <t>Automotive Accessory</t>
        </is>
      </c>
      <c r="F30" s="80" t="inlineStr">
        <is>
          <t>DDB Sydney</t>
        </is>
      </c>
      <c r="G30" s="80" t="inlineStr">
        <is>
          <t>Australia</t>
        </is>
      </c>
      <c r="H30" s="80" t="inlineStr">
        <is>
          <t>B03 - Innovation in Design</t>
        </is>
      </c>
      <c r="I30" s="87" t="inlineStr">
        <is>
          <t>https://ascentialcdn.filespin.io/api/v1/conversion/2d6b647363d9454ea677267064f19ea9</t>
        </is>
      </c>
      <c r="J30" s="80" t="inlineStr">
        <is>
          <t>vimeo:1093418498</t>
        </is>
      </c>
      <c r="L30" s="33" t="inlineStr">
        <is>
          <t>https://www.lovethework.com/work/entries/roobadge-749288</t>
        </is>
      </c>
    </row>
    <row r="31" ht="34.5" customHeight="1" s="34">
      <c r="A31" s="77" t="n">
        <v>30</v>
      </c>
      <c r="B31" s="90" t="inlineStr">
        <is>
          <t>Bronze</t>
        </is>
      </c>
      <c r="C31" s="79" t="inlineStr">
        <is>
          <t>Signs from Heaven</t>
        </is>
      </c>
      <c r="D31" s="80" t="inlineStr">
        <is>
          <t>Pangu Cloud</t>
        </is>
      </c>
      <c r="E31" s="80" t="inlineStr">
        <is>
          <t>Pangu Meteorological Model</t>
        </is>
      </c>
      <c r="F31" s="80" t="inlineStr">
        <is>
          <t>Ogilvy</t>
        </is>
      </c>
      <c r="G31" s="80" t="inlineStr">
        <is>
          <t>China</t>
        </is>
      </c>
      <c r="H31" s="80" t="inlineStr">
        <is>
          <t>B05 - Design for Behavioural Change</t>
        </is>
      </c>
      <c r="I31" s="87" t="inlineStr">
        <is>
          <t>https://ascentialcdn.filespin.io/api/v1/conversion/09dbff10bf5e4eaeae2d578fe9cc19b0</t>
        </is>
      </c>
      <c r="J31" s="80" t="inlineStr">
        <is>
          <t>CLTN81ECv6E</t>
        </is>
      </c>
      <c r="L31" s="33" t="inlineStr">
        <is>
          <t>https://www.lovethework.com/work/entries/signs-from-heaven-749243</t>
        </is>
      </c>
    </row>
    <row r="32" ht="34.5" customHeight="1" s="34">
      <c r="A32" s="77" t="n">
        <v>31</v>
      </c>
      <c r="B32" s="90" t="inlineStr">
        <is>
          <t>Bronze</t>
        </is>
      </c>
      <c r="C32" s="79" t="inlineStr">
        <is>
          <t>Fixables</t>
        </is>
      </c>
      <c r="D32" s="80" t="inlineStr">
        <is>
          <t>Philips</t>
        </is>
      </c>
      <c r="E32" s="80" t="inlineStr">
        <is>
          <t>Philips Personal Care</t>
        </is>
      </c>
      <c r="F32" s="80" t="inlineStr">
        <is>
          <t>LePub</t>
        </is>
      </c>
      <c r="G32" s="80" t="inlineStr">
        <is>
          <t>Netherlands</t>
        </is>
      </c>
      <c r="H32" s="80" t="inlineStr">
        <is>
          <t>B05 - Design for Behavioural Change</t>
        </is>
      </c>
      <c r="I32" s="87" t="inlineStr">
        <is>
          <t>https://ascentialcdn.filespin.io/api/v1/conversion/9e978f653c5c45cf903985a90708656d</t>
        </is>
      </c>
      <c r="J32" s="80" t="inlineStr">
        <is>
          <t>grgsxQjK0B4</t>
        </is>
      </c>
      <c r="L32" s="33" t="inlineStr">
        <is>
          <t>https://www.lovethework.com/work/entries/fixables-761474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4" min="1" max="1"/>
    <col width="12" customWidth="1" style="34" min="2" max="2"/>
    <col width="35" customWidth="1" style="34" min="3" max="3"/>
    <col width="13" customWidth="1" style="34" min="4" max="4"/>
    <col width="25" customWidth="1" style="34" min="5" max="5"/>
    <col width="35" customWidth="1" style="34" min="6" max="6"/>
    <col width="18" customWidth="1" style="34" min="7" max="7"/>
    <col width="30" customWidth="1" style="34" min="8" max="8"/>
    <col width="60" customWidth="1" style="34" min="9" max="9"/>
    <col width="13" customWidth="1" style="34" min="10" max="10"/>
    <col width="28" customWidth="1" style="34" min="11" max="11"/>
    <col hidden="1" width="60" customWidth="1" style="34" min="12" max="12"/>
  </cols>
  <sheetData>
    <row r="1" ht="15" customHeight="1" s="34">
      <c r="A1" s="85" t="inlineStr">
        <is>
          <t>#</t>
        </is>
      </c>
      <c r="B1" s="85" t="inlineStr">
        <is>
          <t>Tier</t>
        </is>
      </c>
      <c r="C1" s="85" t="inlineStr">
        <is>
          <t>Campaign</t>
        </is>
      </c>
      <c r="D1" s="85" t="inlineStr">
        <is>
          <t>Brand</t>
        </is>
      </c>
      <c r="E1" s="85" t="inlineStr">
        <is>
          <t>Product/Service</t>
        </is>
      </c>
      <c r="F1" s="85" t="inlineStr">
        <is>
          <t>Agency</t>
        </is>
      </c>
      <c r="G1" s="85" t="inlineStr">
        <is>
          <t>Country</t>
        </is>
      </c>
      <c r="H1" s="85" t="inlineStr">
        <is>
          <t>Subcategory</t>
        </is>
      </c>
      <c r="I1" s="85" t="inlineStr">
        <is>
          <t>Image URL</t>
        </is>
      </c>
      <c r="J1" s="85" t="inlineStr">
        <is>
          <t>YouTube ID</t>
        </is>
      </c>
      <c r="K1" s="110" t="inlineStr">
        <is>
          <t>Campaign Group</t>
        </is>
      </c>
      <c r="L1" s="85" t="inlineStr">
        <is>
          <t>Entry URL</t>
        </is>
      </c>
    </row>
    <row r="2" ht="34.5" customHeight="1" s="34">
      <c r="A2" s="77" t="n">
        <v>1</v>
      </c>
      <c r="B2" s="86" t="inlineStr">
        <is>
          <t>Grand Prix</t>
        </is>
      </c>
      <c r="C2" s="79" t="inlineStr">
        <is>
          <t>Dove Real Beauty Redefined for the AI Era</t>
        </is>
      </c>
      <c r="D2" s="80" t="inlineStr">
        <is>
          <t>Dove</t>
        </is>
      </c>
      <c r="E2" s="80" t="inlineStr">
        <is>
          <t>Dove</t>
        </is>
      </c>
      <c r="F2" s="80" t="inlineStr">
        <is>
          <t>Mindshare</t>
        </is>
      </c>
      <c r="G2" s="80" t="inlineStr">
        <is>
          <t>United States</t>
        </is>
      </c>
      <c r="H2" s="80" t="inlineStr">
        <is>
          <t>E01 - Media Insights &amp; Strategy</t>
        </is>
      </c>
      <c r="I2" s="87" t="inlineStr">
        <is>
          <t>https://ascentialcdn.filespin.io/api/v1/conversion/da693fd61fc74ddfbb3525f638cd77c6</t>
        </is>
      </c>
      <c r="J2" s="80" t="inlineStr">
        <is>
          <t>8vYoL8nga-A</t>
        </is>
      </c>
      <c r="L2" s="33" t="inlineStr">
        <is>
          <t>https://www.lovethework.com/work/entries/dove-real-beauty-redefined-for-the-ai-era-746537</t>
        </is>
      </c>
    </row>
    <row r="3" ht="34.5" customHeight="1" s="34">
      <c r="A3" s="77" t="n">
        <v>2</v>
      </c>
      <c r="B3" s="88" t="inlineStr">
        <is>
          <t>Gold</t>
        </is>
      </c>
      <c r="C3" s="79" t="inlineStr">
        <is>
          <t>Can't Unsee It</t>
        </is>
      </c>
      <c r="D3" s="80" t="inlineStr">
        <is>
          <t>Heinz Ketchup &amp; Mustard</t>
        </is>
      </c>
      <c r="E3" s="80" t="inlineStr">
        <is>
          <t>Kraft Heinz</t>
        </is>
      </c>
      <c r="F3" s="80" t="inlineStr">
        <is>
          <t>Rethink</t>
        </is>
      </c>
      <c r="G3" s="80" t="inlineStr">
        <is>
          <t>Canada</t>
        </is>
      </c>
      <c r="H3" s="80" t="inlineStr">
        <is>
          <t>A01 - Consumer Goods</t>
        </is>
      </c>
      <c r="I3" s="87" t="inlineStr">
        <is>
          <t>https://ascentialcdn.filespin.io/api/v1/conversion/3db7ec7e31b7459bafa082009489d40e</t>
        </is>
      </c>
      <c r="J3" s="80" t="inlineStr">
        <is>
          <t>itiHi3WYcSs</t>
        </is>
      </c>
      <c r="L3" s="33" t="inlineStr">
        <is>
          <t>https://www.lovethework.com/work/entries/cant-unsee-it-745091</t>
        </is>
      </c>
    </row>
    <row r="4" ht="34.5" customHeight="1" s="34">
      <c r="A4" s="77" t="n">
        <v>3</v>
      </c>
      <c r="B4" s="88" t="inlineStr">
        <is>
          <t>Gold</t>
        </is>
      </c>
      <c r="C4" s="79" t="inlineStr">
        <is>
          <t>Vaseline Verified</t>
        </is>
      </c>
      <c r="D4" s="80" t="inlineStr">
        <is>
          <t>Unilever</t>
        </is>
      </c>
      <c r="E4" s="80" t="inlineStr">
        <is>
          <t>Vaseline</t>
        </is>
      </c>
      <c r="F4" s="80" t="inlineStr">
        <is>
          <t>Ogilvy</t>
        </is>
      </c>
      <c r="G4" s="80" t="inlineStr">
        <is>
          <t>Singapore</t>
        </is>
      </c>
      <c r="H4" s="80" t="inlineStr">
        <is>
          <t>A02 - Healthcare</t>
        </is>
      </c>
      <c r="I4" s="87" t="inlineStr">
        <is>
          <t>https://ascentialcdn.filespin.io/api/v1/conversion/faf0755b0d4e4594ad93cb75d6288e3d</t>
        </is>
      </c>
      <c r="J4" s="80" t="inlineStr">
        <is>
          <t>ApwxlBruV90</t>
        </is>
      </c>
      <c r="L4" s="33" t="inlineStr">
        <is>
          <t>https://www.lovethework.com/work/entries/vaseline-verified-745075</t>
        </is>
      </c>
    </row>
    <row r="5" ht="34.5" customHeight="1" s="34">
      <c r="A5" s="77" t="n">
        <v>4</v>
      </c>
      <c r="B5" s="88" t="inlineStr">
        <is>
          <t>Gold</t>
        </is>
      </c>
      <c r="C5" s="79" t="inlineStr">
        <is>
          <t>Redditor Edit</t>
        </is>
      </c>
      <c r="D5" s="80" t="inlineStr">
        <is>
          <t>Skoda</t>
        </is>
      </c>
      <c r="E5" s="80" t="inlineStr">
        <is>
          <t>Automotive</t>
        </is>
      </c>
      <c r="F5" s="80" t="inlineStr">
        <is>
          <t>PHD</t>
        </is>
      </c>
      <c r="G5" s="80" t="inlineStr">
        <is>
          <t>United Kingdom</t>
        </is>
      </c>
      <c r="H5" s="80" t="inlineStr">
        <is>
          <t>A03 - Automotive</t>
        </is>
      </c>
      <c r="I5" s="87" t="inlineStr">
        <is>
          <t>https://ascentialcdn.filespin.io/api/v1/conversion/fa18cc31eca84cf2a41f8d9f4a3e8e89</t>
        </is>
      </c>
      <c r="J5" s="80" t="inlineStr">
        <is>
          <t>KmLMtKsmwqA</t>
        </is>
      </c>
      <c r="L5" s="33" t="inlineStr">
        <is>
          <t>https://www.lovethework.com/work/entries/redditor-edit-744990</t>
        </is>
      </c>
    </row>
    <row r="6" ht="34.5" customHeight="1" s="34">
      <c r="A6" s="77" t="n">
        <v>5</v>
      </c>
      <c r="B6" s="88" t="inlineStr">
        <is>
          <t>Gold</t>
        </is>
      </c>
      <c r="C6" s="79" t="inlineStr">
        <is>
          <t>Coupon Rain</t>
        </is>
      </c>
      <c r="D6" s="80" t="inlineStr">
        <is>
          <t>Mercado Livre</t>
        </is>
      </c>
      <c r="E6" s="80" t="inlineStr">
        <is>
          <t>Mercado Livre</t>
        </is>
      </c>
      <c r="F6" s="80" t="inlineStr">
        <is>
          <t>GUT</t>
        </is>
      </c>
      <c r="G6" s="80" t="inlineStr">
        <is>
          <t>Brazil</t>
        </is>
      </c>
      <c r="H6" s="80" t="inlineStr">
        <is>
          <t>A04 - Travel, Leisure, Retail, Restaurants &amp; Fast-Food Chains</t>
        </is>
      </c>
      <c r="I6" s="87" t="inlineStr">
        <is>
          <t>https://ascentialcdn.filespin.io/api/v1/conversion/5418c22c9d864f579ce966a3f138628e</t>
        </is>
      </c>
      <c r="J6" s="80" t="inlineStr">
        <is>
          <t>RXw_xdHILoU</t>
        </is>
      </c>
      <c r="L6" s="33" t="inlineStr">
        <is>
          <t>https://www.lovethework.com/work/entries/coupon-rain-745092</t>
        </is>
      </c>
    </row>
    <row r="7" ht="34.5" customHeight="1" s="34">
      <c r="A7" s="77" t="n">
        <v>6</v>
      </c>
      <c r="B7" s="88" t="inlineStr">
        <is>
          <t>Gold</t>
        </is>
      </c>
      <c r="C7" s="79" t="inlineStr">
        <is>
          <t>The Final Exam</t>
        </is>
      </c>
      <c r="D7" s="80" t="inlineStr">
        <is>
          <t>Change the Ref</t>
        </is>
      </c>
      <c r="E7" s="80" t="inlineStr">
        <is>
          <t>Pro Bono</t>
        </is>
      </c>
      <c r="F7" s="80" t="inlineStr">
        <is>
          <t>Energy BBDO</t>
        </is>
      </c>
      <c r="G7" s="80" t="inlineStr">
        <is>
          <t>United States</t>
        </is>
      </c>
      <c r="H7" s="80" t="inlineStr">
        <is>
          <t>A07 - Not-for-Profit / Charity / Government</t>
        </is>
      </c>
      <c r="I7" s="87" t="inlineStr">
        <is>
          <t>https://ascentialcdn.filespin.io/api/v1/conversion/615e3a15eabf457d91d317468a12d825</t>
        </is>
      </c>
      <c r="J7" s="80" t="inlineStr">
        <is>
          <t>Ljsstj4eiko</t>
        </is>
      </c>
      <c r="L7" s="33" t="inlineStr">
        <is>
          <t>https://www.lovethework.com/work/entries/the-final-exam-761015</t>
        </is>
      </c>
    </row>
    <row r="8" ht="34.5" customHeight="1" s="34">
      <c r="A8" s="77" t="n">
        <v>7</v>
      </c>
      <c r="B8" s="88" t="inlineStr">
        <is>
          <t>Gold</t>
        </is>
      </c>
      <c r="C8" s="79" t="inlineStr">
        <is>
          <t>Streaming Bars</t>
        </is>
      </c>
      <c r="D8" s="80" t="inlineStr">
        <is>
          <t>Heineken</t>
        </is>
      </c>
      <c r="E8" s="80" t="inlineStr">
        <is>
          <t>Heineken</t>
        </is>
      </c>
      <c r="F8" s="80" t="inlineStr">
        <is>
          <t>LePub</t>
        </is>
      </c>
      <c r="G8" s="80" t="inlineStr">
        <is>
          <t>Brazil</t>
        </is>
      </c>
      <c r="H8" s="80" t="inlineStr">
        <is>
          <t>B01 - Use of Screens &amp; Audio Visual Platforms</t>
        </is>
      </c>
      <c r="I8" s="87" t="inlineStr">
        <is>
          <t>https://ascentialcdn.filespin.io/api/v1/conversion/d0be42343a2e4aaea76238ca95dfcbab</t>
        </is>
      </c>
      <c r="J8" s="80" t="inlineStr">
        <is>
          <t>0izbOb7N73g</t>
        </is>
      </c>
      <c r="L8" s="33" t="inlineStr">
        <is>
          <t>https://www.lovethework.com/work/entries/streaming-bars-745041</t>
        </is>
      </c>
    </row>
    <row r="9" ht="34.5" customHeight="1" s="34">
      <c r="A9" s="77" t="n">
        <v>8</v>
      </c>
      <c r="B9" s="88" t="inlineStr">
        <is>
          <t>Gold</t>
        </is>
      </c>
      <c r="C9" s="79" t="inlineStr">
        <is>
          <t>"Raise Your Banners"</t>
        </is>
      </c>
      <c r="D9" s="80" t="inlineStr">
        <is>
          <t>HBO</t>
        </is>
      </c>
      <c r="E9" s="80" t="inlineStr">
        <is>
          <t>House of the Dragon Season 2</t>
        </is>
      </c>
      <c r="F9" s="80" t="inlineStr">
        <is>
          <t>Giant Spoon</t>
        </is>
      </c>
      <c r="G9" s="80" t="inlineStr">
        <is>
          <t>United States</t>
        </is>
      </c>
      <c r="H9" s="80" t="inlineStr">
        <is>
          <t>B06 - Large-Scale Media</t>
        </is>
      </c>
      <c r="I9" s="87" t="inlineStr">
        <is>
          <t>https://ascentialcdn.filespin.io/api/v1/conversion/8568fb79e86c4ae994a024b682498651</t>
        </is>
      </c>
      <c r="J9" s="80" t="inlineStr">
        <is>
          <t>S-r_T-LZBR0</t>
        </is>
      </c>
      <c r="L9" s="33" t="inlineStr">
        <is>
          <t>https://www.lovethework.com/work/entries/raise-your-banners-745396</t>
        </is>
      </c>
    </row>
    <row r="10" ht="34.5" customHeight="1" s="34">
      <c r="A10" s="77" t="n">
        <v>9</v>
      </c>
      <c r="B10" s="88" t="inlineStr">
        <is>
          <t>Gold</t>
        </is>
      </c>
      <c r="C10" s="79" t="inlineStr">
        <is>
          <t>Retro Influencers</t>
        </is>
      </c>
      <c r="D10" s="80" t="inlineStr">
        <is>
          <t>Skol</t>
        </is>
      </c>
      <c r="E10" s="80" t="inlineStr">
        <is>
          <t>Skol</t>
        </is>
      </c>
      <c r="F10" s="80" t="inlineStr">
        <is>
          <t>GUT</t>
        </is>
      </c>
      <c r="G10" s="80" t="inlineStr">
        <is>
          <t>Brazil</t>
        </is>
      </c>
      <c r="H10" s="80" t="inlineStr">
        <is>
          <t>B10 - Use of Social Platforms</t>
        </is>
      </c>
      <c r="I10" s="87" t="inlineStr">
        <is>
          <t>https://ascentialcdn.filespin.io/api/v1/conversion/8d30857fd8bf46f3ab1b9c9b3d0a50fa</t>
        </is>
      </c>
      <c r="J10" s="80" t="inlineStr">
        <is>
          <t>FKLnmbWukt0</t>
        </is>
      </c>
      <c r="L10" s="33" t="inlineStr">
        <is>
          <t>https://www.lovethework.com/work/entries/retro-influencers-745595</t>
        </is>
      </c>
    </row>
    <row r="11" ht="34.5" customHeight="1" s="34">
      <c r="A11" s="77" t="n">
        <v>10</v>
      </c>
      <c r="B11" s="88" t="inlineStr">
        <is>
          <t>Gold</t>
        </is>
      </c>
      <c r="C11" s="79" t="inlineStr">
        <is>
          <t>The Rewards Bag</t>
        </is>
      </c>
      <c r="D11" s="80" t="inlineStr">
        <is>
          <t>Tata</t>
        </is>
      </c>
      <c r="E11" s="80" t="inlineStr">
        <is>
          <t>Tata</t>
        </is>
      </c>
      <c r="F11" s="80" t="inlineStr">
        <is>
          <t>VML</t>
        </is>
      </c>
      <c r="G11" s="80" t="inlineStr">
        <is>
          <t>Uruguay</t>
        </is>
      </c>
      <c r="H11" s="80" t="inlineStr">
        <is>
          <t>B13 - Retail Media</t>
        </is>
      </c>
      <c r="I11" s="87" t="inlineStr">
        <is>
          <t>https://ascentialcdn.filespin.io/api/v1/conversion/9d355715dd4d4857a2f82df5c502290b</t>
        </is>
      </c>
      <c r="J11" s="80" t="inlineStr">
        <is>
          <t>RzJQ1TVItHI</t>
        </is>
      </c>
      <c r="L11" s="33" t="inlineStr">
        <is>
          <t>https://www.lovethework.com/work/entries/the-rewards-bag-745869</t>
        </is>
      </c>
    </row>
    <row r="12" ht="34.5" customHeight="1" s="34">
      <c r="A12" s="77" t="n">
        <v>11</v>
      </c>
      <c r="B12" s="88" t="inlineStr">
        <is>
          <t>Gold</t>
        </is>
      </c>
      <c r="C12" s="79" t="inlineStr">
        <is>
          <t>Fictional Insurance</t>
        </is>
      </c>
      <c r="D12" s="80" t="inlineStr">
        <is>
          <t>RCN/Prime</t>
        </is>
      </c>
      <c r="E12" s="80" t="inlineStr">
        <is>
          <t>Insurance</t>
        </is>
      </c>
      <c r="F12" s="80" t="inlineStr">
        <is>
          <t>DDB Colombia</t>
        </is>
      </c>
      <c r="G12" s="80" t="inlineStr">
        <is>
          <t>Colombia</t>
        </is>
      </c>
      <c r="H12" s="80" t="inlineStr">
        <is>
          <t>C02 - Use of Brand or Product Integration into a Programme or Platform</t>
        </is>
      </c>
      <c r="I12" s="87" t="inlineStr">
        <is>
          <t>https://ascentialcdn.filespin.io/api/v1/conversion/9f879201572d4cb9aa1e14e89b6a4f2f</t>
        </is>
      </c>
      <c r="J12" s="80" t="inlineStr">
        <is>
          <t>OctiVcwaiXI</t>
        </is>
      </c>
      <c r="L12" s="33" t="inlineStr">
        <is>
          <t>https://www.lovethework.com/work/entries/fictional-insurance-745946</t>
        </is>
      </c>
    </row>
    <row r="13" ht="34.5" customHeight="1" s="34">
      <c r="A13" s="77" t="n">
        <v>12</v>
      </c>
      <c r="B13" s="88" t="inlineStr">
        <is>
          <t>Gold</t>
        </is>
      </c>
      <c r="C13" s="79" t="inlineStr">
        <is>
          <t>First Ever Live Commercial Crossover</t>
        </is>
      </c>
      <c r="D13" s="80" t="inlineStr">
        <is>
          <t>Rocket</t>
        </is>
      </c>
      <c r="E13" s="80" t="inlineStr">
        <is>
          <t>Rocket</t>
        </is>
      </c>
      <c r="F13" s="80" t="inlineStr">
        <is>
          <t>Zenith</t>
        </is>
      </c>
      <c r="G13" s="80" t="inlineStr">
        <is>
          <t>United States</t>
        </is>
      </c>
      <c r="H13" s="80" t="inlineStr">
        <is>
          <t>E03 - Media Execution</t>
        </is>
      </c>
      <c r="I13" s="87" t="inlineStr">
        <is>
          <t>https://ascentialcdn.filespin.io/api/v1/conversion/c8c6d973823e408c926f4de68327d5df</t>
        </is>
      </c>
      <c r="J13" s="80" t="inlineStr">
        <is>
          <t>oF6A79XVZsc</t>
        </is>
      </c>
      <c r="L13" s="33" t="inlineStr">
        <is>
          <t>https://www.lovethework.com/work/entries/first-ever-live-commercial-crossover-759386</t>
        </is>
      </c>
    </row>
    <row r="14" ht="34.5" customHeight="1" s="34">
      <c r="A14" s="77" t="n">
        <v>13</v>
      </c>
      <c r="B14" s="88" t="inlineStr">
        <is>
          <t>Gold</t>
        </is>
      </c>
      <c r="C14" s="79" t="inlineStr">
        <is>
          <t>Waitrose Sweet Suspicion - A Deliciously Festive Whodunnit</t>
        </is>
      </c>
      <c r="D14" s="80" t="inlineStr">
        <is>
          <t>Waitrose &amp; Partners</t>
        </is>
      </c>
      <c r="E14" s="80" t="inlineStr">
        <is>
          <t>Waitrose &amp; Partners</t>
        </is>
      </c>
      <c r="F14" s="80" t="inlineStr">
        <is>
          <t>Manning Gottlieb OMD</t>
        </is>
      </c>
      <c r="G14" s="80" t="inlineStr">
        <is>
          <t>United Kingdom</t>
        </is>
      </c>
      <c r="H14" s="80" t="inlineStr">
        <is>
          <t>E04 - Use of Channel Integration</t>
        </is>
      </c>
      <c r="I14" s="87" t="inlineStr">
        <is>
          <t>https://ascentialcdn.filespin.io/api/v1/conversion/e69c489d848f46d9939d454b8fb7ec2f</t>
        </is>
      </c>
      <c r="J14" s="80" t="inlineStr">
        <is>
          <t>4_BtosdFfbk</t>
        </is>
      </c>
      <c r="L14" s="33" t="inlineStr">
        <is>
          <t>https://www.lovethework.com/work/entries/waitrose-sweet-suspicion-a-deliciously-festive-whodunnit-762693</t>
        </is>
      </c>
    </row>
    <row r="15" ht="34.5" customHeight="1" s="34">
      <c r="A15" s="77" t="n">
        <v>14</v>
      </c>
      <c r="B15" s="89" t="inlineStr">
        <is>
          <t>Silver</t>
        </is>
      </c>
      <c r="C15" s="79" t="inlineStr">
        <is>
          <t>Sweet Suspicion</t>
        </is>
      </c>
      <c r="D15" s="80" t="inlineStr">
        <is>
          <t>Waitrose</t>
        </is>
      </c>
      <c r="E15" s="80" t="inlineStr">
        <is>
          <t>Waitrose</t>
        </is>
      </c>
      <c r="F15" s="80" t="inlineStr">
        <is>
          <t>Saatchi &amp; Saatchi</t>
        </is>
      </c>
      <c r="G15" s="80" t="inlineStr">
        <is>
          <t>United Kingdom</t>
        </is>
      </c>
      <c r="H15" s="80" t="inlineStr">
        <is>
          <t>A04 - Travel, Leisure, Retail, Restaurants &amp; Fast-Food Chains</t>
        </is>
      </c>
      <c r="I15" s="87" t="inlineStr">
        <is>
          <t>https://ascentialcdn.filespin.io/api/v1/conversion/d5a5f996a09d495dac5d5cdbef7ae33f</t>
        </is>
      </c>
      <c r="J15" s="80" t="inlineStr">
        <is>
          <t>4_BtosdFfbk</t>
        </is>
      </c>
      <c r="L15" s="33" t="inlineStr">
        <is>
          <t>https://www.lovethework.com/work/entries/sweet-suspicion-745100</t>
        </is>
      </c>
    </row>
    <row r="16" ht="34.5" customHeight="1" s="34">
      <c r="A16" s="77" t="n">
        <v>15</v>
      </c>
      <c r="B16" s="89" t="inlineStr">
        <is>
          <t>Silver</t>
        </is>
      </c>
      <c r="C16" s="79" t="inlineStr">
        <is>
          <t>Bring Korea to the World</t>
        </is>
      </c>
      <c r="D16" s="80" t="inlineStr">
        <is>
          <t>Netflix</t>
        </is>
      </c>
      <c r="E16" s="80" t="inlineStr">
        <is>
          <t>Squid Game</t>
        </is>
      </c>
      <c r="F16" s="80" t="inlineStr">
        <is>
          <t>Netflix</t>
        </is>
      </c>
      <c r="G16" s="80" t="inlineStr">
        <is>
          <t>United States</t>
        </is>
      </c>
      <c r="H16" s="80" t="inlineStr">
        <is>
          <t>A05 - Media/Entertainment</t>
        </is>
      </c>
      <c r="I16" s="87" t="inlineStr">
        <is>
          <t>https://ascentialcdn.filespin.io/api/v1/conversion/7e4fdab3938d4931a5578f05baa5aa36</t>
        </is>
      </c>
      <c r="J16" s="80" t="inlineStr">
        <is>
          <t>NZRnLh1U5HM</t>
        </is>
      </c>
      <c r="L16" s="33" t="inlineStr">
        <is>
          <t>https://www.lovethework.com/work/entries/bring-korea-to-the-world-745005</t>
        </is>
      </c>
    </row>
    <row r="17" ht="34.5" customHeight="1" s="34">
      <c r="A17" s="77" t="n">
        <v>16</v>
      </c>
      <c r="B17" s="89" t="inlineStr">
        <is>
          <t>Silver</t>
        </is>
      </c>
      <c r="C17" s="79" t="inlineStr">
        <is>
          <t>Dirty Mouth Sponsorship</t>
        </is>
      </c>
      <c r="D17" s="80" t="inlineStr">
        <is>
          <t>CIF</t>
        </is>
      </c>
      <c r="E17" s="80" t="inlineStr">
        <is>
          <t>CIF</t>
        </is>
      </c>
      <c r="F17" s="80" t="inlineStr">
        <is>
          <t>Droga5, Part of Accenture Song</t>
        </is>
      </c>
      <c r="G17" s="80" t="inlineStr">
        <is>
          <t>Brazil</t>
        </is>
      </c>
      <c r="H17" s="80" t="inlineStr">
        <is>
          <t>B02 - Use of Audio Platforms</t>
        </is>
      </c>
      <c r="I17" s="87" t="inlineStr">
        <is>
          <t>digital-presentation-images/media-cif-dirty-mouth-sponsorship.webp</t>
        </is>
      </c>
      <c r="J17" s="80" t="inlineStr">
        <is>
          <t>DlylpwndJuU</t>
        </is>
      </c>
      <c r="L17" s="33" t="inlineStr">
        <is>
          <t>https://www.lovethework.com/work/entries/dirty-mouth-sponsorship-745194</t>
        </is>
      </c>
    </row>
    <row r="18" ht="34.5" customHeight="1" s="34">
      <c r="A18" s="77" t="n">
        <v>17</v>
      </c>
      <c r="B18" s="89" t="inlineStr">
        <is>
          <t>Silver</t>
        </is>
      </c>
      <c r="C18" s="79" t="inlineStr">
        <is>
          <t>Speed Coupons</t>
        </is>
      </c>
      <c r="D18" s="80" t="inlineStr">
        <is>
          <t>Mercado Livre</t>
        </is>
      </c>
      <c r="E18" s="80" t="inlineStr">
        <is>
          <t>Mercado Livre</t>
        </is>
      </c>
      <c r="F18" s="80" t="inlineStr">
        <is>
          <t>GUT</t>
        </is>
      </c>
      <c r="G18" s="80" t="inlineStr">
        <is>
          <t>Brazil</t>
        </is>
      </c>
      <c r="H18" s="80" t="inlineStr">
        <is>
          <t>B04 - Use of Outdoor</t>
        </is>
      </c>
      <c r="I18" s="87" t="inlineStr">
        <is>
          <t>https://ascentialcdn.filespin.io/api/v1/conversion/24e11754184a42ce8f0744b5d9f56d7a</t>
        </is>
      </c>
      <c r="J18" s="80" t="inlineStr">
        <is>
          <t>l3Sxq8LCXZA</t>
        </is>
      </c>
      <c r="L18" s="33" t="inlineStr">
        <is>
          <t>https://www.lovethework.com/work/entries/speed-coupons-745245</t>
        </is>
      </c>
    </row>
    <row r="19" ht="34.5" customHeight="1" s="34">
      <c r="A19" s="77" t="n">
        <v>18</v>
      </c>
      <c r="B19" s="89" t="inlineStr">
        <is>
          <t>Silver</t>
        </is>
      </c>
      <c r="C19" s="79" t="inlineStr">
        <is>
          <t>Takeoff Takeover</t>
        </is>
      </c>
      <c r="D19" s="80" t="inlineStr">
        <is>
          <t>Cathay Pacific</t>
        </is>
      </c>
      <c r="E19" s="80" t="inlineStr">
        <is>
          <t>Cathay Pacific Airways</t>
        </is>
      </c>
      <c r="F19" s="80" t="inlineStr">
        <is>
          <t>LEO</t>
        </is>
      </c>
      <c r="G19" s="80" t="inlineStr">
        <is>
          <t>India</t>
        </is>
      </c>
      <c r="H19" s="80" t="inlineStr">
        <is>
          <t>B04 - Use of Outdoor</t>
        </is>
      </c>
      <c r="I19" s="87" t="inlineStr">
        <is>
          <t>https://ascentialcdn.filespin.io/api/v1/conversion/a6416f5b55ed4d7ca12d09d85560d5a3</t>
        </is>
      </c>
      <c r="J19" s="80" t="inlineStr">
        <is>
          <t>vPK3k8dYrSk</t>
        </is>
      </c>
      <c r="L19" s="33" t="inlineStr">
        <is>
          <t>https://www.lovethework.com/work/entries/takeoff-takeover-745197</t>
        </is>
      </c>
    </row>
    <row r="20" ht="34.5" customHeight="1" s="34">
      <c r="A20" s="77" t="n">
        <v>19</v>
      </c>
      <c r="B20" s="89" t="inlineStr">
        <is>
          <t>Silver</t>
        </is>
      </c>
      <c r="C20" s="79" t="inlineStr">
        <is>
          <t>Gulf of Mexico (Bar)</t>
        </is>
      </c>
      <c r="D20" s="80" t="inlineStr">
        <is>
          <t>Tecate</t>
        </is>
      </c>
      <c r="E20" s="80" t="inlineStr">
        <is>
          <t>Tecate Light</t>
        </is>
      </c>
      <c r="F20" s="80" t="inlineStr">
        <is>
          <t>LePub</t>
        </is>
      </c>
      <c r="G20" s="80" t="inlineStr">
        <is>
          <t>Mexico</t>
        </is>
      </c>
      <c r="H20" s="80" t="inlineStr">
        <is>
          <t>B07 - Use of Events &amp; Stunts</t>
        </is>
      </c>
      <c r="I20" s="87" t="inlineStr">
        <is>
          <t>https://ascentialcdn.filespin.io/api/v1/conversion/afa88aa8421b41a18c68b9863bb6926c</t>
        </is>
      </c>
      <c r="J20" s="80" t="inlineStr">
        <is>
          <t>TFbAS7weMR8</t>
        </is>
      </c>
      <c r="L20" s="33" t="inlineStr">
        <is>
          <t>https://www.lovethework.com/work/entries/gulf-of-mexico-bar-745576</t>
        </is>
      </c>
    </row>
    <row r="21" ht="34.5" customHeight="1" s="34">
      <c r="A21" s="77" t="n">
        <v>20</v>
      </c>
      <c r="B21" s="89" t="inlineStr">
        <is>
          <t>Silver</t>
        </is>
      </c>
      <c r="C21" s="79" t="inlineStr">
        <is>
          <t>Kleenex Score</t>
        </is>
      </c>
      <c r="D21" s="80" t="inlineStr">
        <is>
          <t>Kimberly-Clark</t>
        </is>
      </c>
      <c r="E21" s="80" t="inlineStr">
        <is>
          <t>Kleenex</t>
        </is>
      </c>
      <c r="F21" s="80" t="inlineStr">
        <is>
          <t>VML</t>
        </is>
      </c>
      <c r="G21" s="80" t="inlineStr">
        <is>
          <t>United States</t>
        </is>
      </c>
      <c r="H21" s="80" t="inlineStr">
        <is>
          <t>B08 - Use of Digital Platforms</t>
        </is>
      </c>
      <c r="I21" s="87" t="inlineStr">
        <is>
          <t>https://ascentialcdn.filespin.io/api/v1/conversion/b71f0dff73f3455abef2899f0b1aeb49</t>
        </is>
      </c>
      <c r="J21" s="80" t="inlineStr">
        <is>
          <t>hKBNKbhMwZw</t>
        </is>
      </c>
      <c r="L21" s="33" t="inlineStr">
        <is>
          <t>https://www.lovethework.com/work/entries/kleenex-score-745583</t>
        </is>
      </c>
    </row>
    <row r="22" ht="34.5" customHeight="1" s="34">
      <c r="A22" s="77" t="n">
        <v>21</v>
      </c>
      <c r="B22" s="89" t="inlineStr">
        <is>
          <t>Silver</t>
        </is>
      </c>
      <c r="C22" s="79" t="inlineStr">
        <is>
          <t>Maccie</t>
        </is>
      </c>
      <c r="D22" s="80" t="inlineStr">
        <is>
          <t>McDonald's</t>
        </is>
      </c>
      <c r="E22" s="80" t="inlineStr">
        <is>
          <t>Maccie</t>
        </is>
      </c>
      <c r="F22" s="80" t="inlineStr">
        <is>
          <t>TBWA\Neboko</t>
        </is>
      </c>
      <c r="G22" s="80" t="inlineStr">
        <is>
          <t>Netherlands</t>
        </is>
      </c>
      <c r="H22" s="80" t="inlineStr">
        <is>
          <t>B09 - Use of Mobile</t>
        </is>
      </c>
      <c r="I22" s="87" t="inlineStr">
        <is>
          <t>https://ascentialcdn.filespin.io/api/v1/conversion/16832e372e2c49889fda6d5d3168015d</t>
        </is>
      </c>
      <c r="J22" s="80" t="inlineStr">
        <is>
          <t>vimeo:1076319737</t>
        </is>
      </c>
      <c r="L22" s="33" t="inlineStr">
        <is>
          <t>https://www.lovethework.com/work/entries/maccie-745574</t>
        </is>
      </c>
    </row>
    <row r="23" ht="34.5" customHeight="1" s="34">
      <c r="A23" s="77" t="n">
        <v>22</v>
      </c>
      <c r="B23" s="89" t="inlineStr">
        <is>
          <t>Silver</t>
        </is>
      </c>
      <c r="C23" s="79" t="inlineStr">
        <is>
          <t>Navy Subreddit Hunt</t>
        </is>
      </c>
      <c r="D23" s="80" t="inlineStr">
        <is>
          <t>U.S. Navy</t>
        </is>
      </c>
      <c r="E23" s="80" t="inlineStr">
        <is>
          <t>U.S. Navy Recruitment Initiative</t>
        </is>
      </c>
      <c r="F23" s="80" t="inlineStr">
        <is>
          <t>VML</t>
        </is>
      </c>
      <c r="G23" s="80" t="inlineStr">
        <is>
          <t>United States</t>
        </is>
      </c>
      <c r="H23" s="80" t="inlineStr">
        <is>
          <t>B10 - Use of Social Platforms</t>
        </is>
      </c>
      <c r="I23" s="87" t="inlineStr">
        <is>
          <t>https://ascentialcdn.filespin.io/api/v1/conversion/acedbde3eb964175b899c5e90a584d7a</t>
        </is>
      </c>
      <c r="J23" s="80" t="inlineStr">
        <is>
          <t>1qkvD-Vpqp4</t>
        </is>
      </c>
      <c r="L23" s="33" t="inlineStr">
        <is>
          <t>https://www.lovethework.com/work/entries/navy-subreddit-hunt-745721</t>
        </is>
      </c>
    </row>
    <row r="24" ht="34.5" customHeight="1" s="34">
      <c r="A24" s="77" t="n">
        <v>23</v>
      </c>
      <c r="B24" s="89" t="inlineStr">
        <is>
          <t>Silver</t>
        </is>
      </c>
      <c r="C24" s="79" t="inlineStr">
        <is>
          <t>Dove Real Beauty Redefined for the AI Era</t>
        </is>
      </c>
      <c r="D24" s="80" t="inlineStr">
        <is>
          <t>Dove</t>
        </is>
      </c>
      <c r="E24" s="80" t="inlineStr">
        <is>
          <t>Dove</t>
        </is>
      </c>
      <c r="F24" s="80" t="inlineStr">
        <is>
          <t>Mindshare</t>
        </is>
      </c>
      <c r="G24" s="80" t="inlineStr">
        <is>
          <t>United States</t>
        </is>
      </c>
      <c r="H24" s="80" t="inlineStr">
        <is>
          <t>B12 - New Realities &amp; Emerging Tech</t>
        </is>
      </c>
      <c r="I24" s="87" t="inlineStr">
        <is>
          <t>https://ascentialcdn.filespin.io/api/v1/conversion/da693fd61fc74ddfbb3525f638cd77c6</t>
        </is>
      </c>
      <c r="J24" s="80" t="inlineStr">
        <is>
          <t>8vYoL8nga-A</t>
        </is>
      </c>
      <c r="L24" s="33" t="inlineStr">
        <is>
          <t>https://www.lovethework.com/work/entries/dove-real-beauty-redefined-for-the-ai-era-745808</t>
        </is>
      </c>
    </row>
    <row r="25" ht="34.5" customHeight="1" s="34">
      <c r="A25" s="77" t="n">
        <v>24</v>
      </c>
      <c r="B25" s="89" t="inlineStr">
        <is>
          <t>Silver</t>
        </is>
      </c>
      <c r="C25" s="79" t="inlineStr">
        <is>
          <t>Preserved Promos</t>
        </is>
      </c>
      <c r="D25" s="80" t="inlineStr">
        <is>
          <t>Ziploc</t>
        </is>
      </c>
      <c r="E25" s="80" t="inlineStr">
        <is>
          <t>Ziploc</t>
        </is>
      </c>
      <c r="F25" s="80" t="inlineStr">
        <is>
          <t>VML</t>
        </is>
      </c>
      <c r="G25" s="80" t="inlineStr">
        <is>
          <t>United States</t>
        </is>
      </c>
      <c r="H25" s="80" t="inlineStr">
        <is>
          <t>B13 - Retail Media</t>
        </is>
      </c>
      <c r="I25" s="87" t="inlineStr">
        <is>
          <t>https://ascentialcdn.filespin.io/api/v1/conversion/8223f25b769b40e3b665c4ec19e2e12c</t>
        </is>
      </c>
      <c r="J25" s="80" t="inlineStr">
        <is>
          <t>CYF3rvwSY78</t>
        </is>
      </c>
      <c r="L25" s="33" t="inlineStr">
        <is>
          <t>https://www.lovethework.com/work/entries/preserved-promos-745777</t>
        </is>
      </c>
    </row>
    <row r="26" ht="34.5" customHeight="1" s="34">
      <c r="A26" s="77" t="n">
        <v>25</v>
      </c>
      <c r="B26" s="89" t="inlineStr">
        <is>
          <t>Silver</t>
        </is>
      </c>
      <c r="C26" s="79" t="inlineStr">
        <is>
          <t>The 26th Minute</t>
        </is>
      </c>
      <c r="D26" s="80" t="inlineStr">
        <is>
          <t>Dublin Samaritans</t>
        </is>
      </c>
      <c r="E26" s="80" t="inlineStr">
        <is>
          <t>Samaritans Volunteer Recruitment</t>
        </is>
      </c>
      <c r="F26" s="80" t="inlineStr">
        <is>
          <t>Droga5, Part of Accenture Song</t>
        </is>
      </c>
      <c r="G26" s="80" t="inlineStr">
        <is>
          <t>Ireland</t>
        </is>
      </c>
      <c r="H26" s="80" t="inlineStr">
        <is>
          <t>C01 - Audience Insights</t>
        </is>
      </c>
      <c r="I26" s="87" t="inlineStr">
        <is>
          <t>https://ascentialcdn.filespin.io/api/v1/conversion/4972357db5c14f0b84fd31512fa3d28c</t>
        </is>
      </c>
      <c r="J26" s="80" t="inlineStr">
        <is>
          <t>vimeo:1156074978</t>
        </is>
      </c>
      <c r="L26" s="33" t="inlineStr">
        <is>
          <t>https://www.lovethework.com/work/entries/the-26th-minute-745873</t>
        </is>
      </c>
    </row>
    <row r="27" ht="34.5" customHeight="1" s="34">
      <c r="A27" s="77" t="n">
        <v>26</v>
      </c>
      <c r="B27" s="89" t="inlineStr">
        <is>
          <t>Silver</t>
        </is>
      </c>
      <c r="C27" s="79" t="inlineStr">
        <is>
          <t>Vaseline Verified</t>
        </is>
      </c>
      <c r="D27" s="80" t="inlineStr">
        <is>
          <t>Unilever</t>
        </is>
      </c>
      <c r="E27" s="80" t="inlineStr">
        <is>
          <t>Vaseline</t>
        </is>
      </c>
      <c r="F27" s="80" t="inlineStr">
        <is>
          <t>Ogilvy</t>
        </is>
      </c>
      <c r="G27" s="80" t="inlineStr">
        <is>
          <t>Singapore</t>
        </is>
      </c>
      <c r="H27" s="80" t="inlineStr">
        <is>
          <t>C01 - Audience Insights</t>
        </is>
      </c>
      <c r="I27" s="87" t="inlineStr">
        <is>
          <t>https://ascentialcdn.filespin.io/api/v1/conversion/faf0755b0d4e4594ad93cb75d6288e3d</t>
        </is>
      </c>
      <c r="J27" s="80" t="inlineStr">
        <is>
          <t>ApwxlBruV90</t>
        </is>
      </c>
      <c r="L27" s="33" t="inlineStr">
        <is>
          <t>https://www.lovethework.com/work/entries/vaseline-verified-745828</t>
        </is>
      </c>
    </row>
    <row r="28" ht="34.5" customHeight="1" s="34">
      <c r="A28" s="77" t="n">
        <v>27</v>
      </c>
      <c r="B28" s="89" t="inlineStr">
        <is>
          <t>Silver</t>
        </is>
      </c>
      <c r="C28" s="79" t="inlineStr">
        <is>
          <t>Report This Ad</t>
        </is>
      </c>
      <c r="D28" s="80" t="inlineStr">
        <is>
          <t>Veris</t>
        </is>
      </c>
      <c r="E28" s="80" t="inlineStr">
        <is>
          <t>Online Mental Health Institution</t>
        </is>
      </c>
      <c r="F28" s="80" t="inlineStr">
        <is>
          <t>Paradais DDB</t>
        </is>
      </c>
      <c r="G28" s="80" t="inlineStr">
        <is>
          <t>Ecuador</t>
        </is>
      </c>
      <c r="H28" s="80" t="inlineStr">
        <is>
          <t>C01 - Audience Insights</t>
        </is>
      </c>
      <c r="I28" s="87" t="inlineStr">
        <is>
          <t>https://ascentialcdn.filespin.io/api/v1/conversion/acbb86d466734cc4890607c8d8d33696</t>
        </is>
      </c>
      <c r="J28" s="80" t="inlineStr">
        <is>
          <t>hyWYqBMUTk8</t>
        </is>
      </c>
      <c r="L28" s="33" t="inlineStr">
        <is>
          <t>https://www.lovethework.com/work/entries/report-this-ad-745783</t>
        </is>
      </c>
    </row>
    <row r="29" ht="34.5" customHeight="1" s="34">
      <c r="A29" s="77" t="n">
        <v>28</v>
      </c>
      <c r="B29" s="89" t="inlineStr">
        <is>
          <t>Silver</t>
        </is>
      </c>
      <c r="C29" s="79" t="inlineStr">
        <is>
          <t>Football Is for Food</t>
        </is>
      </c>
      <c r="D29" s="80" t="inlineStr">
        <is>
          <t>Uber Eats</t>
        </is>
      </c>
      <c r="E29" s="80" t="inlineStr">
        <is>
          <t>Uber Eats</t>
        </is>
      </c>
      <c r="F29" s="80" t="inlineStr">
        <is>
          <t>Special</t>
        </is>
      </c>
      <c r="G29" s="80" t="inlineStr">
        <is>
          <t>United States</t>
        </is>
      </c>
      <c r="H29" s="80" t="inlineStr">
        <is>
          <t>C02 - Use of Brand or Product Integration into a Programme or Platform</t>
        </is>
      </c>
      <c r="I29" s="87" t="inlineStr">
        <is>
          <t>https://ascentialcdn.filespin.io/api/v1/conversion/5ce0f137b7254d7aa885d7e83850f046</t>
        </is>
      </c>
      <c r="J29" s="80" t="inlineStr">
        <is>
          <t>81ahl1QYMp0</t>
        </is>
      </c>
      <c r="L29" s="33" t="inlineStr">
        <is>
          <t>https://www.lovethework.com/work/entries/football-is-for-food-745820</t>
        </is>
      </c>
    </row>
    <row r="30" ht="34.5" customHeight="1" s="34">
      <c r="A30" s="77" t="n">
        <v>29</v>
      </c>
      <c r="B30" s="89" t="inlineStr">
        <is>
          <t>Silver</t>
        </is>
      </c>
      <c r="C30" s="79" t="inlineStr">
        <is>
          <t>Thanks for Coke-Creating</t>
        </is>
      </c>
      <c r="D30" s="80" t="inlineStr">
        <is>
          <t>Coca-Cola</t>
        </is>
      </c>
      <c r="E30" s="80" t="inlineStr">
        <is>
          <t>Coca-Cola</t>
        </is>
      </c>
      <c r="F30" s="80" t="inlineStr">
        <is>
          <t>VML</t>
        </is>
      </c>
      <c r="G30" s="80" t="inlineStr">
        <is>
          <t>United States</t>
        </is>
      </c>
      <c r="H30" s="80" t="inlineStr">
        <is>
          <t>C06 - Co-Creation of Branded IP</t>
        </is>
      </c>
      <c r="I30" s="87" t="inlineStr">
        <is>
          <t>https://ascentialcdn.filespin.io/api/v1/conversion/e2d391a076394851ad0376152ece61bb</t>
        </is>
      </c>
      <c r="J30" s="80" t="inlineStr">
        <is>
          <t>gFQUmcwgoMg</t>
        </is>
      </c>
      <c r="L30" s="33" t="inlineStr">
        <is>
          <t>https://www.lovethework.com/work/entries/thanks-for-coke-creating-746016</t>
        </is>
      </c>
    </row>
    <row r="31" ht="34.5" customHeight="1" s="34">
      <c r="A31" s="77" t="n">
        <v>30</v>
      </c>
      <c r="B31" s="89" t="inlineStr">
        <is>
          <t>Silver</t>
        </is>
      </c>
      <c r="C31" s="79" t="inlineStr">
        <is>
          <t>Export Ultra Cold Call Back Service</t>
        </is>
      </c>
      <c r="D31" s="80" t="inlineStr">
        <is>
          <t>Export Ultra</t>
        </is>
      </c>
      <c r="E31" s="80" t="inlineStr">
        <is>
          <t>Beer</t>
        </is>
      </c>
      <c r="F31" s="80" t="inlineStr">
        <is>
          <t>Carat</t>
        </is>
      </c>
      <c r="G31" s="80" t="inlineStr">
        <is>
          <t>New Zealand</t>
        </is>
      </c>
      <c r="H31" s="80" t="inlineStr">
        <is>
          <t>D01 - Local Brand</t>
        </is>
      </c>
      <c r="I31" s="87" t="inlineStr">
        <is>
          <t>https://ascentialcdn.filespin.io/api/v1/conversion/933648a57dec4e89a455851927c51e15</t>
        </is>
      </c>
      <c r="J31" s="80" t="inlineStr">
        <is>
          <t>EMZYDpxI_KI</t>
        </is>
      </c>
      <c r="L31" s="33" t="inlineStr">
        <is>
          <t>https://www.lovethework.com/work/entries/export-ultra-cold-call-back-service-759477</t>
        </is>
      </c>
    </row>
    <row r="32" ht="34.5" customHeight="1" s="34">
      <c r="A32" s="77" t="n">
        <v>31</v>
      </c>
      <c r="B32" s="89" t="inlineStr">
        <is>
          <t>Silver</t>
        </is>
      </c>
      <c r="C32" s="79" t="inlineStr">
        <is>
          <t>Legacy Lager</t>
        </is>
      </c>
      <c r="D32" s="80" t="inlineStr">
        <is>
          <t>Legacy Australia</t>
        </is>
      </c>
      <c r="E32" s="80" t="inlineStr">
        <is>
          <t>Legacy Australia</t>
        </is>
      </c>
      <c r="F32" s="80" t="inlineStr">
        <is>
          <t>VML</t>
        </is>
      </c>
      <c r="G32" s="80" t="inlineStr">
        <is>
          <t>Australia</t>
        </is>
      </c>
      <c r="H32" s="80" t="inlineStr">
        <is>
          <t>D04 - Social Behaviour</t>
        </is>
      </c>
      <c r="I32" s="87" t="inlineStr">
        <is>
          <t>https://ascentialcdn.filespin.io/api/v1/conversion/ba35a566f4064244b364f68bf3a55633</t>
        </is>
      </c>
      <c r="J32" s="80" t="inlineStr">
        <is>
          <t>vimeo:1087794273</t>
        </is>
      </c>
      <c r="L32" s="33" t="inlineStr">
        <is>
          <t>https://www.lovethework.com/work/entries/legacy-lager-746168</t>
        </is>
      </c>
    </row>
    <row r="33" ht="34.5" customHeight="1" s="34">
      <c r="A33" s="77" t="n">
        <v>32</v>
      </c>
      <c r="B33" s="89" t="inlineStr">
        <is>
          <t>Silver</t>
        </is>
      </c>
      <c r="C33" s="79" t="inlineStr">
        <is>
          <t>Health Is</t>
        </is>
      </c>
      <c r="D33" s="80" t="inlineStr">
        <is>
          <t>BUPA</t>
        </is>
      </c>
      <c r="E33" s="80" t="inlineStr">
        <is>
          <t>BUPA Health Insurance</t>
        </is>
      </c>
      <c r="F33" s="80" t="inlineStr">
        <is>
          <t>Initiative Media</t>
        </is>
      </c>
      <c r="G33" s="80" t="inlineStr">
        <is>
          <t>United Kingdom</t>
        </is>
      </c>
      <c r="H33" s="80" t="inlineStr">
        <is>
          <t>D07 - Corporate Purpose &amp; Social Responsibility</t>
        </is>
      </c>
      <c r="I33" s="87" t="inlineStr">
        <is>
          <t>https://ascentialcdn.filespin.io/api/v1/conversion/97b8e88790d047b79a07f2461478c324</t>
        </is>
      </c>
      <c r="J33" s="80" t="inlineStr">
        <is>
          <t>vimeo:1065929468</t>
        </is>
      </c>
      <c r="L33" s="33" t="inlineStr">
        <is>
          <t>https://www.lovethework.com/work/entries/health-is-746400</t>
        </is>
      </c>
    </row>
    <row r="34" ht="34.5" customHeight="1" s="34">
      <c r="A34" s="77" t="n">
        <v>33</v>
      </c>
      <c r="B34" s="89" t="inlineStr">
        <is>
          <t>Silver</t>
        </is>
      </c>
      <c r="C34" s="79" t="inlineStr">
        <is>
          <t>Code My Crown</t>
        </is>
      </c>
      <c r="D34" s="80" t="inlineStr">
        <is>
          <t>Dove</t>
        </is>
      </c>
      <c r="E34" s="80" t="inlineStr">
        <is>
          <t>Dove</t>
        </is>
      </c>
      <c r="F34" s="80" t="inlineStr">
        <is>
          <t>Edelman</t>
        </is>
      </c>
      <c r="G34" s="80" t="inlineStr">
        <is>
          <t>United Kingdom</t>
        </is>
      </c>
      <c r="H34" s="80" t="inlineStr">
        <is>
          <t>D09 - Cultural Engagement</t>
        </is>
      </c>
      <c r="I34" s="87" t="inlineStr">
        <is>
          <t>https://ascentialcdn.filespin.io/api/v1/conversion/dc773a5191b947ea85626af886046a69</t>
        </is>
      </c>
      <c r="J34" s="80" t="inlineStr">
        <is>
          <t>stQ442QJ9pg</t>
        </is>
      </c>
      <c r="L34" s="33" t="inlineStr">
        <is>
          <t>https://www.lovethework.com/work/entries/code-my-crown-746487</t>
        </is>
      </c>
    </row>
    <row r="35" ht="34.5" customHeight="1" s="34">
      <c r="A35" s="77" t="n">
        <v>34</v>
      </c>
      <c r="B35" s="89" t="inlineStr">
        <is>
          <t>Silver</t>
        </is>
      </c>
      <c r="C35" s="79" t="inlineStr">
        <is>
          <t>Pub Succession</t>
        </is>
      </c>
      <c r="D35" s="80" t="inlineStr">
        <is>
          <t>Heineken</t>
        </is>
      </c>
      <c r="E35" s="80" t="inlineStr">
        <is>
          <t>Heineken</t>
        </is>
      </c>
      <c r="F35" s="80" t="inlineStr">
        <is>
          <t>LePub</t>
        </is>
      </c>
      <c r="G35" s="80" t="inlineStr">
        <is>
          <t>Italy</t>
        </is>
      </c>
      <c r="H35" s="80" t="inlineStr">
        <is>
          <t>D09 - Cultural Engagement</t>
        </is>
      </c>
      <c r="I35" s="87" t="inlineStr">
        <is>
          <t>https://ascentialcdn.filespin.io/api/v1/conversion/a8d4e72bb1ce47508dcea8db73d16b01</t>
        </is>
      </c>
      <c r="J35" s="80" t="inlineStr">
        <is>
          <t>Cu0FLBdZrcM</t>
        </is>
      </c>
      <c r="L35" s="33" t="inlineStr">
        <is>
          <t>https://www.lovethework.com/work/entries/pub-succession-746430</t>
        </is>
      </c>
    </row>
    <row r="36" ht="34.5" customHeight="1" s="34">
      <c r="A36" s="77" t="n">
        <v>35</v>
      </c>
      <c r="B36" s="89" t="inlineStr">
        <is>
          <t>Silver</t>
        </is>
      </c>
      <c r="C36" s="79" t="inlineStr">
        <is>
          <t>The Flame That Wasn't a Flame</t>
        </is>
      </c>
      <c r="D36" s="80" t="inlineStr">
        <is>
          <t>EDF</t>
        </is>
      </c>
      <c r="E36" s="80" t="inlineStr">
        <is>
          <t>The Olympic Cauldron</t>
        </is>
      </c>
      <c r="F36" s="80" t="inlineStr">
        <is>
          <t>Havas Media</t>
        </is>
      </c>
      <c r="G36" s="80" t="inlineStr">
        <is>
          <t>France</t>
        </is>
      </c>
      <c r="H36" s="80" t="inlineStr">
        <is>
          <t>E02 - Media Planning</t>
        </is>
      </c>
      <c r="I36" s="87" t="inlineStr">
        <is>
          <t>https://ascentialcdn.filespin.io/api/v1/conversion/179b9d045d1a44c7b9cf08ed801fec37</t>
        </is>
      </c>
      <c r="J36" s="80" t="inlineStr">
        <is>
          <t>sXFFpanPbNE</t>
        </is>
      </c>
      <c r="L36" s="33" t="inlineStr">
        <is>
          <t>https://www.lovethework.com/work/entries/the-flame-that-wasnt-a-flame-746404</t>
        </is>
      </c>
    </row>
    <row r="37" ht="34.5" customHeight="1" s="34">
      <c r="A37" s="77" t="n">
        <v>36</v>
      </c>
      <c r="B37" s="90" t="inlineStr">
        <is>
          <t>Bronze</t>
        </is>
      </c>
      <c r="C37" s="79" t="inlineStr">
        <is>
          <t>Ad-Free Movies</t>
        </is>
      </c>
      <c r="D37" s="80" t="inlineStr">
        <is>
          <t>Budweiser</t>
        </is>
      </c>
      <c r="E37" s="80" t="inlineStr">
        <is>
          <t>Beer</t>
        </is>
      </c>
      <c r="F37" s="80" t="inlineStr">
        <is>
          <t>Africa Creative DDB</t>
        </is>
      </c>
      <c r="G37" s="80" t="inlineStr">
        <is>
          <t>Brazil</t>
        </is>
      </c>
      <c r="H37" s="80" t="inlineStr">
        <is>
          <t>A01 - Consumer Goods</t>
        </is>
      </c>
      <c r="I37" s="87" t="inlineStr">
        <is>
          <t>https://ascentialcdn.filespin.io/api/v1/conversion/7bea5da12c704fafb1e98229f26e85bb</t>
        </is>
      </c>
      <c r="J37" s="80" t="inlineStr">
        <is>
          <t>pixKU-we6XQ</t>
        </is>
      </c>
      <c r="L37" s="33" t="inlineStr">
        <is>
          <t>https://www.lovethework.com/work/entries/ad-free-movies-745151</t>
        </is>
      </c>
    </row>
    <row r="38" ht="34.5" customHeight="1" s="34">
      <c r="A38" s="77" t="n">
        <v>37</v>
      </c>
      <c r="B38" s="90" t="inlineStr">
        <is>
          <t>Bronze</t>
        </is>
      </c>
      <c r="C38" s="79" t="inlineStr">
        <is>
          <t>Eye Test Menu</t>
        </is>
      </c>
      <c r="D38" s="80" t="inlineStr">
        <is>
          <t>Titan Company Limited</t>
        </is>
      </c>
      <c r="E38" s="80" t="inlineStr">
        <is>
          <t>Eyewear</t>
        </is>
      </c>
      <c r="F38" s="80" t="inlineStr">
        <is>
          <t>Ogilvy</t>
        </is>
      </c>
      <c r="G38" s="80" t="inlineStr">
        <is>
          <t>India</t>
        </is>
      </c>
      <c r="H38" s="80" t="inlineStr">
        <is>
          <t>A02 - Healthcare</t>
        </is>
      </c>
      <c r="I38" s="87" t="inlineStr">
        <is>
          <t>https://ascentialcdn.filespin.io/api/v1/conversion/423282a302ed4fe187b1a0b7b5eb8284</t>
        </is>
      </c>
      <c r="J38" s="80" t="inlineStr">
        <is>
          <t>_GNOgJWpfK8</t>
        </is>
      </c>
      <c r="L38" s="33" t="inlineStr">
        <is>
          <t>https://www.lovethework.com/work/entries/eye-test-menu-745061</t>
        </is>
      </c>
    </row>
    <row r="39" ht="34.5" customHeight="1" s="34">
      <c r="A39" s="77" t="n">
        <v>38</v>
      </c>
      <c r="B39" s="90" t="inlineStr">
        <is>
          <t>Bronze</t>
        </is>
      </c>
      <c r="C39" s="79" t="inlineStr">
        <is>
          <t>Football Is for Food</t>
        </is>
      </c>
      <c r="D39" s="80" t="inlineStr">
        <is>
          <t>Uber Eats</t>
        </is>
      </c>
      <c r="E39" s="80" t="inlineStr">
        <is>
          <t>Uber Eats</t>
        </is>
      </c>
      <c r="F39" s="80" t="inlineStr">
        <is>
          <t>Special</t>
        </is>
      </c>
      <c r="G39" s="80" t="inlineStr">
        <is>
          <t>United States</t>
        </is>
      </c>
      <c r="H39" s="80" t="inlineStr">
        <is>
          <t>A04 - Travel, Leisure, Retail, Restaurants &amp; Fast-Food Chains</t>
        </is>
      </c>
      <c r="I39" s="87" t="inlineStr">
        <is>
          <t>https://ascentialcdn.filespin.io/api/v1/conversion/5ce0f137b7254d7aa885d7e83850f046</t>
        </is>
      </c>
      <c r="J39" s="80" t="inlineStr">
        <is>
          <t>81ahl1QYMp0</t>
        </is>
      </c>
      <c r="L39" s="33" t="inlineStr">
        <is>
          <t>https://www.lovethework.com/work/entries/football-is-for-food-745080</t>
        </is>
      </c>
    </row>
    <row r="40" ht="34.5" customHeight="1" s="34">
      <c r="A40" s="77" t="n">
        <v>39</v>
      </c>
      <c r="B40" s="90" t="inlineStr">
        <is>
          <t>Bronze</t>
        </is>
      </c>
      <c r="C40" s="79" t="inlineStr">
        <is>
          <t>Bait Boards</t>
        </is>
      </c>
      <c r="D40" s="80" t="inlineStr">
        <is>
          <t>Mercado Ads</t>
        </is>
      </c>
      <c r="E40" s="80" t="inlineStr">
        <is>
          <t>Mercado Ads</t>
        </is>
      </c>
      <c r="F40" s="80" t="inlineStr">
        <is>
          <t>GUT</t>
        </is>
      </c>
      <c r="G40" s="80" t="inlineStr">
        <is>
          <t>Argentina</t>
        </is>
      </c>
      <c r="H40" s="80" t="inlineStr">
        <is>
          <t>A06 - Consumer Services/Business to Business</t>
        </is>
      </c>
      <c r="I40" s="87" t="inlineStr">
        <is>
          <t>digital-presentation-images/media-mercado-ads-bait-boards.webp</t>
        </is>
      </c>
      <c r="J40" s="80" t="inlineStr">
        <is>
          <t>mSPou5OfPyw</t>
        </is>
      </c>
      <c r="L40" s="33" t="inlineStr">
        <is>
          <t>https://www.lovethework.com/work/entries/bait-boards-760974</t>
        </is>
      </c>
    </row>
    <row r="41" ht="34.5" customHeight="1" s="34">
      <c r="A41" s="77" t="n">
        <v>40</v>
      </c>
      <c r="B41" s="90" t="inlineStr">
        <is>
          <t>Bronze</t>
        </is>
      </c>
      <c r="C41" s="79" t="inlineStr">
        <is>
          <t>Sleep with Rain</t>
        </is>
      </c>
      <c r="D41" s="80" t="inlineStr">
        <is>
          <t>AT&amp;T Business</t>
        </is>
      </c>
      <c r="E41" s="80" t="inlineStr">
        <is>
          <t>AT&amp;T Business</t>
        </is>
      </c>
      <c r="F41" s="80" t="inlineStr">
        <is>
          <t>Critical Mass</t>
        </is>
      </c>
      <c r="G41" s="80" t="inlineStr">
        <is>
          <t>Canada</t>
        </is>
      </c>
      <c r="H41" s="80" t="inlineStr">
        <is>
          <t>A06 - Consumer Services/Business to Business</t>
        </is>
      </c>
      <c r="I41" s="87" t="inlineStr">
        <is>
          <t>https://ascentialcdn.filespin.io/api/v1/conversion/d0260b381fef4eeeb8801c1df7cf7a2d</t>
        </is>
      </c>
      <c r="J41" s="80" t="inlineStr">
        <is>
          <t>7rUF8izWxc8</t>
        </is>
      </c>
      <c r="L41" s="33" t="inlineStr">
        <is>
          <t>https://www.lovethework.com/work/entries/sleep-with-rain-763538</t>
        </is>
      </c>
    </row>
    <row r="42" ht="34.5" customHeight="1" s="34">
      <c r="A42" s="77" t="n">
        <v>41</v>
      </c>
      <c r="B42" s="90" t="inlineStr">
        <is>
          <t>Bronze</t>
        </is>
      </c>
      <c r="C42" s="79" t="inlineStr">
        <is>
          <t>Ink of Democracy</t>
        </is>
      </c>
      <c r="D42" s="80" t="inlineStr">
        <is>
          <t>The Times of India</t>
        </is>
      </c>
      <c r="E42" s="80" t="inlineStr">
        <is>
          <t>Election Appeal</t>
        </is>
      </c>
      <c r="F42" s="80" t="inlineStr">
        <is>
          <t>Havas</t>
        </is>
      </c>
      <c r="G42" s="80" t="inlineStr">
        <is>
          <t>India</t>
        </is>
      </c>
      <c r="H42" s="80" t="inlineStr">
        <is>
          <t>B03 - Use of Print</t>
        </is>
      </c>
      <c r="I42" s="87" t="inlineStr">
        <is>
          <t>https://ascentialcdn.filespin.io/api/v1/conversion/1e8aea61826944b9a3dd3ed2db299576</t>
        </is>
      </c>
      <c r="J42" s="80" t="inlineStr">
        <is>
          <t>Y04IsSy9fCI</t>
        </is>
      </c>
      <c r="L42" s="33" t="inlineStr">
        <is>
          <t>https://www.lovethework.com/work/entries/ink-of-democracy-745354</t>
        </is>
      </c>
    </row>
    <row r="43" ht="34.5" customHeight="1" s="34">
      <c r="A43" s="77" t="n">
        <v>42</v>
      </c>
      <c r="B43" s="90" t="inlineStr">
        <is>
          <t>Bronze</t>
        </is>
      </c>
      <c r="C43" s="79" t="inlineStr">
        <is>
          <t>Boxed Ads</t>
        </is>
      </c>
      <c r="D43" s="80" t="inlineStr">
        <is>
          <t>Mercado Libre</t>
        </is>
      </c>
      <c r="E43" s="80" t="inlineStr">
        <is>
          <t>Mercado Libre</t>
        </is>
      </c>
      <c r="F43" s="80" t="inlineStr">
        <is>
          <t>GUT</t>
        </is>
      </c>
      <c r="G43" s="80" t="inlineStr">
        <is>
          <t>Argentina</t>
        </is>
      </c>
      <c r="H43" s="80" t="inlineStr">
        <is>
          <t>B04 - Use of Outdoor</t>
        </is>
      </c>
      <c r="I43" s="87" t="inlineStr">
        <is>
          <t>https://ascentialcdn.filespin.io/api/v1/conversion/7fbdb5c2391043e18032480b6a5a068b</t>
        </is>
      </c>
      <c r="J43" s="80" t="inlineStr">
        <is>
          <t>l3Sxq8LCXZA</t>
        </is>
      </c>
      <c r="L43" s="33" t="inlineStr">
        <is>
          <t>https://www.lovethework.com/work/entries/boxed-ads-761062</t>
        </is>
      </c>
    </row>
    <row r="44" ht="34.5" customHeight="1" s="34">
      <c r="A44" s="77" t="n">
        <v>43</v>
      </c>
      <c r="B44" s="90" t="inlineStr">
        <is>
          <t>Bronze</t>
        </is>
      </c>
      <c r="C44" s="79" t="inlineStr">
        <is>
          <t>Heinz Roller Shutter</t>
        </is>
      </c>
      <c r="D44" s="80" t="inlineStr">
        <is>
          <t>Heinz</t>
        </is>
      </c>
      <c r="E44" s="80" t="inlineStr">
        <is>
          <t>Ketchup</t>
        </is>
      </c>
      <c r="F44" s="80" t="inlineStr">
        <is>
          <t>Kraft Heinz</t>
        </is>
      </c>
      <c r="G44" s="80" t="inlineStr">
        <is>
          <t>China</t>
        </is>
      </c>
      <c r="H44" s="80" t="inlineStr">
        <is>
          <t>B05 - Small-Scale Media</t>
        </is>
      </c>
      <c r="I44" s="87" t="inlineStr">
        <is>
          <t>https://ascentialcdn.filespin.io/api/v1/conversion/12442b60aad54ce89573c747a787164d</t>
        </is>
      </c>
      <c r="J44" s="80" t="inlineStr">
        <is>
          <t>GR2NjU6fhZw</t>
        </is>
      </c>
      <c r="L44" s="33" t="inlineStr">
        <is>
          <t>https://www.lovethework.com/work/entries/heinz-roller-shutter-745293</t>
        </is>
      </c>
    </row>
    <row r="45" ht="34.5" customHeight="1" s="34">
      <c r="A45" s="77" t="n">
        <v>44</v>
      </c>
      <c r="B45" s="90" t="inlineStr">
        <is>
          <t>Bronze</t>
        </is>
      </c>
      <c r="C45" s="79" t="inlineStr">
        <is>
          <t>The Meal</t>
        </is>
      </c>
      <c r="D45" s="80" t="inlineStr">
        <is>
          <t>McDonald's</t>
        </is>
      </c>
      <c r="E45" s="80" t="inlineStr">
        <is>
          <t>Happy Meal</t>
        </is>
      </c>
      <c r="F45" s="80" t="inlineStr">
        <is>
          <t>LEO</t>
        </is>
      </c>
      <c r="G45" s="80" t="inlineStr">
        <is>
          <t>United Kingdom</t>
        </is>
      </c>
      <c r="H45" s="80" t="inlineStr">
        <is>
          <t>B05 - Small-Scale Media</t>
        </is>
      </c>
      <c r="I45" s="87" t="inlineStr">
        <is>
          <t>https://ascentialcdn.filespin.io/api/v1/conversion/5e2b835a636345e0a9110a3076d31dca</t>
        </is>
      </c>
      <c r="J45" s="80" t="inlineStr">
        <is>
          <t>YEPttzbn0Z0</t>
        </is>
      </c>
      <c r="L45" s="33" t="inlineStr">
        <is>
          <t>https://www.lovethework.com/work/entries/the-meal-745474</t>
        </is>
      </c>
    </row>
    <row r="46" ht="34.5" customHeight="1" s="34">
      <c r="A46" s="77" t="n">
        <v>45</v>
      </c>
      <c r="B46" s="90" t="inlineStr">
        <is>
          <t>Bronze</t>
        </is>
      </c>
      <c r="C46" s="79" t="inlineStr">
        <is>
          <t>W1ng Cod3s</t>
        </is>
      </c>
      <c r="D46" s="80" t="inlineStr">
        <is>
          <t>Volaris Airlines</t>
        </is>
      </c>
      <c r="E46" s="80" t="inlineStr">
        <is>
          <t>Volaris Airlines</t>
        </is>
      </c>
      <c r="F46" s="80" t="inlineStr">
        <is>
          <t>Havas Hoy</t>
        </is>
      </c>
      <c r="G46" s="80" t="inlineStr">
        <is>
          <t>Mexico</t>
        </is>
      </c>
      <c r="H46" s="80" t="inlineStr">
        <is>
          <t>B06 - Large-Scale Media</t>
        </is>
      </c>
      <c r="I46" s="87" t="inlineStr">
        <is>
          <t>https://ascentialcdn.filespin.io/api/v1/conversion/e0c228ff0e134ebea6c5d9ba0440fe7a</t>
        </is>
      </c>
      <c r="J46" s="80" t="inlineStr">
        <is>
          <t>qsxzsAbHowQ</t>
        </is>
      </c>
      <c r="L46" s="33" t="inlineStr">
        <is>
          <t>https://www.lovethework.com/work/entries/w1ng-cod3s-745433</t>
        </is>
      </c>
    </row>
    <row r="47" ht="34.5" customHeight="1" s="34">
      <c r="A47" s="77" t="n">
        <v>46</v>
      </c>
      <c r="B47" s="90" t="inlineStr">
        <is>
          <t>Bronze</t>
        </is>
      </c>
      <c r="C47" s="79" t="inlineStr">
        <is>
          <t>Airbnb Up-House</t>
        </is>
      </c>
      <c r="D47" s="80" t="inlineStr">
        <is>
          <t>Airbnb</t>
        </is>
      </c>
      <c r="E47" s="80" t="inlineStr">
        <is>
          <t>Airbnb Icons</t>
        </is>
      </c>
      <c r="F47" s="80" t="inlineStr">
        <is>
          <t>Weber Shandwick</t>
        </is>
      </c>
      <c r="G47" s="80" t="inlineStr">
        <is>
          <t>United States</t>
        </is>
      </c>
      <c r="H47" s="80" t="inlineStr">
        <is>
          <t>B06 - Large-Scale Media</t>
        </is>
      </c>
      <c r="I47" s="87" t="inlineStr">
        <is>
          <t>https://ascentialcdn.filespin.io/api/v1/conversion/2b13b666d8054d2b91c39276aa026ac6</t>
        </is>
      </c>
      <c r="J47" s="80" t="inlineStr">
        <is>
          <t>-xr4MO8lAjo</t>
        </is>
      </c>
      <c r="L47" s="33" t="inlineStr">
        <is>
          <t>https://www.lovethework.com/work/entries/airbnb-up-house-745499</t>
        </is>
      </c>
    </row>
    <row r="48" ht="34.5" customHeight="1" s="34">
      <c r="A48" s="77" t="n">
        <v>47</v>
      </c>
      <c r="B48" s="90" t="inlineStr">
        <is>
          <t>Bronze</t>
        </is>
      </c>
      <c r="C48" s="79" t="inlineStr">
        <is>
          <t>Touchboards Discount</t>
        </is>
      </c>
      <c r="D48" s="80" t="inlineStr">
        <is>
          <t>Itaú Unibanco</t>
        </is>
      </c>
      <c r="E48" s="80" t="inlineStr">
        <is>
          <t>Bank</t>
        </is>
      </c>
      <c r="F48" s="80" t="inlineStr">
        <is>
          <t>Africa Creative DDB</t>
        </is>
      </c>
      <c r="G48" s="80" t="inlineStr">
        <is>
          <t>Brazil</t>
        </is>
      </c>
      <c r="H48" s="80" t="inlineStr">
        <is>
          <t>B07 - Use of Events &amp; Stunts</t>
        </is>
      </c>
      <c r="I48" s="87" t="inlineStr">
        <is>
          <t>https://ascentialcdn.filespin.io/api/v1/conversion/e14b84bfe13a475898db5ad4b54d8a97</t>
        </is>
      </c>
      <c r="J48" s="80" t="inlineStr">
        <is>
          <t>vimeo:1136599182</t>
        </is>
      </c>
      <c r="L48" s="33" t="inlineStr">
        <is>
          <t>https://www.lovethework.com/work/entries/touchboards-discount-745407</t>
        </is>
      </c>
    </row>
    <row r="49" ht="34.5" customHeight="1" s="34">
      <c r="A49" s="77" t="n">
        <v>48</v>
      </c>
      <c r="B49" s="90" t="inlineStr">
        <is>
          <t>Bronze</t>
        </is>
      </c>
      <c r="C49" s="79" t="inlineStr">
        <is>
          <t>Re-Commerce Atacama</t>
        </is>
      </c>
      <c r="D49" s="80" t="inlineStr">
        <is>
          <t>VTEX</t>
        </is>
      </c>
      <c r="E49" s="80" t="inlineStr">
        <is>
          <t>Re-Commerce Atacama</t>
        </is>
      </c>
      <c r="F49" s="80" t="inlineStr">
        <is>
          <t>Artplan</t>
        </is>
      </c>
      <c r="G49" s="80" t="inlineStr">
        <is>
          <t>Brazil</t>
        </is>
      </c>
      <c r="H49" s="80" t="inlineStr">
        <is>
          <t>B08 - Use of Digital Platforms</t>
        </is>
      </c>
      <c r="I49" s="87" t="inlineStr">
        <is>
          <t>https://ascentialcdn.filespin.io/api/v1/conversion/029792253daf49f2b2f5cce5c082ba68</t>
        </is>
      </c>
      <c r="J49" s="80" t="inlineStr">
        <is>
          <t>EpzZu_9Zudw</t>
        </is>
      </c>
      <c r="L49" s="33" t="inlineStr">
        <is>
          <t>https://www.lovethework.com/work/entries/re-commerce-atacama-745730</t>
        </is>
      </c>
    </row>
    <row r="50" ht="34.5" customHeight="1" s="34">
      <c r="A50" s="77" t="n">
        <v>49</v>
      </c>
      <c r="B50" s="90" t="inlineStr">
        <is>
          <t>Bronze</t>
        </is>
      </c>
      <c r="C50" s="79" t="inlineStr">
        <is>
          <t>Airbnb Icons</t>
        </is>
      </c>
      <c r="D50" s="80" t="inlineStr">
        <is>
          <t>Airbnb</t>
        </is>
      </c>
      <c r="E50" s="80" t="inlineStr">
        <is>
          <t>Airbnb Icons</t>
        </is>
      </c>
      <c r="F50" s="80" t="inlineStr">
        <is>
          <t>Weber Shandwick</t>
        </is>
      </c>
      <c r="G50" s="80" t="inlineStr">
        <is>
          <t>United States</t>
        </is>
      </c>
      <c r="H50" s="80" t="inlineStr">
        <is>
          <t>B08 - Use of Digital Platforms</t>
        </is>
      </c>
      <c r="I50" s="87" t="inlineStr">
        <is>
          <t>https://ascentialcdn.filespin.io/api/v1/conversion/db51bea9a01d40108f74e1fa9bd7ad3f</t>
        </is>
      </c>
      <c r="J50" s="80" t="inlineStr">
        <is>
          <t>uUDgTwzWz5U</t>
        </is>
      </c>
      <c r="L50" s="33" t="inlineStr">
        <is>
          <t>https://www.lovethework.com/work/entries/airbnb-icons-745739</t>
        </is>
      </c>
    </row>
    <row r="51" ht="34.5" customHeight="1" s="34">
      <c r="A51" s="77" t="n">
        <v>50</v>
      </c>
      <c r="B51" s="90" t="inlineStr">
        <is>
          <t>Bronze</t>
        </is>
      </c>
      <c r="C51" s="79" t="inlineStr">
        <is>
          <t>Reshaping Rugby: The World's First TikTok Final</t>
        </is>
      </c>
      <c r="D51" s="80" t="inlineStr">
        <is>
          <t>2Degrees</t>
        </is>
      </c>
      <c r="E51" s="80" t="inlineStr">
        <is>
          <t>2Degrees Mobile</t>
        </is>
      </c>
      <c r="F51" s="80" t="inlineStr">
        <is>
          <t>TBWA\New Zealand</t>
        </is>
      </c>
      <c r="G51" s="80" t="inlineStr">
        <is>
          <t>New Zealand</t>
        </is>
      </c>
      <c r="H51" s="80" t="inlineStr">
        <is>
          <t>B09 - Use of Mobile</t>
        </is>
      </c>
      <c r="I51" s="87" t="inlineStr">
        <is>
          <t>https://ascentialcdn.filespin.io/api/v1/conversion/2a4269c3a4f744c88133f4bc79e63794</t>
        </is>
      </c>
      <c r="J51" s="80" t="inlineStr">
        <is>
          <t>yefnOIEivmQ</t>
        </is>
      </c>
      <c r="L51" s="33" t="inlineStr">
        <is>
          <t>https://www.lovethework.com/work/entries/reshaping-rugby-the-worlds-first-tiktok-final-745671</t>
        </is>
      </c>
    </row>
    <row r="52" ht="34.5" customHeight="1" s="34">
      <c r="A52" s="77" t="n">
        <v>51</v>
      </c>
      <c r="B52" s="90" t="inlineStr">
        <is>
          <t>Bronze</t>
        </is>
      </c>
      <c r="C52" s="79" t="inlineStr">
        <is>
          <t>One Second Ads</t>
        </is>
      </c>
      <c r="D52" s="80" t="inlineStr">
        <is>
          <t>Budweiser</t>
        </is>
      </c>
      <c r="E52" s="80" t="inlineStr">
        <is>
          <t>Beer</t>
        </is>
      </c>
      <c r="F52" s="80" t="inlineStr">
        <is>
          <t>Africa Creative DDB</t>
        </is>
      </c>
      <c r="G52" s="80" t="inlineStr">
        <is>
          <t>Brazil</t>
        </is>
      </c>
      <c r="H52" s="80" t="inlineStr">
        <is>
          <t>B10 - Use of Social Platforms</t>
        </is>
      </c>
      <c r="I52" s="87" t="inlineStr">
        <is>
          <t>https://ascentialcdn.filespin.io/api/v1/conversion/7bea5da12c704fafb1e98229f26e85bb</t>
        </is>
      </c>
      <c r="J52" s="80" t="inlineStr">
        <is>
          <t>RpvlshoKIrE</t>
        </is>
      </c>
      <c r="L52" s="33" t="inlineStr">
        <is>
          <t>https://www.lovethework.com/work/entries/one-second-ads-745740</t>
        </is>
      </c>
    </row>
    <row r="53" ht="34.5" customHeight="1" s="34">
      <c r="A53" s="77" t="n">
        <v>52</v>
      </c>
      <c r="B53" s="90" t="inlineStr">
        <is>
          <t>Bronze</t>
        </is>
      </c>
      <c r="C53" s="79" t="inlineStr">
        <is>
          <t>Just Joking</t>
        </is>
      </c>
      <c r="D53" s="80" t="inlineStr">
        <is>
          <t>Sandy Hook Promise</t>
        </is>
      </c>
      <c r="E53" s="80" t="inlineStr">
        <is>
          <t>Sandy Hook Promise</t>
        </is>
      </c>
      <c r="F53" s="80" t="inlineStr">
        <is>
          <t>PHD</t>
        </is>
      </c>
      <c r="G53" s="80" t="inlineStr">
        <is>
          <t>United States</t>
        </is>
      </c>
      <c r="H53" s="80" t="inlineStr">
        <is>
          <t>B11 - Innovative Use of Influencers/Creators</t>
        </is>
      </c>
      <c r="I53" s="87" t="inlineStr">
        <is>
          <t>https://ascentialcdn.filespin.io/api/v1/conversion/c71743fc60654f52936a39391c93e6b7</t>
        </is>
      </c>
      <c r="J53" s="80" t="inlineStr">
        <is>
          <t>g0qM5Cp7sTQ</t>
        </is>
      </c>
      <c r="L53" s="33" t="inlineStr">
        <is>
          <t>https://www.lovethework.com/work/entries/just-joking-745651</t>
        </is>
      </c>
    </row>
    <row r="54" ht="34.5" customHeight="1" s="34">
      <c r="A54" s="77" t="n">
        <v>53</v>
      </c>
      <c r="B54" s="90" t="inlineStr">
        <is>
          <t>Bronze</t>
        </is>
      </c>
      <c r="C54" s="79" t="inlineStr">
        <is>
          <t>Garuda Rakshak</t>
        </is>
      </c>
      <c r="D54" s="80" t="inlineStr">
        <is>
          <t>DSP Mutual Funds</t>
        </is>
      </c>
      <c r="E54" s="80" t="inlineStr">
        <is>
          <t>Mutual Funds</t>
        </is>
      </c>
      <c r="F54" s="80" t="inlineStr">
        <is>
          <t>Dentsu Creative</t>
        </is>
      </c>
      <c r="G54" s="80" t="inlineStr">
        <is>
          <t>India</t>
        </is>
      </c>
      <c r="H54" s="80" t="inlineStr">
        <is>
          <t>B12 - New Realities &amp; Emerging Tech</t>
        </is>
      </c>
      <c r="I54" s="87" t="inlineStr">
        <is>
          <t>https://ascentialcdn.filespin.io/api/v1/conversion/fd608adb8feb426fab936573ef6661c0</t>
        </is>
      </c>
      <c r="J54" s="80" t="inlineStr">
        <is>
          <t>dgo176RMzTA</t>
        </is>
      </c>
      <c r="L54" s="33" t="inlineStr">
        <is>
          <t>https://www.lovethework.com/work/entries/garuda-rakshak-758736</t>
        </is>
      </c>
    </row>
    <row r="55" ht="34.5" customHeight="1" s="34">
      <c r="A55" s="77" t="n">
        <v>54</v>
      </c>
      <c r="B55" s="90" t="inlineStr">
        <is>
          <t>Bronze</t>
        </is>
      </c>
      <c r="C55" s="79" t="inlineStr">
        <is>
          <t>Certified Toasters</t>
        </is>
      </c>
      <c r="D55" s="80" t="inlineStr">
        <is>
          <t>Goodman Fielder</t>
        </is>
      </c>
      <c r="E55" s="80" t="inlineStr">
        <is>
          <t>Vogel's</t>
        </is>
      </c>
      <c r="F55" s="80" t="inlineStr">
        <is>
          <t>DDB New Zealand</t>
        </is>
      </c>
      <c r="G55" s="80" t="inlineStr">
        <is>
          <t>New Zealand</t>
        </is>
      </c>
      <c r="H55" s="80" t="inlineStr">
        <is>
          <t>B13 - Retail Media</t>
        </is>
      </c>
      <c r="I55" s="87" t="inlineStr">
        <is>
          <t>https://ascentialcdn.filespin.io/api/v1/conversion/8adbba54b1ee4132ba0f1dc7f1572480</t>
        </is>
      </c>
      <c r="J55" s="80" t="inlineStr">
        <is>
          <t>5NNhDRF-BUY</t>
        </is>
      </c>
      <c r="L55" s="33" t="inlineStr">
        <is>
          <t>https://www.lovethework.com/work/entries/certified-toasters-745904</t>
        </is>
      </c>
    </row>
    <row r="56" ht="34.5" customHeight="1" s="34">
      <c r="A56" s="77" t="n">
        <v>55</v>
      </c>
      <c r="B56" s="90" t="inlineStr">
        <is>
          <t>Bronze</t>
        </is>
      </c>
      <c r="C56" s="79" t="inlineStr">
        <is>
          <t>Most Likely To</t>
        </is>
      </c>
      <c r="D56" s="80" t="inlineStr">
        <is>
          <t>Dove</t>
        </is>
      </c>
      <c r="E56" s="80" t="inlineStr">
        <is>
          <t>Dove Brand</t>
        </is>
      </c>
      <c r="F56" s="80" t="inlineStr">
        <is>
          <t>Ogilvy</t>
        </is>
      </c>
      <c r="G56" s="80" t="inlineStr">
        <is>
          <t>Canada</t>
        </is>
      </c>
      <c r="H56" s="80" t="inlineStr">
        <is>
          <t>C01 - Audience Insights</t>
        </is>
      </c>
      <c r="I56" s="87" t="inlineStr">
        <is>
          <t>https://ascentialcdn.filespin.io/api/v1/conversion/b5a17a1c03144e94967336e3b40cf303</t>
        </is>
      </c>
      <c r="J56" s="80" t="inlineStr">
        <is>
          <t>z68efvxyj3M</t>
        </is>
      </c>
      <c r="L56" s="33" t="inlineStr">
        <is>
          <t>https://www.lovethework.com/work/entries/most-likely-to-759006</t>
        </is>
      </c>
    </row>
    <row r="57" ht="34.5" customHeight="1" s="34">
      <c r="A57" s="77" t="n">
        <v>56</v>
      </c>
      <c r="B57" s="90" t="inlineStr">
        <is>
          <t>Bronze</t>
        </is>
      </c>
      <c r="C57" s="79" t="inlineStr">
        <is>
          <t>The Final Exam</t>
        </is>
      </c>
      <c r="D57" s="80" t="inlineStr">
        <is>
          <t>Change the Ref</t>
        </is>
      </c>
      <c r="E57" s="80" t="inlineStr">
        <is>
          <t>Pro Bono</t>
        </is>
      </c>
      <c r="F57" s="80" t="inlineStr">
        <is>
          <t>Energy BBDO</t>
        </is>
      </c>
      <c r="G57" s="80" t="inlineStr">
        <is>
          <t>United States</t>
        </is>
      </c>
      <c r="H57" s="80" t="inlineStr">
        <is>
          <t>C01 - Audience Insights</t>
        </is>
      </c>
      <c r="I57" s="87" t="inlineStr">
        <is>
          <t>https://ascentialcdn.filespin.io/api/v1/conversion/615e3a15eabf457d91d317468a12d825</t>
        </is>
      </c>
      <c r="J57" s="80" t="inlineStr">
        <is>
          <t>Ljsstj4eiko</t>
        </is>
      </c>
      <c r="L57" s="33" t="inlineStr">
        <is>
          <t>https://www.lovethework.com/work/entries/the-final-exam-761059</t>
        </is>
      </c>
    </row>
    <row r="58" ht="34.5" customHeight="1" s="34">
      <c r="A58" s="77" t="n">
        <v>57</v>
      </c>
      <c r="B58" s="90" t="inlineStr">
        <is>
          <t>Bronze</t>
        </is>
      </c>
      <c r="C58" s="79" t="inlineStr">
        <is>
          <t>TikTok University</t>
        </is>
      </c>
      <c r="D58" s="80" t="inlineStr">
        <is>
          <t>Haaga-Helia University of Applied Sciences</t>
        </is>
      </c>
      <c r="E58" s="80" t="inlineStr">
        <is>
          <t>University Education</t>
        </is>
      </c>
      <c r="F58" s="80" t="inlineStr">
        <is>
          <t>BOB the Robot</t>
        </is>
      </c>
      <c r="G58" s="80" t="inlineStr">
        <is>
          <t>Finland</t>
        </is>
      </c>
      <c r="H58" s="80" t="inlineStr">
        <is>
          <t>C04 - Use of Branded Content Created for Digital or Social</t>
        </is>
      </c>
      <c r="I58" s="87" t="inlineStr">
        <is>
          <t>https://ascentialcdn.filespin.io/api/v1/conversion/22c3eb49bf1f44e1a33da8051174a97d</t>
        </is>
      </c>
      <c r="J58" s="80" t="inlineStr">
        <is>
          <t>vimeo:1063165538</t>
        </is>
      </c>
      <c r="L58" s="33" t="inlineStr">
        <is>
          <t>https://www.lovethework.com/work/entries/tiktok-university-745962</t>
        </is>
      </c>
    </row>
    <row r="59" ht="34.5" customHeight="1" s="34">
      <c r="A59" s="77" t="n">
        <v>58</v>
      </c>
      <c r="B59" s="90" t="inlineStr">
        <is>
          <t>Bronze</t>
        </is>
      </c>
      <c r="C59" s="79" t="inlineStr">
        <is>
          <t>The Lucky Sponsor</t>
        </is>
      </c>
      <c r="D59" s="80" t="inlineStr">
        <is>
          <t>Schneider</t>
        </is>
      </c>
      <c r="E59" s="80" t="inlineStr">
        <is>
          <t>Schneider</t>
        </is>
      </c>
      <c r="F59" s="80" t="inlineStr">
        <is>
          <t>Mercado McCann</t>
        </is>
      </c>
      <c r="G59" s="80" t="inlineStr">
        <is>
          <t>Argentina</t>
        </is>
      </c>
      <c r="H59" s="80" t="inlineStr">
        <is>
          <t>D02 - Challenger Brand</t>
        </is>
      </c>
      <c r="I59" s="87" t="inlineStr">
        <is>
          <t>https://ascentialcdn.filespin.io/api/v1/conversion/f500d38d39d342dcafa1abd15497ccd1</t>
        </is>
      </c>
      <c r="J59" s="80" t="inlineStr">
        <is>
          <t>A6GYbemcJ5Q</t>
        </is>
      </c>
      <c r="L59" s="33" t="inlineStr">
        <is>
          <t>https://www.lovethework.com/work/entries/the-lucky-sponsor-746083</t>
        </is>
      </c>
    </row>
    <row r="60" ht="34.5" customHeight="1" s="34">
      <c r="A60" s="77" t="n">
        <v>59</v>
      </c>
      <c r="B60" s="90" t="inlineStr">
        <is>
          <t>Bronze</t>
        </is>
      </c>
      <c r="C60" s="79" t="inlineStr">
        <is>
          <t>McRib Mistakes</t>
        </is>
      </c>
      <c r="D60" s="80" t="inlineStr">
        <is>
          <t>McDonald's</t>
        </is>
      </c>
      <c r="E60" s="80" t="inlineStr">
        <is>
          <t>McRib</t>
        </is>
      </c>
      <c r="F60" s="80" t="inlineStr">
        <is>
          <t>LEO</t>
        </is>
      </c>
      <c r="G60" s="80" t="inlineStr">
        <is>
          <t>United Kingdom</t>
        </is>
      </c>
      <c r="H60" s="80" t="inlineStr">
        <is>
          <t>D03 - Single-Market Campaign</t>
        </is>
      </c>
      <c r="I60" s="87" t="inlineStr">
        <is>
          <t>https://ascentialcdn.filespin.io/api/v1/conversion/8fe9e09227234701bc8fd2eb2a743693</t>
        </is>
      </c>
      <c r="J60" s="80" t="inlineStr">
        <is>
          <t>r4hztxzXO4A</t>
        </is>
      </c>
      <c r="L60" s="33" t="inlineStr">
        <is>
          <t>https://www.lovethework.com/work/entries/mcrib-mistakes-746027</t>
        </is>
      </c>
    </row>
    <row r="61" ht="34.5" customHeight="1" s="34">
      <c r="A61" s="77" t="n">
        <v>60</v>
      </c>
      <c r="B61" s="90" t="inlineStr">
        <is>
          <t>Bronze</t>
        </is>
      </c>
      <c r="C61" s="79" t="inlineStr">
        <is>
          <t>Pub Museums</t>
        </is>
      </c>
      <c r="D61" s="80" t="inlineStr">
        <is>
          <t>Heineken</t>
        </is>
      </c>
      <c r="E61" s="80" t="inlineStr">
        <is>
          <t>Heineken</t>
        </is>
      </c>
      <c r="F61" s="80" t="inlineStr">
        <is>
          <t>LePub</t>
        </is>
      </c>
      <c r="G61" s="80" t="inlineStr">
        <is>
          <t>Italy</t>
        </is>
      </c>
      <c r="H61" s="80" t="inlineStr">
        <is>
          <t>D03 - Single-Market Campaign</t>
        </is>
      </c>
      <c r="I61" s="87" t="inlineStr">
        <is>
          <t>https://ascentialcdn.filespin.io/api/v1/conversion/86282110e23b4b43a6d78c517dc757a2</t>
        </is>
      </c>
      <c r="J61" s="80" t="inlineStr">
        <is>
          <t>Qp8Od1eQOt4</t>
        </is>
      </c>
      <c r="L61" s="33" t="inlineStr">
        <is>
          <t>https://www.lovethework.com/work/entries/pub-museums-746077</t>
        </is>
      </c>
    </row>
    <row r="62" ht="34.5" customHeight="1" s="34">
      <c r="A62" s="77" t="n">
        <v>61</v>
      </c>
      <c r="B62" s="90" t="inlineStr">
        <is>
          <t>Bronze</t>
        </is>
      </c>
      <c r="C62" s="79" t="inlineStr">
        <is>
          <t>Lay's Bar Crawl</t>
        </is>
      </c>
      <c r="D62" s="80" t="inlineStr">
        <is>
          <t>Lay's</t>
        </is>
      </c>
      <c r="E62" s="80" t="inlineStr">
        <is>
          <t>Lay's</t>
        </is>
      </c>
      <c r="F62" s="80" t="inlineStr">
        <is>
          <t>Slap Global</t>
        </is>
      </c>
      <c r="G62" s="80" t="inlineStr">
        <is>
          <t>Argentina</t>
        </is>
      </c>
      <c r="H62" s="80" t="inlineStr">
        <is>
          <t>D05 - Use of Humour</t>
        </is>
      </c>
      <c r="I62" s="87" t="inlineStr">
        <is>
          <t>https://ascentialcdn.filespin.io/api/v1/conversion/cc887f9119c440728c26ede9e95b1ad2</t>
        </is>
      </c>
      <c r="J62" s="80" t="inlineStr">
        <is>
          <t>6_64y1AOhTM</t>
        </is>
      </c>
      <c r="L62" s="33" t="inlineStr">
        <is>
          <t>https://www.lovethework.com/work/entries/lays-bar-crawl-746180</t>
        </is>
      </c>
    </row>
    <row r="63" ht="34.5" customHeight="1" s="34">
      <c r="A63" s="77" t="n">
        <v>62</v>
      </c>
      <c r="B63" s="90" t="inlineStr">
        <is>
          <t>Bronze</t>
        </is>
      </c>
      <c r="C63" s="79" t="inlineStr">
        <is>
          <t>Nature Shapes Britannia</t>
        </is>
      </c>
      <c r="D63" s="80" t="inlineStr">
        <is>
          <t>Britannia Industries Ltd.</t>
        </is>
      </c>
      <c r="E63" s="80" t="inlineStr">
        <is>
          <t>Britannia Sustainability</t>
        </is>
      </c>
      <c r="F63" s="80" t="inlineStr">
        <is>
          <t>Talented</t>
        </is>
      </c>
      <c r="G63" s="80" t="inlineStr">
        <is>
          <t>India</t>
        </is>
      </c>
      <c r="H63" s="80" t="inlineStr">
        <is>
          <t>D06 - Breakthrough on a Budget</t>
        </is>
      </c>
      <c r="I63" s="87" t="inlineStr">
        <is>
          <t>https://ascentialcdn.filespin.io/api/v1/conversion/716b17d07a0d40d2b7b2a29d2ae9e171</t>
        </is>
      </c>
      <c r="J63" s="80" t="inlineStr">
        <is>
          <t>dEC4Wo3ZlXQ</t>
        </is>
      </c>
      <c r="L63" s="33" t="inlineStr">
        <is>
          <t>https://www.lovethework.com/work/entries/nature-shapes-britannia-746358</t>
        </is>
      </c>
    </row>
    <row r="64" ht="34.5" customHeight="1" s="34">
      <c r="A64" s="77" t="n">
        <v>63</v>
      </c>
      <c r="B64" s="90" t="inlineStr">
        <is>
          <t>Bronze</t>
        </is>
      </c>
      <c r="C64" s="79" t="inlineStr">
        <is>
          <t>Time to Live</t>
        </is>
      </c>
      <c r="D64" s="80" t="inlineStr">
        <is>
          <t>Australian Cancer Research Foundation</t>
        </is>
      </c>
      <c r="E64" s="80" t="inlineStr">
        <is>
          <t>ACRF Awareness Campaign</t>
        </is>
      </c>
      <c r="F64" s="80" t="inlineStr">
        <is>
          <t>The Ministry for Communication &amp; the Arts</t>
        </is>
      </c>
      <c r="G64" s="80" t="inlineStr">
        <is>
          <t>Australia</t>
        </is>
      </c>
      <c r="H64" s="80" t="inlineStr">
        <is>
          <t>D06 - Breakthrough on a Budget</t>
        </is>
      </c>
      <c r="I64" s="87" t="inlineStr">
        <is>
          <t>https://ascentialcdn.filespin.io/api/v1/conversion/a0abdebc363f41448dc18f7a9a9a55bb</t>
        </is>
      </c>
      <c r="J64" s="80" t="inlineStr">
        <is>
          <t>z2T-Rh838GA</t>
        </is>
      </c>
      <c r="L64" s="33" t="inlineStr">
        <is>
          <t>https://www.lovethework.com/work/entries/time-to-live-746240</t>
        </is>
      </c>
    </row>
    <row r="65" ht="34.5" customHeight="1" s="34">
      <c r="A65" s="77" t="n">
        <v>64</v>
      </c>
      <c r="B65" s="90" t="inlineStr">
        <is>
          <t>Bronze</t>
        </is>
      </c>
      <c r="C65" s="79" t="inlineStr">
        <is>
          <t>Missed Birthdays</t>
        </is>
      </c>
      <c r="D65" s="80" t="inlineStr">
        <is>
          <t>ITV X CALM</t>
        </is>
      </c>
      <c r="E65" s="80" t="inlineStr">
        <is>
          <t>ITV X CALM</t>
        </is>
      </c>
      <c r="F65" s="80" t="inlineStr">
        <is>
          <t>adam&amp;eveDDB</t>
        </is>
      </c>
      <c r="G65" s="80" t="inlineStr">
        <is>
          <t>United Kingdom</t>
        </is>
      </c>
      <c r="H65" s="80" t="inlineStr">
        <is>
          <t>D07 - Corporate Purpose &amp; Social Responsibility</t>
        </is>
      </c>
      <c r="I65" s="87" t="inlineStr">
        <is>
          <t>https://ascentialcdn.filespin.io/api/v1/conversion/7349ab32362e4a798f3c0f3e9e70ead3</t>
        </is>
      </c>
      <c r="J65" s="80" t="inlineStr">
        <is>
          <t>ifZVZ4fX4gg</t>
        </is>
      </c>
      <c r="L65" s="33" t="inlineStr">
        <is>
          <t>https://www.lovethework.com/work/entries/missed-birthdays-746384</t>
        </is>
      </c>
    </row>
    <row r="66" ht="34.5" customHeight="1" s="34">
      <c r="A66" s="77" t="n">
        <v>65</v>
      </c>
      <c r="B66" s="90" t="inlineStr">
        <is>
          <t>Bronze</t>
        </is>
      </c>
      <c r="C66" s="79" t="inlineStr">
        <is>
          <t>Safe Sketch</t>
        </is>
      </c>
      <c r="D66" s="80" t="inlineStr">
        <is>
          <t>Save the Children</t>
        </is>
      </c>
      <c r="E66" s="80" t="inlineStr">
        <is>
          <t>Save the Children 'Safe Sketch' Mobile App</t>
        </is>
      </c>
      <c r="F66" s="80" t="inlineStr">
        <is>
          <t>Cheil Hong Kong</t>
        </is>
      </c>
      <c r="G66" s="80" t="inlineStr">
        <is>
          <t>Hong Kong</t>
        </is>
      </c>
      <c r="H66" s="80" t="inlineStr">
        <is>
          <t>D07 - Corporate Purpose &amp; Social Responsibility</t>
        </is>
      </c>
      <c r="I66" s="87" t="inlineStr">
        <is>
          <t>https://ascentialcdn.filespin.io/api/v1/conversion/2b787b52c18a48968b47f3d07c59640d</t>
        </is>
      </c>
      <c r="J66" s="80" t="inlineStr">
        <is>
          <t>A8syQeFtBKc</t>
        </is>
      </c>
      <c r="L66" s="33" t="inlineStr">
        <is>
          <t>https://www.lovethework.com/work/entries/safe-sketch-759544</t>
        </is>
      </c>
    </row>
    <row r="67" ht="34.5" customHeight="1" s="34">
      <c r="A67" s="77" t="n">
        <v>66</v>
      </c>
      <c r="B67" s="90" t="inlineStr">
        <is>
          <t>Bronze</t>
        </is>
      </c>
      <c r="C67" s="79" t="inlineStr">
        <is>
          <t>Timeout Against Hate</t>
        </is>
      </c>
      <c r="D67" s="80" t="inlineStr">
        <is>
          <t>Foundation to Combat Antisemitism</t>
        </is>
      </c>
      <c r="E67" s="80" t="inlineStr">
        <is>
          <t>Foundation to Combat Antisemitism</t>
        </is>
      </c>
      <c r="F67" s="80" t="inlineStr">
        <is>
          <t>Mindshare</t>
        </is>
      </c>
      <c r="G67" s="80" t="inlineStr">
        <is>
          <t>United States</t>
        </is>
      </c>
      <c r="H67" s="80" t="inlineStr">
        <is>
          <t>E02 - Media Planning</t>
        </is>
      </c>
      <c r="I67" s="87" t="inlineStr">
        <is>
          <t>https://ascentialcdn.filespin.io/api/v1/conversion/e43c43ae03f240ed8fbaf95002d5d795</t>
        </is>
      </c>
      <c r="J67" s="80" t="inlineStr">
        <is>
          <t>vimeo:1083894799</t>
        </is>
      </c>
      <c r="L67" s="33" t="inlineStr">
        <is>
          <t>https://www.lovethework.com/work/entries/timeout-against-hate-746540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TELSTRA - BETTER ON A BETTER NETWORK</t>
        </is>
      </c>
      <c r="D2" s="33" t="inlineStr">
        <is>
          <t>TELSTRA</t>
        </is>
      </c>
      <c r="E2" s="33" t="inlineStr">
        <is>
          <t>TELSTRA</t>
        </is>
      </c>
      <c r="F2" s="33" t="inlineStr">
        <is>
          <t>BEAR MEETS EAGLE ON FIRE</t>
        </is>
      </c>
      <c r="G2" s="33" t="inlineStr">
        <is>
          <t>Australia</t>
        </is>
      </c>
      <c r="H2" s="33" t="inlineStr">
        <is>
          <t>Animation</t>
        </is>
      </c>
      <c r="I2" s="33" t="inlineStr">
        <is>
          <t>digital-presentation-images/film-craft-telstra-telstra-better-on-a-better-network.webp</t>
        </is>
      </c>
      <c r="J2" s="33" t="inlineStr">
        <is>
          <t>L8wOtakkr28</t>
        </is>
      </c>
      <c r="K2" s="33" t="inlineStr">
        <is>
          <t>telstra-better-on-a-better-network</t>
        </is>
      </c>
      <c r="L2" s="33" t="inlineStr">
        <is>
          <t>https://www.lovethework.com/work/entries/telstra-better-on-a-better-network-765315</t>
        </is>
      </c>
    </row>
    <row r="3">
      <c r="A3" s="33" t="n">
        <v>2</v>
      </c>
      <c r="B3" s="33" t="inlineStr">
        <is>
          <t>Gold</t>
        </is>
      </c>
      <c r="C3" s="33" t="inlineStr">
        <is>
          <t>TELSTRA - BETTER ON A BETTER NETWORK</t>
        </is>
      </c>
      <c r="D3" s="33" t="inlineStr">
        <is>
          <t>TELSTRA</t>
        </is>
      </c>
      <c r="E3" s="33" t="inlineStr">
        <is>
          <t>TELSTRA</t>
        </is>
      </c>
      <c r="F3" s="33" t="inlineStr">
        <is>
          <t>BEAR MEETS EAGLE ON FIRE</t>
        </is>
      </c>
      <c r="G3" s="33" t="inlineStr">
        <is>
          <t>Australia</t>
        </is>
      </c>
      <c r="H3" s="33" t="inlineStr">
        <is>
          <t>Production Design/Art Direction</t>
        </is>
      </c>
      <c r="I3" s="33" t="inlineStr">
        <is>
          <t>digital-presentation-images/film-craft-telstra-telstra-better-on-a-better-network.webp</t>
        </is>
      </c>
      <c r="J3" s="33" t="inlineStr">
        <is>
          <t>L8wOtakkr28</t>
        </is>
      </c>
      <c r="K3" s="33" t="inlineStr">
        <is>
          <t>telstra-better-on-a-better-network</t>
        </is>
      </c>
      <c r="L3" s="33" t="inlineStr">
        <is>
          <t>https://www.lovethework.com/work/entries/telstra-better-on-a-better-network-765311</t>
        </is>
      </c>
    </row>
    <row r="4">
      <c r="A4" s="33" t="n">
        <v>3</v>
      </c>
      <c r="B4" s="33" t="inlineStr">
        <is>
          <t>Gold</t>
        </is>
      </c>
      <c r="C4" s="33" t="inlineStr">
        <is>
          <t>CONSIDERING WHAT?</t>
        </is>
      </c>
      <c r="D4" s="33" t="inlineStr">
        <is>
          <t>CHANNEL 4</t>
        </is>
      </c>
      <c r="E4" s="33" t="inlineStr">
        <is>
          <t>PARALYMPICS 2024</t>
        </is>
      </c>
      <c r="F4" s="33" t="inlineStr">
        <is>
          <t>WORK EDITORIAL</t>
        </is>
      </c>
      <c r="G4" s="33" t="inlineStr">
        <is>
          <t>United Kingdom</t>
        </is>
      </c>
      <c r="H4" s="33" t="inlineStr">
        <is>
          <t>Editing</t>
        </is>
      </c>
      <c r="I4" s="33" t="inlineStr">
        <is>
          <t>https://ascentialcdn.filespin.io/api/v1/storyboard/10fba32c76a941749debf9069e930560/storyboard_000008.jpg</t>
        </is>
      </c>
      <c r="J4" s="33" t="inlineStr">
        <is>
          <t>bUs_mNTNwvE</t>
        </is>
      </c>
      <c r="L4" s="33" t="inlineStr">
        <is>
          <t>https://www.lovethework.com/work/entries/considering-what-765324</t>
        </is>
      </c>
    </row>
    <row r="5">
      <c r="A5" s="33" t="n">
        <v>4</v>
      </c>
      <c r="B5" s="33" t="inlineStr">
        <is>
          <t>Gold</t>
        </is>
      </c>
      <c r="C5" s="33" t="inlineStr">
        <is>
          <t>GUAO GUAO</t>
        </is>
      </c>
      <c r="D5" s="33" t="inlineStr">
        <is>
          <t>DESPERADOS</t>
        </is>
      </c>
      <c r="E5" s="33" t="inlineStr">
        <is>
          <t>DESPERADOS</t>
        </is>
      </c>
      <c r="F5" s="33" t="inlineStr">
        <is>
          <t>LEPUB</t>
        </is>
      </c>
      <c r="G5" s="33" t="inlineStr">
        <is>
          <t>Italy</t>
        </is>
      </c>
      <c r="H5" s="33" t="inlineStr">
        <is>
          <t>Casting</t>
        </is>
      </c>
      <c r="I5" s="33" t="inlineStr">
        <is>
          <t>digital-presentation-images/film-craft-desperados-guao-guao.webp</t>
        </is>
      </c>
      <c r="J5" s="33" t="inlineStr">
        <is>
          <t>N58e8-bziA0</t>
        </is>
      </c>
      <c r="L5" s="33" t="inlineStr">
        <is>
          <t>https://www.lovethework.com/work/entries/guao-guao-765356</t>
        </is>
      </c>
    </row>
    <row r="6">
      <c r="A6" s="33" t="n">
        <v>5</v>
      </c>
      <c r="B6" s="33" t="inlineStr">
        <is>
          <t>Gold</t>
        </is>
      </c>
      <c r="C6" s="33" t="inlineStr">
        <is>
          <t>FIND YOUR FRIENDS</t>
        </is>
      </c>
      <c r="D6" s="33" t="inlineStr">
        <is>
          <t>APPLE</t>
        </is>
      </c>
      <c r="E6" s="33" t="inlineStr">
        <is>
          <t>PRECISION FINDING</t>
        </is>
      </c>
      <c r="F6" s="33" t="inlineStr">
        <is>
          <t>APPLE</t>
        </is>
      </c>
      <c r="G6" s="33" t="inlineStr">
        <is>
          <t>United States</t>
        </is>
      </c>
      <c r="H6" s="33" t="inlineStr">
        <is>
          <t>Use of Licensed/Adapted Music</t>
        </is>
      </c>
      <c r="I6" s="33" t="inlineStr">
        <is>
          <t>digital-presentation-images/film-craft-apple-find-your-friends.webp</t>
        </is>
      </c>
      <c r="J6" s="33" t="inlineStr">
        <is>
          <t>LO4wamMlCKQ</t>
        </is>
      </c>
      <c r="L6" s="33" t="inlineStr">
        <is>
          <t>https://www.lovethework.com/work/entries/find-your-friends-765322</t>
        </is>
      </c>
    </row>
    <row r="7">
      <c r="A7" s="33" t="n">
        <v>6</v>
      </c>
      <c r="B7" s="33" t="inlineStr">
        <is>
          <t>Gold</t>
        </is>
      </c>
      <c r="C7" s="33" t="inlineStr">
        <is>
          <t>PARIS PARALYMPICS 2024: CONSIDERING WHAT?</t>
        </is>
      </c>
      <c r="D7" s="33" t="inlineStr">
        <is>
          <t>CHANNEL 4</t>
        </is>
      </c>
      <c r="E7" s="33" t="inlineStr">
        <is>
          <t>CHANNEL 4</t>
        </is>
      </c>
      <c r="F7" s="33" t="inlineStr">
        <is>
          <t>BISCUIT FILMWORKS</t>
        </is>
      </c>
      <c r="G7" s="33" t="inlineStr">
        <is>
          <t>United Kingdom</t>
        </is>
      </c>
      <c r="H7" s="33" t="inlineStr">
        <is>
          <t>Direction</t>
        </is>
      </c>
      <c r="I7" s="33" t="inlineStr">
        <is>
          <t>https://ascentialcdn.filespin.io/api/v1/storyboard/70b14ba69a8a40b7b9b991d15ac41e79/storyboard_000008.jpg</t>
        </is>
      </c>
      <c r="J7" s="33" t="inlineStr">
        <is>
          <t>2np3KfLrA_M</t>
        </is>
      </c>
      <c r="L7" s="33" t="inlineStr">
        <is>
          <t>https://www.lovethework.com/work/entries/paris-paralympics-2024-considering-what-765981</t>
        </is>
      </c>
    </row>
    <row r="8">
      <c r="A8" s="33" t="n">
        <v>7</v>
      </c>
      <c r="B8" s="33" t="inlineStr">
        <is>
          <t>Gold</t>
        </is>
      </c>
      <c r="C8" s="33" t="inlineStr">
        <is>
          <t>A TALE AS OLD AS WEBSITES</t>
        </is>
      </c>
      <c r="D8" s="33" t="inlineStr">
        <is>
          <t>SQUARESPACE</t>
        </is>
      </c>
      <c r="E8" s="33" t="inlineStr">
        <is>
          <t>SQUARESPACE</t>
        </is>
      </c>
      <c r="F8" s="33" t="inlineStr">
        <is>
          <t>SQUARESPACE</t>
        </is>
      </c>
      <c r="G8" s="33" t="inlineStr">
        <is>
          <t>United States</t>
        </is>
      </c>
      <c r="H8" s="33" t="inlineStr">
        <is>
          <t>Direction</t>
        </is>
      </c>
      <c r="I8" s="33" t="inlineStr">
        <is>
          <t>digital-presentation-images/film-craft-squarespace-a-tale-as-old-as-websites.webp</t>
        </is>
      </c>
      <c r="J8" s="33" t="inlineStr">
        <is>
          <t>LXQtg237SKY</t>
        </is>
      </c>
      <c r="L8" s="33" t="inlineStr">
        <is>
          <t>https://www.lovethework.com/work/entries/a-tale-as-old-as-websites-765346</t>
        </is>
      </c>
    </row>
    <row r="9">
      <c r="A9" s="33" t="n">
        <v>8</v>
      </c>
      <c r="B9" s="33" t="inlineStr">
        <is>
          <t>Gold</t>
        </is>
      </c>
      <c r="C9" s="33" t="inlineStr">
        <is>
          <t>DONKEY</t>
        </is>
      </c>
      <c r="D9" s="33" t="inlineStr">
        <is>
          <t>TELSTRA</t>
        </is>
      </c>
      <c r="E9" s="33" t="inlineStr">
        <is>
          <t>TELSTRA</t>
        </is>
      </c>
      <c r="F9" s="33" t="inlineStr">
        <is>
          <t>REVOLVER</t>
        </is>
      </c>
      <c r="G9" s="33" t="inlineStr">
        <is>
          <t>Australia</t>
        </is>
      </c>
      <c r="H9" s="33" t="inlineStr">
        <is>
          <t>Direction</t>
        </is>
      </c>
      <c r="I9" s="33" t="inlineStr">
        <is>
          <t>digital-presentation-images/film-craft-telstra-donkey.webp</t>
        </is>
      </c>
      <c r="J9" s="33" t="inlineStr">
        <is>
          <t>vimeo:1028285893</t>
        </is>
      </c>
      <c r="K9" s="33" t="inlineStr">
        <is>
          <t>telstra-donkey</t>
        </is>
      </c>
      <c r="L9" s="33" t="inlineStr">
        <is>
          <t>https://www.lovethework.com/work/entries/donkey-765344</t>
        </is>
      </c>
    </row>
    <row r="10">
      <c r="A10" s="33" t="n">
        <v>9</v>
      </c>
      <c r="B10" s="33" t="inlineStr">
        <is>
          <t>Gold</t>
        </is>
      </c>
      <c r="C10" s="33" t="inlineStr">
        <is>
          <t>A$AP ROCKY - TAILOR SWIF</t>
        </is>
      </c>
      <c r="D10" s="33" t="inlineStr">
        <is>
          <t>A$AP ROCKY</t>
        </is>
      </c>
      <c r="E10" s="33" t="inlineStr">
        <is>
          <t>A$AP ROCKY</t>
        </is>
      </c>
      <c r="F10" s="33" t="inlineStr">
        <is>
          <t>ICONOCLAST</t>
        </is>
      </c>
      <c r="G10" s="33" t="inlineStr">
        <is>
          <t>United States</t>
        </is>
      </c>
      <c r="H10" s="33" t="inlineStr">
        <is>
          <t>Direction</t>
        </is>
      </c>
      <c r="I10" s="33" t="inlineStr">
        <is>
          <t>https://ascentialcdn.filespin.io/api/v1/storyboard/7819511744634f7a81824e1b2a278ae1/storyboard_000008.jpg</t>
        </is>
      </c>
      <c r="J10" s="33" t="inlineStr">
        <is>
          <t>5URefVYaJrA</t>
        </is>
      </c>
      <c r="L10" s="33" t="inlineStr">
        <is>
          <t>https://www.lovethework.com/work/entries/aap-rocky-tailor-swif-765317</t>
        </is>
      </c>
    </row>
    <row r="11">
      <c r="A11" s="33" t="n">
        <v>10</v>
      </c>
      <c r="B11" s="33" t="inlineStr">
        <is>
          <t>Gold</t>
        </is>
      </c>
      <c r="C11" s="33" t="inlineStr">
        <is>
          <t>RENAULT - ARGENTINA</t>
        </is>
      </c>
      <c r="D11" s="33" t="inlineStr">
        <is>
          <t>RENAULT</t>
        </is>
      </c>
      <c r="E11" s="33" t="inlineStr">
        <is>
          <t>RENAULT E-TECH</t>
        </is>
      </c>
      <c r="F11" s="33" t="inlineStr">
        <is>
          <t>PUBLICIS CONSEIL</t>
        </is>
      </c>
      <c r="G11" s="33" t="inlineStr">
        <is>
          <t>France</t>
        </is>
      </c>
      <c r="H11" s="33" t="inlineStr">
        <is>
          <t>Cinematography</t>
        </is>
      </c>
      <c r="I11" s="33" t="inlineStr">
        <is>
          <t>digital-presentation-images/film-craft-renault-renault-argentina.webp</t>
        </is>
      </c>
      <c r="J11" s="33" t="inlineStr">
        <is>
          <t>IQovoot_ZUM</t>
        </is>
      </c>
      <c r="L11" s="33" t="inlineStr">
        <is>
          <t>https://www.lovethework.com/work/entries/renault-argentina-766426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GUAO GUAO</t>
        </is>
      </c>
      <c r="D12" s="33" t="inlineStr">
        <is>
          <t>DESPERADOS</t>
        </is>
      </c>
      <c r="E12" s="33" t="inlineStr">
        <is>
          <t>DESPERADOS</t>
        </is>
      </c>
      <c r="F12" s="33" t="inlineStr">
        <is>
          <t>LEPUB</t>
        </is>
      </c>
      <c r="G12" s="33" t="inlineStr">
        <is>
          <t>Italy</t>
        </is>
      </c>
      <c r="H12" s="33" t="inlineStr">
        <is>
          <t>Use of Original Music</t>
        </is>
      </c>
      <c r="I12" s="33" t="inlineStr">
        <is>
          <t>digital-presentation-images/film-craft-desperados-guao-guao.webp</t>
        </is>
      </c>
      <c r="J12" s="33" t="inlineStr">
        <is>
          <t>N58e8-bziA0</t>
        </is>
      </c>
      <c r="L12" s="33" t="inlineStr">
        <is>
          <t>https://www.lovethework.com/work/entries/guao-guao-765357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MOMENTS</t>
        </is>
      </c>
      <c r="D13" s="33" t="inlineStr">
        <is>
          <t>VOLVO</t>
        </is>
      </c>
      <c r="E13" s="33" t="inlineStr">
        <is>
          <t>VOLVO EX90</t>
        </is>
      </c>
      <c r="F13" s="33" t="inlineStr">
        <is>
          <t>STENDAHLS</t>
        </is>
      </c>
      <c r="G13" s="33" t="inlineStr">
        <is>
          <t>Sweden</t>
        </is>
      </c>
      <c r="H13" s="33" t="inlineStr">
        <is>
          <t>Editing</t>
        </is>
      </c>
      <c r="I13" s="33" t="inlineStr">
        <is>
          <t>https://ascentialcdn.filespin.io/api/v1/storyboard/346a403fc27b4b2db49c84361f4c8081/storyboard_000008.jpg</t>
        </is>
      </c>
      <c r="J13" s="33" t="inlineStr">
        <is>
          <t>cQX-QXxwGvA</t>
        </is>
      </c>
      <c r="L13" s="33" t="inlineStr">
        <is>
          <t>https://www.lovethework.com/work/entries/moments-765347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NIKE "SUNSHINE"</t>
        </is>
      </c>
      <c r="D14" s="33" t="inlineStr">
        <is>
          <t>NIKE</t>
        </is>
      </c>
      <c r="F14" s="33" t="inlineStr">
        <is>
          <t>TRAFIK</t>
        </is>
      </c>
      <c r="H14" s="33" t="inlineStr">
        <is>
          <t>Colour Correction/Grading</t>
        </is>
      </c>
      <c r="I14" s="33" t="inlineStr">
        <is>
          <t>https://ascentialcdn.filespin.io/api/v1/storyboard/b9ed0aae1ae84082882cb4a1ec460780/storyboard_000008.jpg</t>
        </is>
      </c>
      <c r="J14" s="33" t="inlineStr">
        <is>
          <t>FFFmnfdBrm8</t>
        </is>
      </c>
      <c r="L14" s="33" t="inlineStr">
        <is>
          <t>https://www.lovethework.com/work/entries/nike-sunshine-765328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A TALE AS OLD AS WEBSITES</t>
        </is>
      </c>
      <c r="D15" s="33" t="inlineStr">
        <is>
          <t>SQUARESPACE</t>
        </is>
      </c>
      <c r="E15" s="33" t="inlineStr">
        <is>
          <t>SQUARESPACE</t>
        </is>
      </c>
      <c r="F15" s="33" t="inlineStr">
        <is>
          <t>SQUARESPACE</t>
        </is>
      </c>
      <c r="G15" s="33" t="inlineStr">
        <is>
          <t>United States</t>
        </is>
      </c>
      <c r="H15" s="33" t="inlineStr">
        <is>
          <t>Casting</t>
        </is>
      </c>
      <c r="I15" s="33" t="inlineStr">
        <is>
          <t>digital-presentation-images/film-craft-squarespace-a-tale-as-old-as-websites.webp</t>
        </is>
      </c>
      <c r="J15" s="33" t="inlineStr">
        <is>
          <t>LXQtg237SKY</t>
        </is>
      </c>
      <c r="L15" s="33" t="inlineStr">
        <is>
          <t>https://www.lovethework.com/work/entries/a-tale-as-old-as-websites-765331</t>
        </is>
      </c>
    </row>
    <row r="16">
      <c r="A16" s="33" t="n">
        <v>15</v>
      </c>
      <c r="B16" s="33" t="inlineStr">
        <is>
          <t>Silver</t>
        </is>
      </c>
      <c r="C16" s="33" t="inlineStr">
        <is>
          <t>FLOCK</t>
        </is>
      </c>
      <c r="D16" s="33" t="inlineStr">
        <is>
          <t>APPLE</t>
        </is>
      </c>
      <c r="E16" s="33" t="inlineStr">
        <is>
          <t>IPHONE</t>
        </is>
      </c>
      <c r="F16" s="33" t="inlineStr">
        <is>
          <t>TBWA\MEDIA ARTS LAB</t>
        </is>
      </c>
      <c r="G16" s="33" t="inlineStr">
        <is>
          <t>United States</t>
        </is>
      </c>
      <c r="H16" s="33" t="inlineStr">
        <is>
          <t>Animation</t>
        </is>
      </c>
      <c r="I16" s="33" t="inlineStr">
        <is>
          <t>digital-presentation-images/film-craft-apple-flock.webp</t>
        </is>
      </c>
      <c r="J16" s="33" t="inlineStr">
        <is>
          <t>jom8zBix-4c</t>
        </is>
      </c>
      <c r="K16" s="33" t="inlineStr">
        <is>
          <t>apple-flock</t>
        </is>
      </c>
      <c r="L16" s="33" t="inlineStr">
        <is>
          <t>https://www.lovethework.com/work/entries/flock-765354</t>
        </is>
      </c>
    </row>
    <row r="17">
      <c r="A17" s="33" t="n">
        <v>16</v>
      </c>
      <c r="B17" s="33" t="inlineStr">
        <is>
          <t>Silver</t>
        </is>
      </c>
      <c r="C17" s="33" t="inlineStr">
        <is>
          <t>MOMENTS</t>
        </is>
      </c>
      <c r="D17" s="33" t="inlineStr">
        <is>
          <t>VOLVO</t>
        </is>
      </c>
      <c r="E17" s="33" t="inlineStr">
        <is>
          <t>VOLVO EX90</t>
        </is>
      </c>
      <c r="F17" s="33" t="inlineStr">
        <is>
          <t>STENDAHLS</t>
        </is>
      </c>
      <c r="G17" s="33" t="inlineStr">
        <is>
          <t>Sweden</t>
        </is>
      </c>
      <c r="H17" s="33" t="inlineStr">
        <is>
          <t>Cinematography</t>
        </is>
      </c>
      <c r="I17" s="33" t="inlineStr">
        <is>
          <t>https://ascentialcdn.filespin.io/api/v1/storyboard/346a403fc27b4b2db49c84361f4c8081/storyboard_000008.jpg</t>
        </is>
      </c>
      <c r="J17" s="33" t="inlineStr">
        <is>
          <t>cQX-QXxwGvA</t>
        </is>
      </c>
      <c r="L17" s="33" t="inlineStr">
        <is>
          <t>https://www.lovethework.com/work/entries/moments-765347</t>
        </is>
      </c>
    </row>
    <row r="18">
      <c r="A18" s="33" t="n">
        <v>17</v>
      </c>
      <c r="B18" s="33" t="inlineStr">
        <is>
          <t>Silver</t>
        </is>
      </c>
      <c r="C18" s="33" t="inlineStr">
        <is>
          <t>IN HOT WATER</t>
        </is>
      </c>
      <c r="D18" s="33" t="inlineStr">
        <is>
          <t>WORLD WILDLIFE FUND (WWF)</t>
        </is>
      </c>
      <c r="E18" s="33" t="inlineStr">
        <is>
          <t>WWF</t>
        </is>
      </c>
      <c r="F18" s="33" t="inlineStr">
        <is>
          <t>NOMINT</t>
        </is>
      </c>
      <c r="G18" s="33" t="inlineStr">
        <is>
          <t>United Kingdom</t>
        </is>
      </c>
      <c r="H18" s="33" t="inlineStr">
        <is>
          <t>Animation</t>
        </is>
      </c>
      <c r="I18" s="33" t="inlineStr">
        <is>
          <t>digital-presentation-images/film-craft-world-wildlife-fund-wwf-in-hot-water.webp</t>
        </is>
      </c>
      <c r="J18" s="33" t="inlineStr">
        <is>
          <t>vimeo:1028875237</t>
        </is>
      </c>
      <c r="L18" s="33" t="inlineStr">
        <is>
          <t>https://www.lovethework.com/work/entries/in-hot-water-765332</t>
        </is>
      </c>
    </row>
    <row r="19">
      <c r="A19" s="33" t="n">
        <v>18</v>
      </c>
      <c r="B19" s="33" t="inlineStr">
        <is>
          <t>Silver</t>
        </is>
      </c>
      <c r="C19" s="33" t="inlineStr">
        <is>
          <t>DONKEY</t>
        </is>
      </c>
      <c r="D19" s="33" t="inlineStr">
        <is>
          <t>TELSTRA</t>
        </is>
      </c>
      <c r="E19" s="33" t="inlineStr">
        <is>
          <t>TELSTRA</t>
        </is>
      </c>
      <c r="F19" s="33" t="inlineStr">
        <is>
          <t>REVOLVER</t>
        </is>
      </c>
      <c r="G19" s="33" t="inlineStr">
        <is>
          <t>Australia</t>
        </is>
      </c>
      <c r="H19" s="33" t="inlineStr">
        <is>
          <t>Production Design/Art Direction</t>
        </is>
      </c>
      <c r="I19" s="33" t="inlineStr">
        <is>
          <t>digital-presentation-images/film-craft-telstra-donkey.webp</t>
        </is>
      </c>
      <c r="J19" s="33" t="inlineStr">
        <is>
          <t>vimeo:1028285893</t>
        </is>
      </c>
      <c r="K19" s="33" t="inlineStr">
        <is>
          <t>telstra-donkey</t>
        </is>
      </c>
      <c r="L19" s="33" t="inlineStr">
        <is>
          <t>https://www.lovethework.com/work/entries/donkey-765336</t>
        </is>
      </c>
    </row>
    <row r="20">
      <c r="A20" s="33" t="n">
        <v>19</v>
      </c>
      <c r="B20" s="33" t="inlineStr">
        <is>
          <t>Silver</t>
        </is>
      </c>
      <c r="C20" s="33" t="inlineStr">
        <is>
          <t>COFFIN</t>
        </is>
      </c>
      <c r="D20" s="33" t="inlineStr">
        <is>
          <t>LIFE360</t>
        </is>
      </c>
      <c r="E20" s="33" t="inlineStr">
        <is>
          <t>LIFE360</t>
        </is>
      </c>
      <c r="F20" s="33" t="inlineStr">
        <is>
          <t>ALTO</t>
        </is>
      </c>
      <c r="G20" s="33" t="inlineStr">
        <is>
          <t>United States</t>
        </is>
      </c>
      <c r="H20" s="33" t="inlineStr">
        <is>
          <t>Direction</t>
        </is>
      </c>
      <c r="I20" s="33" t="inlineStr">
        <is>
          <t>https://ascentialcdn.filespin.io/api/v1/storyboard/3cd320dd9fcd4445a86f756e25d0402e/storyboard_000008.jpg</t>
        </is>
      </c>
      <c r="J20" s="33" t="inlineStr">
        <is>
          <t>hlqerWZSCpE</t>
        </is>
      </c>
      <c r="L20" s="33" t="inlineStr">
        <is>
          <t>https://www.lovethework.com/work/entries/coffin-765342</t>
        </is>
      </c>
    </row>
    <row r="21">
      <c r="A21" s="33" t="n">
        <v>20</v>
      </c>
      <c r="B21" s="33" t="inlineStr">
        <is>
          <t>Silver</t>
        </is>
      </c>
      <c r="C21" s="33" t="inlineStr">
        <is>
          <t>RENAULT - ARGENTINA</t>
        </is>
      </c>
      <c r="D21" s="33" t="inlineStr">
        <is>
          <t>RENAULT</t>
        </is>
      </c>
      <c r="E21" s="33" t="inlineStr">
        <is>
          <t>RENAULT E-TECH</t>
        </is>
      </c>
      <c r="F21" s="33" t="inlineStr">
        <is>
          <t>PUBLICIS CONSEIL</t>
        </is>
      </c>
      <c r="G21" s="33" t="inlineStr">
        <is>
          <t>France</t>
        </is>
      </c>
      <c r="H21" s="33" t="inlineStr">
        <is>
          <t>Production Design/Art Direction</t>
        </is>
      </c>
      <c r="I21" s="33" t="inlineStr">
        <is>
          <t>digital-presentation-images/film-craft-renault-renault-argentina.webp</t>
        </is>
      </c>
      <c r="J21" s="33" t="inlineStr">
        <is>
          <t>IQovoot_ZUM</t>
        </is>
      </c>
      <c r="L21" s="33" t="inlineStr">
        <is>
          <t>https://www.lovethework.com/work/entries/renault-argentina-765345</t>
        </is>
      </c>
    </row>
    <row r="22">
      <c r="A22" s="33" t="n">
        <v>21</v>
      </c>
      <c r="B22" s="33" t="inlineStr">
        <is>
          <t>Silver</t>
        </is>
      </c>
      <c r="C22" s="33" t="inlineStr">
        <is>
          <t>A$AP ROCKY - TAILOR SWIF</t>
        </is>
      </c>
      <c r="D22" s="33" t="inlineStr">
        <is>
          <t>A$AP ROCKY</t>
        </is>
      </c>
      <c r="E22" s="33" t="inlineStr">
        <is>
          <t>A$AP ROCKY</t>
        </is>
      </c>
      <c r="F22" s="33" t="inlineStr">
        <is>
          <t>ICONOCLAST</t>
        </is>
      </c>
      <c r="G22" s="33" t="inlineStr">
        <is>
          <t>United States</t>
        </is>
      </c>
      <c r="H22" s="33" t="inlineStr">
        <is>
          <t>Production Design/Art Direction</t>
        </is>
      </c>
      <c r="I22" s="33" t="inlineStr">
        <is>
          <t>https://ascentialcdn.filespin.io/api/v1/storyboard/7819511744634f7a81824e1b2a278ae1/storyboard_000008.jpg</t>
        </is>
      </c>
      <c r="J22" s="33" t="inlineStr">
        <is>
          <t>5URefVYaJrA</t>
        </is>
      </c>
      <c r="L22" s="33" t="inlineStr">
        <is>
          <t>https://www.lovethework.com/work/entries/aap-rocky-tailor-swif-765343</t>
        </is>
      </c>
    </row>
    <row r="23">
      <c r="A23" s="33" t="n">
        <v>22</v>
      </c>
      <c r="B23" s="33" t="inlineStr">
        <is>
          <t>Silver</t>
        </is>
      </c>
      <c r="C23" s="33" t="inlineStr">
        <is>
          <t>BELIEVE IN CHICKEN</t>
        </is>
      </c>
      <c r="D23" s="33" t="inlineStr">
        <is>
          <t>KFC</t>
        </is>
      </c>
      <c r="E23" s="33" t="inlineStr">
        <is>
          <t>FOOD (FRIED CHICKEN)</t>
        </is>
      </c>
      <c r="F23" s="33" t="inlineStr">
        <is>
          <t>MOTHER</t>
        </is>
      </c>
      <c r="G23" s="33" t="inlineStr">
        <is>
          <t>United Kingdom</t>
        </is>
      </c>
      <c r="H23" s="33" t="inlineStr">
        <is>
          <t>Use of Original Music</t>
        </is>
      </c>
      <c r="I23" s="33" t="inlineStr">
        <is>
          <t>digital-presentation-images/film-craft-kfc-believe-in-chicken.webp</t>
        </is>
      </c>
      <c r="J23" s="33" t="inlineStr">
        <is>
          <t>Pb4SnxpJLyE</t>
        </is>
      </c>
      <c r="L23" s="33" t="inlineStr">
        <is>
          <t>https://www.lovethework.com/work/entries/believe-in-chicken-765320</t>
        </is>
      </c>
    </row>
    <row r="24">
      <c r="A24" s="33" t="n">
        <v>23</v>
      </c>
      <c r="B24" s="33" t="inlineStr">
        <is>
          <t>Bronze</t>
        </is>
      </c>
      <c r="C24" s="33" t="inlineStr">
        <is>
          <t>FLOCK</t>
        </is>
      </c>
      <c r="D24" s="33" t="inlineStr">
        <is>
          <t>APPLE</t>
        </is>
      </c>
      <c r="E24" s="33" t="inlineStr">
        <is>
          <t>IPHONE</t>
        </is>
      </c>
      <c r="F24" s="33" t="inlineStr">
        <is>
          <t>TBWA\MEDIA ARTS LAB</t>
        </is>
      </c>
      <c r="G24" s="33" t="inlineStr">
        <is>
          <t>United States</t>
        </is>
      </c>
      <c r="H24" s="33" t="inlineStr">
        <is>
          <t>Editing</t>
        </is>
      </c>
      <c r="I24" s="33" t="inlineStr">
        <is>
          <t>digital-presentation-images/film-craft-apple-flock.webp</t>
        </is>
      </c>
      <c r="J24" s="33" t="inlineStr">
        <is>
          <t>jom8zBix-4c</t>
        </is>
      </c>
      <c r="K24" s="33" t="inlineStr">
        <is>
          <t>apple-flock</t>
        </is>
      </c>
      <c r="L24" s="33" t="inlineStr">
        <is>
          <t>https://www.lovethework.com/work/entries/flock-765363</t>
        </is>
      </c>
    </row>
    <row r="25">
      <c r="A25" s="33" t="n">
        <v>24</v>
      </c>
      <c r="B25" s="33" t="inlineStr">
        <is>
          <t>Bronze</t>
        </is>
      </c>
      <c r="C25" s="33" t="inlineStr">
        <is>
          <t>EVERYTHING OR NOTHING</t>
        </is>
      </c>
      <c r="D25" s="33" t="inlineStr">
        <is>
          <t>RIYADH SEASON</t>
        </is>
      </c>
      <c r="E25" s="33" t="inlineStr">
        <is>
          <t>BOXING FIGHT</t>
        </is>
      </c>
      <c r="F25" s="33" t="inlineStr">
        <is>
          <t>BIGTIME CREATIVE SHOP</t>
        </is>
      </c>
      <c r="G25" s="33" t="inlineStr">
        <is>
          <t>Saudi Arabia</t>
        </is>
      </c>
      <c r="H25" s="33" t="inlineStr">
        <is>
          <t>Production Design/Art Direction</t>
        </is>
      </c>
      <c r="I25" s="33" t="inlineStr">
        <is>
          <t>https://ascentialcdn.filespin.io/api/v1/storyboard/99b51143eb5a45779617eee2310c73e0/storyboard_000008.jpg</t>
        </is>
      </c>
      <c r="J25" s="33" t="inlineStr">
        <is>
          <t>vimeo:987240751</t>
        </is>
      </c>
      <c r="L25" s="33" t="inlineStr">
        <is>
          <t>https://www.lovethework.com/work/entries/everything-or-nothing-765340</t>
        </is>
      </c>
    </row>
    <row r="26">
      <c r="A26" s="33" t="n">
        <v>25</v>
      </c>
      <c r="B26" s="33" t="inlineStr">
        <is>
          <t>Bronze</t>
        </is>
      </c>
      <c r="C26" s="33" t="inlineStr">
        <is>
          <t>NEVER JUST A PERIOD</t>
        </is>
      </c>
      <c r="D26" s="33" t="inlineStr">
        <is>
          <t>BODYFORM</t>
        </is>
      </c>
      <c r="E26" s="33" t="inlineStr">
        <is>
          <t>BODYFORM</t>
        </is>
      </c>
      <c r="F26" s="33" t="inlineStr">
        <is>
          <t>AMV BBDO</t>
        </is>
      </c>
      <c r="G26" s="33" t="inlineStr">
        <is>
          <t>United Kingdom</t>
        </is>
      </c>
      <c r="H26" s="33" t="inlineStr">
        <is>
          <t>Direction</t>
        </is>
      </c>
      <c r="I26" s="33" t="inlineStr">
        <is>
          <t>digital-presentation-images/film-craft-bodyform-never-just-a-period.webp</t>
        </is>
      </c>
      <c r="J26" s="33" t="inlineStr">
        <is>
          <t>EQW59KR3c4U</t>
        </is>
      </c>
      <c r="L26" s="33" t="inlineStr">
        <is>
          <t>https://www.lovethework.com/work/entries/never-just-a-period-765319</t>
        </is>
      </c>
    </row>
    <row r="27">
      <c r="A27" s="33" t="n">
        <v>26</v>
      </c>
      <c r="B27" s="33" t="inlineStr">
        <is>
          <t>Bronze</t>
        </is>
      </c>
      <c r="C27" s="33" t="inlineStr">
        <is>
          <t>18 MONTHS</t>
        </is>
      </c>
      <c r="D27" s="33" t="inlineStr">
        <is>
          <t>SECOND NURTURE</t>
        </is>
      </c>
      <c r="E27" s="33" t="inlineStr">
        <is>
          <t>CHARITY</t>
        </is>
      </c>
      <c r="F27" s="33" t="inlineStr">
        <is>
          <t>KLICK HEALTH</t>
        </is>
      </c>
      <c r="G27" s="33" t="inlineStr">
        <is>
          <t>Canada</t>
        </is>
      </c>
      <c r="H27" s="33" t="inlineStr">
        <is>
          <t>Animation</t>
        </is>
      </c>
      <c r="I27" s="33" t="inlineStr">
        <is>
          <t>digital-presentation-images/film-craft-second-nurture-18-months.webp</t>
        </is>
      </c>
      <c r="J27" s="33" t="inlineStr">
        <is>
          <t>vimeo:1092249009</t>
        </is>
      </c>
      <c r="L27" s="33" t="inlineStr">
        <is>
          <t>https://www.lovethework.com/work/entries/18-months-765335</t>
        </is>
      </c>
    </row>
    <row r="28">
      <c r="A28" s="33" t="n">
        <v>27</v>
      </c>
      <c r="B28" s="33" t="inlineStr">
        <is>
          <t>Bronze</t>
        </is>
      </c>
      <c r="C28" s="33" t="inlineStr">
        <is>
          <t>THE SHOOTING</t>
        </is>
      </c>
      <c r="D28" s="33" t="inlineStr">
        <is>
          <t>LA UNIÓN NEWSPAPER / ARTICULO 19</t>
        </is>
      </c>
      <c r="E28" s="33" t="inlineStr">
        <is>
          <t>LA UNIÃN NEWSPAPER / ARTICULO 19</t>
        </is>
      </c>
      <c r="F28" s="33" t="inlineStr">
        <is>
          <t>GREY</t>
        </is>
      </c>
      <c r="G28" s="33" t="inlineStr">
        <is>
          <t>Mexico</t>
        </is>
      </c>
      <c r="H28" s="33" t="inlineStr">
        <is>
          <t>Direction</t>
        </is>
      </c>
      <c r="I28" s="33" t="inlineStr">
        <is>
          <t>digital-presentation-images/film-craft-la-union-newspaper-the-shooting.webp</t>
        </is>
      </c>
      <c r="J28" s="33" t="inlineStr">
        <is>
          <t>-saAXmItj_U</t>
        </is>
      </c>
      <c r="L28" s="33" t="inlineStr">
        <is>
          <t>https://www.lovethework.com/work/entries/the-shooting-765350</t>
        </is>
      </c>
    </row>
    <row r="29">
      <c r="A29" s="33" t="n">
        <v>28</v>
      </c>
      <c r="B29" s="33" t="inlineStr">
        <is>
          <t>Bronze</t>
        </is>
      </c>
      <c r="C29" s="33" t="inlineStr">
        <is>
          <t>A TALE AS OLD AS WEBSITES</t>
        </is>
      </c>
      <c r="D29" s="33" t="inlineStr">
        <is>
          <t>SQUARESPACE</t>
        </is>
      </c>
      <c r="E29" s="33" t="inlineStr">
        <is>
          <t>SQUARESPACE</t>
        </is>
      </c>
      <c r="F29" s="33" t="inlineStr">
        <is>
          <t>SQUARESPACE</t>
        </is>
      </c>
      <c r="G29" s="33" t="inlineStr">
        <is>
          <t>United States</t>
        </is>
      </c>
      <c r="H29" s="33" t="inlineStr">
        <is>
          <t>Production Design/Art Direction</t>
        </is>
      </c>
      <c r="I29" s="33" t="inlineStr">
        <is>
          <t>digital-presentation-images/film-craft-squarespace-a-tale-as-old-as-websites.webp</t>
        </is>
      </c>
      <c r="J29" s="33" t="inlineStr">
        <is>
          <t>LXQtg237SKY</t>
        </is>
      </c>
      <c r="L29" s="33" t="inlineStr">
        <is>
          <t>https://www.lovethework.com/work/entries/a-tale-as-old-as-websites-765338</t>
        </is>
      </c>
    </row>
    <row r="30">
      <c r="A30" s="33" t="n">
        <v>29</v>
      </c>
      <c r="B30" s="33" t="inlineStr">
        <is>
          <t>Bronze</t>
        </is>
      </c>
      <c r="C30" s="33" t="inlineStr">
        <is>
          <t>WITH LOVE, ITALY</t>
        </is>
      </c>
      <c r="D30" s="33" t="inlineStr">
        <is>
          <t>NESTLE</t>
        </is>
      </c>
      <c r="E30" s="33" t="inlineStr">
        <is>
          <t>SANPELLEGRINO CIAO!</t>
        </is>
      </c>
      <c r="F30" s="33" t="inlineStr">
        <is>
          <t>OGILVY</t>
        </is>
      </c>
      <c r="G30" s="33" t="inlineStr">
        <is>
          <t>United States</t>
        </is>
      </c>
      <c r="H30" s="33" t="inlineStr">
        <is>
          <t>Script</t>
        </is>
      </c>
      <c r="I30" s="33" t="inlineStr">
        <is>
          <t>digital-presentation-images/film-craft-nestle-with-love-italy.webp</t>
        </is>
      </c>
      <c r="J30" s="33" t="inlineStr">
        <is>
          <t>k0CfyHTmb4Q</t>
        </is>
      </c>
      <c r="L30" s="33" t="inlineStr">
        <is>
          <t>https://www.lovethework.com/work/entries/with-love-italy-765329</t>
        </is>
      </c>
    </row>
    <row r="31">
      <c r="A31" s="33" t="n">
        <v>30</v>
      </c>
      <c r="B31" s="33" t="inlineStr">
        <is>
          <t>Bronze</t>
        </is>
      </c>
      <c r="C31" s="33" t="inlineStr">
        <is>
          <t>OBSESSION</t>
        </is>
      </c>
      <c r="D31" s="33" t="inlineStr">
        <is>
          <t>RIYADH SEASON</t>
        </is>
      </c>
      <c r="E31" s="33" t="inlineStr">
        <is>
          <t>BOXING FIGHT</t>
        </is>
      </c>
      <c r="F31" s="33" t="inlineStr">
        <is>
          <t>BIGTIME CREATIVE SHOP</t>
        </is>
      </c>
      <c r="G31" s="33" t="inlineStr">
        <is>
          <t>Saudi Arabia</t>
        </is>
      </c>
      <c r="H31" s="33" t="inlineStr">
        <is>
          <t>Visual Effects</t>
        </is>
      </c>
      <c r="I31" s="33" t="inlineStr">
        <is>
          <t>digital-presentation-images/film-craft-riyadh-season-obsession.webp</t>
        </is>
      </c>
      <c r="J31" s="33" t="inlineStr">
        <is>
          <t>PdcUQwAtDDs</t>
        </is>
      </c>
      <c r="L31" s="33" t="inlineStr">
        <is>
          <t>https://www.lovethework.com/work/entries/obsession-765355</t>
        </is>
      </c>
    </row>
    <row r="32">
      <c r="A32" s="33" t="n">
        <v>31</v>
      </c>
      <c r="B32" s="33" t="inlineStr">
        <is>
          <t>Bronze</t>
        </is>
      </c>
      <c r="C32" s="33" t="inlineStr">
        <is>
          <t>SUBMERGED</t>
        </is>
      </c>
      <c r="D32" s="33" t="inlineStr">
        <is>
          <t>APPLE</t>
        </is>
      </c>
      <c r="E32" s="33" t="inlineStr">
        <is>
          <t>VISION PRO</t>
        </is>
      </c>
      <c r="F32" s="33" t="inlineStr">
        <is>
          <t>APPLE</t>
        </is>
      </c>
      <c r="G32" s="33" t="inlineStr">
        <is>
          <t>United States</t>
        </is>
      </c>
      <c r="H32" s="33" t="inlineStr">
        <is>
          <t>Achievement in Production</t>
        </is>
      </c>
      <c r="I32" s="33" t="inlineStr">
        <is>
          <t>digital-presentation-images/film-craft-apple-submerged.webp</t>
        </is>
      </c>
      <c r="J32" s="33" t="inlineStr">
        <is>
          <t>lP8LLIjCe6Q</t>
        </is>
      </c>
      <c r="L32" s="33" t="inlineStr">
        <is>
          <t>https://www.lovethework.com/work/entries/submerged-765360</t>
        </is>
      </c>
    </row>
    <row r="33">
      <c r="A33" s="33" t="n">
        <v>32</v>
      </c>
      <c r="B33" s="33" t="inlineStr">
        <is>
          <t>Bronze</t>
        </is>
      </c>
      <c r="C33" s="33" t="inlineStr">
        <is>
          <t>KFC: BELIEVE IN CHICKEN</t>
        </is>
      </c>
      <c r="D33" s="33" t="inlineStr">
        <is>
          <t>KFC</t>
        </is>
      </c>
      <c r="E33" s="33" t="inlineStr">
        <is>
          <t>FOOD (FRIED CHICKEN)</t>
        </is>
      </c>
      <c r="F33" s="33" t="inlineStr">
        <is>
          <t>LUX ARTISTS</t>
        </is>
      </c>
      <c r="G33" s="33" t="inlineStr">
        <is>
          <t>United Kingdom</t>
        </is>
      </c>
      <c r="H33" s="33" t="inlineStr">
        <is>
          <t>Cinematography</t>
        </is>
      </c>
      <c r="I33" s="33" t="inlineStr">
        <is>
          <t>digital-presentation-images/film-craft-kfc-believe-in-chicken.webp</t>
        </is>
      </c>
      <c r="J33" s="33" t="inlineStr">
        <is>
          <t>Pb4SnxpJLyE</t>
        </is>
      </c>
      <c r="L33" s="33" t="inlineStr">
        <is>
          <t>https://www.lovethework.com/work/entries/kfc-believe-in-chicken-765358</t>
        </is>
      </c>
    </row>
    <row r="34">
      <c r="A34" s="33" t="n">
        <v>33</v>
      </c>
      <c r="B34" s="33" t="inlineStr">
        <is>
          <t>Bronze</t>
        </is>
      </c>
      <c r="C34" s="33" t="inlineStr">
        <is>
          <t>NAME THE BIAS</t>
        </is>
      </c>
      <c r="D34" s="33" t="inlineStr">
        <is>
          <t>PEOPLE LIKE US</t>
        </is>
      </c>
      <c r="E34" s="33" t="inlineStr">
        <is>
          <t>PEOPLE LIKE US</t>
        </is>
      </c>
      <c r="F34" s="33" t="inlineStr">
        <is>
          <t>NEW LAND</t>
        </is>
      </c>
      <c r="G34" s="33" t="inlineStr">
        <is>
          <t>Denmark</t>
        </is>
      </c>
      <c r="H34" s="33" t="inlineStr">
        <is>
          <t>Cinematography</t>
        </is>
      </c>
      <c r="I34" s="33" t="inlineStr">
        <is>
          <t>https://ascentialcdn.filespin.io/api/v1/storyboard/78d81508b5494a40bba8366f2f62eed1/storyboard_000008.jpg</t>
        </is>
      </c>
      <c r="J34" s="33" t="inlineStr">
        <is>
          <t>3uTwt6FYX98</t>
        </is>
      </c>
      <c r="L34" s="33" t="inlineStr">
        <is>
          <t>https://www.lovethework.com/work/entries/name-the-bias-765351</t>
        </is>
      </c>
    </row>
    <row r="35">
      <c r="A35" s="33" t="n">
        <v>34</v>
      </c>
      <c r="B35" s="33" t="inlineStr">
        <is>
          <t>Bronze</t>
        </is>
      </c>
      <c r="C35" s="33" t="inlineStr">
        <is>
          <t>FIGHT FOR THAIS' GUT</t>
        </is>
      </c>
      <c r="D35" s="33" t="inlineStr">
        <is>
          <t>DUTCHIE</t>
        </is>
      </c>
      <c r="E35" s="33" t="inlineStr">
        <is>
          <t>DUTCHIE</t>
        </is>
      </c>
      <c r="F35" s="33" t="inlineStr">
        <is>
          <t>OGILVY</t>
        </is>
      </c>
      <c r="G35" s="33" t="inlineStr">
        <is>
          <t>Thailand</t>
        </is>
      </c>
      <c r="H35" s="33" t="inlineStr">
        <is>
          <t>Casting</t>
        </is>
      </c>
      <c r="I35" s="33" t="inlineStr">
        <is>
          <t>digital-presentation-images/film-craft-dutchie-fight-for-thais-gut.webp</t>
        </is>
      </c>
      <c r="J35" s="33" t="inlineStr">
        <is>
          <t>vimeo:1152947690</t>
        </is>
      </c>
      <c r="L35" s="33" t="inlineStr">
        <is>
          <t>https://www.lovethework.com/work/entries/fight-for-thais-gut-765333</t>
        </is>
      </c>
    </row>
    <row r="36">
      <c r="A36" s="33" t="n">
        <v>35</v>
      </c>
      <c r="B36" s="33" t="inlineStr">
        <is>
          <t>Bronze</t>
        </is>
      </c>
      <c r="C36" s="33" t="inlineStr">
        <is>
          <t>WHEN YOU'VE DONE ENOUGH - EVIL'D ENOUGH</t>
        </is>
      </c>
      <c r="D36" s="33" t="inlineStr">
        <is>
          <t>UBER EATS</t>
        </is>
      </c>
      <c r="E36" s="33" t="inlineStr">
        <is>
          <t>FOOD DELIVERY SERVICE</t>
        </is>
      </c>
      <c r="F36" s="33" t="inlineStr">
        <is>
          <t>MOTHER</t>
        </is>
      </c>
      <c r="G36" s="33" t="inlineStr">
        <is>
          <t>United Kingdom</t>
        </is>
      </c>
      <c r="H36" s="33" t="inlineStr">
        <is>
          <t>Casting</t>
        </is>
      </c>
      <c r="I36" s="33" t="inlineStr">
        <is>
          <t>https://ascentialcdn.filespin.io/api/v1/storyboard/9e327b1cbb6d4295ae6a602857eb395c/storyboard_000008.jpg</t>
        </is>
      </c>
      <c r="J36" s="33" t="inlineStr">
        <is>
          <t>W3q1PQGXaps</t>
        </is>
      </c>
      <c r="L36" s="33" t="inlineStr">
        <is>
          <t>https://www.lovethework.com/work/entries/when-youve-done-enough-evild-enough-765334</t>
        </is>
      </c>
    </row>
    <row r="37">
      <c r="A37" s="33" t="n">
        <v>36</v>
      </c>
      <c r="B37" s="33" t="inlineStr">
        <is>
          <t>Bronze</t>
        </is>
      </c>
      <c r="C37" s="33" t="inlineStr">
        <is>
          <t>THE FINAL COPY OF ILON SPECHT</t>
        </is>
      </c>
      <c r="D37" s="33" t="inlineStr">
        <is>
          <t>L'OREAL</t>
        </is>
      </c>
      <c r="E37" s="33" t="inlineStr">
        <is>
          <t>L'OREAL</t>
        </is>
      </c>
      <c r="F37" s="33" t="inlineStr">
        <is>
          <t>TRAVERSE32</t>
        </is>
      </c>
      <c r="G37" s="33" t="inlineStr">
        <is>
          <t>United States</t>
        </is>
      </c>
      <c r="H37" s="33" t="inlineStr">
        <is>
          <t>Editing</t>
        </is>
      </c>
      <c r="I37" s="33" t="inlineStr">
        <is>
          <t>digital-presentation-images/film-craft-loreal-the-final-copy-of-ilon-specht.webp</t>
        </is>
      </c>
      <c r="J37" s="33" t="inlineStr">
        <is>
          <t>vimeo:1094956645</t>
        </is>
      </c>
      <c r="L37" s="33" t="inlineStr">
        <is>
          <t>https://www.lovethework.com/work/entries/the-final-copy-of-ilon-specht-765362</t>
        </is>
      </c>
    </row>
    <row r="38">
      <c r="A38" s="33" t="n">
        <v>37</v>
      </c>
      <c r="B38" s="33" t="inlineStr">
        <is>
          <t>Bronze</t>
        </is>
      </c>
      <c r="C38" s="33" t="inlineStr">
        <is>
          <t>MY GUT FRIEND</t>
        </is>
      </c>
      <c r="D38" s="33" t="inlineStr">
        <is>
          <t>GUT</t>
        </is>
      </c>
      <c r="E38" s="33" t="inlineStr">
        <is>
          <t>GUT</t>
        </is>
      </c>
      <c r="F38" s="33" t="inlineStr">
        <is>
          <t>GUT</t>
        </is>
      </c>
      <c r="G38" s="33" t="inlineStr">
        <is>
          <t>Mexico</t>
        </is>
      </c>
      <c r="H38" s="33" t="inlineStr">
        <is>
          <t>Animation</t>
        </is>
      </c>
      <c r="I38" s="33" t="inlineStr">
        <is>
          <t>digital-presentation-images/film-craft-gut-my-gut-friend.webp</t>
        </is>
      </c>
      <c r="J38" s="33" t="inlineStr">
        <is>
          <t>fHoU4Z4uuck</t>
        </is>
      </c>
      <c r="L38" s="33" t="inlineStr">
        <is>
          <t>https://www.lovethework.com/work/entries/my-gut-friend-765361</t>
        </is>
      </c>
    </row>
    <row r="39">
      <c r="A39" s="33" t="n">
        <v>38</v>
      </c>
      <c r="B39" s="33" t="inlineStr">
        <is>
          <t>Bronze</t>
        </is>
      </c>
      <c r="C39" s="33" t="inlineStr">
        <is>
          <t>THE COUNT</t>
        </is>
      </c>
      <c r="D39" s="33" t="inlineStr">
        <is>
          <t>SICKKIDS FOUNDATION</t>
        </is>
      </c>
      <c r="E39" s="33" t="inlineStr">
        <is>
          <t>SICKKIDS FOUNDATION</t>
        </is>
      </c>
      <c r="F39" s="33" t="inlineStr">
        <is>
          <t>FCB TORONTO</t>
        </is>
      </c>
      <c r="G39" s="33" t="inlineStr">
        <is>
          <t>Canada</t>
        </is>
      </c>
      <c r="H39" s="33" t="inlineStr">
        <is>
          <t>Editing</t>
        </is>
      </c>
      <c r="I39" s="33" t="inlineStr">
        <is>
          <t>digital-presentation-images/film-craft-sickkids-foundation-the-count.webp</t>
        </is>
      </c>
      <c r="J39" s="33" t="inlineStr">
        <is>
          <t>qNF34ZROR8s</t>
        </is>
      </c>
      <c r="L39" s="33" t="inlineStr">
        <is>
          <t>https://www.lovethework.com/work/entries/the-count-765359</t>
        </is>
      </c>
    </row>
    <row r="40">
      <c r="A40" s="33" t="n">
        <v>39</v>
      </c>
      <c r="B40" s="33" t="inlineStr">
        <is>
          <t>Bronze</t>
        </is>
      </c>
      <c r="C40" s="33" t="inlineStr">
        <is>
          <t>WAKE UP</t>
        </is>
      </c>
      <c r="D40" s="33" t="inlineStr">
        <is>
          <t>XBOX, DROGA5</t>
        </is>
      </c>
      <c r="E40" s="33" t="inlineStr">
        <is>
          <t>XBOX DEVICES IN THEIR ECOSYSTEM &amp; GAME PASS</t>
        </is>
      </c>
      <c r="F40" s="33" t="inlineStr">
        <is>
          <t>PART OF ACCENTURE SONG</t>
        </is>
      </c>
      <c r="G40" s="33" t="inlineStr">
        <is>
          <t>United States</t>
        </is>
      </c>
      <c r="H40" s="33" t="inlineStr">
        <is>
          <t>Production Design/Art Direction</t>
        </is>
      </c>
      <c r="I40" s="33" t="inlineStr">
        <is>
          <t>https://ascentialcdn.filespin.io/api/v1/storyboard/2ca4ed7308854564b83b1093ffa844c6/storyboard_000008.jpg</t>
        </is>
      </c>
      <c r="J40" s="33" t="inlineStr">
        <is>
          <t>vimeo:1074788616</t>
        </is>
      </c>
      <c r="L40" s="33" t="inlineStr">
        <is>
          <t>https://www.lovethework.com/work/entries/wake-up-765330</t>
        </is>
      </c>
    </row>
    <row r="41">
      <c r="A41" s="33" t="n">
        <v>40</v>
      </c>
      <c r="B41" s="33" t="inlineStr">
        <is>
          <t>Bronze</t>
        </is>
      </c>
      <c r="C41" s="33" t="inlineStr">
        <is>
          <t>THE CAUSE OF THE ACCIDENT THAT STARTED THE FIRE</t>
        </is>
      </c>
      <c r="D41" s="33" t="inlineStr">
        <is>
          <t>ICEX</t>
        </is>
      </c>
      <c r="E41" s="33" t="inlineStr">
        <is>
          <t>AUDIOVISUAL FROM SPAIN</t>
        </is>
      </c>
      <c r="F41" s="33" t="inlineStr">
        <is>
          <t>CANADA</t>
        </is>
      </c>
      <c r="G41" s="33" t="inlineStr">
        <is>
          <t>Spain</t>
        </is>
      </c>
      <c r="H41" s="33" t="inlineStr">
        <is>
          <t>Direction</t>
        </is>
      </c>
      <c r="I41" s="33" t="inlineStr">
        <is>
          <t>digital-presentation-images/film-craft-icex-the-cause-of-the-accident-that-started-the-fire.webp</t>
        </is>
      </c>
      <c r="J41" s="33" t="inlineStr">
        <is>
          <t>vimeo:1052229239</t>
        </is>
      </c>
      <c r="L41" s="33" t="inlineStr">
        <is>
          <t>https://www.lovethework.com/work/entries/the-cause-of-the-accident-that-started-the-fire-765352</t>
        </is>
      </c>
    </row>
    <row r="42">
      <c r="A42" s="33" t="n">
        <v>41</v>
      </c>
      <c r="B42" s="33" t="inlineStr">
        <is>
          <t>Bronze</t>
        </is>
      </c>
      <c r="C42" s="33" t="inlineStr">
        <is>
          <t>SEVERANCE S2 - OPENING TITLE</t>
        </is>
      </c>
      <c r="D42" s="33" t="inlineStr">
        <is>
          <t>APPLE</t>
        </is>
      </c>
      <c r="E42" s="33" t="inlineStr">
        <is>
          <t>TV SERIES</t>
        </is>
      </c>
      <c r="F42" s="33" t="inlineStr">
        <is>
          <t>APPLE</t>
        </is>
      </c>
      <c r="G42" s="33" t="inlineStr">
        <is>
          <t>United States</t>
        </is>
      </c>
      <c r="H42" s="33" t="inlineStr">
        <is>
          <t>Animation</t>
        </is>
      </c>
      <c r="I42" s="33" t="inlineStr">
        <is>
          <t>https://ascentialcdn.filespin.io/api/v1/storyboard/866619c424b04e07b3de2b867203b5ba/storyboard_000008.jpg</t>
        </is>
      </c>
      <c r="J42" s="33" t="inlineStr">
        <is>
          <t>QPJtgjoqtdw</t>
        </is>
      </c>
      <c r="K42" s="33" t="n"/>
      <c r="L42" s="33" t="inlineStr">
        <is>
          <t>https://www.lovethework.com/work/entries/severance-s2-opening-title-765337</t>
        </is>
      </c>
    </row>
    <row r="43">
      <c r="A43" s="33" t="n">
        <v>42</v>
      </c>
      <c r="B43" s="33" t="inlineStr">
        <is>
          <t>Bronze</t>
        </is>
      </c>
      <c r="C43" s="33" t="inlineStr">
        <is>
          <t>CONSIDERING WHAT?</t>
        </is>
      </c>
      <c r="D43" s="33" t="inlineStr">
        <is>
          <t>CHANNEL 4</t>
        </is>
      </c>
      <c r="E43" s="33" t="inlineStr">
        <is>
          <t>C4 PARALYMPICS 2024</t>
        </is>
      </c>
      <c r="F43" s="33" t="inlineStr">
        <is>
          <t>FACTORY STUDIOS</t>
        </is>
      </c>
      <c r="G43" s="33" t="inlineStr">
        <is>
          <t>United Kingdom</t>
        </is>
      </c>
      <c r="H43" s="33" t="inlineStr">
        <is>
          <t>Use of Original Music</t>
        </is>
      </c>
      <c r="I43" s="33" t="inlineStr">
        <is>
          <t>https://ascentialcdn.filespin.io/api/v1/storyboard/66aa94d8bd81459e9f084d2ce0165a10/storyboard_000008.jpg</t>
        </is>
      </c>
      <c r="J43" s="33" t="inlineStr">
        <is>
          <t>bUs_mNTNwvE</t>
        </is>
      </c>
      <c r="L43" s="33" t="inlineStr">
        <is>
          <t>https://www.lovethework.com/work/entries/considering-what-765318</t>
        </is>
      </c>
    </row>
    <row r="44">
      <c r="A44" s="33" t="n">
        <v>43</v>
      </c>
      <c r="B44" s="33" t="inlineStr">
        <is>
          <t>Bronze</t>
        </is>
      </c>
      <c r="C44" s="33" t="inlineStr">
        <is>
          <t>AM I A BAD PERSON?</t>
        </is>
      </c>
      <c r="D44" s="33" t="inlineStr">
        <is>
          <t>NIKE</t>
        </is>
      </c>
      <c r="E44" s="33" t="inlineStr">
        <is>
          <t>NIKE</t>
        </is>
      </c>
      <c r="F44" s="33" t="inlineStr">
        <is>
          <t>SOMESUCH</t>
        </is>
      </c>
      <c r="G44" s="33" t="inlineStr">
        <is>
          <t>United States</t>
        </is>
      </c>
      <c r="H44" s="33" t="inlineStr">
        <is>
          <t>Direction</t>
        </is>
      </c>
      <c r="I44" s="33" t="inlineStr">
        <is>
          <t>digital-presentation-images/film-craft-nike-am-i-a-bad-person.webp</t>
        </is>
      </c>
      <c r="J44" s="33" t="inlineStr">
        <is>
          <t>pwLergHG81c</t>
        </is>
      </c>
      <c r="L44" s="33" t="inlineStr">
        <is>
          <t>https://www.lovethework.com/work/entries/am-i-a-bad-person-765348</t>
        </is>
      </c>
    </row>
    <row r="45">
      <c r="A45" s="33" t="n">
        <v>44</v>
      </c>
      <c r="B45" s="33" t="inlineStr">
        <is>
          <t>Bronze</t>
        </is>
      </c>
      <c r="C45" s="33" t="inlineStr">
        <is>
          <t>COFFIN</t>
        </is>
      </c>
      <c r="D45" s="33" t="inlineStr">
        <is>
          <t>LIFE360</t>
        </is>
      </c>
      <c r="E45" s="33" t="inlineStr">
        <is>
          <t>LIFE360</t>
        </is>
      </c>
      <c r="F45" s="33" t="inlineStr">
        <is>
          <t>ALTO</t>
        </is>
      </c>
      <c r="G45" s="33" t="inlineStr">
        <is>
          <t>United States</t>
        </is>
      </c>
      <c r="H45" s="33" t="inlineStr">
        <is>
          <t>Script</t>
        </is>
      </c>
      <c r="I45" s="33" t="inlineStr">
        <is>
          <t>https://ascentialcdn.filespin.io/api/v1/storyboard/3cd320dd9fcd4445a86f756e25d0402e/storyboard_000008.jpg</t>
        </is>
      </c>
      <c r="J45" s="33" t="inlineStr">
        <is>
          <t>hlqerWZSCpE</t>
        </is>
      </c>
      <c r="L45" s="33" t="inlineStr">
        <is>
          <t>https://www.lovethework.com/work/entries/coffin-765325</t>
        </is>
      </c>
    </row>
    <row r="46">
      <c r="A46" s="33" t="n">
        <v>45</v>
      </c>
      <c r="B46" s="33" t="inlineStr">
        <is>
          <t>Bronze</t>
        </is>
      </c>
      <c r="C46" s="33" t="inlineStr">
        <is>
          <t>WAKE UP</t>
        </is>
      </c>
      <c r="D46" s="33" t="inlineStr">
        <is>
          <t>XBOX, DROGA5</t>
        </is>
      </c>
      <c r="E46" s="33" t="inlineStr">
        <is>
          <t>XBOX DEVICES IN THEIR ECOSYSTEM &amp; GAME PASS</t>
        </is>
      </c>
      <c r="F46" s="33" t="inlineStr">
        <is>
          <t>PART OF ACCENTURE SONG</t>
        </is>
      </c>
      <c r="G46" s="33" t="inlineStr">
        <is>
          <t>United States</t>
        </is>
      </c>
      <c r="H46" s="33" t="inlineStr">
        <is>
          <t>Colour Correction/Grading</t>
        </is>
      </c>
      <c r="I46" s="33" t="inlineStr">
        <is>
          <t>https://ascentialcdn.filespin.io/api/v1/storyboard/2ca4ed7308854564b83b1093ffa844c6/storyboard_000008.jpg</t>
        </is>
      </c>
      <c r="J46" s="33" t="inlineStr">
        <is>
          <t>vimeo:1074788616</t>
        </is>
      </c>
      <c r="L46" s="33" t="inlineStr">
        <is>
          <t>https://www.lovethework.com/work/entries/wake-up-765330</t>
        </is>
      </c>
    </row>
    <row r="47">
      <c r="A47" s="33" t="n">
        <v>46</v>
      </c>
      <c r="B47" s="33" t="inlineStr">
        <is>
          <t>Bronze</t>
        </is>
      </c>
      <c r="C47" s="33" t="inlineStr">
        <is>
          <t>THE SHOEMAKER</t>
        </is>
      </c>
      <c r="D47" s="33" t="inlineStr">
        <is>
          <t>TELSTRA</t>
        </is>
      </c>
      <c r="E47" s="33" t="inlineStr">
        <is>
          <t>TELSTRA</t>
        </is>
      </c>
      <c r="F47" s="33" t="inlineStr">
        <is>
          <t>REVOLVER</t>
        </is>
      </c>
      <c r="G47" s="33" t="inlineStr">
        <is>
          <t>Australia</t>
        </is>
      </c>
      <c r="H47" s="33" t="inlineStr">
        <is>
          <t>Production Design/Art Direction</t>
        </is>
      </c>
      <c r="I47" s="33" t="inlineStr">
        <is>
          <t>https://ascentialcdn.filespin.io/api/v1/storyboard/59dfce8e4864466c943faa12518ff439/storyboard_000008.jpg</t>
        </is>
      </c>
      <c r="J47" s="33" t="inlineStr">
        <is>
          <t>vimeo:1072023846</t>
        </is>
      </c>
      <c r="K47" s="33" t="n"/>
      <c r="L47" s="33" t="inlineStr">
        <is>
          <t>https://www.lovethework.com/work/entries/the-shoemaker-765339</t>
        </is>
      </c>
    </row>
    <row r="48">
      <c r="A48" s="33" t="n">
        <v>47</v>
      </c>
      <c r="B48" s="33" t="inlineStr">
        <is>
          <t>Bronze</t>
        </is>
      </c>
      <c r="C48" s="33" t="inlineStr">
        <is>
          <t>BRIAN COX GOES TO COLLEGE</t>
        </is>
      </c>
      <c r="D48" s="33" t="inlineStr">
        <is>
          <t>UBER</t>
        </is>
      </c>
      <c r="E48" s="33" t="inlineStr">
        <is>
          <t>UBER ONE FOR STUDENTS</t>
        </is>
      </c>
      <c r="F48" s="33" t="inlineStr">
        <is>
          <t>O POSITIVE</t>
        </is>
      </c>
      <c r="G48" s="33" t="inlineStr">
        <is>
          <t>United States</t>
        </is>
      </c>
      <c r="H48" s="33" t="inlineStr">
        <is>
          <t>Direction</t>
        </is>
      </c>
      <c r="I48" s="33" t="inlineStr">
        <is>
          <t>digital-presentation-images/film-craft-uber-brian-cox-goes-to-college.webp</t>
        </is>
      </c>
      <c r="J48" s="33" t="inlineStr">
        <is>
          <t>vimeo:1035756667</t>
        </is>
      </c>
      <c r="L48" s="33" t="inlineStr">
        <is>
          <t>https://www.lovethework.com/work/entries/brian-cox-goes-to-college-765323</t>
        </is>
      </c>
    </row>
    <row r="49">
      <c r="A49" s="33" t="n">
        <v>48</v>
      </c>
      <c r="B49" s="33" t="inlineStr">
        <is>
          <t>Bronze</t>
        </is>
      </c>
      <c r="C49" s="33" t="inlineStr">
        <is>
          <t>THE JOURNEY</t>
        </is>
      </c>
      <c r="D49" s="33" t="inlineStr">
        <is>
          <t>AICP</t>
        </is>
      </c>
      <c r="E49" s="33" t="inlineStr">
        <is>
          <t>AICP SHOW</t>
        </is>
      </c>
      <c r="F49" s="33" t="inlineStr">
        <is>
          <t>O POSITIVE</t>
        </is>
      </c>
      <c r="G49" s="33" t="inlineStr">
        <is>
          <t>United States</t>
        </is>
      </c>
      <c r="H49" s="33" t="inlineStr">
        <is>
          <t>Script</t>
        </is>
      </c>
      <c r="I49" s="33" t="inlineStr">
        <is>
          <t>https://ascentialcdn.filespin.io/api/v1/storyboard/40b05878898a453cab28d1b5cee5db91/storyboard_000008.jpg</t>
        </is>
      </c>
      <c r="J49" s="33" t="inlineStr">
        <is>
          <t>vimeo:946347892</t>
        </is>
      </c>
      <c r="L49" s="33" t="inlineStr">
        <is>
          <t>https://www.lovethework.com/work/entries/the-journey-765327</t>
        </is>
      </c>
    </row>
    <row r="50">
      <c r="A50" s="33" t="n">
        <v>49</v>
      </c>
      <c r="B50" s="33" t="inlineStr">
        <is>
          <t>Bronze</t>
        </is>
      </c>
      <c r="C50" s="33" t="inlineStr">
        <is>
          <t>WALRUS WHIZZER</t>
        </is>
      </c>
      <c r="D50" s="33" t="inlineStr">
        <is>
          <t>VIRGIN</t>
        </is>
      </c>
      <c r="E50" s="33" t="inlineStr">
        <is>
          <t>VIRGIN MEDIA</t>
        </is>
      </c>
      <c r="F50" s="33" t="inlineStr">
        <is>
          <t>UNTOLD STUDIOS</t>
        </is>
      </c>
      <c r="G50" s="33" t="inlineStr">
        <is>
          <t>United Kingdom</t>
        </is>
      </c>
      <c r="H50" s="33" t="inlineStr">
        <is>
          <t>Visual Effects</t>
        </is>
      </c>
      <c r="I50" s="33" t="inlineStr">
        <is>
          <t>https://ascentialcdn.filespin.io/api/v1/storyboard/a7d2b86e8d154d35bb56d32c7d6f43ca/storyboard_000008.jpg</t>
        </is>
      </c>
      <c r="J50" s="33" t="inlineStr">
        <is>
          <t>VJ2TZs9WJng</t>
        </is>
      </c>
      <c r="L50" s="33" t="inlineStr">
        <is>
          <t>https://www.lovethework.com/work/entries/walrus-whizzer-765353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cols>
    <col width="32" customWidth="1" style="34" min="1" max="1"/>
    <col width="14" customWidth="1" style="34" min="2" max="2"/>
  </cols>
  <sheetData>
    <row r="1">
      <c r="A1" s="107" t="inlineStr">
        <is>
          <t>Audio &amp; Radio — Cannes Lions 2025</t>
        </is>
      </c>
    </row>
    <row r="3">
      <c r="A3" s="107" t="inlineStr">
        <is>
          <t>Tier</t>
        </is>
      </c>
      <c r="B3" s="107" t="inlineStr">
        <is>
          <t>Count</t>
        </is>
      </c>
    </row>
    <row r="4">
      <c r="A4" s="33" t="inlineStr">
        <is>
          <t>Grand Prix</t>
        </is>
      </c>
      <c r="B4" s="33">
        <f>COUNTIF('Audio &amp; Radio'!B:B,"Grand Prix")</f>
        <v/>
      </c>
    </row>
    <row r="5">
      <c r="A5" s="33" t="inlineStr">
        <is>
          <t>Gold</t>
        </is>
      </c>
      <c r="B5" s="33">
        <f>COUNTIF('Audio &amp; Radio'!B:B,"Gold")</f>
        <v/>
      </c>
    </row>
    <row r="6">
      <c r="A6" s="33" t="inlineStr">
        <is>
          <t>Silver</t>
        </is>
      </c>
      <c r="B6" s="33">
        <f>COUNTIF('Audio &amp; Radio'!B:B,"Silver")</f>
        <v/>
      </c>
    </row>
    <row r="7">
      <c r="A7" s="33" t="inlineStr">
        <is>
          <t>Bronze</t>
        </is>
      </c>
      <c r="B7" s="33">
        <f>COUNTIF('Audio &amp; Radio'!B:B,"Bronze")</f>
        <v/>
      </c>
    </row>
    <row r="8">
      <c r="A8" s="107" t="inlineStr">
        <is>
          <t>Total</t>
        </is>
      </c>
      <c r="B8" s="107">
        <f>SUM(B4:B7)</f>
        <v/>
      </c>
    </row>
    <row r="10">
      <c r="A10" s="107" t="inlineStr">
        <is>
          <t>Brand Experience &amp; Activation — Cannes Lions 2025</t>
        </is>
      </c>
    </row>
    <row r="12">
      <c r="A12" s="107" t="inlineStr">
        <is>
          <t>Tier</t>
        </is>
      </c>
      <c r="B12" s="107" t="inlineStr">
        <is>
          <t>Count</t>
        </is>
      </c>
    </row>
    <row r="13">
      <c r="A13" s="33" t="inlineStr">
        <is>
          <t>Grand Prix</t>
        </is>
      </c>
      <c r="B13" s="33">
        <f>COUNTIF('Brand Experience &amp; Activation'!B:B,"Grand Prix")</f>
        <v/>
      </c>
    </row>
    <row r="14">
      <c r="A14" s="33" t="inlineStr">
        <is>
          <t>Gold</t>
        </is>
      </c>
      <c r="B14" s="33">
        <f>COUNTIF('Brand Experience &amp; Activation'!B:B,"Gold")</f>
        <v/>
      </c>
    </row>
    <row r="15">
      <c r="A15" s="33" t="inlineStr">
        <is>
          <t>Silver</t>
        </is>
      </c>
      <c r="B15" s="33">
        <f>COUNTIF('Brand Experience &amp; Activation'!B:B,"Silver")</f>
        <v/>
      </c>
    </row>
    <row r="16">
      <c r="A16" s="33" t="inlineStr">
        <is>
          <t>Bronze</t>
        </is>
      </c>
      <c r="B16" s="33">
        <f>COUNTIF('Brand Experience &amp; Activation'!B:B,"Bronze")</f>
        <v/>
      </c>
    </row>
    <row r="17">
      <c r="A17" s="107" t="inlineStr">
        <is>
          <t>Total</t>
        </is>
      </c>
      <c r="B17" s="107">
        <f>SUM(B13:B16)</f>
        <v/>
      </c>
    </row>
    <row r="19">
      <c r="A19" s="107" t="inlineStr">
        <is>
          <t>Design — Cannes Lions 2025</t>
        </is>
      </c>
    </row>
    <row r="21">
      <c r="A21" s="107" t="inlineStr">
        <is>
          <t>Tier</t>
        </is>
      </c>
      <c r="B21" s="107" t="inlineStr">
        <is>
          <t>Count</t>
        </is>
      </c>
    </row>
    <row r="22">
      <c r="A22" s="33" t="inlineStr">
        <is>
          <t>Grand Prix</t>
        </is>
      </c>
      <c r="B22" s="33">
        <f>COUNTIF('Design'!B:B,"Grand Prix")</f>
        <v/>
      </c>
    </row>
    <row r="23">
      <c r="A23" s="33" t="inlineStr">
        <is>
          <t>Gold</t>
        </is>
      </c>
      <c r="B23" s="33">
        <f>COUNTIF('Design'!B:B,"Gold")</f>
        <v/>
      </c>
    </row>
    <row r="24">
      <c r="A24" s="33" t="inlineStr">
        <is>
          <t>Silver</t>
        </is>
      </c>
      <c r="B24" s="33">
        <f>COUNTIF('Design'!B:B,"Silver")</f>
        <v/>
      </c>
    </row>
    <row r="25">
      <c r="A25" s="33" t="inlineStr">
        <is>
          <t>Bronze</t>
        </is>
      </c>
      <c r="B25" s="33">
        <f>COUNTIF('Design'!B:B,"Bronze")</f>
        <v/>
      </c>
    </row>
    <row r="26">
      <c r="A26" s="107" t="inlineStr">
        <is>
          <t>Total</t>
        </is>
      </c>
      <c r="B26" s="107">
        <f>SUM(B22:B25)</f>
        <v/>
      </c>
    </row>
    <row r="28">
      <c r="A28" s="107" t="inlineStr">
        <is>
          <t>Film — Cannes Lions 2025</t>
        </is>
      </c>
    </row>
    <row r="30">
      <c r="A30" s="107" t="inlineStr">
        <is>
          <t>Tier</t>
        </is>
      </c>
      <c r="B30" s="107" t="inlineStr">
        <is>
          <t>Count</t>
        </is>
      </c>
    </row>
    <row r="31">
      <c r="A31" s="33" t="inlineStr">
        <is>
          <t>Grand Prix</t>
        </is>
      </c>
      <c r="B31" s="33">
        <f>COUNTIF('Film'!B:B,"Grand Prix")</f>
        <v/>
      </c>
    </row>
    <row r="32">
      <c r="A32" s="33" t="inlineStr">
        <is>
          <t>Gold</t>
        </is>
      </c>
      <c r="B32" s="33">
        <f>COUNTIF('Film'!B:B,"Gold")</f>
        <v/>
      </c>
    </row>
    <row r="33">
      <c r="A33" s="33" t="inlineStr">
        <is>
          <t>Silver</t>
        </is>
      </c>
      <c r="B33" s="33">
        <f>COUNTIF('Film'!B:B,"Silver")</f>
        <v/>
      </c>
    </row>
    <row r="34">
      <c r="A34" s="33" t="inlineStr">
        <is>
          <t>Bronze</t>
        </is>
      </c>
      <c r="B34" s="33">
        <f>COUNTIF('Film'!B:B,"Bronze")</f>
        <v/>
      </c>
    </row>
    <row r="35">
      <c r="A35" s="107" t="inlineStr">
        <is>
          <t>Total</t>
        </is>
      </c>
      <c r="B35" s="107">
        <f>SUM(B31:B34)</f>
        <v/>
      </c>
    </row>
    <row r="37">
      <c r="A37" s="107" t="inlineStr">
        <is>
          <t>Film Craft — Cannes Lions 2025</t>
        </is>
      </c>
    </row>
    <row r="39">
      <c r="A39" s="107" t="inlineStr">
        <is>
          <t>Tier</t>
        </is>
      </c>
      <c r="B39" s="107" t="inlineStr">
        <is>
          <t>Count</t>
        </is>
      </c>
    </row>
    <row r="40">
      <c r="A40" s="33" t="inlineStr">
        <is>
          <t>Grand Prix</t>
        </is>
      </c>
      <c r="B40" s="33">
        <f>COUNTIF('Film Craft'!B:B,"Grand Prix")</f>
        <v/>
      </c>
    </row>
    <row r="41">
      <c r="A41" s="33" t="inlineStr">
        <is>
          <t>Gold</t>
        </is>
      </c>
      <c r="B41" s="33">
        <f>COUNTIF('Film Craft'!B:B,"Gold")</f>
        <v/>
      </c>
    </row>
    <row r="42">
      <c r="A42" s="33" t="inlineStr">
        <is>
          <t>Silver</t>
        </is>
      </c>
      <c r="B42" s="33">
        <f>COUNTIF('Film Craft'!B:B,"Silver")</f>
        <v/>
      </c>
    </row>
    <row r="43">
      <c r="A43" s="33" t="inlineStr">
        <is>
          <t>Bronze</t>
        </is>
      </c>
      <c r="B43" s="33">
        <f>COUNTIF('Film Craft'!B:B,"Bronze")</f>
        <v/>
      </c>
    </row>
    <row r="44">
      <c r="A44" s="107" t="inlineStr">
        <is>
          <t>Total</t>
        </is>
      </c>
      <c r="B44" s="107">
        <f>SUM(B40:B43)</f>
        <v/>
      </c>
    </row>
    <row r="46">
      <c r="A46" s="107" t="inlineStr">
        <is>
          <t>Media — Cannes Lions 2025</t>
        </is>
      </c>
    </row>
    <row r="48">
      <c r="A48" s="107" t="inlineStr">
        <is>
          <t>Tier</t>
        </is>
      </c>
      <c r="B48" s="107" t="inlineStr">
        <is>
          <t>Count</t>
        </is>
      </c>
    </row>
    <row r="49">
      <c r="A49" s="33" t="inlineStr">
        <is>
          <t>Grand Prix</t>
        </is>
      </c>
      <c r="B49" s="33">
        <f>COUNTIF('Media'!B:B,"Grand Prix")</f>
        <v/>
      </c>
    </row>
    <row r="50">
      <c r="A50" s="33" t="inlineStr">
        <is>
          <t>Gold</t>
        </is>
      </c>
      <c r="B50" s="33">
        <f>COUNTIF('Media'!B:B,"Gold")</f>
        <v/>
      </c>
    </row>
    <row r="51">
      <c r="A51" s="33" t="inlineStr">
        <is>
          <t>Silver</t>
        </is>
      </c>
      <c r="B51" s="33">
        <f>COUNTIF('Media'!B:B,"Silver")</f>
        <v/>
      </c>
    </row>
    <row r="52">
      <c r="A52" s="33" t="inlineStr">
        <is>
          <t>Bronze</t>
        </is>
      </c>
      <c r="B52" s="33">
        <f>COUNTIF('Media'!B:B,"Bronze")</f>
        <v/>
      </c>
    </row>
    <row r="53">
      <c r="A53" s="107" t="inlineStr">
        <is>
          <t>Total</t>
        </is>
      </c>
      <c r="B53" s="107">
        <f>SUM(B49:B52)</f>
        <v/>
      </c>
    </row>
    <row r="55">
      <c r="A55" s="107" t="inlineStr">
        <is>
          <t>Outdoor — Cannes Lions 2025</t>
        </is>
      </c>
    </row>
    <row r="57">
      <c r="A57" s="107" t="inlineStr">
        <is>
          <t>Tier</t>
        </is>
      </c>
      <c r="B57" s="107" t="inlineStr">
        <is>
          <t>Count</t>
        </is>
      </c>
    </row>
    <row r="58">
      <c r="A58" s="33" t="inlineStr">
        <is>
          <t>Grand Prix</t>
        </is>
      </c>
      <c r="B58" s="33">
        <f>COUNTIF('Outdoor'!B:B,"Grand Prix")</f>
        <v/>
      </c>
    </row>
    <row r="59">
      <c r="A59" s="33" t="inlineStr">
        <is>
          <t>Gold</t>
        </is>
      </c>
      <c r="B59" s="33">
        <f>COUNTIF('Outdoor'!B:B,"Gold")</f>
        <v/>
      </c>
    </row>
    <row r="60">
      <c r="A60" s="33" t="inlineStr">
        <is>
          <t>Silver</t>
        </is>
      </c>
      <c r="B60" s="33">
        <f>COUNTIF('Outdoor'!B:B,"Silver")</f>
        <v/>
      </c>
    </row>
    <row r="61">
      <c r="A61" s="33" t="inlineStr">
        <is>
          <t>Bronze</t>
        </is>
      </c>
      <c r="B61" s="33">
        <f>COUNTIF('Outdoor'!B:B,"Bronze")</f>
        <v/>
      </c>
    </row>
    <row r="62">
      <c r="A62" s="107" t="inlineStr">
        <is>
          <t>Total</t>
        </is>
      </c>
      <c r="B62" s="107">
        <f>SUM(B58:B61)</f>
        <v/>
      </c>
    </row>
    <row r="64">
      <c r="A64" s="107" t="inlineStr">
        <is>
          <t>Grand Prix for Good — Cannes Lions 2025</t>
        </is>
      </c>
    </row>
    <row r="66">
      <c r="A66" s="107" t="inlineStr">
        <is>
          <t>Tier</t>
        </is>
      </c>
      <c r="B66" s="107" t="inlineStr">
        <is>
          <t>Count</t>
        </is>
      </c>
    </row>
    <row r="67">
      <c r="A67" s="33" t="inlineStr">
        <is>
          <t>Grand Prix</t>
        </is>
      </c>
      <c r="B67" s="33">
        <f>COUNTIF('Grand Prix for Good'!B:B,"Grand Prix")</f>
        <v/>
      </c>
    </row>
    <row r="68">
      <c r="A68" s="33" t="inlineStr">
        <is>
          <t>Gold</t>
        </is>
      </c>
      <c r="B68" s="33">
        <f>COUNTIF('Grand Prix for Good'!B:B,"Gold")</f>
        <v/>
      </c>
    </row>
    <row r="69">
      <c r="A69" s="33" t="inlineStr">
        <is>
          <t>Silver</t>
        </is>
      </c>
      <c r="B69" s="33">
        <f>COUNTIF('Grand Prix for Good'!B:B,"Silver")</f>
        <v/>
      </c>
    </row>
    <row r="70">
      <c r="A70" s="33" t="inlineStr">
        <is>
          <t>Bronze</t>
        </is>
      </c>
      <c r="B70" s="33">
        <f>COUNTIF('Grand Prix for Good'!B:B,"Bronze")</f>
        <v/>
      </c>
    </row>
    <row r="71">
      <c r="A71" s="107" t="inlineStr">
        <is>
          <t>Total</t>
        </is>
      </c>
      <c r="B71" s="107">
        <f>SUM(B67:B70)</f>
        <v/>
      </c>
    </row>
    <row r="73">
      <c r="A73" s="107" t="inlineStr">
        <is>
          <t>Glass - The Lion for Change — Cannes Lions 2025</t>
        </is>
      </c>
    </row>
    <row r="75">
      <c r="A75" s="107" t="inlineStr">
        <is>
          <t>Tier</t>
        </is>
      </c>
      <c r="B75" s="107" t="inlineStr">
        <is>
          <t>Count</t>
        </is>
      </c>
    </row>
    <row r="76">
      <c r="A76" s="33" t="inlineStr">
        <is>
          <t>Grand Prix</t>
        </is>
      </c>
      <c r="B76" s="33">
        <f>COUNTIF('Glass - The Lion for Change'!B:B,"Grand Prix")</f>
        <v/>
      </c>
    </row>
    <row r="77">
      <c r="A77" s="33" t="inlineStr">
        <is>
          <t>Gold</t>
        </is>
      </c>
      <c r="B77" s="33">
        <f>COUNTIF('Glass - The Lion for Change'!B:B,"Gold")</f>
        <v/>
      </c>
    </row>
    <row r="78">
      <c r="A78" s="33" t="inlineStr">
        <is>
          <t>Silver</t>
        </is>
      </c>
      <c r="B78" s="33">
        <f>COUNTIF('Glass - The Lion for Change'!B:B,"Silver")</f>
        <v/>
      </c>
    </row>
    <row r="79">
      <c r="A79" s="33" t="inlineStr">
        <is>
          <t>Bronze</t>
        </is>
      </c>
      <c r="B79" s="33">
        <f>COUNTIF('Glass - The Lion for Change'!B:B,"Bronze")</f>
        <v/>
      </c>
    </row>
    <row r="80">
      <c r="A80" s="107" t="inlineStr">
        <is>
          <t>Total</t>
        </is>
      </c>
      <c r="B80" s="107">
        <f>SUM(B76:B79)</f>
        <v/>
      </c>
    </row>
    <row r="82">
      <c r="A82" s="107" t="inlineStr">
        <is>
          <t>Creative Bus. Transformation — Cannes Lions 2025</t>
        </is>
      </c>
    </row>
    <row r="84">
      <c r="A84" s="107" t="inlineStr">
        <is>
          <t>Tier</t>
        </is>
      </c>
      <c r="B84" s="107" t="inlineStr">
        <is>
          <t>Count</t>
        </is>
      </c>
    </row>
    <row r="85">
      <c r="A85" s="33" t="inlineStr">
        <is>
          <t>Grand Prix</t>
        </is>
      </c>
      <c r="B85" s="33">
        <f>COUNTIF('Creative Bus. Transformation'!B:B,"Grand Prix")</f>
        <v/>
      </c>
    </row>
    <row r="86">
      <c r="A86" s="33" t="inlineStr">
        <is>
          <t>Gold</t>
        </is>
      </c>
      <c r="B86" s="33">
        <f>COUNTIF('Creative Bus. Transformation'!B:B,"Gold")</f>
        <v/>
      </c>
    </row>
    <row r="87">
      <c r="A87" s="33" t="inlineStr">
        <is>
          <t>Silver</t>
        </is>
      </c>
      <c r="B87" s="33">
        <f>COUNTIF('Creative Bus. Transformation'!B:B,"Silver")</f>
        <v/>
      </c>
    </row>
    <row r="88">
      <c r="A88" s="33" t="inlineStr">
        <is>
          <t>Bronze</t>
        </is>
      </c>
      <c r="B88" s="33">
        <f>COUNTIF('Creative Bus. Transformation'!B:B,"Bronze")</f>
        <v/>
      </c>
    </row>
    <row r="89">
      <c r="A89" s="107" t="inlineStr">
        <is>
          <t>Total</t>
        </is>
      </c>
      <c r="B89" s="107">
        <f>SUM(B85:B88)</f>
        <v/>
      </c>
    </row>
    <row r="91">
      <c r="A91" s="107" t="inlineStr">
        <is>
          <t>Luxury — Cannes Lions 2025</t>
        </is>
      </c>
    </row>
    <row r="93">
      <c r="A93" s="107" t="inlineStr">
        <is>
          <t>Tier</t>
        </is>
      </c>
      <c r="B93" s="107" t="inlineStr">
        <is>
          <t>Count</t>
        </is>
      </c>
    </row>
    <row r="94">
      <c r="A94" s="33" t="inlineStr">
        <is>
          <t>Grand Prix</t>
        </is>
      </c>
      <c r="B94" s="33">
        <f>COUNTIF('Luxury'!B:B,"Grand Prix")</f>
        <v/>
      </c>
    </row>
    <row r="95">
      <c r="A95" s="33" t="inlineStr">
        <is>
          <t>Gold</t>
        </is>
      </c>
      <c r="B95" s="33">
        <f>COUNTIF('Luxury'!B:B,"Gold")</f>
        <v/>
      </c>
    </row>
    <row r="96">
      <c r="A96" s="33" t="inlineStr">
        <is>
          <t>Silver</t>
        </is>
      </c>
      <c r="B96" s="33">
        <f>COUNTIF('Luxury'!B:B,"Silver")</f>
        <v/>
      </c>
    </row>
    <row r="97">
      <c r="A97" s="33" t="inlineStr">
        <is>
          <t>Bronze</t>
        </is>
      </c>
      <c r="B97" s="33">
        <f>COUNTIF('Luxury'!B:B,"Bronze")</f>
        <v/>
      </c>
    </row>
    <row r="98">
      <c r="A98" s="107" t="inlineStr">
        <is>
          <t>Total</t>
        </is>
      </c>
      <c r="B98" s="107">
        <f>SUM(B94:B97)</f>
        <v/>
      </c>
    </row>
    <row r="100">
      <c r="A100" s="107" t="inlineStr">
        <is>
          <t>Innovation — Cannes Lions 2025</t>
        </is>
      </c>
    </row>
    <row r="102">
      <c r="A102" s="107" t="inlineStr">
        <is>
          <t>Tier</t>
        </is>
      </c>
      <c r="B102" s="107" t="inlineStr">
        <is>
          <t>Count</t>
        </is>
      </c>
    </row>
    <row r="103">
      <c r="A103" s="33" t="inlineStr">
        <is>
          <t>Grand Prix</t>
        </is>
      </c>
      <c r="B103" s="33">
        <f>COUNTIF('Innovation'!B:B,"Grand Prix")</f>
        <v/>
      </c>
    </row>
    <row r="104">
      <c r="A104" s="33" t="inlineStr">
        <is>
          <t>Gold</t>
        </is>
      </c>
      <c r="B104" s="33">
        <f>COUNTIF('Innovation'!B:B,"Gold")</f>
        <v/>
      </c>
    </row>
    <row r="105">
      <c r="A105" s="33" t="inlineStr">
        <is>
          <t>Silver</t>
        </is>
      </c>
      <c r="B105" s="33">
        <f>COUNTIF('Innovation'!B:B,"Silver")</f>
        <v/>
      </c>
    </row>
    <row r="106">
      <c r="A106" s="33" t="inlineStr">
        <is>
          <t>Bronze</t>
        </is>
      </c>
      <c r="B106" s="33">
        <f>COUNTIF('Innovation'!B:B,"Bronze")</f>
        <v/>
      </c>
    </row>
    <row r="107">
      <c r="A107" s="107" t="inlineStr">
        <is>
          <t>Total</t>
        </is>
      </c>
      <c r="B107" s="107">
        <f>SUM(B103:B106)</f>
        <v/>
      </c>
    </row>
    <row r="109">
      <c r="A109" s="107" t="inlineStr">
        <is>
          <t>Pharma — Cannes Lions 2025</t>
        </is>
      </c>
    </row>
    <row r="111">
      <c r="A111" s="107" t="inlineStr">
        <is>
          <t>Tier</t>
        </is>
      </c>
      <c r="B111" s="107" t="inlineStr">
        <is>
          <t>Count</t>
        </is>
      </c>
    </row>
    <row r="112">
      <c r="A112" s="33" t="inlineStr">
        <is>
          <t>Grand Prix</t>
        </is>
      </c>
      <c r="B112" s="33">
        <f>COUNTIF('Pharma'!B:B,"Grand Prix")</f>
        <v/>
      </c>
    </row>
    <row r="113">
      <c r="A113" s="33" t="inlineStr">
        <is>
          <t>Gold</t>
        </is>
      </c>
      <c r="B113" s="33">
        <f>COUNTIF('Pharma'!B:B,"Gold")</f>
        <v/>
      </c>
    </row>
    <row r="114">
      <c r="A114" s="33" t="inlineStr">
        <is>
          <t>Silver</t>
        </is>
      </c>
      <c r="B114" s="33">
        <f>COUNTIF('Pharma'!B:B,"Silver")</f>
        <v/>
      </c>
    </row>
    <row r="115">
      <c r="A115" s="33" t="inlineStr">
        <is>
          <t>Bronze</t>
        </is>
      </c>
      <c r="B115" s="33">
        <f>COUNTIF('Pharma'!B:B,"Bronze")</f>
        <v/>
      </c>
    </row>
    <row r="116">
      <c r="A116" s="107" t="inlineStr">
        <is>
          <t>Total</t>
        </is>
      </c>
      <c r="B116" s="107">
        <f>SUM(B112:B115)</f>
        <v/>
      </c>
    </row>
    <row r="118">
      <c r="A118" s="107" t="inlineStr">
        <is>
          <t>Entertainment Lions for Gaming — Cannes Lions 2025</t>
        </is>
      </c>
    </row>
    <row r="120">
      <c r="A120" s="107" t="inlineStr">
        <is>
          <t>Tier</t>
        </is>
      </c>
      <c r="B120" s="107" t="inlineStr">
        <is>
          <t>Count</t>
        </is>
      </c>
    </row>
    <row r="121">
      <c r="A121" s="33" t="inlineStr">
        <is>
          <t>Grand Prix</t>
        </is>
      </c>
      <c r="B121" s="33">
        <f>COUNTIF('Entertainment Lions for Gaming'!B:B,"Grand Prix")</f>
        <v/>
      </c>
    </row>
    <row r="122">
      <c r="A122" s="33" t="inlineStr">
        <is>
          <t>Gold</t>
        </is>
      </c>
      <c r="B122" s="33">
        <f>COUNTIF('Entertainment Lions for Gaming'!B:B,"Gold")</f>
        <v/>
      </c>
    </row>
    <row r="123">
      <c r="A123" s="33" t="inlineStr">
        <is>
          <t>Silver</t>
        </is>
      </c>
      <c r="B123" s="33">
        <f>COUNTIF('Entertainment Lions for Gaming'!B:B,"Silver")</f>
        <v/>
      </c>
    </row>
    <row r="124">
      <c r="A124" s="33" t="inlineStr">
        <is>
          <t>Bronze</t>
        </is>
      </c>
      <c r="B124" s="33">
        <f>COUNTIF('Entertainment Lions for Gaming'!B:B,"Bronze")</f>
        <v/>
      </c>
    </row>
    <row r="125">
      <c r="A125" s="107" t="inlineStr">
        <is>
          <t>Total</t>
        </is>
      </c>
      <c r="B125" s="107">
        <f>SUM(B121:B124)</f>
        <v/>
      </c>
    </row>
    <row r="127">
      <c r="A127" s="107" t="inlineStr">
        <is>
          <t>Creative B2B — Cannes Lions 2025</t>
        </is>
      </c>
    </row>
    <row r="129">
      <c r="A129" s="107" t="inlineStr">
        <is>
          <t>Tier</t>
        </is>
      </c>
      <c r="B129" s="107" t="inlineStr">
        <is>
          <t>Count</t>
        </is>
      </c>
    </row>
    <row r="130">
      <c r="A130" s="33" t="inlineStr">
        <is>
          <t>Grand Prix</t>
        </is>
      </c>
      <c r="B130" s="33">
        <f>COUNTIF('Creative B2B'!B:B,"Grand Prix")</f>
        <v/>
      </c>
    </row>
    <row r="131">
      <c r="A131" s="33" t="inlineStr">
        <is>
          <t>Gold</t>
        </is>
      </c>
      <c r="B131" s="33">
        <f>COUNTIF('Creative B2B'!B:B,"Gold")</f>
        <v/>
      </c>
    </row>
    <row r="132">
      <c r="A132" s="33" t="inlineStr">
        <is>
          <t>Silver</t>
        </is>
      </c>
      <c r="B132" s="33">
        <f>COUNTIF('Creative B2B'!B:B,"Silver")</f>
        <v/>
      </c>
    </row>
    <row r="133">
      <c r="A133" s="33" t="inlineStr">
        <is>
          <t>Bronze</t>
        </is>
      </c>
      <c r="B133" s="33">
        <f>COUNTIF('Creative B2B'!B:B,"Bronze")</f>
        <v/>
      </c>
    </row>
    <row r="134">
      <c r="A134" s="107" t="inlineStr">
        <is>
          <t>Total</t>
        </is>
      </c>
      <c r="B134" s="107">
        <f>SUM(B130:B133)</f>
        <v/>
      </c>
    </row>
    <row r="136">
      <c r="A136" s="107" t="inlineStr">
        <is>
          <t>Sustainable Development Goals — Cannes Lions 2025</t>
        </is>
      </c>
    </row>
    <row r="138">
      <c r="A138" s="107" t="inlineStr">
        <is>
          <t>Tier</t>
        </is>
      </c>
      <c r="B138" s="107" t="inlineStr">
        <is>
          <t>Count</t>
        </is>
      </c>
    </row>
    <row r="139">
      <c r="A139" s="33" t="inlineStr">
        <is>
          <t>Grand Prix</t>
        </is>
      </c>
      <c r="B139" s="33">
        <f>COUNTIF('Sustainable Development Goals'!B:B,"Grand Prix")</f>
        <v/>
      </c>
    </row>
    <row r="140">
      <c r="A140" s="33" t="inlineStr">
        <is>
          <t>Gold</t>
        </is>
      </c>
      <c r="B140" s="33">
        <f>COUNTIF('Sustainable Development Goals'!B:B,"Gold")</f>
        <v/>
      </c>
    </row>
    <row r="141">
      <c r="A141" s="33" t="inlineStr">
        <is>
          <t>Silver</t>
        </is>
      </c>
      <c r="B141" s="33">
        <f>COUNTIF('Sustainable Development Goals'!B:B,"Silver")</f>
        <v/>
      </c>
    </row>
    <row r="142">
      <c r="A142" s="33" t="inlineStr">
        <is>
          <t>Bronze</t>
        </is>
      </c>
      <c r="B142" s="33">
        <f>COUNTIF('Sustainable Development Goals'!B:B,"Bronze")</f>
        <v/>
      </c>
    </row>
    <row r="143">
      <c r="A143" s="107" t="inlineStr">
        <is>
          <t>Total</t>
        </is>
      </c>
      <c r="B143" s="107">
        <f>SUM(B139:B142)</f>
        <v/>
      </c>
    </row>
    <row r="145">
      <c r="A145" s="107" t="inlineStr">
        <is>
          <t>Entertainment Lions for Music — Cannes Lions 2025</t>
        </is>
      </c>
    </row>
    <row r="147">
      <c r="A147" s="107" t="inlineStr">
        <is>
          <t>Tier</t>
        </is>
      </c>
      <c r="B147" s="107" t="inlineStr">
        <is>
          <t>Count</t>
        </is>
      </c>
    </row>
    <row r="148">
      <c r="A148" s="33" t="inlineStr">
        <is>
          <t>Grand Prix</t>
        </is>
      </c>
      <c r="B148" s="33">
        <f>COUNTIF('Entertainment Lions for Music'!B:B,"Grand Prix")</f>
        <v/>
      </c>
    </row>
    <row r="149">
      <c r="A149" s="33" t="inlineStr">
        <is>
          <t>Gold</t>
        </is>
      </c>
      <c r="B149" s="33">
        <f>COUNTIF('Entertainment Lions for Music'!B:B,"Gold")</f>
        <v/>
      </c>
    </row>
    <row r="150">
      <c r="A150" s="33" t="inlineStr">
        <is>
          <t>Silver</t>
        </is>
      </c>
      <c r="B150" s="33">
        <f>COUNTIF('Entertainment Lions for Music'!B:B,"Silver")</f>
        <v/>
      </c>
    </row>
    <row r="151">
      <c r="A151" s="33" t="inlineStr">
        <is>
          <t>Bronze</t>
        </is>
      </c>
      <c r="B151" s="33">
        <f>COUNTIF('Entertainment Lions for Music'!B:B,"Bronze")</f>
        <v/>
      </c>
    </row>
    <row r="152">
      <c r="A152" s="107" t="inlineStr">
        <is>
          <t>Total</t>
        </is>
      </c>
      <c r="B152" s="107">
        <f>SUM(B148:B151)</f>
        <v/>
      </c>
    </row>
    <row r="154">
      <c r="A154" s="107" t="inlineStr">
        <is>
          <t>Creative Effectiveness — Cannes Lions 2025</t>
        </is>
      </c>
    </row>
    <row r="156">
      <c r="A156" s="107" t="inlineStr">
        <is>
          <t>Tier</t>
        </is>
      </c>
      <c r="B156" s="107" t="inlineStr">
        <is>
          <t>Count</t>
        </is>
      </c>
    </row>
    <row r="157">
      <c r="A157" s="33" t="inlineStr">
        <is>
          <t>Grand Prix</t>
        </is>
      </c>
      <c r="B157" s="33">
        <f>COUNTIF('Creative Effectiveness'!B:B,"Grand Prix")</f>
        <v/>
      </c>
    </row>
    <row r="158">
      <c r="A158" s="33" t="inlineStr">
        <is>
          <t>Gold</t>
        </is>
      </c>
      <c r="B158" s="33">
        <f>COUNTIF('Creative Effectiveness'!B:B,"Gold")</f>
        <v/>
      </c>
    </row>
    <row r="159">
      <c r="A159" s="33" t="inlineStr">
        <is>
          <t>Silver</t>
        </is>
      </c>
      <c r="B159" s="33">
        <f>COUNTIF('Creative Effectiveness'!B:B,"Silver")</f>
        <v/>
      </c>
    </row>
    <row r="160">
      <c r="A160" s="33" t="inlineStr">
        <is>
          <t>Bronze</t>
        </is>
      </c>
      <c r="B160" s="33">
        <f>COUNTIF('Creative Effectiveness'!B:B,"Bronze")</f>
        <v/>
      </c>
    </row>
    <row r="161">
      <c r="A161" s="107" t="inlineStr">
        <is>
          <t>Total</t>
        </is>
      </c>
      <c r="B161" s="107">
        <f>SUM(B157:B160)</f>
        <v/>
      </c>
    </row>
    <row r="163">
      <c r="A163" s="107" t="inlineStr">
        <is>
          <t>Creative Data — Cannes Lions 2025</t>
        </is>
      </c>
    </row>
    <row r="165">
      <c r="A165" s="107" t="inlineStr">
        <is>
          <t>Tier</t>
        </is>
      </c>
      <c r="B165" s="107" t="inlineStr">
        <is>
          <t>Count</t>
        </is>
      </c>
    </row>
    <row r="166">
      <c r="A166" s="33" t="inlineStr">
        <is>
          <t>Grand Prix</t>
        </is>
      </c>
      <c r="B166" s="33">
        <f>COUNTIF('Creative Data'!B:B,"Grand Prix")</f>
        <v/>
      </c>
    </row>
    <row r="167">
      <c r="A167" s="33" t="inlineStr">
        <is>
          <t>Gold</t>
        </is>
      </c>
      <c r="B167" s="33">
        <f>COUNTIF('Creative Data'!B:B,"Gold")</f>
        <v/>
      </c>
    </row>
    <row r="168">
      <c r="A168" s="33" t="inlineStr">
        <is>
          <t>Silver</t>
        </is>
      </c>
      <c r="B168" s="33">
        <f>COUNTIF('Creative Data'!B:B,"Silver")</f>
        <v/>
      </c>
    </row>
    <row r="169">
      <c r="A169" s="33" t="inlineStr">
        <is>
          <t>Bronze</t>
        </is>
      </c>
      <c r="B169" s="33">
        <f>COUNTIF('Creative Data'!B:B,"Bronze")</f>
        <v/>
      </c>
    </row>
    <row r="170">
      <c r="A170" s="107" t="inlineStr">
        <is>
          <t>Total</t>
        </is>
      </c>
      <c r="B170" s="107">
        <f>SUM(B166:B169)</f>
        <v/>
      </c>
    </row>
    <row r="172">
      <c r="A172" s="107" t="inlineStr">
        <is>
          <t>Creative Commerce — Cannes Lions 2025</t>
        </is>
      </c>
    </row>
    <row r="174">
      <c r="A174" s="107" t="inlineStr">
        <is>
          <t>Tier</t>
        </is>
      </c>
      <c r="B174" s="107" t="inlineStr">
        <is>
          <t>Count</t>
        </is>
      </c>
    </row>
    <row r="175">
      <c r="A175" s="33" t="inlineStr">
        <is>
          <t>Grand Prix</t>
        </is>
      </c>
      <c r="B175" s="33">
        <f>COUNTIF('Creative Commerce'!B:B,"Grand Prix")</f>
        <v/>
      </c>
    </row>
    <row r="176">
      <c r="A176" s="33" t="inlineStr">
        <is>
          <t>Gold</t>
        </is>
      </c>
      <c r="B176" s="33">
        <f>COUNTIF('Creative Commerce'!B:B,"Gold")</f>
        <v/>
      </c>
    </row>
    <row r="177">
      <c r="A177" s="33" t="inlineStr">
        <is>
          <t>Silver</t>
        </is>
      </c>
      <c r="B177" s="33">
        <f>COUNTIF('Creative Commerce'!B:B,"Silver")</f>
        <v/>
      </c>
    </row>
    <row r="178">
      <c r="A178" s="33" t="inlineStr">
        <is>
          <t>Bronze</t>
        </is>
      </c>
      <c r="B178" s="33">
        <f>COUNTIF('Creative Commerce'!B:B,"Bronze")</f>
        <v/>
      </c>
    </row>
    <row r="179">
      <c r="A179" s="107" t="inlineStr">
        <is>
          <t>Total</t>
        </is>
      </c>
      <c r="B179" s="107">
        <f>SUM(B175:B178)</f>
        <v/>
      </c>
    </row>
    <row r="181">
      <c r="A181" s="107" t="inlineStr">
        <is>
          <t>Entertainment — Cannes Lions 2025</t>
        </is>
      </c>
    </row>
    <row r="183">
      <c r="A183" s="107" t="inlineStr">
        <is>
          <t>Tier</t>
        </is>
      </c>
      <c r="B183" s="107" t="inlineStr">
        <is>
          <t>Count</t>
        </is>
      </c>
    </row>
    <row r="184">
      <c r="A184" s="33" t="inlineStr">
        <is>
          <t>Grand Prix</t>
        </is>
      </c>
      <c r="B184" s="33">
        <f>COUNTIF('Entertainment'!B:B,"Grand Prix")</f>
        <v/>
      </c>
    </row>
    <row r="185">
      <c r="A185" s="33" t="inlineStr">
        <is>
          <t>Gold</t>
        </is>
      </c>
      <c r="B185" s="33">
        <f>COUNTIF('Entertainment'!B:B,"Gold")</f>
        <v/>
      </c>
    </row>
    <row r="186">
      <c r="A186" s="33" t="inlineStr">
        <is>
          <t>Silver</t>
        </is>
      </c>
      <c r="B186" s="33">
        <f>COUNTIF('Entertainment'!B:B,"Silver")</f>
        <v/>
      </c>
    </row>
    <row r="187">
      <c r="A187" s="33" t="inlineStr">
        <is>
          <t>Bronze</t>
        </is>
      </c>
      <c r="B187" s="33">
        <f>COUNTIF('Entertainment'!B:B,"Bronze")</f>
        <v/>
      </c>
    </row>
    <row r="188">
      <c r="A188" s="107" t="inlineStr">
        <is>
          <t>Total</t>
        </is>
      </c>
      <c r="B188" s="107">
        <f>SUM(B184:B187)</f>
        <v/>
      </c>
    </row>
    <row r="190">
      <c r="A190" s="107" t="inlineStr">
        <is>
          <t>Entertainment Lions for Sport — Cannes Lions 2025</t>
        </is>
      </c>
    </row>
    <row r="192">
      <c r="A192" s="107" t="inlineStr">
        <is>
          <t>Tier</t>
        </is>
      </c>
      <c r="B192" s="107" t="inlineStr">
        <is>
          <t>Count</t>
        </is>
      </c>
    </row>
    <row r="193">
      <c r="A193" s="33" t="inlineStr">
        <is>
          <t>Grand Prix</t>
        </is>
      </c>
      <c r="B193" s="33">
        <f>COUNTIF('Entertainment Lions for Sport'!B:B,"Grand Prix")</f>
        <v/>
      </c>
    </row>
    <row r="194">
      <c r="A194" s="33" t="inlineStr">
        <is>
          <t>Gold</t>
        </is>
      </c>
      <c r="B194" s="33">
        <f>COUNTIF('Entertainment Lions for Sport'!B:B,"Gold")</f>
        <v/>
      </c>
    </row>
    <row r="195">
      <c r="A195" s="33" t="inlineStr">
        <is>
          <t>Silver</t>
        </is>
      </c>
      <c r="B195" s="33">
        <f>COUNTIF('Entertainment Lions for Sport'!B:B,"Silver")</f>
        <v/>
      </c>
    </row>
    <row r="196">
      <c r="A196" s="33" t="inlineStr">
        <is>
          <t>Bronze</t>
        </is>
      </c>
      <c r="B196" s="33">
        <f>COUNTIF('Entertainment Lions for Sport'!B:B,"Bronze")</f>
        <v/>
      </c>
    </row>
    <row r="197">
      <c r="A197" s="107" t="inlineStr">
        <is>
          <t>Total</t>
        </is>
      </c>
      <c r="B197" s="107">
        <f>SUM(B193:B196)</f>
        <v/>
      </c>
    </row>
    <row r="199">
      <c r="A199" s="107" t="inlineStr">
        <is>
          <t>Creative Strategy — Cannes Lions 2025</t>
        </is>
      </c>
    </row>
    <row r="201">
      <c r="A201" s="107" t="inlineStr">
        <is>
          <t>Tier</t>
        </is>
      </c>
      <c r="B201" s="107" t="inlineStr">
        <is>
          <t>Count</t>
        </is>
      </c>
    </row>
    <row r="202">
      <c r="A202" s="33" t="inlineStr">
        <is>
          <t>Grand Prix</t>
        </is>
      </c>
      <c r="B202" s="33">
        <f>COUNTIF('Creative Strategy'!B:B,"Grand Prix")</f>
        <v/>
      </c>
    </row>
    <row r="203">
      <c r="A203" s="33" t="inlineStr">
        <is>
          <t>Gold</t>
        </is>
      </c>
      <c r="B203" s="33">
        <f>COUNTIF('Creative Strategy'!B:B,"Gold")</f>
        <v/>
      </c>
    </row>
    <row r="204">
      <c r="A204" s="33" t="inlineStr">
        <is>
          <t>Silver</t>
        </is>
      </c>
      <c r="B204" s="33">
        <f>COUNTIF('Creative Strategy'!B:B,"Silver")</f>
        <v/>
      </c>
    </row>
    <row r="205">
      <c r="A205" s="33" t="inlineStr">
        <is>
          <t>Bronze</t>
        </is>
      </c>
      <c r="B205" s="33">
        <f>COUNTIF('Creative Strategy'!B:B,"Bronze")</f>
        <v/>
      </c>
    </row>
    <row r="206">
      <c r="A206" s="107" t="inlineStr">
        <is>
          <t>Total</t>
        </is>
      </c>
      <c r="B206" s="107">
        <f>SUM(B202:B205)</f>
        <v/>
      </c>
    </row>
    <row r="208">
      <c r="A208" s="107" t="inlineStr">
        <is>
          <t>Industry Craft — Cannes Lions 2025</t>
        </is>
      </c>
    </row>
    <row r="210">
      <c r="A210" s="107" t="inlineStr">
        <is>
          <t>Tier</t>
        </is>
      </c>
      <c r="B210" s="107" t="inlineStr">
        <is>
          <t>Count</t>
        </is>
      </c>
    </row>
    <row r="211">
      <c r="A211" s="33" t="inlineStr">
        <is>
          <t>Grand Prix</t>
        </is>
      </c>
      <c r="B211" s="33">
        <f>COUNTIF('Industry Craft'!B:B,"Grand Prix")</f>
        <v/>
      </c>
    </row>
    <row r="212">
      <c r="A212" s="33" t="inlineStr">
        <is>
          <t>Gold</t>
        </is>
      </c>
      <c r="B212" s="33">
        <f>COUNTIF('Industry Craft'!B:B,"Gold")</f>
        <v/>
      </c>
    </row>
    <row r="213">
      <c r="A213" s="33" t="inlineStr">
        <is>
          <t>Silver</t>
        </is>
      </c>
      <c r="B213" s="33">
        <f>COUNTIF('Industry Craft'!B:B,"Silver")</f>
        <v/>
      </c>
    </row>
    <row r="214">
      <c r="A214" s="33" t="inlineStr">
        <is>
          <t>Bronze</t>
        </is>
      </c>
      <c r="B214" s="33">
        <f>COUNTIF('Industry Craft'!B:B,"Bronze")</f>
        <v/>
      </c>
    </row>
    <row r="215">
      <c r="A215" s="107" t="inlineStr">
        <is>
          <t>Total</t>
        </is>
      </c>
      <c r="B215" s="107">
        <f>SUM(B211:B214)</f>
        <v/>
      </c>
    </row>
    <row r="217">
      <c r="A217" s="107" t="inlineStr">
        <is>
          <t>Health &amp; Wellness — Cannes Lions 2025</t>
        </is>
      </c>
    </row>
    <row r="219">
      <c r="A219" s="107" t="inlineStr">
        <is>
          <t>Tier</t>
        </is>
      </c>
      <c r="B219" s="107" t="inlineStr">
        <is>
          <t>Count</t>
        </is>
      </c>
    </row>
    <row r="220">
      <c r="A220" s="33" t="inlineStr">
        <is>
          <t>Grand Prix</t>
        </is>
      </c>
      <c r="B220" s="33">
        <f>COUNTIF('Health &amp; Wellness'!B:B,"Grand Prix")</f>
        <v/>
      </c>
    </row>
    <row r="221">
      <c r="A221" s="33" t="inlineStr">
        <is>
          <t>Gold</t>
        </is>
      </c>
      <c r="B221" s="33">
        <f>COUNTIF('Health &amp; Wellness'!B:B,"Gold")</f>
        <v/>
      </c>
    </row>
    <row r="222">
      <c r="A222" s="33" t="inlineStr">
        <is>
          <t>Silver</t>
        </is>
      </c>
      <c r="B222" s="33">
        <f>COUNTIF('Health &amp; Wellness'!B:B,"Silver")</f>
        <v/>
      </c>
    </row>
    <row r="223">
      <c r="A223" s="33" t="inlineStr">
        <is>
          <t>Bronze</t>
        </is>
      </c>
      <c r="B223" s="33">
        <f>COUNTIF('Health &amp; Wellness'!B:B,"Bronze")</f>
        <v/>
      </c>
    </row>
    <row r="224">
      <c r="A224" s="107" t="inlineStr">
        <is>
          <t>Total</t>
        </is>
      </c>
      <c r="B224" s="107">
        <f>SUM(B220:B223)</f>
        <v/>
      </c>
    </row>
    <row r="226">
      <c r="A226" s="107" t="inlineStr">
        <is>
          <t>PR — Cannes Lions 2025</t>
        </is>
      </c>
    </row>
    <row r="228">
      <c r="A228" s="107" t="inlineStr">
        <is>
          <t>Tier</t>
        </is>
      </c>
      <c r="B228" s="107" t="inlineStr">
        <is>
          <t>Count</t>
        </is>
      </c>
    </row>
    <row r="229">
      <c r="A229" s="33" t="inlineStr">
        <is>
          <t>Grand Prix</t>
        </is>
      </c>
      <c r="B229" s="33">
        <f>COUNTIF('PR'!B:B,"Grand Prix")</f>
        <v/>
      </c>
    </row>
    <row r="230">
      <c r="A230" s="33" t="inlineStr">
        <is>
          <t>Gold</t>
        </is>
      </c>
      <c r="B230" s="33">
        <f>COUNTIF('PR'!B:B,"Gold")</f>
        <v/>
      </c>
    </row>
    <row r="231">
      <c r="A231" s="33" t="inlineStr">
        <is>
          <t>Silver</t>
        </is>
      </c>
      <c r="B231" s="33">
        <f>COUNTIF('PR'!B:B,"Silver")</f>
        <v/>
      </c>
    </row>
    <row r="232">
      <c r="A232" s="33" t="inlineStr">
        <is>
          <t>Bronze</t>
        </is>
      </c>
      <c r="B232" s="33">
        <f>COUNTIF('PR'!B:B,"Bronze")</f>
        <v/>
      </c>
    </row>
    <row r="233">
      <c r="A233" s="107" t="inlineStr">
        <is>
          <t>Total</t>
        </is>
      </c>
      <c r="B233" s="107">
        <f>SUM(B229:B232)</f>
        <v/>
      </c>
    </row>
    <row r="235">
      <c r="A235" s="107" t="inlineStr">
        <is>
          <t>Print &amp; Publishing — Cannes Lions 2025</t>
        </is>
      </c>
    </row>
    <row r="237">
      <c r="A237" s="107" t="inlineStr">
        <is>
          <t>Tier</t>
        </is>
      </c>
      <c r="B237" s="107" t="inlineStr">
        <is>
          <t>Count</t>
        </is>
      </c>
    </row>
    <row r="238">
      <c r="A238" s="33" t="inlineStr">
        <is>
          <t>Grand Prix</t>
        </is>
      </c>
      <c r="B238" s="33">
        <f>COUNTIF('Print &amp; Publishing'!B:B,"Grand Prix")</f>
        <v/>
      </c>
    </row>
    <row r="239">
      <c r="A239" s="33" t="inlineStr">
        <is>
          <t>Gold</t>
        </is>
      </c>
      <c r="B239" s="33">
        <f>COUNTIF('Print &amp; Publishing'!B:B,"Gold")</f>
        <v/>
      </c>
    </row>
    <row r="240">
      <c r="A240" s="33" t="inlineStr">
        <is>
          <t>Silver</t>
        </is>
      </c>
      <c r="B240" s="33">
        <f>COUNTIF('Print &amp; Publishing'!B:B,"Silver")</f>
        <v/>
      </c>
    </row>
    <row r="241">
      <c r="A241" s="33" t="inlineStr">
        <is>
          <t>Bronze</t>
        </is>
      </c>
      <c r="B241" s="33">
        <f>COUNTIF('Print &amp; Publishing'!B:B,"Bronze")</f>
        <v/>
      </c>
    </row>
    <row r="242">
      <c r="A242" s="107" t="inlineStr">
        <is>
          <t>Total</t>
        </is>
      </c>
      <c r="B242" s="107">
        <f>SUM(B238:B241)</f>
        <v/>
      </c>
    </row>
    <row r="244">
      <c r="A244" s="107" t="inlineStr">
        <is>
          <t>Social &amp; Creator — Cannes Lions 2025</t>
        </is>
      </c>
    </row>
    <row r="246">
      <c r="A246" s="107" t="inlineStr">
        <is>
          <t>Tier</t>
        </is>
      </c>
      <c r="B246" s="107" t="inlineStr">
        <is>
          <t>Count</t>
        </is>
      </c>
    </row>
    <row r="247">
      <c r="A247" s="33" t="inlineStr">
        <is>
          <t>Grand Prix</t>
        </is>
      </c>
      <c r="B247" s="33">
        <f>COUNTIF('Social &amp; Creator'!B:B,"Grand Prix")</f>
        <v/>
      </c>
    </row>
    <row r="248">
      <c r="A248" s="33" t="inlineStr">
        <is>
          <t>Gold</t>
        </is>
      </c>
      <c r="B248" s="33">
        <f>COUNTIF('Social &amp; Creator'!B:B,"Gold")</f>
        <v/>
      </c>
    </row>
    <row r="249">
      <c r="A249" s="33" t="inlineStr">
        <is>
          <t>Silver</t>
        </is>
      </c>
      <c r="B249" s="33">
        <f>COUNTIF('Social &amp; Creator'!B:B,"Silver")</f>
        <v/>
      </c>
    </row>
    <row r="250">
      <c r="A250" s="33" t="inlineStr">
        <is>
          <t>Bronze</t>
        </is>
      </c>
      <c r="B250" s="33">
        <f>COUNTIF('Social &amp; Creator'!B:B,"Bronze")</f>
        <v/>
      </c>
    </row>
    <row r="251">
      <c r="A251" s="107" t="inlineStr">
        <is>
          <t>Total</t>
        </is>
      </c>
      <c r="B251" s="107">
        <f>SUM(B247:B250)</f>
        <v/>
      </c>
    </row>
    <row r="253">
      <c r="A253" s="107" t="inlineStr">
        <is>
          <t>Direct — Cannes Lions 2025</t>
        </is>
      </c>
    </row>
    <row r="255">
      <c r="A255" s="107" t="inlineStr">
        <is>
          <t>Tier</t>
        </is>
      </c>
      <c r="B255" s="107" t="inlineStr">
        <is>
          <t>Count</t>
        </is>
      </c>
    </row>
    <row r="256">
      <c r="A256" s="33" t="inlineStr">
        <is>
          <t>Grand Prix</t>
        </is>
      </c>
      <c r="B256" s="33">
        <f>COUNTIF('Direct'!B:B,"Grand Prix")</f>
        <v/>
      </c>
    </row>
    <row r="257">
      <c r="A257" s="33" t="inlineStr">
        <is>
          <t>Gold</t>
        </is>
      </c>
      <c r="B257" s="33">
        <f>COUNTIF('Direct'!B:B,"Gold")</f>
        <v/>
      </c>
    </row>
    <row r="258">
      <c r="A258" s="33" t="inlineStr">
        <is>
          <t>Silver</t>
        </is>
      </c>
      <c r="B258" s="33">
        <f>COUNTIF('Direct'!B:B,"Silver")</f>
        <v/>
      </c>
    </row>
    <row r="259">
      <c r="A259" s="33" t="inlineStr">
        <is>
          <t>Bronze</t>
        </is>
      </c>
      <c r="B259" s="33">
        <f>COUNTIF('Direct'!B:B,"Bronze")</f>
        <v/>
      </c>
    </row>
    <row r="260">
      <c r="A260" s="107" t="inlineStr">
        <is>
          <t>Total</t>
        </is>
      </c>
      <c r="B260" s="107">
        <f>SUM(B256:B259)</f>
        <v/>
      </c>
    </row>
    <row r="262">
      <c r="A262" s="107" t="inlineStr">
        <is>
          <t>Titanium — Cannes Lions 2025</t>
        </is>
      </c>
    </row>
    <row r="264">
      <c r="A264" s="107" t="inlineStr">
        <is>
          <t>Tier</t>
        </is>
      </c>
      <c r="B264" s="107" t="inlineStr">
        <is>
          <t>Count</t>
        </is>
      </c>
    </row>
    <row r="265">
      <c r="A265" s="33" t="inlineStr">
        <is>
          <t>Titanium Grand Prix</t>
        </is>
      </c>
      <c r="B265" s="33">
        <f>COUNTIF('Titanium'!B:B,"Titanium Grand Prix")</f>
        <v/>
      </c>
    </row>
    <row r="266">
      <c r="A266" s="33" t="inlineStr">
        <is>
          <t>Titanium</t>
        </is>
      </c>
      <c r="B266" s="33">
        <f>COUNTIF('Titanium'!B:B,"Titanium")</f>
        <v/>
      </c>
    </row>
    <row r="267">
      <c r="A267" s="107" t="inlineStr">
        <is>
          <t>Total</t>
        </is>
      </c>
      <c r="B267" s="107">
        <f>SUM(B265:B266)</f>
        <v/>
      </c>
    </row>
    <row r="269">
      <c r="A269" s="107" t="inlineStr">
        <is>
          <t>Digital Craft — Cannes Lions 2025</t>
        </is>
      </c>
    </row>
    <row r="271">
      <c r="A271" s="107" t="inlineStr">
        <is>
          <t>Tier</t>
        </is>
      </c>
      <c r="B271" s="107" t="inlineStr">
        <is>
          <t>Count</t>
        </is>
      </c>
    </row>
    <row r="272">
      <c r="A272" s="33" t="inlineStr">
        <is>
          <t>Grand Prix</t>
        </is>
      </c>
      <c r="B272" s="33">
        <f>COUNTIF('Digital Craft'!B:B,"Grand Prix")</f>
        <v/>
      </c>
    </row>
    <row r="273">
      <c r="A273" s="33" t="inlineStr">
        <is>
          <t>Gold</t>
        </is>
      </c>
      <c r="B273" s="33">
        <f>COUNTIF('Digital Craft'!B:B,"Gold")</f>
        <v/>
      </c>
    </row>
    <row r="274">
      <c r="A274" s="33" t="inlineStr">
        <is>
          <t>Silver</t>
        </is>
      </c>
      <c r="B274" s="33">
        <f>COUNTIF('Digital Craft'!B:B,"Silver")</f>
        <v/>
      </c>
    </row>
    <row r="275">
      <c r="A275" s="33" t="inlineStr">
        <is>
          <t>Bronze</t>
        </is>
      </c>
      <c r="B275" s="33">
        <f>COUNTIF('Digital Craft'!B:B,"Bronze")</f>
        <v/>
      </c>
    </row>
    <row r="276">
      <c r="A276" s="107" t="inlineStr">
        <is>
          <t>Total</t>
        </is>
      </c>
      <c r="B276" s="107">
        <f>SUM(B272:B275)</f>
        <v/>
      </c>
    </row>
    <row r="278">
      <c r="A278" s="107" t="inlineStr">
        <is>
          <t>Health Grand Prix for Good — Cannes Lions 2025</t>
        </is>
      </c>
    </row>
    <row r="280">
      <c r="A280" s="107" t="inlineStr">
        <is>
          <t>Tier</t>
        </is>
      </c>
      <c r="B280" s="107" t="inlineStr">
        <is>
          <t>Count</t>
        </is>
      </c>
    </row>
    <row r="281">
      <c r="A281" s="33" t="inlineStr">
        <is>
          <t>Grand Prix</t>
        </is>
      </c>
      <c r="B281" s="33">
        <f>COUNTIF('Health Grand Prix for Good'!B:B,"Grand Prix")</f>
        <v/>
      </c>
    </row>
    <row r="282">
      <c r="A282" s="33" t="inlineStr">
        <is>
          <t>Gold</t>
        </is>
      </c>
      <c r="B282" s="33">
        <f>COUNTIF('Health Grand Prix for Good'!B:B,"Gold")</f>
        <v/>
      </c>
    </row>
    <row r="283">
      <c r="A283" s="33" t="inlineStr">
        <is>
          <t>Silver</t>
        </is>
      </c>
      <c r="B283" s="33">
        <f>COUNTIF('Health Grand Prix for Good'!B:B,"Silver")</f>
        <v/>
      </c>
    </row>
    <row r="284">
      <c r="A284" s="33" t="inlineStr">
        <is>
          <t>Bronze</t>
        </is>
      </c>
      <c r="B284" s="33">
        <f>COUNTIF('Health Grand Prix for Good'!B:B,"Bronze")</f>
        <v/>
      </c>
    </row>
    <row r="285">
      <c r="A285" s="107" t="inlineStr">
        <is>
          <t>Total</t>
        </is>
      </c>
      <c r="B285" s="107">
        <f>SUM(B281:B284)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THE BEST PLACE IN THE WORLD TO HAVE HERPES</t>
        </is>
      </c>
      <c r="D2" s="33" t="inlineStr">
        <is>
          <t>NEW ZEALAND HERPES FOUNDATION</t>
        </is>
      </c>
      <c r="E2" s="33" t="inlineStr">
        <is>
          <t>NEW ZEALAND HERPES FOUNDATION</t>
        </is>
      </c>
      <c r="F2" s="33" t="inlineStr">
        <is>
          <t>FINCH</t>
        </is>
      </c>
      <c r="G2" s="33" t="inlineStr">
        <is>
          <t>Australia</t>
        </is>
      </c>
      <c r="H2" s="33" t="inlineStr">
        <is>
          <t>Grand Prix for Good</t>
        </is>
      </c>
      <c r="I2" s="33" t="inlineStr">
        <is>
          <t>digital-presentation-images/grand-prix-for-good-new-zealand-herpes-foundation-the-best-place-in-the-world-to-have-herpes.webp</t>
        </is>
      </c>
      <c r="J2" s="33" t="inlineStr">
        <is>
          <t>vimeo:1083074994</t>
        </is>
      </c>
      <c r="L2" s="33" t="inlineStr">
        <is>
          <t>https://www.lovethework.com/work/entries/the-best-place-in-the-world-to-have-herpes-767497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REAL BEAUTY: HOW A SOAP BRAND CREATED A GLOBAL SELF-ESTEEM MOVEMENT</t>
        </is>
      </c>
      <c r="D2" s="33" t="inlineStr">
        <is>
          <t>DOVE</t>
        </is>
      </c>
      <c r="E2" s="33" t="inlineStr">
        <is>
          <t>DOVE</t>
        </is>
      </c>
      <c r="F2" s="33" t="inlineStr">
        <is>
          <t>OGILVY UK</t>
        </is>
      </c>
      <c r="G2" s="33" t="inlineStr">
        <is>
          <t>United Kingdom</t>
        </is>
      </c>
      <c r="H2" s="33" t="inlineStr">
        <is>
          <t>Long-Term Brand Platform</t>
        </is>
      </c>
      <c r="I2" s="33" t="inlineStr">
        <is>
          <t>https://ascentialcdn.filespin.io/api/v1/conversion/f68a5a2f3d844f2b9e241462ec640c44</t>
        </is>
      </c>
      <c r="J2" s="33" t="inlineStr">
        <is>
          <t>puQ0PNZ1W-A</t>
        </is>
      </c>
      <c r="L2" s="33" t="inlineStr">
        <is>
          <t>https://www.lovethework.com/work/entries/real-beauty-how-a-soap-brand-created-a-global-self-esteem-movement-754479</t>
        </is>
      </c>
    </row>
    <row r="3">
      <c r="A3" s="33" t="n">
        <v>2</v>
      </c>
      <c r="B3" s="33" t="inlineStr">
        <is>
          <t>Gold</t>
        </is>
      </c>
      <c r="C3" s="33" t="inlineStr">
        <is>
          <t>HERALBONY</t>
        </is>
      </c>
      <c r="D3" s="33" t="inlineStr">
        <is>
          <t>HERALBONY, HERALBONY CO.</t>
        </is>
      </c>
      <c r="E3" s="33" t="inlineStr">
        <is>
          <t>HERALBONY</t>
        </is>
      </c>
      <c r="F3" s="33" t="inlineStr">
        <is>
          <t>LTD.</t>
        </is>
      </c>
      <c r="G3" s="33" t="inlineStr">
        <is>
          <t>Japan</t>
        </is>
      </c>
      <c r="H3" s="33" t="inlineStr">
        <is>
          <t>Product/Service</t>
        </is>
      </c>
      <c r="I3" s="33" t="inlineStr">
        <is>
          <t>https://ascentialcdn.filespin.io/api/v1/conversion/88e24a7cf24b40a590af455059ceeaf9</t>
        </is>
      </c>
      <c r="J3" s="33" t="inlineStr">
        <is>
          <t>vimeo:1093399082</t>
        </is>
      </c>
      <c r="L3" s="33" t="inlineStr">
        <is>
          <t>https://www.lovethework.com/work/entries/heralbony-754170</t>
        </is>
      </c>
    </row>
    <row r="4">
      <c r="A4" s="33" t="n">
        <v>3</v>
      </c>
      <c r="B4" s="33" t="inlineStr">
        <is>
          <t>Silver</t>
        </is>
      </c>
      <c r="C4" s="33" t="inlineStr">
        <is>
          <t>THE PEN TO RIGHT HISTORY</t>
        </is>
      </c>
      <c r="D4" s="33" t="inlineStr">
        <is>
          <t>LAST PRISONER PROJECT</t>
        </is>
      </c>
      <c r="E4" s="33" t="inlineStr">
        <is>
          <t>NON-FOR-PROFIT</t>
        </is>
      </c>
      <c r="F4" s="33" t="inlineStr">
        <is>
          <t>McCANN</t>
        </is>
      </c>
      <c r="G4" s="33" t="inlineStr">
        <is>
          <t>United States</t>
        </is>
      </c>
      <c r="H4" s="33" t="inlineStr">
        <is>
          <t>Initiatives</t>
        </is>
      </c>
      <c r="I4" s="33" t="inlineStr">
        <is>
          <t>https://ascentialcdn.filespin.io/api/v1/conversion/5c13816c86fa4023933a56ac6d5c3593</t>
        </is>
      </c>
      <c r="J4" s="33" t="inlineStr">
        <is>
          <t>SDME83-pHnQ</t>
        </is>
      </c>
      <c r="L4" s="33" t="inlineStr">
        <is>
          <t>https://www.lovethework.com/work/entries/the-pen-to-right-history-762088</t>
        </is>
      </c>
    </row>
    <row r="5">
      <c r="A5" s="33" t="n">
        <v>4</v>
      </c>
      <c r="B5" s="33" t="inlineStr">
        <is>
          <t>Silver</t>
        </is>
      </c>
      <c r="C5" s="33" t="inlineStr">
        <is>
          <t>AXA - THREE WORDS</t>
        </is>
      </c>
      <c r="D5" s="33" t="inlineStr">
        <is>
          <t>AXA</t>
        </is>
      </c>
      <c r="E5" s="33" t="inlineStr">
        <is>
          <t>INSURANCE</t>
        </is>
      </c>
      <c r="F5" s="33" t="inlineStr">
        <is>
          <t>PUBLICIS CONSEIL</t>
        </is>
      </c>
      <c r="G5" s="33" t="inlineStr">
        <is>
          <t>France</t>
        </is>
      </c>
      <c r="H5" s="33" t="inlineStr">
        <is>
          <t>Product/Service</t>
        </is>
      </c>
      <c r="I5" s="33" t="inlineStr">
        <is>
          <t>https://ascentialcdn.filespin.io/api/v1/conversion/e1a85ff134e545c7b049791151432028</t>
        </is>
      </c>
      <c r="J5" s="33" t="inlineStr">
        <is>
          <t>pY-03zuV7mE</t>
        </is>
      </c>
      <c r="L5" s="33" t="inlineStr">
        <is>
          <t>https://www.lovethework.com/work/entries/axa-three-words-754295</t>
        </is>
      </c>
    </row>
    <row r="6">
      <c r="A6" s="33" t="n">
        <v>5</v>
      </c>
      <c r="B6" s="33" t="inlineStr">
        <is>
          <t>Bronze</t>
        </is>
      </c>
      <c r="C6" s="33" t="inlineStr">
        <is>
          <t>DOVE LOVE YOUR HAIR</t>
        </is>
      </c>
      <c r="D6" s="33" t="inlineStr">
        <is>
          <t>UNILEVER</t>
        </is>
      </c>
      <c r="E6" s="33" t="inlineStr">
        <is>
          <t>DOVE HAIR CARE</t>
        </is>
      </c>
      <c r="F6" s="33" t="inlineStr">
        <is>
          <t>EDELMAN</t>
        </is>
      </c>
      <c r="G6" s="33" t="inlineStr">
        <is>
          <t>United States</t>
        </is>
      </c>
      <c r="H6" s="33" t="inlineStr">
        <is>
          <t>Long-Term Brand Platform</t>
        </is>
      </c>
      <c r="I6" s="33" t="inlineStr">
        <is>
          <t>https://ascentialcdn.filespin.io/api/v1/conversion/bb0973df9f0d4e1e83e3c9ef7dc4d714</t>
        </is>
      </c>
      <c r="J6" s="33" t="inlineStr">
        <is>
          <t>vimeo:1093399067</t>
        </is>
      </c>
      <c r="L6" s="33" t="inlineStr">
        <is>
          <t>https://www.lovethework.com/work/entries/dove-love-your-hair-760237</t>
        </is>
      </c>
    </row>
    <row r="7">
      <c r="A7" s="33" t="n">
        <v>6</v>
      </c>
      <c r="B7" s="33" t="inlineStr">
        <is>
          <t>Bronze</t>
        </is>
      </c>
      <c r="C7" s="33" t="inlineStr">
        <is>
          <t>LIVEFEARLESS</t>
        </is>
      </c>
      <c r="D7" s="33" t="inlineStr">
        <is>
          <t>BODYFORM</t>
        </is>
      </c>
      <c r="E7" s="33" t="inlineStr">
        <is>
          <t>BODYFORM</t>
        </is>
      </c>
      <c r="F7" s="33" t="inlineStr">
        <is>
          <t>AMV BBDO</t>
        </is>
      </c>
      <c r="G7" s="33" t="inlineStr">
        <is>
          <t>United Kingdom</t>
        </is>
      </c>
      <c r="H7" s="33" t="inlineStr">
        <is>
          <t>Long-Term Brand Platform</t>
        </is>
      </c>
      <c r="I7" s="33" t="inlineStr">
        <is>
          <t>https://ascentialcdn.filespin.io/api/v1/conversion/fdf9d053919448b2bf6bc7e2604789c5</t>
        </is>
      </c>
      <c r="J7" s="33" t="inlineStr">
        <is>
          <t>vimeo:1093400188</t>
        </is>
      </c>
      <c r="L7" s="33" t="inlineStr">
        <is>
          <t>https://www.lovethework.com/work/entries/livefearless-754488</t>
        </is>
      </c>
    </row>
    <row r="8">
      <c r="A8" s="33" t="n">
        <v>7</v>
      </c>
      <c r="B8" s="33" t="inlineStr">
        <is>
          <t>Bronze</t>
        </is>
      </c>
      <c r="C8" s="33" t="inlineStr">
        <is>
          <t>HER DOME</t>
        </is>
      </c>
      <c r="D8" s="33" t="inlineStr">
        <is>
          <t>GOVERNMENT OF THE STATE OF SAO PAULO</t>
        </is>
      </c>
      <c r="E8" s="33" t="inlineStr">
        <is>
          <t>GOVERNMENT OF THE STATE OF SÃO PAULO - WOMEN'S SAFETY</t>
        </is>
      </c>
      <c r="F8" s="33" t="inlineStr">
        <is>
          <t>DPZ</t>
        </is>
      </c>
      <c r="G8" s="33" t="inlineStr">
        <is>
          <t>Brazil</t>
        </is>
      </c>
      <c r="H8" s="33" t="inlineStr">
        <is>
          <t>Technology</t>
        </is>
      </c>
      <c r="I8" s="33" t="inlineStr">
        <is>
          <t>https://ascentialcdn.filespin.io/api/v1/conversion/785860d791fe410495aecad052809d64</t>
        </is>
      </c>
      <c r="J8" s="33" t="inlineStr">
        <is>
          <t>vimeo:1093399045</t>
        </is>
      </c>
      <c r="L8" s="33" t="inlineStr">
        <is>
          <t>https://www.lovethework.com/work/entries/her-dome-754187</t>
        </is>
      </c>
    </row>
    <row r="9">
      <c r="A9" s="33" t="n">
        <v>8</v>
      </c>
      <c r="B9" s="33" t="inlineStr">
        <is>
          <t>Bronze</t>
        </is>
      </c>
      <c r="C9" s="33" t="inlineStr">
        <is>
          <t>GRAD IN BLACK</t>
        </is>
      </c>
      <c r="D9" s="33" t="inlineStr">
        <is>
          <t>VULT</t>
        </is>
      </c>
      <c r="E9" s="33" t="inlineStr">
        <is>
          <t>HAIR PRODUCT LINE</t>
        </is>
      </c>
      <c r="F9" s="33" t="inlineStr">
        <is>
          <t>GUT</t>
        </is>
      </c>
      <c r="G9" s="33" t="inlineStr">
        <is>
          <t>Brazil</t>
        </is>
      </c>
      <c r="H9" s="33" t="inlineStr">
        <is>
          <t>Product/Service</t>
        </is>
      </c>
      <c r="I9" s="33" t="inlineStr">
        <is>
          <t>https://ascentialcdn.filespin.io/api/v1/conversion/2488030bdfa840c99e3568fe7b1001d2</t>
        </is>
      </c>
      <c r="J9" s="33" t="inlineStr">
        <is>
          <t>vimeo:1033200856</t>
        </is>
      </c>
      <c r="L9" s="33" t="inlineStr">
        <is>
          <t>https://www.lovethework.com/work/entries/grad-in-black-762134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AXA - THREE WORDS</t>
        </is>
      </c>
      <c r="D2" s="33" t="inlineStr">
        <is>
          <t>AXA</t>
        </is>
      </c>
      <c r="E2" s="33" t="inlineStr">
        <is>
          <t>INSURANCE</t>
        </is>
      </c>
      <c r="F2" s="33" t="inlineStr">
        <is>
          <t>PUBLICIS CONSEIL</t>
        </is>
      </c>
      <c r="G2" s="33" t="inlineStr">
        <is>
          <t>France</t>
        </is>
      </c>
      <c r="H2" s="33" t="inlineStr">
        <is>
          <t>Transformative Strategy</t>
        </is>
      </c>
      <c r="I2" s="33" t="inlineStr">
        <is>
          <t>digital-presentation-images/creative-business-transformation-axa-axa-three-words.webp</t>
        </is>
      </c>
      <c r="J2" s="33" t="inlineStr">
        <is>
          <t>pY-03zuV7mE</t>
        </is>
      </c>
      <c r="L2" s="33" t="inlineStr">
        <is>
          <t>https://www.lovethework.com/work/entries/axa-three-words-757718</t>
        </is>
      </c>
    </row>
    <row r="3">
      <c r="A3" s="33" t="n">
        <v>2</v>
      </c>
      <c r="B3" s="33" t="inlineStr">
        <is>
          <t>Gold</t>
        </is>
      </c>
      <c r="C3" s="33" t="inlineStr">
        <is>
          <t>LUCKY YATRA</t>
        </is>
      </c>
      <c r="D3" s="33" t="inlineStr">
        <is>
          <t>INDIAN RAILWAYS</t>
        </is>
      </c>
      <c r="E3" s="33" t="inlineStr">
        <is>
          <t>RAILWAY SERVICE</t>
        </is>
      </c>
      <c r="F3" s="33" t="inlineStr">
        <is>
          <t>FCB INDIA</t>
        </is>
      </c>
      <c r="G3" s="33" t="inlineStr">
        <is>
          <t>India</t>
        </is>
      </c>
      <c r="H3" s="33" t="inlineStr">
        <is>
          <t>Targeting, Insights &amp; Personalisation</t>
        </is>
      </c>
      <c r="I3" s="33" t="inlineStr">
        <is>
          <t>digital-presentation-images/creative-business-transformation-indian-railways-lucky-yatra.webp</t>
        </is>
      </c>
      <c r="J3" s="33" t="inlineStr">
        <is>
          <t>19fzAvuFq0I</t>
        </is>
      </c>
      <c r="L3" s="33" t="inlineStr">
        <is>
          <t>https://www.lovethework.com/work/entries/lucky-yatra-757794</t>
        </is>
      </c>
    </row>
    <row r="4">
      <c r="A4" s="33" t="n">
        <v>3</v>
      </c>
      <c r="B4" s="33" t="inlineStr">
        <is>
          <t>Silver</t>
        </is>
      </c>
      <c r="C4" s="33" t="inlineStr">
        <is>
          <t>BUILDING A MORE RESILIENT AUSTRALIA</t>
        </is>
      </c>
      <c r="D4" s="33" t="inlineStr">
        <is>
          <t>SUNCORP</t>
        </is>
      </c>
      <c r="E4" s="33" t="inlineStr">
        <is>
          <t>INSURANCE</t>
        </is>
      </c>
      <c r="F4" s="33" t="inlineStr">
        <is>
          <t>LEO</t>
        </is>
      </c>
      <c r="G4" s="33" t="inlineStr">
        <is>
          <t>Australia</t>
        </is>
      </c>
      <c r="H4" s="33" t="inlineStr">
        <is>
          <t>Long-Term Brand Platform</t>
        </is>
      </c>
      <c r="I4" s="33" t="inlineStr">
        <is>
          <t>digital-presentation-images/creative-business-transformation-suncorp-building-a-more-resilient-australia.webp</t>
        </is>
      </c>
      <c r="J4" s="33" t="inlineStr">
        <is>
          <t>vimeo:1094885092</t>
        </is>
      </c>
      <c r="L4" s="33" t="inlineStr">
        <is>
          <t>https://www.lovethework.com/work/entries/building-a-more-resilient-australia-757856</t>
        </is>
      </c>
    </row>
    <row r="5">
      <c r="A5" s="33" t="n">
        <v>4</v>
      </c>
      <c r="B5" s="33" t="inlineStr">
        <is>
          <t>Silver</t>
        </is>
      </c>
      <c r="C5" s="33" t="inlineStr">
        <is>
          <t>RENAULT - LONG-TERM</t>
        </is>
      </c>
      <c r="D5" s="33" t="inlineStr">
        <is>
          <t>RENAULT</t>
        </is>
      </c>
      <c r="E5" s="33" t="inlineStr">
        <is>
          <t>AUTOMOTIVE</t>
        </is>
      </c>
      <c r="F5" s="33" t="inlineStr">
        <is>
          <t>PUBLICIS CONSEIL</t>
        </is>
      </c>
      <c r="G5" s="33" t="inlineStr">
        <is>
          <t>France</t>
        </is>
      </c>
      <c r="H5" s="33" t="inlineStr">
        <is>
          <t>Long-Term Brand Platform</t>
        </is>
      </c>
      <c r="I5" s="33" t="inlineStr">
        <is>
          <t>https://ascentialcdn.filespin.io/api/v1/storyboard/f4d05b0940354e91afbb9acbfc09d056/storyboard_000008.jpg</t>
        </is>
      </c>
      <c r="J5" s="33" t="inlineStr">
        <is>
          <t>GYWg2HktW-0</t>
        </is>
      </c>
      <c r="L5" s="33" t="inlineStr">
        <is>
          <t>https://www.lovethework.com/work/entries/renault-long-term-757900</t>
        </is>
      </c>
    </row>
    <row r="6">
      <c r="A6" s="33" t="n">
        <v>5</v>
      </c>
      <c r="B6" s="33" t="inlineStr">
        <is>
          <t>Bronze</t>
        </is>
      </c>
      <c r="C6" s="33" t="inlineStr">
        <is>
          <t>RECIPE FOR GROWTH</t>
        </is>
      </c>
      <c r="D6" s="33" t="inlineStr">
        <is>
          <t>IFOOD</t>
        </is>
      </c>
      <c r="E6" s="33" t="inlineStr">
        <is>
          <t>IFOOD B2B</t>
        </is>
      </c>
      <c r="F6" s="33" t="inlineStr">
        <is>
          <t>DM9</t>
        </is>
      </c>
      <c r="G6" s="33" t="inlineStr">
        <is>
          <t>Brazil</t>
        </is>
      </c>
      <c r="H6" s="33" t="inlineStr">
        <is>
          <t>Transformative Strategy</t>
        </is>
      </c>
      <c r="I6" s="33" t="inlineStr">
        <is>
          <t>digital-presentation-images/creative-business-transformation-ifood-recipe-for-growth.webp</t>
        </is>
      </c>
      <c r="J6" s="33" t="inlineStr">
        <is>
          <t>vimeo:1080197730</t>
        </is>
      </c>
      <c r="L6" s="33" t="inlineStr">
        <is>
          <t>https://www.lovethework.com/work/entries/recipe-for-growth-757609</t>
        </is>
      </c>
    </row>
    <row r="7">
      <c r="A7" s="33" t="n">
        <v>6</v>
      </c>
      <c r="B7" s="33" t="inlineStr">
        <is>
          <t>Bronze</t>
        </is>
      </c>
      <c r="C7" s="33" t="inlineStr">
        <is>
          <t>IT'S A CHEETOS THING</t>
        </is>
      </c>
      <c r="D7" s="33" t="inlineStr">
        <is>
          <t>CHEETOS | PEPSICO</t>
        </is>
      </c>
      <c r="E7" s="33" t="inlineStr">
        <is>
          <t>CHEETOS</t>
        </is>
      </c>
      <c r="F7" s="33" t="inlineStr">
        <is>
          <t>GOODBY SILVERSTEIN &amp; PARTNERS</t>
        </is>
      </c>
      <c r="G7" s="33" t="inlineStr">
        <is>
          <t>United States</t>
        </is>
      </c>
      <c r="H7" s="33" t="inlineStr">
        <is>
          <t>Long-Term Brand Platform</t>
        </is>
      </c>
      <c r="I7" s="33" t="inlineStr">
        <is>
          <t>digital-presentation-images/creative-business-transformation-cheetos-pepsico-its-a-cheetos-thing.webp</t>
        </is>
      </c>
      <c r="J7" s="33" t="inlineStr">
        <is>
          <t>vimeo:1094791063</t>
        </is>
      </c>
      <c r="L7" s="33" t="inlineStr">
        <is>
          <t>https://www.lovethework.com/work/entries/its-a-cheetos-thing-765189</t>
        </is>
      </c>
    </row>
    <row r="8">
      <c r="A8" s="33" t="n">
        <v>7</v>
      </c>
      <c r="B8" s="33" t="inlineStr">
        <is>
          <t>Bronze</t>
        </is>
      </c>
      <c r="C8" s="33" t="inlineStr">
        <is>
          <t>BACKING THE BARS</t>
        </is>
      </c>
      <c r="D8" s="33" t="inlineStr">
        <is>
          <t>HEINEKEN</t>
        </is>
      </c>
      <c r="E8" s="33" t="inlineStr">
        <is>
          <t>HEINEKEN</t>
        </is>
      </c>
      <c r="F8" s="33" t="inlineStr">
        <is>
          <t>LEPUB</t>
        </is>
      </c>
      <c r="G8" s="33" t="inlineStr">
        <is>
          <t>Italy</t>
        </is>
      </c>
      <c r="H8" s="33" t="inlineStr">
        <is>
          <t>Long-Term Brand Platform</t>
        </is>
      </c>
      <c r="I8" s="33" t="inlineStr">
        <is>
          <t>https://ascentialcdn.filespin.io/api/v1/conversion/9d89a2d0441e4f1498beb7e41712ebbf</t>
        </is>
      </c>
      <c r="J8" s="33" t="inlineStr">
        <is>
          <t>r2mR8LV53PE</t>
        </is>
      </c>
      <c r="L8" s="33" t="inlineStr">
        <is>
          <t>https://www.lovethework.com/work/entries/backing-the-bars-762510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THE PARTNERSHIP THAT CHANGED EVERYTHING</t>
        </is>
      </c>
      <c r="D2" s="33" t="inlineStr">
        <is>
          <t>LVMH</t>
        </is>
      </c>
      <c r="E2" s="33" t="inlineStr">
        <is>
          <t>LVMH</t>
        </is>
      </c>
      <c r="F2" s="33" t="inlineStr">
        <is>
          <t>HAVAS PLAY</t>
        </is>
      </c>
      <c r="G2" s="33" t="inlineStr">
        <is>
          <t>France</t>
        </is>
      </c>
      <c r="H2" s="33" t="inlineStr">
        <is>
          <t>Partnerships/Collaborations</t>
        </is>
      </c>
      <c r="I2" s="33" t="inlineStr">
        <is>
          <t>https://ascentialcdn.filespin.io/api/v1/conversion/618cd520f9a24294b091f0641b1abd65</t>
        </is>
      </c>
      <c r="J2" s="33" t="inlineStr">
        <is>
          <t>vpsibWyRnKw</t>
        </is>
      </c>
      <c r="L2" s="33" t="inlineStr">
        <is>
          <t>https://www.lovethework.com/work/entries/the-partnership-that-changed-everything-758515</t>
        </is>
      </c>
    </row>
    <row r="3">
      <c r="A3" s="33" t="n">
        <v>2</v>
      </c>
      <c r="B3" s="33" t="inlineStr">
        <is>
          <t>Gold</t>
        </is>
      </c>
      <c r="C3" s="33" t="inlineStr">
        <is>
          <t>LATE CHECKOUT: A RITZ-CARLTON STORY</t>
        </is>
      </c>
      <c r="D3" s="33" t="inlineStr">
        <is>
          <t>THE RITZ-CARLTON, LATE CHECKOUT</t>
        </is>
      </c>
      <c r="E3" s="33" t="inlineStr">
        <is>
          <t>LATE CHECKOUT COLLECTION, RITZ-CARLTON HOTELS</t>
        </is>
      </c>
      <c r="F3" s="33" t="inlineStr">
        <is>
          <t>LITTLE SPAIN</t>
        </is>
      </c>
      <c r="G3" s="33" t="inlineStr">
        <is>
          <t>Spain</t>
        </is>
      </c>
      <c r="H3" s="33" t="inlineStr">
        <is>
          <t>Brand Storytelling</t>
        </is>
      </c>
      <c r="I3" s="33" t="inlineStr">
        <is>
          <t>https://ascentialcdn.filespin.io/api/v1/conversion/ba8c7874143548279ee2ef8936cfee6d</t>
        </is>
      </c>
      <c r="J3" s="33" t="inlineStr">
        <is>
          <t>vimeo:1094659374</t>
        </is>
      </c>
      <c r="L3" s="33" t="inlineStr">
        <is>
          <t>https://www.lovethework.com/work/entries/late-checkout-a-ritz-carlton-story-758432</t>
        </is>
      </c>
    </row>
    <row r="4">
      <c r="A4" s="33" t="n">
        <v>3</v>
      </c>
      <c r="B4" s="33" t="inlineStr">
        <is>
          <t>Silver</t>
        </is>
      </c>
      <c r="C4" s="33" t="inlineStr">
        <is>
          <t>1837 TIFFANY BLUE CONSERVATION</t>
        </is>
      </c>
      <c r="D4" s="33" t="inlineStr">
        <is>
          <t>TIFFANY &amp; CO.</t>
        </is>
      </c>
      <c r="E4" s="33" t="inlineStr">
        <is>
          <t>TIFFANY &amp; CO.</t>
        </is>
      </c>
      <c r="F4" s="33" t="inlineStr">
        <is>
          <t>L&amp;C</t>
        </is>
      </c>
      <c r="G4" s="33" t="inlineStr">
        <is>
          <t>United States</t>
        </is>
      </c>
      <c r="H4" s="33" t="inlineStr">
        <is>
          <t>Sustainable Luxury</t>
        </is>
      </c>
      <c r="I4" s="33" t="inlineStr">
        <is>
          <t>https://ascentialcdn.filespin.io/api/v1/conversion/a9e8fdb5892d441587b7c4c55eb3d5fb</t>
        </is>
      </c>
      <c r="J4" s="33" t="inlineStr">
        <is>
          <t>_JhBOf0OJrQ</t>
        </is>
      </c>
      <c r="L4" s="33" t="inlineStr">
        <is>
          <t>https://www.lovethework.com/work/entries/1837-tiffany-blue-conservation-758489</t>
        </is>
      </c>
    </row>
    <row r="5">
      <c r="A5" s="33" t="n">
        <v>4</v>
      </c>
      <c r="B5" s="33" t="inlineStr">
        <is>
          <t>Bronze</t>
        </is>
      </c>
      <c r="C5" s="33" t="inlineStr">
        <is>
          <t>DON'T CALL IT LOVE</t>
        </is>
      </c>
      <c r="D5" s="33" t="inlineStr">
        <is>
          <t>YVES SAINT LAURENT BEAUTE</t>
        </is>
      </c>
      <c r="E5" s="33" t="inlineStr">
        <is>
          <t>ABUSE IS NOT LOVE</t>
        </is>
      </c>
      <c r="F5" s="33" t="inlineStr">
        <is>
          <t>BETC</t>
        </is>
      </c>
      <c r="G5" s="33" t="inlineStr">
        <is>
          <t>France</t>
        </is>
      </c>
      <c r="H5" s="33" t="inlineStr">
        <is>
          <t>Social Campaign</t>
        </is>
      </c>
      <c r="I5" s="33" t="inlineStr">
        <is>
          <t>https://ascentialcdn.filespin.io/api/v1/conversion/b28805c7458d487cbf93d349fcf83dd2</t>
        </is>
      </c>
      <c r="J5" s="33" t="inlineStr">
        <is>
          <t>eBnKDL57i7Y</t>
        </is>
      </c>
      <c r="L5" s="33" t="inlineStr">
        <is>
          <t>https://www.lovethework.com/work/entries/dont-call-it-love-762992</t>
        </is>
      </c>
    </row>
    <row r="6">
      <c r="A6" s="33" t="n">
        <v>5</v>
      </c>
      <c r="B6" s="33" t="inlineStr">
        <is>
          <t>Bronze</t>
        </is>
      </c>
      <c r="C6" s="33" t="inlineStr">
        <is>
          <t>PRADA: BEYOND THE LINE</t>
        </is>
      </c>
      <c r="D6" s="33" t="inlineStr">
        <is>
          <t>PRADA BEAUTÉ</t>
        </is>
      </c>
      <c r="E6" s="33" t="inlineStr">
        <is>
          <t>PRADA LUNA ROSSA OCEAN</t>
        </is>
      </c>
      <c r="F6" s="33" t="inlineStr">
        <is>
          <t>McCANN</t>
        </is>
      </c>
      <c r="G6" s="33" t="inlineStr">
        <is>
          <t>France</t>
        </is>
      </c>
      <c r="H6" s="33" t="inlineStr">
        <is>
          <t>Brand Storytelling</t>
        </is>
      </c>
      <c r="I6" s="33" t="inlineStr">
        <is>
          <t>https://ascentialcdn.filespin.io/api/v1/conversion/d6d662c2af9b477e9d70359dc900be0f</t>
        </is>
      </c>
      <c r="J6" s="33" t="inlineStr">
        <is>
          <t>rXF9wl0BCWE</t>
        </is>
      </c>
      <c r="L6" s="33" t="inlineStr">
        <is>
          <t>https://www.lovethework.com/work/entries/prada-beyond-the-line-758381</t>
        </is>
      </c>
    </row>
    <row r="7">
      <c r="A7" s="33" t="n">
        <v>6</v>
      </c>
      <c r="B7" s="33" t="inlineStr">
        <is>
          <t>Bronze</t>
        </is>
      </c>
      <c r="C7" s="33" t="inlineStr">
        <is>
          <t>THE EVERLASTING LOGO</t>
        </is>
      </c>
      <c r="D7" s="33" t="inlineStr">
        <is>
          <t>BOTTEGA VENETA</t>
        </is>
      </c>
      <c r="E7" s="33" t="inlineStr">
        <is>
          <t>BOTTEGA VENETA</t>
        </is>
      </c>
      <c r="F7" s="33" t="inlineStr">
        <is>
          <t>LEPUB</t>
        </is>
      </c>
      <c r="G7" s="33" t="inlineStr">
        <is>
          <t>Italy</t>
        </is>
      </c>
      <c r="H7" s="33" t="inlineStr">
        <is>
          <t>Experience</t>
        </is>
      </c>
      <c r="I7" s="33" t="inlineStr">
        <is>
          <t>https://ascentialcdn.filespin.io/api/v1/conversion/f0ac97dd3a4547da87ada6ad61058cc1</t>
        </is>
      </c>
      <c r="J7" s="33" t="inlineStr">
        <is>
          <t>ZzT1nS6DJqc</t>
        </is>
      </c>
      <c r="L7" s="33" t="inlineStr">
        <is>
          <t>https://www.lovethework.com/work/entries/the-everlasting-logo-758398</t>
        </is>
      </c>
    </row>
    <row r="8">
      <c r="A8" s="33" t="n">
        <v>7</v>
      </c>
      <c r="B8" s="33" t="inlineStr">
        <is>
          <t>Bronze</t>
        </is>
      </c>
      <c r="C8" s="33" t="inlineStr">
        <is>
          <t>LOEWE TIKTOK</t>
        </is>
      </c>
      <c r="D8" s="33" t="inlineStr">
        <is>
          <t>LOEWE</t>
        </is>
      </c>
      <c r="E8" s="33" t="inlineStr">
        <is>
          <t>LOEWE</t>
        </is>
      </c>
      <c r="F8" s="33" t="inlineStr">
        <is>
          <t>LOEWE</t>
        </is>
      </c>
      <c r="G8" s="33" t="inlineStr">
        <is>
          <t>Spain</t>
        </is>
      </c>
      <c r="H8" s="33" t="inlineStr">
        <is>
          <t>Social Campaign</t>
        </is>
      </c>
      <c r="I8" s="33" t="inlineStr">
        <is>
          <t>https://ascentialcdn.filespin.io/api/v1/conversion/d2cfdb97c2fc40fd9ab74040e3daa0a2</t>
        </is>
      </c>
      <c r="J8" s="33" t="inlineStr">
        <is>
          <t>vimeo:1094660435</t>
        </is>
      </c>
      <c r="L8" s="33" t="inlineStr">
        <is>
          <t>https://www.lovethework.com/work/entries/loewe-tiktok-762978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SOUNDS RIGHT</t>
        </is>
      </c>
      <c r="D2" s="33" t="inlineStr">
        <is>
          <t>MUSEUM FOR THE UNITED NATIONS - UN LIVE, SPOTIFY</t>
        </is>
      </c>
      <c r="E2" s="33" t="inlineStr">
        <is>
          <t>MUSIC</t>
        </is>
      </c>
      <c r="F2" s="33" t="inlineStr">
        <is>
          <t>AKQA</t>
        </is>
      </c>
      <c r="G2" s="33" t="inlineStr">
        <is>
          <t>Denmark</t>
        </is>
      </c>
      <c r="H2" s="33" t="inlineStr">
        <is>
          <t>Environmental Innovation</t>
        </is>
      </c>
      <c r="I2" s="33" t="inlineStr">
        <is>
          <t>https://ascentialcdn.filespin.io/api/v1/conversion/5015b68d24bd481a8fcfefc326f5b154</t>
        </is>
      </c>
      <c r="J2" s="33" t="inlineStr">
        <is>
          <t>vimeo:1094746280</t>
        </is>
      </c>
      <c r="L2" s="33" t="inlineStr">
        <is>
          <t>https://www.lovethework.com/work/entries/sounds-right-761761</t>
        </is>
      </c>
    </row>
    <row r="3">
      <c r="A3" s="33" t="n">
        <v>2</v>
      </c>
      <c r="B3" s="33" t="inlineStr">
        <is>
          <t>Gold</t>
        </is>
      </c>
      <c r="C3" s="33" t="inlineStr">
        <is>
          <t>CAPTION WITH INTENTION</t>
        </is>
      </c>
      <c r="D3" s="33" t="inlineStr">
        <is>
          <t>ACADEMY OF MOTION PICTURE ARTS &amp; SCIENCES - RAKISH - CHICAGO HEARING SOCIETY</t>
        </is>
      </c>
      <c r="E3" s="33" t="inlineStr">
        <is>
          <t>CLOSED CAPTIONING</t>
        </is>
      </c>
      <c r="F3" s="33" t="inlineStr">
        <is>
          <t>FCB CHICAGO</t>
        </is>
      </c>
      <c r="G3" s="33" t="inlineStr">
        <is>
          <t>United States</t>
        </is>
      </c>
      <c r="H3" s="33" t="inlineStr">
        <is>
          <t>Societal Innovation</t>
        </is>
      </c>
      <c r="I3" s="33" t="inlineStr">
        <is>
          <t>https://ascentialcdn.filespin.io/api/v1/conversion/bcb995632e51401e9bb1c27a8f759215</t>
        </is>
      </c>
      <c r="J3" s="33" t="inlineStr">
        <is>
          <t>F48khKZhKHM</t>
        </is>
      </c>
      <c r="L3" s="33" t="inlineStr">
        <is>
          <t>https://www.lovethework.com/work/entries/caption-with-intention-752614</t>
        </is>
      </c>
    </row>
    <row r="4">
      <c r="A4" s="33" t="n">
        <v>3</v>
      </c>
      <c r="B4" s="33" t="inlineStr">
        <is>
          <t>Silver</t>
        </is>
      </c>
      <c r="C4" s="33" t="inlineStr">
        <is>
          <t>BABY MINDER</t>
        </is>
      </c>
      <c r="D4" s="33" t="inlineStr">
        <is>
          <t>EUROFARMA</t>
        </is>
      </c>
      <c r="E4" s="33" t="inlineStr">
        <is>
          <t>BABY MINDER</t>
        </is>
      </c>
      <c r="F4" s="33" t="inlineStr">
        <is>
          <t>OGILVY HEALTH</t>
        </is>
      </c>
      <c r="G4" s="33" t="inlineStr">
        <is>
          <t>United States</t>
        </is>
      </c>
      <c r="H4" s="33" t="inlineStr">
        <is>
          <t>Early-Stage Technology</t>
        </is>
      </c>
      <c r="I4" s="33" t="inlineStr">
        <is>
          <t>https://ascentialcdn.filespin.io/api/v1/conversion/57def036fd3c4c41912d570ec8706239</t>
        </is>
      </c>
      <c r="J4" s="33" t="inlineStr">
        <is>
          <t>vimeo:1081167145</t>
        </is>
      </c>
      <c r="L4" s="33" t="inlineStr">
        <is>
          <t>https://www.lovethework.com/work/entries/baby-minder-760278</t>
        </is>
      </c>
    </row>
    <row r="5">
      <c r="A5" s="33" t="n">
        <v>4</v>
      </c>
      <c r="B5" s="33" t="inlineStr">
        <is>
          <t>Silver</t>
        </is>
      </c>
      <c r="C5" s="33" t="inlineStr">
        <is>
          <t>BEER RETIREMENT ACCOUNT</t>
        </is>
      </c>
      <c r="D5" s="33" t="inlineStr">
        <is>
          <t>POKER BEER</t>
        </is>
      </c>
      <c r="E5" s="33" t="inlineStr">
        <is>
          <t>POKER</t>
        </is>
      </c>
      <c r="F5" s="33" t="inlineStr">
        <is>
          <t>MONKS</t>
        </is>
      </c>
      <c r="G5" s="33" t="inlineStr">
        <is>
          <t>Colombia</t>
        </is>
      </c>
      <c r="H5" s="33" t="inlineStr">
        <is>
          <t>Societal Innovation</t>
        </is>
      </c>
      <c r="I5" s="33" t="inlineStr">
        <is>
          <t>https://ascentialcdn.filespin.io/api/v1/conversion/9c0dd0aaa6f044518e70e7d63c0c78dd</t>
        </is>
      </c>
      <c r="J5" s="33" t="inlineStr">
        <is>
          <t>YTUf_mLc_5U</t>
        </is>
      </c>
      <c r="L5" s="33" t="inlineStr">
        <is>
          <t>https://www.lovethework.com/work/entries/beer-retirement-account-752712</t>
        </is>
      </c>
    </row>
    <row r="6">
      <c r="A6" s="33" t="n">
        <v>5</v>
      </c>
      <c r="B6" s="33" t="inlineStr">
        <is>
          <t>Bronze</t>
        </is>
      </c>
      <c r="C6" s="33" t="inlineStr">
        <is>
          <t>PAINVISIBLE</t>
        </is>
      </c>
      <c r="D6" s="33" t="inlineStr">
        <is>
          <t>ARITIUM</t>
        </is>
      </c>
      <c r="E6" s="33" t="inlineStr">
        <is>
          <t>PAINVISIBLE</t>
        </is>
      </c>
      <c r="F6" s="33" t="inlineStr">
        <is>
          <t>VML</t>
        </is>
      </c>
      <c r="G6" s="33" t="inlineStr">
        <is>
          <t>Spain</t>
        </is>
      </c>
      <c r="H6" s="33" t="inlineStr">
        <is>
          <t>Product Innovation</t>
        </is>
      </c>
      <c r="I6" s="33" t="inlineStr">
        <is>
          <t>https://ascentialcdn.filespin.io/api/v1/conversion/5a1c3d291d1b4a428ebb261bc24b249b</t>
        </is>
      </c>
      <c r="J6" s="33" t="inlineStr">
        <is>
          <t>_BKTmzriqgs</t>
        </is>
      </c>
      <c r="L6" s="33" t="inlineStr">
        <is>
          <t>https://www.lovethework.com/work/entries/painvisible-752585</t>
        </is>
      </c>
    </row>
    <row r="7">
      <c r="A7" s="33" t="n">
        <v>6</v>
      </c>
      <c r="B7" s="33" t="inlineStr">
        <is>
          <t>Bronze</t>
        </is>
      </c>
      <c r="C7" s="33" t="inlineStr">
        <is>
          <t>DROPS OF HOPE</t>
        </is>
      </c>
      <c r="D7" s="33" t="inlineStr">
        <is>
          <t>KIMBERLY-CLARK</t>
        </is>
      </c>
      <c r="E7" s="33" t="inlineStr">
        <is>
          <t>POISE</t>
        </is>
      </c>
      <c r="F7" s="33" t="inlineStr">
        <is>
          <t>FCB NEW YORK</t>
        </is>
      </c>
      <c r="G7" s="33" t="inlineStr">
        <is>
          <t>United States</t>
        </is>
      </c>
      <c r="H7" s="33" t="inlineStr">
        <is>
          <t>Early-Stage Technology</t>
        </is>
      </c>
      <c r="I7" s="33" t="inlineStr">
        <is>
          <t>https://ascentialcdn.filespin.io/api/v1/conversion/98d0bf51b7764f41a17afc9759c91bfa</t>
        </is>
      </c>
      <c r="J7" s="33" t="inlineStr">
        <is>
          <t>vimeo:1092193619</t>
        </is>
      </c>
      <c r="L7" s="33" t="inlineStr">
        <is>
          <t>https://www.lovethework.com/work/entries/drops-of-hope-761643</t>
        </is>
      </c>
    </row>
    <row r="8">
      <c r="A8" s="33" t="n">
        <v>7</v>
      </c>
      <c r="B8" s="33" t="inlineStr">
        <is>
          <t>Bronze</t>
        </is>
      </c>
      <c r="C8" s="33" t="inlineStr">
        <is>
          <t>LIVING FABRIC</t>
        </is>
      </c>
      <c r="D8" s="33" t="inlineStr">
        <is>
          <t>UNIVERSIDAD DE LOS ANDES &amp; ATRATUS</t>
        </is>
      </c>
      <c r="E8" s="33" t="inlineStr">
        <is>
          <t>LIVING FABRIC</t>
        </is>
      </c>
      <c r="F8" s="33" t="inlineStr">
        <is>
          <t>VML</t>
        </is>
      </c>
      <c r="G8" s="33" t="inlineStr">
        <is>
          <t>Colombia</t>
        </is>
      </c>
      <c r="H8" s="33" t="inlineStr">
        <is>
          <t>Environmental Innovation</t>
        </is>
      </c>
      <c r="I8" s="33" t="inlineStr">
        <is>
          <t>https://ascentialcdn.filespin.io/api/v1/conversion/9f8364b5c9b847aa83fb8ea7b62628d8</t>
        </is>
      </c>
      <c r="L8" s="33" t="inlineStr">
        <is>
          <t>https://www.lovethework.com/work/entries/living-fabric-759716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MAKE LOVE LAST - BEDROOM</t>
        </is>
      </c>
      <c r="D2" s="33" t="inlineStr">
        <is>
          <t>VIATRIS</t>
        </is>
      </c>
      <c r="E2" s="33" t="inlineStr">
        <is>
          <t>VIAGRA</t>
        </is>
      </c>
      <c r="F2" s="33" t="inlineStr">
        <is>
          <t>OGILVY</t>
        </is>
      </c>
      <c r="G2" s="33" t="inlineStr">
        <is>
          <t>China</t>
        </is>
      </c>
      <c r="H2" s="33" t="inlineStr">
        <is>
          <t>Film Craft: Cinematography - Unbranded Product or Service Promotion</t>
        </is>
      </c>
      <c r="I2" s="33" t="inlineStr">
        <is>
          <t>digital-presentation-images/pharma-viatris-make-love-last-bedroom.webp</t>
        </is>
      </c>
      <c r="J2" s="33" t="inlineStr">
        <is>
          <t>vimeo:1086963204</t>
        </is>
      </c>
      <c r="L2" s="33" t="inlineStr">
        <is>
          <t>https://www.lovethework.com/work/entries/make-love-last-bedroom-752901</t>
        </is>
      </c>
    </row>
    <row r="3">
      <c r="A3" s="33" t="n">
        <v>2</v>
      </c>
      <c r="B3" s="33" t="inlineStr">
        <is>
          <t>Gold</t>
        </is>
      </c>
      <c r="C3" s="33" t="inlineStr">
        <is>
          <t>FRIEDREICH'S BACK</t>
        </is>
      </c>
      <c r="D3" s="33" t="inlineStr">
        <is>
          <t>BIOGEN</t>
        </is>
      </c>
      <c r="E3" s="33" t="inlineStr">
        <is>
          <t>SKYCLARIS</t>
        </is>
      </c>
      <c r="F3" s="33" t="inlineStr">
        <is>
          <t>21GRAMS</t>
        </is>
      </c>
      <c r="G3" s="33" t="inlineStr">
        <is>
          <t>United States</t>
        </is>
      </c>
      <c r="H3" s="33" t="inlineStr">
        <is>
          <t>Entertainment - Product or Service Promotion: Direct to Patient</t>
        </is>
      </c>
      <c r="I3" s="33" t="inlineStr">
        <is>
          <t>https://ascentialcdn.filespin.io/api/v1/conversion/fd234ce7b17e4ff083175e878a0dcc9e</t>
        </is>
      </c>
      <c r="J3" s="33" t="inlineStr">
        <is>
          <t>0-vXeXH0PTg</t>
        </is>
      </c>
      <c r="L3" s="33" t="inlineStr">
        <is>
          <t>https://www.lovethework.com/work/entries/friedreichs-back-752797</t>
        </is>
      </c>
    </row>
    <row r="4">
      <c r="A4" s="33" t="n">
        <v>3</v>
      </c>
      <c r="B4" s="33" t="inlineStr">
        <is>
          <t>Silver</t>
        </is>
      </c>
      <c r="C4" s="33" t="inlineStr">
        <is>
          <t>GLOWING RELIEF</t>
        </is>
      </c>
      <c r="D4" s="33" t="inlineStr">
        <is>
          <t>ALIVIA HEALTH</t>
        </is>
      </c>
      <c r="E4" s="33" t="inlineStr">
        <is>
          <t>GLOWING RELIEF</t>
        </is>
      </c>
      <c r="F4" s="33" t="inlineStr">
        <is>
          <t>DE LA CRUZ OGILVY</t>
        </is>
      </c>
      <c r="G4" s="33" t="inlineStr">
        <is>
          <t>Puerto Rico</t>
        </is>
      </c>
      <c r="H4" s="33" t="inlineStr">
        <is>
          <t>Brand Experience &amp; Activation - Branded Product or Service Promotion</t>
        </is>
      </c>
      <c r="I4" s="33" t="inlineStr">
        <is>
          <t>https://ascentialcdn.filespin.io/api/v1/conversion/890f5040eb2d4dbdbaa5b4f333e85719</t>
        </is>
      </c>
      <c r="J4" s="33" t="inlineStr">
        <is>
          <t>VqmIS4FkLP0</t>
        </is>
      </c>
      <c r="L4" s="33" t="inlineStr">
        <is>
          <t>https://www.lovethework.com/work/entries/glowing-relief-764131</t>
        </is>
      </c>
    </row>
    <row r="5">
      <c r="A5" s="33" t="n">
        <v>4</v>
      </c>
      <c r="B5" s="33" t="inlineStr">
        <is>
          <t>Silver</t>
        </is>
      </c>
      <c r="C5" s="33" t="inlineStr">
        <is>
          <t>DAWAI READER</t>
        </is>
      </c>
      <c r="D5" s="33" t="inlineStr">
        <is>
          <t>ALKEM LABORATORIES</t>
        </is>
      </c>
      <c r="E5" s="33" t="inlineStr">
        <is>
          <t>THE DAWAI READER</t>
        </is>
      </c>
      <c r="F5" s="33" t="inlineStr">
        <is>
          <t>LOWE LINTAS</t>
        </is>
      </c>
      <c r="G5" s="33" t="inlineStr">
        <is>
          <t>India</t>
        </is>
      </c>
      <c r="H5" s="33" t="inlineStr">
        <is>
          <t>Healthcare Product Innovation - Healthcare Professional Engagement</t>
        </is>
      </c>
      <c r="I5" s="33" t="inlineStr">
        <is>
          <t>https://ascentialcdn.filespin.io/api/v1/conversion/762f141aa6fc442dad023f1af28469d8</t>
        </is>
      </c>
      <c r="J5" s="33" t="inlineStr">
        <is>
          <t>8bisb8K-apg</t>
        </is>
      </c>
      <c r="L5" s="33" t="inlineStr">
        <is>
          <t>https://www.lovethework.com/work/entries/dawai-reader-752957</t>
        </is>
      </c>
    </row>
    <row r="6">
      <c r="A6" s="33" t="n">
        <v>5</v>
      </c>
      <c r="B6" s="33" t="inlineStr">
        <is>
          <t>Silver</t>
        </is>
      </c>
      <c r="C6" s="33" t="inlineStr">
        <is>
          <t>NO MORE HIPPOCRITES</t>
        </is>
      </c>
      <c r="D6" s="33" t="inlineStr">
        <is>
          <t>WISP</t>
        </is>
      </c>
      <c r="E6" s="33" t="inlineStr">
        <is>
          <t>SEXUAL HEALTHCARE</t>
        </is>
      </c>
      <c r="F6" s="33" t="inlineStr">
        <is>
          <t>EVERSANA INTOUCH</t>
        </is>
      </c>
      <c r="G6" s="33" t="inlineStr">
        <is>
          <t>United States</t>
        </is>
      </c>
      <c r="H6" s="33" t="inlineStr">
        <is>
          <t>Integrated - Healthcare Professional Engagement</t>
        </is>
      </c>
      <c r="I6" s="33" t="inlineStr">
        <is>
          <t>https://ascentialcdn.filespin.io/api/v1/conversion/823ab3c84f2544f5ba3ad5839f2d5e4b</t>
        </is>
      </c>
      <c r="J6" s="33" t="inlineStr">
        <is>
          <t>vimeo:1093833225</t>
        </is>
      </c>
      <c r="L6" s="33" t="inlineStr">
        <is>
          <t>https://www.lovethework.com/work/entries/no-more-hippocrites-752770</t>
        </is>
      </c>
    </row>
    <row r="7">
      <c r="A7" s="33" t="n">
        <v>6</v>
      </c>
      <c r="B7" s="33" t="inlineStr">
        <is>
          <t>Bronze</t>
        </is>
      </c>
      <c r="C7" s="33" t="inlineStr">
        <is>
          <t>DON'T STOP MOTION</t>
        </is>
      </c>
      <c r="D7" s="33" t="inlineStr">
        <is>
          <t>CENABAST</t>
        </is>
      </c>
      <c r="E7" s="33" t="inlineStr">
        <is>
          <t>GOBIERNO DE CHILE</t>
        </is>
      </c>
      <c r="F7" s="33" t="inlineStr">
        <is>
          <t>VML</t>
        </is>
      </c>
      <c r="G7" s="33" t="inlineStr">
        <is>
          <t>Chile</t>
        </is>
      </c>
      <c r="H7" s="33" t="inlineStr">
        <is>
          <t>Brand Experience &amp; Activation - Disease Awareness &amp; Understanding: Direct to Patient or Healthcare Professional</t>
        </is>
      </c>
      <c r="I7" s="33" t="inlineStr">
        <is>
          <t>https://ascentialcdn.filespin.io/api/v1/conversion/624a82c03eb34a1e8a6359e0f28b8b71</t>
        </is>
      </c>
      <c r="J7" s="33" t="inlineStr">
        <is>
          <t>8NxoqgLXy2E</t>
        </is>
      </c>
      <c r="L7" s="33" t="inlineStr">
        <is>
          <t>https://www.lovethework.com/work/entries/dont-stop-motion-752912</t>
        </is>
      </c>
    </row>
    <row r="8">
      <c r="A8" s="33" t="n">
        <v>7</v>
      </c>
      <c r="B8" s="33" t="inlineStr">
        <is>
          <t>Bronze</t>
        </is>
      </c>
      <c r="C8" s="33" t="inlineStr">
        <is>
          <t>PAINVISIBLE</t>
        </is>
      </c>
      <c r="D8" s="33" t="inlineStr">
        <is>
          <t>ARITIUM</t>
        </is>
      </c>
      <c r="E8" s="33" t="inlineStr">
        <is>
          <t>PAINVISIBLE</t>
        </is>
      </c>
      <c r="F8" s="33" t="inlineStr">
        <is>
          <t>VML</t>
        </is>
      </c>
      <c r="G8" s="33" t="inlineStr">
        <is>
          <t>Spain</t>
        </is>
      </c>
      <c r="H8" s="33" t="inlineStr">
        <is>
          <t>Mobile - Innovative Use of Technology: Patient or Healthcare Professional</t>
        </is>
      </c>
      <c r="I8" s="33" t="inlineStr">
        <is>
          <t>https://ascentialcdn.filespin.io/api/v1/conversion/36a5e9332fc143ed9a375ed95c71f5d7</t>
        </is>
      </c>
      <c r="J8" s="33" t="inlineStr">
        <is>
          <t>_BKTmzriqgs</t>
        </is>
      </c>
      <c r="L8" s="33" t="inlineStr">
        <is>
          <t>https://www.lovethework.com/work/entries/painvisible-752908</t>
        </is>
      </c>
    </row>
    <row r="9">
      <c r="A9" s="33" t="n">
        <v>8</v>
      </c>
      <c r="B9" s="33" t="inlineStr">
        <is>
          <t>Bronze</t>
        </is>
      </c>
      <c r="C9" s="33" t="inlineStr">
        <is>
          <t>SCRATCHED OUT</t>
        </is>
      </c>
      <c r="D9" s="33" t="inlineStr">
        <is>
          <t>PATIENT ACTIVATION FOR PRURIGO NODULARIS</t>
        </is>
      </c>
      <c r="E9" s="33" t="inlineStr">
        <is>
          <t>SANOFI</t>
        </is>
      </c>
      <c r="F9" s="33" t="inlineStr">
        <is>
          <t>HAVAS LYNX</t>
        </is>
      </c>
      <c r="G9" s="33" t="inlineStr">
        <is>
          <t>United Kingdom</t>
        </is>
      </c>
      <c r="H9" s="33" t="inlineStr">
        <is>
          <t>Film Craft: Animation/Visual Effects - Product or Service Promotion: Direct to Patient</t>
        </is>
      </c>
      <c r="I9" s="33" t="inlineStr">
        <is>
          <t>digital-presentation-images/pharma-patient-activation-for-prurigo-nodularis-scratched-out.webp</t>
        </is>
      </c>
      <c r="J9" s="33" t="inlineStr">
        <is>
          <t>mp4:videos/scratched_out.mp4</t>
        </is>
      </c>
      <c r="L9" s="33" t="inlineStr">
        <is>
          <t>https://www.lovethework.com/work/entries/scratched-out-752900</t>
        </is>
      </c>
    </row>
    <row r="10">
      <c r="A10" s="33" t="n">
        <v>9</v>
      </c>
      <c r="B10" s="33" t="inlineStr">
        <is>
          <t>Bronze</t>
        </is>
      </c>
      <c r="C10" s="33" t="inlineStr">
        <is>
          <t>PICK UP YOUR POOP</t>
        </is>
      </c>
      <c r="D10" s="33" t="inlineStr">
        <is>
          <t>COLOGUARD</t>
        </is>
      </c>
      <c r="E10" s="33" t="inlineStr">
        <is>
          <t>COLOGUARD</t>
        </is>
      </c>
      <c r="F10" s="33" t="inlineStr">
        <is>
          <t>THE COMMUNITY</t>
        </is>
      </c>
      <c r="G10" s="33" t="inlineStr">
        <is>
          <t>United States</t>
        </is>
      </c>
      <c r="H10" s="33" t="inlineStr">
        <is>
          <t>Use of Technology - Branded Product or Service Promotion</t>
        </is>
      </c>
      <c r="I10" s="33" t="inlineStr">
        <is>
          <t>https://ascentialcdn.filespin.io/api/v1/conversion/cd58f44ccf4c418a98a0074ed522d7d6</t>
        </is>
      </c>
      <c r="J10" s="33" t="inlineStr">
        <is>
          <t>vimeo:1093348412</t>
        </is>
      </c>
      <c r="L10" s="33" t="inlineStr">
        <is>
          <t>https://www.lovethework.com/work/entries/pick-up-your-poop-764312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CALL OF DISCOUNTS</t>
        </is>
      </c>
      <c r="D2" s="33" t="inlineStr">
        <is>
          <t>MERCADO LIVRE</t>
        </is>
      </c>
      <c r="E2" s="33" t="inlineStr">
        <is>
          <t>MERCADO LIVRE</t>
        </is>
      </c>
      <c r="F2" s="33" t="inlineStr">
        <is>
          <t>GUT</t>
        </is>
      </c>
      <c r="G2" s="33" t="inlineStr">
        <is>
          <t>Brazil</t>
        </is>
      </c>
      <c r="H2" s="33" t="inlineStr">
        <is>
          <t>Use of Gaming/Streaming Platforms</t>
        </is>
      </c>
      <c r="I2" s="33" t="inlineStr">
        <is>
          <t>https://ascentialcdn.filespin.io/api/v1/conversion/c70ca73e1b844ab9b17bafdddb08ab43</t>
        </is>
      </c>
      <c r="J2" s="33" t="inlineStr">
        <is>
          <t>vimeo:1093409251</t>
        </is>
      </c>
      <c r="L2" s="33" t="inlineStr">
        <is>
          <t>https://www.lovethework.com/work/entries/call-of-discounts-758175</t>
        </is>
      </c>
    </row>
    <row r="3">
      <c r="A3" s="33" t="n">
        <v>2</v>
      </c>
      <c r="B3" s="33" t="inlineStr">
        <is>
          <t>Gold</t>
        </is>
      </c>
      <c r="C3" s="33" t="inlineStr">
        <is>
          <t>BURGER TO KING</t>
        </is>
      </c>
      <c r="D3" s="33" t="inlineStr">
        <is>
          <t>BURGER KING, HAPPINESS</t>
        </is>
      </c>
      <c r="E3" s="33" t="inlineStr">
        <is>
          <t>BURGER KING</t>
        </is>
      </c>
      <c r="F3" s="33" t="inlineStr">
        <is>
          <t>AN FCB ALLIANCE</t>
        </is>
      </c>
      <c r="G3" s="33" t="inlineStr">
        <is>
          <t>Belgium</t>
        </is>
      </c>
      <c r="H3" s="33" t="inlineStr">
        <is>
          <t>Challenger Brand</t>
        </is>
      </c>
      <c r="I3" s="33" t="inlineStr">
        <is>
          <t>https://ascentialcdn.filespin.io/api/v1/conversion/4f2c314a8b5244938185d763dbbb08a8</t>
        </is>
      </c>
      <c r="J3" s="33" t="inlineStr">
        <is>
          <t>RQVaoU4CGRk</t>
        </is>
      </c>
      <c r="L3" s="33" t="inlineStr">
        <is>
          <t>https://www.lovethework.com/work/entries/burger-to-king-763800</t>
        </is>
      </c>
    </row>
    <row r="4">
      <c r="A4" s="33" t="n">
        <v>3</v>
      </c>
      <c r="B4" s="33" t="inlineStr">
        <is>
          <t>Gold</t>
        </is>
      </c>
      <c r="C4" s="33" t="inlineStr">
        <is>
          <t>THE FINAL EXAM</t>
        </is>
      </c>
      <c r="D4" s="33" t="inlineStr">
        <is>
          <t>CHANGE THE REF</t>
        </is>
      </c>
      <c r="E4" s="33" t="inlineStr">
        <is>
          <t>PRO BONO</t>
        </is>
      </c>
      <c r="F4" s="33" t="inlineStr">
        <is>
          <t>ENERGY BBDO</t>
        </is>
      </c>
      <c r="G4" s="33" t="inlineStr">
        <is>
          <t>United States</t>
        </is>
      </c>
      <c r="H4" s="33" t="inlineStr">
        <is>
          <t>Social Behaviour</t>
        </is>
      </c>
      <c r="I4" s="33" t="inlineStr">
        <is>
          <t>https://ascentialcdn.filespin.io/api/v1/conversion/615e3a15eabf457d91d317468a12d825</t>
        </is>
      </c>
      <c r="J4" s="33" t="inlineStr">
        <is>
          <t>y8LkiSNPJUs</t>
        </is>
      </c>
      <c r="L4" s="33" t="inlineStr">
        <is>
          <t>https://www.lovethework.com/work/entries/the-final-exam-760339</t>
        </is>
      </c>
    </row>
    <row r="5">
      <c r="A5" s="33" t="n">
        <v>4</v>
      </c>
      <c r="B5" s="33" t="inlineStr">
        <is>
          <t>Silver</t>
        </is>
      </c>
      <c r="C5" s="33" t="inlineStr">
        <is>
          <t>PROJECT: MEMORY CARD</t>
        </is>
      </c>
      <c r="D5" s="33" t="inlineStr">
        <is>
          <t>PLAYSTATION</t>
        </is>
      </c>
      <c r="E5" s="33" t="inlineStr">
        <is>
          <t>PLAYSTATION</t>
        </is>
      </c>
      <c r="F5" s="33" t="inlineStr">
        <is>
          <t>SIX INC</t>
        </is>
      </c>
      <c r="G5" s="33" t="inlineStr">
        <is>
          <t>Japan</t>
        </is>
      </c>
      <c r="H5" s="33" t="inlineStr">
        <is>
          <t>Audio-Visual Content</t>
        </is>
      </c>
      <c r="I5" s="33" t="inlineStr">
        <is>
          <t>digital-presentation-images/entertainment-lions-for-gaming-playstation-project-memory-card.webp</t>
        </is>
      </c>
      <c r="J5" s="33" t="inlineStr">
        <is>
          <t>vimeo:1094223404</t>
        </is>
      </c>
      <c r="L5" s="33" t="inlineStr">
        <is>
          <t>https://www.lovethework.com/work/entries/project-memory-card-758330</t>
        </is>
      </c>
    </row>
    <row r="6">
      <c r="A6" s="33" t="n">
        <v>5</v>
      </c>
      <c r="B6" s="33" t="inlineStr">
        <is>
          <t>Silver</t>
        </is>
      </c>
      <c r="C6" s="33" t="inlineStr">
        <is>
          <t>BURGER TO KING</t>
        </is>
      </c>
      <c r="D6" s="33" t="inlineStr">
        <is>
          <t>BURGER KING, HAPPINESS</t>
        </is>
      </c>
      <c r="E6" s="33" t="inlineStr">
        <is>
          <t>BURGER KING</t>
        </is>
      </c>
      <c r="F6" s="33" t="inlineStr">
        <is>
          <t>AN FCB ALLIANCE</t>
        </is>
      </c>
      <c r="G6" s="33" t="inlineStr">
        <is>
          <t>Belgium</t>
        </is>
      </c>
      <c r="H6" s="33" t="inlineStr">
        <is>
          <t>Brand Integration for Games</t>
        </is>
      </c>
      <c r="I6" s="33" t="inlineStr">
        <is>
          <t>https://ascentialcdn.filespin.io/api/v1/conversion/4f2c314a8b5244938185d763dbbb08a8</t>
        </is>
      </c>
      <c r="J6" s="33" t="inlineStr">
        <is>
          <t>RQVaoU4CGRk</t>
        </is>
      </c>
      <c r="L6" s="33" t="inlineStr">
        <is>
          <t>https://www.lovethework.com/work/entries/burger-to-king-763798</t>
        </is>
      </c>
    </row>
    <row r="7">
      <c r="A7" s="33" t="n">
        <v>6</v>
      </c>
      <c r="B7" s="33" t="inlineStr">
        <is>
          <t>Bronze</t>
        </is>
      </c>
      <c r="C7" s="33" t="inlineStr">
        <is>
          <t>THE FINAL EXAM</t>
        </is>
      </c>
      <c r="D7" s="33" t="inlineStr">
        <is>
          <t>CHANGE THE REF</t>
        </is>
      </c>
      <c r="E7" s="33" t="inlineStr">
        <is>
          <t>PRO BONO</t>
        </is>
      </c>
      <c r="F7" s="33" t="inlineStr">
        <is>
          <t>ENERGY BBDO</t>
        </is>
      </c>
      <c r="G7" s="33" t="inlineStr">
        <is>
          <t>United States</t>
        </is>
      </c>
      <c r="H7" s="33" t="inlineStr">
        <is>
          <t>Use of Gaming/Streaming Platforms</t>
        </is>
      </c>
      <c r="I7" s="33" t="inlineStr">
        <is>
          <t>https://ascentialcdn.filespin.io/api/v1/conversion/615e3a15eabf457d91d317468a12d825</t>
        </is>
      </c>
      <c r="J7" s="33" t="inlineStr">
        <is>
          <t>y8LkiSNPJUs</t>
        </is>
      </c>
      <c r="L7" s="33" t="inlineStr">
        <is>
          <t>https://www.lovethework.com/work/entries/the-final-exam-760178</t>
        </is>
      </c>
    </row>
    <row r="8">
      <c r="A8" s="33" t="n">
        <v>7</v>
      </c>
      <c r="B8" s="33" t="inlineStr">
        <is>
          <t>Bronze</t>
        </is>
      </c>
      <c r="C8" s="33" t="inlineStr">
        <is>
          <t>HAALAND PAYBACK TIME</t>
        </is>
      </c>
      <c r="D8" s="33" t="inlineStr">
        <is>
          <t>CLASH OF CLANS</t>
        </is>
      </c>
      <c r="E8" s="33" t="inlineStr">
        <is>
          <t>CLASH OF CLANS</t>
        </is>
      </c>
      <c r="F8" s="33" t="inlineStr">
        <is>
          <t>DAVID</t>
        </is>
      </c>
      <c r="G8" s="33" t="inlineStr">
        <is>
          <t>United States</t>
        </is>
      </c>
      <c r="H8" s="33" t="inlineStr">
        <is>
          <t>Partnerships with Gaming Talent</t>
        </is>
      </c>
      <c r="I8" s="33" t="inlineStr">
        <is>
          <t>https://ascentialcdn.filespin.io/api/v1/conversion/3b57e93aef504625807daf7e7575162d</t>
        </is>
      </c>
      <c r="J8" s="33" t="inlineStr">
        <is>
          <t>TcQ--NtSQ9s</t>
        </is>
      </c>
      <c r="L8" s="33" t="inlineStr">
        <is>
          <t>https://www.lovethework.com/work/entries/haaland-payback-time-762429</t>
        </is>
      </c>
    </row>
    <row r="9">
      <c r="A9" s="33" t="n">
        <v>8</v>
      </c>
      <c r="B9" s="33" t="inlineStr">
        <is>
          <t>Bronze</t>
        </is>
      </c>
      <c r="C9" s="33" t="inlineStr">
        <is>
          <t>THE CO-WORKER</t>
        </is>
      </c>
      <c r="D9" s="33" t="inlineStr">
        <is>
          <t>IKEA</t>
        </is>
      </c>
      <c r="E9" s="33" t="inlineStr">
        <is>
          <t>RECRUITMENT CAMPAIGN FOR CAREERS AT IKEA.</t>
        </is>
      </c>
      <c r="F9" s="33" t="inlineStr">
        <is>
          <t>MOTHER</t>
        </is>
      </c>
      <c r="G9" s="33" t="inlineStr">
        <is>
          <t>United Kingdom</t>
        </is>
      </c>
      <c r="H9" s="33" t="inlineStr">
        <is>
          <t>Brand Integration for Games</t>
        </is>
      </c>
      <c r="I9" s="33" t="inlineStr">
        <is>
          <t>https://ascentialcdn.filespin.io/api/v1/conversion/4492f4557e9441408ea283fcb7cd3a12</t>
        </is>
      </c>
      <c r="J9" s="33" t="inlineStr">
        <is>
          <t>VPemXZatDQA</t>
        </is>
      </c>
      <c r="L9" s="33" t="inlineStr">
        <is>
          <t>https://www.lovethework.com/work/entries/the-co-worker-758248</t>
        </is>
      </c>
    </row>
    <row r="10">
      <c r="A10" s="33" t="n">
        <v>9</v>
      </c>
      <c r="B10" s="33" t="inlineStr">
        <is>
          <t>Bronze</t>
        </is>
      </c>
      <c r="C10" s="33" t="inlineStr">
        <is>
          <t>FIZZOOKA</t>
        </is>
      </c>
      <c r="D10" s="33" t="inlineStr">
        <is>
          <t>PERFETTI VAN MELLE</t>
        </is>
      </c>
      <c r="E10" s="33" t="inlineStr">
        <is>
          <t>MENTOS</t>
        </is>
      </c>
      <c r="F10" s="33" t="inlineStr">
        <is>
          <t>BBH</t>
        </is>
      </c>
      <c r="G10" s="33" t="inlineStr">
        <is>
          <t>United Kingdom</t>
        </is>
      </c>
      <c r="H10" s="33" t="inlineStr">
        <is>
          <t>Brand Partnerships, Sponsorships &amp; Collaborations</t>
        </is>
      </c>
      <c r="I10" s="33" t="inlineStr">
        <is>
          <t>https://ascentialcdn.filespin.io/api/v1/conversion/f5ffbe1532054f85b7f9f9b7fba1f1ee</t>
        </is>
      </c>
      <c r="J10" s="33" t="inlineStr">
        <is>
          <t>TgjfKovV888</t>
        </is>
      </c>
      <c r="L10" s="33" t="inlineStr">
        <is>
          <t>https://www.lovethework.com/work/entries/fizzooka-758263</t>
        </is>
      </c>
    </row>
    <row r="11">
      <c r="A11" s="33" t="n">
        <v>10</v>
      </c>
      <c r="B11" s="33" t="inlineStr">
        <is>
          <t>Bronze</t>
        </is>
      </c>
      <c r="C11" s="33" t="inlineStr">
        <is>
          <t>LAG OR BAD</t>
        </is>
      </c>
      <c r="D11" s="33" t="inlineStr">
        <is>
          <t>XTRIM</t>
        </is>
      </c>
      <c r="E11" s="33" t="inlineStr">
        <is>
          <t>XTRIM INTERNET SERVICE</t>
        </is>
      </c>
      <c r="F11" s="33" t="inlineStr">
        <is>
          <t>PARADAIS DDB</t>
        </is>
      </c>
      <c r="G11" s="33" t="inlineStr">
        <is>
          <t>Ecuador</t>
        </is>
      </c>
      <c r="H11" s="33" t="inlineStr">
        <is>
          <t>Social Behaviour</t>
        </is>
      </c>
      <c r="I11" s="33" t="inlineStr">
        <is>
          <t>https://ascentialcdn.filespin.io/api/v1/conversion/035c1b7183be486fa7ec0efe20c5cfd2</t>
        </is>
      </c>
      <c r="J11" s="33" t="inlineStr">
        <is>
          <t>Zo2096C1HDQ</t>
        </is>
      </c>
      <c r="L11" s="33" t="inlineStr">
        <is>
          <t>https://www.lovethework.com/work/entries/lag-or-bad-760347</t>
        </is>
      </c>
    </row>
    <row r="12">
      <c r="A12" s="33" t="n">
        <v>11</v>
      </c>
      <c r="B12" s="33" t="inlineStr">
        <is>
          <t>Bronze</t>
        </is>
      </c>
      <c r="C12" s="33" t="inlineStr">
        <is>
          <t>THE CHEEKY CONTROLLER</t>
        </is>
      </c>
      <c r="D12" s="33" t="inlineStr">
        <is>
          <t>XBOX</t>
        </is>
      </c>
      <c r="E12" s="33" t="inlineStr">
        <is>
          <t>XBOX CONTROLLER</t>
        </is>
      </c>
      <c r="F12" s="33" t="inlineStr">
        <is>
          <t>McCANN</t>
        </is>
      </c>
      <c r="G12" s="33" t="inlineStr">
        <is>
          <t>United Kingdom</t>
        </is>
      </c>
      <c r="H12" s="33" t="inlineStr">
        <is>
          <t>Use of Humour</t>
        </is>
      </c>
      <c r="I12" s="33" t="inlineStr">
        <is>
          <t>https://ascentialcdn.filespin.io/api/v1/conversion/f1c6e266081d4161b8e3ecc7ecb15a78</t>
        </is>
      </c>
      <c r="J12" s="33" t="inlineStr">
        <is>
          <t>vimeo:1034892837</t>
        </is>
      </c>
      <c r="L12" s="33" t="inlineStr">
        <is>
          <t>https://www.lovethework.com/work/entries/the-cheeky-controller-762497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B2B: ACT LIKE YOU KNOW</t>
        </is>
      </c>
      <c r="D2" s="33" t="inlineStr">
        <is>
          <t>GODADDY</t>
        </is>
      </c>
      <c r="E2" s="33" t="inlineStr">
        <is>
          <t>GODADDY AIRO</t>
        </is>
      </c>
      <c r="F2" s="33" t="inlineStr">
        <is>
          <t>GODADDY</t>
        </is>
      </c>
      <c r="G2" s="33" t="inlineStr">
        <is>
          <t>United States</t>
        </is>
      </c>
      <c r="H2" s="33" t="inlineStr">
        <is>
          <t>Integrated Campaigns</t>
        </is>
      </c>
      <c r="I2" s="33" t="inlineStr">
        <is>
          <t>https://ascentialcdn.filespin.io/api/v1/conversion/f0ac3195ac904c3daf13ae2ee67cc31a</t>
        </is>
      </c>
      <c r="J2" s="33" t="inlineStr">
        <is>
          <t>w9oF8Uu80Dg</t>
        </is>
      </c>
      <c r="L2" s="33" t="inlineStr">
        <is>
          <t>https://www.lovethework.com/work/entries/b2b-act-like-you-know-758347</t>
        </is>
      </c>
    </row>
    <row r="3">
      <c r="A3" s="33" t="n">
        <v>2</v>
      </c>
      <c r="B3" s="33" t="inlineStr">
        <is>
          <t>Gold</t>
        </is>
      </c>
      <c r="C3" s="33" t="inlineStr">
        <is>
          <t>STILL OPEN</t>
        </is>
      </c>
      <c r="D3" s="33" t="inlineStr">
        <is>
          <t>JC DECAUX</t>
        </is>
      </c>
      <c r="E3" s="33" t="inlineStr">
        <is>
          <t>OOH MEDIA</t>
        </is>
      </c>
      <c r="F3" s="33" t="inlineStr">
        <is>
          <t>DAVID</t>
        </is>
      </c>
      <c r="G3" s="33" t="inlineStr">
        <is>
          <t>Spain</t>
        </is>
      </c>
      <c r="H3" s="33" t="inlineStr">
        <is>
          <t>Market Disruption</t>
        </is>
      </c>
      <c r="I3" s="33" t="inlineStr">
        <is>
          <t>https://ascentialcdn.filespin.io/api/v1/conversion/bccb982c43f84748a1973b909b5863d3</t>
        </is>
      </c>
      <c r="J3" s="33" t="inlineStr">
        <is>
          <t>uIR17EmDu7g</t>
        </is>
      </c>
      <c r="L3" s="33" t="inlineStr">
        <is>
          <t>https://www.lovethework.com/work/entries/still-open-758077</t>
        </is>
      </c>
    </row>
    <row r="4">
      <c r="A4" s="33" t="n">
        <v>3</v>
      </c>
      <c r="B4" s="33" t="inlineStr">
        <is>
          <t>Gold</t>
        </is>
      </c>
      <c r="C4" s="33" t="inlineStr">
        <is>
          <t>RENAULT - UN.PATENT</t>
        </is>
      </c>
      <c r="D4" s="33" t="inlineStr">
        <is>
          <t>RENAULT</t>
        </is>
      </c>
      <c r="E4" s="33" t="inlineStr">
        <is>
          <t>INNOVATING TOOLS</t>
        </is>
      </c>
      <c r="F4" s="33" t="inlineStr">
        <is>
          <t>PUBLICIS CONSEIL</t>
        </is>
      </c>
      <c r="G4" s="33" t="inlineStr">
        <is>
          <t>France</t>
        </is>
      </c>
      <c r="H4" s="33" t="inlineStr">
        <is>
          <t>Corporate Purpose &amp; Social Responsibility</t>
        </is>
      </c>
      <c r="I4" s="33" t="inlineStr">
        <is>
          <t>https://ascentialcdn.filespin.io/api/v1/conversion/f8592ba04ed4495d8a51757d790e8679</t>
        </is>
      </c>
      <c r="J4" s="33" t="inlineStr">
        <is>
          <t>yuaAtV_VnC0</t>
        </is>
      </c>
      <c r="L4" s="33" t="inlineStr">
        <is>
          <t>https://www.lovethework.com/work/entries/renault-unpatent-757993</t>
        </is>
      </c>
    </row>
    <row r="5">
      <c r="A5" s="33" t="n">
        <v>4</v>
      </c>
      <c r="B5" s="33" t="inlineStr">
        <is>
          <t>Silver</t>
        </is>
      </c>
      <c r="C5" s="33" t="inlineStr">
        <is>
          <t>RECIPE FOR GROWTH</t>
        </is>
      </c>
      <c r="D5" s="33" t="inlineStr">
        <is>
          <t>IFOOD</t>
        </is>
      </c>
      <c r="E5" s="33" t="inlineStr">
        <is>
          <t>IFOOD B2B</t>
        </is>
      </c>
      <c r="F5" s="33" t="inlineStr">
        <is>
          <t>DM9</t>
        </is>
      </c>
      <c r="G5" s="33" t="inlineStr">
        <is>
          <t>Brazil</t>
        </is>
      </c>
      <c r="H5" s="33" t="inlineStr">
        <is>
          <t>Effectiveness &amp; Measurement</t>
        </is>
      </c>
      <c r="I5" s="33" t="inlineStr">
        <is>
          <t>https://ascentialcdn.filespin.io/api/v1/conversion/06ac79ad1b9840bdb3df3269a42d0933</t>
        </is>
      </c>
      <c r="J5" s="33" t="inlineStr">
        <is>
          <t>vimeo:1080197730</t>
        </is>
      </c>
      <c r="L5" s="33" t="inlineStr">
        <is>
          <t>https://www.lovethework.com/work/entries/recipe-for-growth-757969</t>
        </is>
      </c>
    </row>
    <row r="6">
      <c r="A6" s="33" t="n">
        <v>5</v>
      </c>
      <c r="B6" s="33" t="inlineStr">
        <is>
          <t>Silver</t>
        </is>
      </c>
      <c r="C6" s="33" t="inlineStr">
        <is>
          <t>ESTIBADORES</t>
        </is>
      </c>
      <c r="D6" s="33" t="inlineStr">
        <is>
          <t>MIBANCO</t>
        </is>
      </c>
      <c r="E6" s="33" t="inlineStr">
        <is>
          <t>FINANCIAL INCLUSION PROGRAM</t>
        </is>
      </c>
      <c r="F6" s="33" t="inlineStr">
        <is>
          <t>CIRCUS GREY</t>
        </is>
      </c>
      <c r="G6" s="33" t="inlineStr">
        <is>
          <t>Peru</t>
        </is>
      </c>
      <c r="H6" s="33" t="inlineStr">
        <is>
          <t>Targeting &amp; Engagement</t>
        </is>
      </c>
      <c r="I6" s="33" t="inlineStr">
        <is>
          <t>https://ascentialcdn.filespin.io/api/v1/conversion/5de4650ab9f34ebb8ad0ea4f4bc6b8b5</t>
        </is>
      </c>
      <c r="J6" s="33" t="inlineStr">
        <is>
          <t>ZUXcFSbQ8LA</t>
        </is>
      </c>
      <c r="L6" s="33" t="inlineStr">
        <is>
          <t>https://www.lovethework.com/work/entries/estibadores-759626</t>
        </is>
      </c>
    </row>
    <row r="7">
      <c r="A7" s="33" t="n">
        <v>6</v>
      </c>
      <c r="B7" s="33" t="inlineStr">
        <is>
          <t>Silver</t>
        </is>
      </c>
      <c r="C7" s="33" t="inlineStr">
        <is>
          <t>THE DESK BREAK CLAUSE</t>
        </is>
      </c>
      <c r="D7" s="33" t="inlineStr">
        <is>
          <t>ASICS</t>
        </is>
      </c>
      <c r="E7" s="33" t="inlineStr">
        <is>
          <t>ASICS</t>
        </is>
      </c>
      <c r="F7" s="33" t="inlineStr">
        <is>
          <t>GOLIN</t>
        </is>
      </c>
      <c r="G7" s="33" t="inlineStr">
        <is>
          <t>United Kingdom</t>
        </is>
      </c>
      <c r="H7" s="33" t="inlineStr">
        <is>
          <t>B2B Influencer Marketing</t>
        </is>
      </c>
      <c r="I7" s="33" t="inlineStr">
        <is>
          <t>https://ascentialcdn.filespin.io/api/v1/conversion/859a375f4fc94040a6d0deeea1586fae</t>
        </is>
      </c>
      <c r="J7" s="33" t="inlineStr">
        <is>
          <t>vimeo:1086029094</t>
        </is>
      </c>
      <c r="L7" s="33" t="inlineStr">
        <is>
          <t>https://www.lovethework.com/work/entries/the-desk-break-clause-758238</t>
        </is>
      </c>
    </row>
    <row r="8">
      <c r="A8" s="33" t="n">
        <v>7</v>
      </c>
      <c r="B8" s="33" t="inlineStr">
        <is>
          <t>Silver</t>
        </is>
      </c>
      <c r="C8" s="33" t="inlineStr">
        <is>
          <t>ANIMAL ALERTS</t>
        </is>
      </c>
      <c r="D8" s="33" t="inlineStr">
        <is>
          <t>PETPACE</t>
        </is>
      </c>
      <c r="E8" s="33" t="inlineStr">
        <is>
          <t>ANIMAL ALERTS</t>
        </is>
      </c>
      <c r="F8" s="33" t="inlineStr">
        <is>
          <t>SERVICEPLAN GERMANY</t>
        </is>
      </c>
      <c r="G8" s="33" t="inlineStr">
        <is>
          <t>Germany</t>
        </is>
      </c>
      <c r="H8" s="33" t="inlineStr">
        <is>
          <t>Corporate Purpose &amp; Social Responsibility</t>
        </is>
      </c>
      <c r="I8" s="33" t="inlineStr">
        <is>
          <t>https://ascentialcdn.filespin.io/api/v1/conversion/4c7f3fc5e9e844a883cf1d4bc94c9d58</t>
        </is>
      </c>
      <c r="J8" s="33" t="inlineStr">
        <is>
          <t>kfnhUWM876k</t>
        </is>
      </c>
      <c r="L8" s="33" t="inlineStr">
        <is>
          <t>https://www.lovethework.com/work/entries/animal-alerts-757967</t>
        </is>
      </c>
    </row>
    <row r="9">
      <c r="A9" s="33" t="n">
        <v>8</v>
      </c>
      <c r="B9" s="33" t="inlineStr">
        <is>
          <t>Bronze</t>
        </is>
      </c>
      <c r="C9" s="33" t="inlineStr">
        <is>
          <t>NESCAFÉ - PLANTLETS FOR FUTURE</t>
        </is>
      </c>
      <c r="D9" s="33" t="inlineStr">
        <is>
          <t>NESCAFE</t>
        </is>
      </c>
      <c r="E9" s="33" t="inlineStr">
        <is>
          <t>COFFEE</t>
        </is>
      </c>
      <c r="F9" s="33" t="inlineStr">
        <is>
          <t>PUBLICIS CONSEIL</t>
        </is>
      </c>
      <c r="G9" s="33" t="inlineStr">
        <is>
          <t>France</t>
        </is>
      </c>
      <c r="H9" s="33" t="inlineStr">
        <is>
          <t>Market Disruption</t>
        </is>
      </c>
      <c r="I9" s="33" t="inlineStr">
        <is>
          <t>https://ascentialcdn.filespin.io/api/v1/conversion/84fdb68c2d894cd581682c863718054b</t>
        </is>
      </c>
      <c r="J9" s="33" t="inlineStr">
        <is>
          <t>vimeo:1097814176</t>
        </is>
      </c>
      <c r="L9" s="33" t="inlineStr">
        <is>
          <t>https://www.lovethework.com/work/entries/nescaf-plantlets-for-future-758004</t>
        </is>
      </c>
    </row>
    <row r="10">
      <c r="A10" s="33" t="n">
        <v>9</v>
      </c>
      <c r="B10" s="33" t="inlineStr">
        <is>
          <t>Bronze</t>
        </is>
      </c>
      <c r="C10" s="33" t="inlineStr">
        <is>
          <t>CAPTION WITH INTENTION</t>
        </is>
      </c>
      <c r="D10" s="33" t="inlineStr">
        <is>
          <t>ACADEMY OF MOTION PICTURE ARTS &amp; SCIENCES - RAKISH - CHICAGO HEARING SOCIETY</t>
        </is>
      </c>
      <c r="E10" s="33" t="inlineStr">
        <is>
          <t>CLOSED CAPTIONING</t>
        </is>
      </c>
      <c r="F10" s="33" t="inlineStr">
        <is>
          <t>FCB CHICAGO</t>
        </is>
      </c>
      <c r="G10" s="33" t="inlineStr">
        <is>
          <t>United States</t>
        </is>
      </c>
      <c r="H10" s="33" t="inlineStr">
        <is>
          <t>Innovative use of Content</t>
        </is>
      </c>
      <c r="I10" s="33" t="inlineStr">
        <is>
          <t>https://ascentialcdn.filespin.io/api/v1/conversion/8cee05632e994496abdaa28c9c780583</t>
        </is>
      </c>
      <c r="J10" s="33" t="inlineStr">
        <is>
          <t>F48khKZhKHM</t>
        </is>
      </c>
      <c r="L10" s="33" t="inlineStr">
        <is>
          <t>https://www.lovethework.com/work/entries/caption-with-intention-757997</t>
        </is>
      </c>
    </row>
    <row r="11">
      <c r="A11" s="33" t="n">
        <v>10</v>
      </c>
      <c r="B11" s="33" t="inlineStr">
        <is>
          <t>Bronze</t>
        </is>
      </c>
      <c r="C11" s="33" t="inlineStr">
        <is>
          <t>EVERYBODY'S BUSINESS</t>
        </is>
      </c>
      <c r="D11" s="33" t="inlineStr">
        <is>
          <t>LINKEDIN</t>
        </is>
      </c>
      <c r="E11" s="33" t="inlineStr">
        <is>
          <t>EVERYBODY'S BUSINESS</t>
        </is>
      </c>
      <c r="F11" s="33" t="inlineStr">
        <is>
          <t>LINKEDIN</t>
        </is>
      </c>
      <c r="G11" s="33" t="inlineStr">
        <is>
          <t>Ireland</t>
        </is>
      </c>
      <c r="H11" s="33" t="inlineStr">
        <is>
          <t>Craft in B2B</t>
        </is>
      </c>
      <c r="I11" s="33" t="inlineStr">
        <is>
          <t>https://ascentialcdn.filespin.io/api/v1/conversion/31d78640c4d74a57a9568f3c2153d239</t>
        </is>
      </c>
      <c r="J11" s="33" t="inlineStr">
        <is>
          <t>vimeo:1094885255</t>
        </is>
      </c>
      <c r="L11" s="33" t="inlineStr">
        <is>
          <t>https://www.lovethework.com/work/entries/everybodys-business-760029</t>
        </is>
      </c>
    </row>
    <row r="12">
      <c r="A12" s="33" t="n">
        <v>11</v>
      </c>
      <c r="B12" s="33" t="inlineStr">
        <is>
          <t>Bronze</t>
        </is>
      </c>
      <c r="C12" s="33" t="inlineStr">
        <is>
          <t>PRESERVED PROMOS</t>
        </is>
      </c>
      <c r="D12" s="33" t="inlineStr">
        <is>
          <t>ZIPLOC</t>
        </is>
      </c>
      <c r="E12" s="33" t="inlineStr">
        <is>
          <t>ZIPLOC</t>
        </is>
      </c>
      <c r="F12" s="33" t="inlineStr">
        <is>
          <t>VML</t>
        </is>
      </c>
      <c r="G12" s="33" t="inlineStr">
        <is>
          <t>United States</t>
        </is>
      </c>
      <c r="H12" s="33" t="inlineStr">
        <is>
          <t>Market Disruption</t>
        </is>
      </c>
      <c r="I12" s="33" t="inlineStr">
        <is>
          <t>https://ascentialcdn.filespin.io/api/v1/conversion/8223f25b769b40e3b665c4ec19e2e12c</t>
        </is>
      </c>
      <c r="J12" s="33" t="inlineStr">
        <is>
          <t>F9CTRsV3N7k</t>
        </is>
      </c>
      <c r="L12" s="33" t="inlineStr">
        <is>
          <t>https://www.lovethework.com/work/entries/preserved-promos-758130</t>
        </is>
      </c>
    </row>
    <row r="13">
      <c r="A13" s="33" t="n">
        <v>12</v>
      </c>
      <c r="B13" s="33" t="inlineStr">
        <is>
          <t>Bronze</t>
        </is>
      </c>
      <c r="C13" s="33" t="inlineStr">
        <is>
          <t>STARRING BARS</t>
        </is>
      </c>
      <c r="D13" s="33" t="inlineStr">
        <is>
          <t>HEINEKEN</t>
        </is>
      </c>
      <c r="E13" s="33" t="inlineStr">
        <is>
          <t>HEINEKEN</t>
        </is>
      </c>
      <c r="F13" s="33" t="inlineStr">
        <is>
          <t>LEPUB</t>
        </is>
      </c>
      <c r="G13" s="33" t="inlineStr">
        <is>
          <t>Italy</t>
        </is>
      </c>
      <c r="H13" s="33" t="inlineStr">
        <is>
          <t>Cross-Channel Storytelling</t>
        </is>
      </c>
      <c r="I13" s="33" t="inlineStr">
        <is>
          <t>https://ascentialcdn.filespin.io/api/v1/conversion/6544f095e71a47a39d27334e2404e951</t>
        </is>
      </c>
      <c r="J13" s="33" t="inlineStr">
        <is>
          <t>VNq1oogkrYk</t>
        </is>
      </c>
      <c r="L13" s="33" t="inlineStr">
        <is>
          <t>https://www.lovethework.com/work/entries/starring-bars-757826</t>
        </is>
      </c>
    </row>
    <row r="14">
      <c r="A14" s="33" t="n">
        <v>13</v>
      </c>
      <c r="B14" s="33" t="inlineStr">
        <is>
          <t>Bronze</t>
        </is>
      </c>
      <c r="C14" s="33" t="inlineStr">
        <is>
          <t>RECIPE FOR CHANGE</t>
        </is>
      </c>
      <c r="D14" s="33" t="inlineStr">
        <is>
          <t>ARLA</t>
        </is>
      </c>
      <c r="E14" s="33" t="inlineStr">
        <is>
          <t>PUCK</t>
        </is>
      </c>
      <c r="F14" s="33" t="inlineStr">
        <is>
          <t>FP7 McCANN</t>
        </is>
      </c>
      <c r="G14" s="33" t="inlineStr">
        <is>
          <t>United Arab Emirates</t>
        </is>
      </c>
      <c r="H14" s="33" t="inlineStr">
        <is>
          <t>Targeting &amp; Engagement</t>
        </is>
      </c>
      <c r="I14" s="33" t="inlineStr">
        <is>
          <t>https://ascentialcdn.filespin.io/api/v1/conversion/47493919a45c464ca5a8228f83685d83</t>
        </is>
      </c>
      <c r="J14" s="33" t="inlineStr">
        <is>
          <t>vimeo:1078926878</t>
        </is>
      </c>
      <c r="L14" s="33" t="inlineStr">
        <is>
          <t>https://www.lovethework.com/work/entries/recipe-for-change-758056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THE AMAZON GREENVENTORY</t>
        </is>
      </c>
      <c r="D2" s="33" t="inlineStr">
        <is>
          <t>NATURA</t>
        </is>
      </c>
      <c r="E2" s="33" t="inlineStr">
        <is>
          <t>INSTITUTO NATTURA</t>
        </is>
      </c>
      <c r="F2" s="33" t="inlineStr">
        <is>
          <t>AFRICA CREATIVE DDB</t>
        </is>
      </c>
      <c r="G2" s="33" t="inlineStr">
        <is>
          <t>Brazil</t>
        </is>
      </c>
      <c r="H2" s="33" t="inlineStr">
        <is>
          <t>Life on Land</t>
        </is>
      </c>
      <c r="I2" s="33" t="inlineStr">
        <is>
          <t>https://ascentialcdn.filespin.io/api/v1/conversion/8f27d4982c9f44a0ae99fa41531bda8e</t>
        </is>
      </c>
      <c r="J2" s="33" t="inlineStr">
        <is>
          <t>vimeo:1094885157</t>
        </is>
      </c>
      <c r="L2" s="33" t="inlineStr">
        <is>
          <t>https://www.lovethework.com/work/entries/the-amazon-greenventory-755993</t>
        </is>
      </c>
    </row>
    <row r="3">
      <c r="A3" s="33" t="n">
        <v>2</v>
      </c>
      <c r="B3" s="33" t="inlineStr">
        <is>
          <t>Gold</t>
        </is>
      </c>
      <c r="C3" s="33" t="inlineStr">
        <is>
          <t>MINEFIELD HONEY: HARVESTING HOPE</t>
        </is>
      </c>
      <c r="D3" s="33" t="inlineStr">
        <is>
          <t>KERNEL, MINISTRY OF FOREIGN AFFAIRS OF UKRAINE</t>
        </is>
      </c>
      <c r="E3" s="33" t="inlineStr">
        <is>
          <t>AGRICULTURE</t>
        </is>
      </c>
      <c r="F3" s="33" t="inlineStr">
        <is>
          <t>SAATCHI &amp; SAATCHI UKRAINE</t>
        </is>
      </c>
      <c r="G3" s="33" t="inlineStr">
        <is>
          <t>Ukraine</t>
        </is>
      </c>
      <c r="H3" s="33" t="inlineStr">
        <is>
          <t>Decent Work and Economic Growth</t>
        </is>
      </c>
      <c r="I3" s="33" t="inlineStr">
        <is>
          <t>https://ascentialcdn.filespin.io/api/v1/conversion/e943553f2152499c8182bfce20e7355d</t>
        </is>
      </c>
      <c r="J3" s="33" t="inlineStr">
        <is>
          <t>ABV3K_N7a7k</t>
        </is>
      </c>
      <c r="L3" s="33" t="inlineStr">
        <is>
          <t>https://www.lovethework.com/work/entries/minefield-honey-harvesting-hope-755960</t>
        </is>
      </c>
    </row>
    <row r="4">
      <c r="A4" s="33" t="n">
        <v>3</v>
      </c>
      <c r="B4" s="33" t="inlineStr">
        <is>
          <t>Gold</t>
        </is>
      </c>
      <c r="C4" s="33" t="inlineStr">
        <is>
          <t>RESEARCH MY BODY</t>
        </is>
      </c>
      <c r="D4" s="33" t="inlineStr">
        <is>
          <t>GRUPO BOTICÁRIO</t>
        </is>
      </c>
      <c r="E4" s="33" t="inlineStr">
        <is>
          <t>WOMEN'S RESEARCH CENTER\t</t>
        </is>
      </c>
      <c r="F4" s="33" t="inlineStr">
        <is>
          <t>GUT</t>
        </is>
      </c>
      <c r="G4" s="33" t="inlineStr">
        <is>
          <t>Brazil</t>
        </is>
      </c>
      <c r="H4" s="33" t="inlineStr">
        <is>
          <t>Good Health and Well-being</t>
        </is>
      </c>
      <c r="I4" s="33" t="inlineStr">
        <is>
          <t>https://ascentialcdn.filespin.io/api/v1/conversion/01a0aba05ed745cf8b40b9f6719fff6a</t>
        </is>
      </c>
      <c r="J4" s="33" t="inlineStr">
        <is>
          <t>vimeo:1091039142</t>
        </is>
      </c>
      <c r="L4" s="33" t="inlineStr">
        <is>
          <t>https://www.lovethework.com/work/entries/research-my-body-755612</t>
        </is>
      </c>
    </row>
    <row r="5">
      <c r="A5" s="33" t="n">
        <v>4</v>
      </c>
      <c r="B5" s="33" t="inlineStr">
        <is>
          <t>Gold</t>
        </is>
      </c>
      <c r="C5" s="33" t="inlineStr">
        <is>
          <t>RECIPE FOR CHANGE</t>
        </is>
      </c>
      <c r="D5" s="33" t="inlineStr">
        <is>
          <t>ARLA</t>
        </is>
      </c>
      <c r="E5" s="33" t="inlineStr">
        <is>
          <t>PUCK</t>
        </is>
      </c>
      <c r="F5" s="33" t="inlineStr">
        <is>
          <t>FP7 McCANN</t>
        </is>
      </c>
      <c r="G5" s="33" t="inlineStr">
        <is>
          <t>United Arab Emirates</t>
        </is>
      </c>
      <c r="H5" s="33" t="inlineStr">
        <is>
          <t>Poverty</t>
        </is>
      </c>
      <c r="I5" s="33" t="inlineStr">
        <is>
          <t>https://ascentialcdn.filespin.io/api/v1/conversion/d51c95f53aaf474ba9faba5a10094bd0</t>
        </is>
      </c>
      <c r="J5" s="33" t="inlineStr">
        <is>
          <t>vimeo:1078926878</t>
        </is>
      </c>
      <c r="L5" s="33" t="inlineStr">
        <is>
          <t>https://www.lovethework.com/work/entries/recipe-for-change-755679</t>
        </is>
      </c>
    </row>
    <row r="6">
      <c r="A6" s="33" t="n">
        <v>5</v>
      </c>
      <c r="B6" s="33" t="inlineStr">
        <is>
          <t>Gold</t>
        </is>
      </c>
      <c r="C6" s="33" t="inlineStr">
        <is>
          <t>SOUNDS RIGHT</t>
        </is>
      </c>
      <c r="D6" s="33" t="inlineStr">
        <is>
          <t>MUSEUM FOR THE UNITED NATIONS - UN LIVE, SPOTIFY</t>
        </is>
      </c>
      <c r="E6" s="33" t="inlineStr">
        <is>
          <t>MUSIC</t>
        </is>
      </c>
      <c r="F6" s="33" t="inlineStr">
        <is>
          <t>AKQA</t>
        </is>
      </c>
      <c r="G6" s="33" t="inlineStr">
        <is>
          <t>Denmark</t>
        </is>
      </c>
      <c r="H6" s="33" t="inlineStr">
        <is>
          <t>Climate Action</t>
        </is>
      </c>
      <c r="I6" s="33" t="inlineStr">
        <is>
          <t>https://ascentialcdn.filespin.io/api/v1/conversion/10360044a9be467286965f70b39a984b</t>
        </is>
      </c>
      <c r="J6" s="33" t="inlineStr">
        <is>
          <t>vimeo:1094746280</t>
        </is>
      </c>
      <c r="L6" s="33" t="inlineStr">
        <is>
          <t>https://www.lovethework.com/work/entries/sounds-right-755775</t>
        </is>
      </c>
    </row>
    <row r="7">
      <c r="A7" s="33" t="n">
        <v>6</v>
      </c>
      <c r="B7" s="33" t="inlineStr">
        <is>
          <t>Silver</t>
        </is>
      </c>
      <c r="C7" s="33" t="inlineStr">
        <is>
          <t>ARIEL #SHARETHELOAD (10 YEARS)</t>
        </is>
      </c>
      <c r="D7" s="33" t="inlineStr">
        <is>
          <t>ARIEL</t>
        </is>
      </c>
      <c r="E7" s="33" t="inlineStr">
        <is>
          <t>ARIEL LAUNDRY DETERGENT</t>
        </is>
      </c>
      <c r="F7" s="33" t="inlineStr">
        <is>
          <t>BBDO INDIA</t>
        </is>
      </c>
      <c r="G7" s="33" t="inlineStr">
        <is>
          <t>India</t>
        </is>
      </c>
      <c r="H7" s="33" t="inlineStr">
        <is>
          <t>Long-Term Brand Platform</t>
        </is>
      </c>
      <c r="I7" s="33" t="inlineStr">
        <is>
          <t>https://ascentialcdn.filespin.io/api/v1/conversion/1e1df1c7a74a4897a3f75a7a38e60d27</t>
        </is>
      </c>
      <c r="J7" s="33" t="inlineStr">
        <is>
          <t>AL88aQPBlnU</t>
        </is>
      </c>
      <c r="L7" s="33" t="inlineStr">
        <is>
          <t>https://www.lovethework.com/work/entries/ariel-sharetheload-10-years-759693</t>
        </is>
      </c>
    </row>
    <row r="8">
      <c r="A8" s="33" t="n">
        <v>7</v>
      </c>
      <c r="B8" s="33" t="inlineStr">
        <is>
          <t>Silver</t>
        </is>
      </c>
      <c r="C8" s="33" t="inlineStr">
        <is>
          <t>THE DOVE CODE</t>
        </is>
      </c>
      <c r="D8" s="33" t="inlineStr">
        <is>
          <t>DOVE, DROGA5</t>
        </is>
      </c>
      <c r="E8" s="33" t="inlineStr">
        <is>
          <t>DOVE</t>
        </is>
      </c>
      <c r="F8" s="33" t="inlineStr">
        <is>
          <t>PART OF ACCENTURE SONG</t>
        </is>
      </c>
      <c r="G8" s="33" t="inlineStr">
        <is>
          <t>Brazil</t>
        </is>
      </c>
      <c r="H8" s="33" t="inlineStr">
        <is>
          <t>Gender Equality</t>
        </is>
      </c>
      <c r="I8" s="33" t="inlineStr">
        <is>
          <t>https://ascentialcdn.filespin.io/api/v1/conversion/aab2b49f4bde4aef88d22006ef903d54</t>
        </is>
      </c>
      <c r="J8" s="33" t="inlineStr">
        <is>
          <t>L4o03Hrxgzg</t>
        </is>
      </c>
      <c r="L8" s="33" t="inlineStr">
        <is>
          <t>https://www.lovethework.com/work/entries/the-dove-code-755937</t>
        </is>
      </c>
    </row>
    <row r="9">
      <c r="A9" s="33" t="n">
        <v>8</v>
      </c>
      <c r="B9" s="33" t="inlineStr">
        <is>
          <t>Silver</t>
        </is>
      </c>
      <c r="C9" s="33" t="inlineStr">
        <is>
          <t>OMNILIVERY</t>
        </is>
      </c>
      <c r="D9" s="33" t="inlineStr">
        <is>
          <t>OMNI</t>
        </is>
      </c>
      <c r="E9" s="33" t="inlineStr">
        <is>
          <t>MOBILITY SYSTEM FOR WHEELCHAIR</t>
        </is>
      </c>
      <c r="F9" s="33" t="inlineStr">
        <is>
          <t>SAATCHI &amp; SAATCHI FRANCE</t>
        </is>
      </c>
      <c r="G9" s="33" t="inlineStr">
        <is>
          <t>France</t>
        </is>
      </c>
      <c r="H9" s="33" t="inlineStr">
        <is>
          <t>Reduced Inequalities</t>
        </is>
      </c>
      <c r="I9" s="33" t="inlineStr">
        <is>
          <t>https://ascentialcdn.filespin.io/api/v1/conversion/38cbe1a6ee444db186b748c9da630bdc</t>
        </is>
      </c>
      <c r="J9" s="33" t="inlineStr">
        <is>
          <t>vimeo:1158377325</t>
        </is>
      </c>
      <c r="L9" s="33" t="inlineStr">
        <is>
          <t>https://www.lovethework.com/work/entries/omnilivery-756098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ANIMAL ALERTS</t>
        </is>
      </c>
      <c r="D10" s="33" t="inlineStr">
        <is>
          <t>PETPACE</t>
        </is>
      </c>
      <c r="E10" s="33" t="inlineStr">
        <is>
          <t>ANIMAL ALERTS</t>
        </is>
      </c>
      <c r="F10" s="33" t="inlineStr">
        <is>
          <t>SERVICEPLAN GERMANY</t>
        </is>
      </c>
      <c r="G10" s="33" t="inlineStr">
        <is>
          <t>Germany</t>
        </is>
      </c>
      <c r="H10" s="33" t="inlineStr">
        <is>
          <t>Good Health and Well-being</t>
        </is>
      </c>
      <c r="I10" s="33" t="inlineStr">
        <is>
          <t>https://ascentialcdn.filespin.io/api/v1/conversion/4c7f3fc5e9e844a883cf1d4bc94c9d58</t>
        </is>
      </c>
      <c r="J10" s="33" t="inlineStr">
        <is>
          <t>kfnhUWM876k</t>
        </is>
      </c>
      <c r="L10" s="33" t="inlineStr">
        <is>
          <t>https://www.lovethework.com/work/entries/animal-alerts-755614</t>
        </is>
      </c>
    </row>
    <row r="11">
      <c r="A11" s="33" t="n">
        <v>10</v>
      </c>
      <c r="B11" s="33" t="inlineStr">
        <is>
          <t>Bronze</t>
        </is>
      </c>
      <c r="C11" s="33" t="inlineStr">
        <is>
          <t>THE BEST PLACE IN THE WORLD TO HAVE HERPES</t>
        </is>
      </c>
      <c r="D11" s="33" t="inlineStr">
        <is>
          <t>NEW ZEALAND HERPES FOUNDATION</t>
        </is>
      </c>
      <c r="E11" s="33" t="inlineStr">
        <is>
          <t>NEW ZEALAND HERPES FOUNDATION</t>
        </is>
      </c>
      <c r="F11" s="33" t="inlineStr">
        <is>
          <t>FINCH</t>
        </is>
      </c>
      <c r="G11" s="33" t="inlineStr">
        <is>
          <t>Australia</t>
        </is>
      </c>
      <c r="H11" s="33" t="inlineStr">
        <is>
          <t>Good Health and Well-being</t>
        </is>
      </c>
      <c r="I11" s="33" t="inlineStr">
        <is>
          <t>https://ascentialcdn.filespin.io/api/v1/conversion/5d4b1b0582c5428bafb14fcc9670d1dc</t>
        </is>
      </c>
      <c r="J11" s="33" t="inlineStr">
        <is>
          <t>vimeo:1083074994</t>
        </is>
      </c>
      <c r="L11" s="33" t="inlineStr">
        <is>
          <t>https://www.lovethework.com/work/entries/the-best-place-in-the-world-to-have-herpes-755748</t>
        </is>
      </c>
    </row>
    <row r="12">
      <c r="A12" s="33" t="n">
        <v>11</v>
      </c>
      <c r="B12" s="33" t="inlineStr">
        <is>
          <t>Bronze</t>
        </is>
      </c>
      <c r="C12" s="33" t="inlineStr">
        <is>
          <t>REEF PROTECTION FACTOR</t>
        </is>
      </c>
      <c r="D12" s="33" t="inlineStr">
        <is>
          <t>STREAM2SEA</t>
        </is>
      </c>
      <c r="E12" s="33" t="inlineStr">
        <is>
          <t>CORAL CARE &amp; RPF</t>
        </is>
      </c>
      <c r="F12" s="33" t="inlineStr">
        <is>
          <t>McCANN DEMAND</t>
        </is>
      </c>
      <c r="G12" s="33" t="inlineStr">
        <is>
          <t>United Kingdom</t>
        </is>
      </c>
      <c r="H12" s="33" t="inlineStr">
        <is>
          <t>Life Below Water</t>
        </is>
      </c>
      <c r="I12" s="33" t="inlineStr">
        <is>
          <t>https://ascentialcdn.filespin.io/api/v1/conversion/632753c2e0e444898a416c5bbd6272fb</t>
        </is>
      </c>
      <c r="J12" s="33" t="inlineStr">
        <is>
          <t>vimeo:1083456679</t>
        </is>
      </c>
      <c r="L12" s="33" t="inlineStr">
        <is>
          <t>https://www.lovethework.com/work/entries/reef-protection-factor-755941</t>
        </is>
      </c>
    </row>
    <row r="13">
      <c r="A13" s="33" t="n">
        <v>12</v>
      </c>
      <c r="B13" s="33" t="inlineStr">
        <is>
          <t>Bronze</t>
        </is>
      </c>
      <c r="C13" s="33" t="inlineStr">
        <is>
          <t>WILDFIRE WATCHTOWERS</t>
        </is>
      </c>
      <c r="D13" s="33" t="inlineStr">
        <is>
          <t>ROGERS</t>
        </is>
      </c>
      <c r="E13" s="33" t="inlineStr">
        <is>
          <t>ROGERS</t>
        </is>
      </c>
      <c r="F13" s="33" t="inlineStr">
        <is>
          <t>PUBLICIS CANADA</t>
        </is>
      </c>
      <c r="G13" s="33" t="inlineStr">
        <is>
          <t>Canada</t>
        </is>
      </c>
      <c r="H13" s="33" t="inlineStr">
        <is>
          <t>Climate Action</t>
        </is>
      </c>
      <c r="I13" s="33" t="inlineStr">
        <is>
          <t>https://ascentialcdn.filespin.io/api/v1/conversion/5cc44dd478364c8f89e74997da34c416</t>
        </is>
      </c>
      <c r="L13" s="33" t="inlineStr">
        <is>
          <t>https://www.lovethework.com/work/entries/wildfire-watchtowers-755880</t>
        </is>
      </c>
    </row>
    <row r="14">
      <c r="A14" s="33" t="n">
        <v>13</v>
      </c>
      <c r="B14" s="33" t="inlineStr">
        <is>
          <t>Bronze</t>
        </is>
      </c>
      <c r="C14" s="33" t="inlineStr">
        <is>
          <t>SOS BEES</t>
        </is>
      </c>
      <c r="D14" s="33" t="inlineStr">
        <is>
          <t>ABINBEV</t>
        </is>
      </c>
      <c r="E14" s="33" t="inlineStr">
        <is>
          <t>Consumer Goods</t>
        </is>
      </c>
      <c r="F14" s="33" t="inlineStr">
        <is>
          <t>AFRICA CREATIVE DDB</t>
        </is>
      </c>
      <c r="G14" s="33" t="inlineStr">
        <is>
          <t>Brazil</t>
        </is>
      </c>
      <c r="H14" s="33" t="inlineStr">
        <is>
          <t>Sustainable Cities and Communities</t>
        </is>
      </c>
      <c r="I14" s="33" t="inlineStr">
        <is>
          <t>https://ascentialcdn.filespin.io/api/v1/conversion/43c463221a2f4400b93862d1c5538078</t>
        </is>
      </c>
      <c r="J14" s="33" t="inlineStr">
        <is>
          <t>vimeo:1095117362</t>
        </is>
      </c>
      <c r="L14" s="33" t="inlineStr">
        <is>
          <t>https://www.lovethework.com/work/entries/sos-bees-755943</t>
        </is>
      </c>
    </row>
    <row r="15">
      <c r="A15" s="33" t="n">
        <v>14</v>
      </c>
      <c r="B15" s="33" t="inlineStr">
        <is>
          <t>Bronze</t>
        </is>
      </c>
      <c r="C15" s="33" t="inlineStr">
        <is>
          <t>SALTANAT LIGHT</t>
        </is>
      </c>
      <c r="D15" s="33" t="inlineStr">
        <is>
          <t>CITIX</t>
        </is>
      </c>
      <c r="E15" s="33" t="inlineStr">
        <is>
          <t>CITIX</t>
        </is>
      </c>
      <c r="F15" s="33" t="inlineStr">
        <is>
          <t>GFORCE</t>
        </is>
      </c>
      <c r="G15" s="33" t="inlineStr">
        <is>
          <t>Kazakhstan</t>
        </is>
      </c>
      <c r="H15" s="33" t="inlineStr">
        <is>
          <t>Gender Equality</t>
        </is>
      </c>
      <c r="I15" s="33" t="inlineStr">
        <is>
          <t>https://ascentialcdn.filespin.io/api/v1/conversion/68f2c53ebcea42bd9ab7b58852b5aa95</t>
        </is>
      </c>
      <c r="J15" s="33" t="inlineStr">
        <is>
          <t>POZJDa6y23g</t>
        </is>
      </c>
      <c r="L15" s="33" t="inlineStr">
        <is>
          <t>https://www.lovethework.com/work/entries/saltanat-light-758763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NOBODY SHOULD DIE AT XMAS</t>
        </is>
      </c>
      <c r="D16" s="33" t="inlineStr">
        <is>
          <t>OPEN ARMS</t>
        </is>
      </c>
      <c r="E16" s="33" t="inlineStr">
        <is>
          <t>CHRISTMAS CAMPAIGN</t>
        </is>
      </c>
      <c r="F16" s="33" t="inlineStr">
        <is>
          <t>DOUBLEYOU</t>
        </is>
      </c>
      <c r="G16" s="33" t="inlineStr">
        <is>
          <t>Spain</t>
        </is>
      </c>
      <c r="H16" s="33" t="inlineStr">
        <is>
          <t>Peace, Justice and Strong Institutions</t>
        </is>
      </c>
      <c r="I16" s="33" t="inlineStr">
        <is>
          <t>https://ascentialcdn.filespin.io/api/v1/conversion/1b883e0ec2f648dea7bf17849408f188</t>
        </is>
      </c>
      <c r="J16" s="33" t="inlineStr">
        <is>
          <t>vimeo:951451298</t>
        </is>
      </c>
      <c r="L16" s="33" t="inlineStr">
        <is>
          <t>https://www.lovethework.com/work/entries/nobody-should-die-at-xmas-756056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HOW DOVE TOOK ON A NEW ERA OF TOXIC BEAUTY</t>
        </is>
      </c>
      <c r="D17" s="33" t="inlineStr">
        <is>
          <t>DOVE</t>
        </is>
      </c>
      <c r="E17" s="33" t="inlineStr">
        <is>
          <t>DOVE</t>
        </is>
      </c>
      <c r="F17" s="33" t="inlineStr">
        <is>
          <t>OGILVY UK</t>
        </is>
      </c>
      <c r="G17" s="33" t="inlineStr">
        <is>
          <t>United Kingdom</t>
        </is>
      </c>
      <c r="H17" s="33" t="inlineStr">
        <is>
          <t>Long-Term Brand Platform</t>
        </is>
      </c>
      <c r="I17" s="33" t="inlineStr">
        <is>
          <t>digital-presentation-images/sustainable-development-goals-dove-how-dove-took-on-a-new-era-of-toxic-beauty.webp</t>
        </is>
      </c>
      <c r="L17" s="33" t="inlineStr">
        <is>
          <t>https://www.lovethework.com/work/entries/how-dove-took-on-a-new-era-of-toxic-beauty-765307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TRACKING BAD BUNNY</t>
        </is>
      </c>
      <c r="D2" s="33" t="inlineStr">
        <is>
          <t>RIMAS MUSIC</t>
        </is>
      </c>
      <c r="E2" s="33" t="inlineStr">
        <is>
          <t>BAD BUNNY</t>
        </is>
      </c>
      <c r="F2" s="33" t="inlineStr">
        <is>
          <t>DDB LATINA PUERTO RICO</t>
        </is>
      </c>
      <c r="G2" s="33" t="inlineStr">
        <is>
          <t>Puerto Rico</t>
        </is>
      </c>
      <c r="H2" s="33" t="inlineStr">
        <is>
          <t>Cultural Engagement</t>
        </is>
      </c>
      <c r="I2" s="33" t="inlineStr">
        <is>
          <t>https://ascentialcdn.filespin.io/api/v1/conversion/6d3d67544e4a4fe7baad1c1b50560274</t>
        </is>
      </c>
      <c r="J2" s="33" t="inlineStr">
        <is>
          <t>hPLaT_JT9Zw</t>
        </is>
      </c>
      <c r="L2" s="33" t="inlineStr">
        <is>
          <t>https://www.lovethework.com/work/entries/tracking-bad-bunny-760320</t>
        </is>
      </c>
    </row>
    <row r="3">
      <c r="A3" s="33" t="n">
        <v>2</v>
      </c>
      <c r="B3" s="33" t="inlineStr">
        <is>
          <t>Gold</t>
        </is>
      </c>
      <c r="C3" s="33" t="inlineStr">
        <is>
          <t>A$AP ROCKY - TAILOR SWIF</t>
        </is>
      </c>
      <c r="D3" s="33" t="inlineStr">
        <is>
          <t>A$AP ROCKY</t>
        </is>
      </c>
      <c r="E3" s="33" t="inlineStr">
        <is>
          <t>A$AP ROCKY</t>
        </is>
      </c>
      <c r="F3" s="33" t="inlineStr">
        <is>
          <t>ICONOCLAST</t>
        </is>
      </c>
      <c r="G3" s="33" t="inlineStr">
        <is>
          <t>United States</t>
        </is>
      </c>
      <c r="H3" s="33" t="inlineStr">
        <is>
          <t>Excellence in Music Video</t>
        </is>
      </c>
      <c r="I3" s="33" t="inlineStr">
        <is>
          <t>https://ascentialcdn.filespin.io/api/v1/storyboard/7819511744634f7a81824e1b2a278ae1/storyboard_000008.jpg</t>
        </is>
      </c>
      <c r="J3" s="33" t="inlineStr">
        <is>
          <t>5URefVYaJrA</t>
        </is>
      </c>
      <c r="L3" s="33" t="inlineStr">
        <is>
          <t>https://www.lovethework.com/work/entries/aap-rocky-tailor-swif-754915</t>
        </is>
      </c>
    </row>
    <row r="4">
      <c r="A4" s="33" t="n">
        <v>3</v>
      </c>
      <c r="B4" s="33" t="inlineStr">
        <is>
          <t>Gold</t>
        </is>
      </c>
      <c r="C4" s="33" t="inlineStr">
        <is>
          <t>HEY JUDE</t>
        </is>
      </c>
      <c r="D4" s="33" t="inlineStr">
        <is>
          <t>ADIDAS</t>
        </is>
      </c>
      <c r="E4" s="33" t="inlineStr">
        <is>
          <t>ADIDAS</t>
        </is>
      </c>
      <c r="F4" s="33" t="inlineStr">
        <is>
          <t>JOHANNES LEONARDO</t>
        </is>
      </c>
      <c r="G4" s="33" t="inlineStr">
        <is>
          <t>United States</t>
        </is>
      </c>
      <c r="H4" s="33" t="inlineStr">
        <is>
          <t>Use of Licensed/Adapted Music</t>
        </is>
      </c>
      <c r="I4" s="33" t="inlineStr">
        <is>
          <t>https://ascentialcdn.filespin.io/api/v1/conversion/c5b4d99a1f714aea8f5124ebd5d701f7</t>
        </is>
      </c>
      <c r="J4" s="33" t="inlineStr">
        <is>
          <t>aoOfn_W8PWg</t>
        </is>
      </c>
      <c r="L4" s="33" t="inlineStr">
        <is>
          <t>https://www.lovethework.com/work/entries/hey-jude-754810</t>
        </is>
      </c>
    </row>
    <row r="5">
      <c r="A5" s="33" t="n">
        <v>4</v>
      </c>
      <c r="B5" s="33" t="inlineStr">
        <is>
          <t>Gold</t>
        </is>
      </c>
      <c r="C5" s="33" t="inlineStr">
        <is>
          <t>ABRACADABRA: FROM FAN TO FEATURED</t>
        </is>
      </c>
      <c r="D5" s="33" t="inlineStr">
        <is>
          <t>MASTERCARD</t>
        </is>
      </c>
      <c r="E5" s="33" t="inlineStr">
        <is>
          <t>MASTERCARD</t>
        </is>
      </c>
      <c r="F5" s="33" t="inlineStr">
        <is>
          <t>McCANN XBC</t>
        </is>
      </c>
      <c r="G5" s="33" t="inlineStr">
        <is>
          <t>United States</t>
        </is>
      </c>
      <c r="H5" s="33" t="inlineStr">
        <is>
          <t>Fan Engagement/Community Building</t>
        </is>
      </c>
      <c r="I5" s="33" t="inlineStr">
        <is>
          <t>https://ascentialcdn.filespin.io/api/v1/conversion/0b4f8069282647798e50f403983c1f06</t>
        </is>
      </c>
      <c r="J5" s="33" t="inlineStr">
        <is>
          <t>vimeo:1093143827</t>
        </is>
      </c>
      <c r="L5" s="33" t="inlineStr">
        <is>
          <t>https://www.lovethework.com/work/entries/abracadabra-from-fan-to-featured-759657</t>
        </is>
      </c>
    </row>
    <row r="6">
      <c r="A6" s="33" t="n">
        <v>5</v>
      </c>
      <c r="B6" s="33" t="inlineStr">
        <is>
          <t>Silver</t>
        </is>
      </c>
      <c r="C6" s="33" t="inlineStr">
        <is>
          <t>ME FEAT. ME</t>
        </is>
      </c>
      <c r="D6" s="33" t="inlineStr">
        <is>
          <t>NOSOTRAS</t>
        </is>
      </c>
      <c r="E6" s="33" t="inlineStr">
        <is>
          <t>NOSOTRAS</t>
        </is>
      </c>
      <c r="F6" s="33" t="inlineStr">
        <is>
          <t>DDB CHILE</t>
        </is>
      </c>
      <c r="G6" s="33" t="inlineStr">
        <is>
          <t>Chile</t>
        </is>
      </c>
      <c r="H6" s="33" t="inlineStr">
        <is>
          <t>Cultural Engagement</t>
        </is>
      </c>
      <c r="I6" s="33" t="inlineStr">
        <is>
          <t>https://ascentialcdn.filespin.io/api/v1/conversion/a6ac5c5dd4fc4487966ae01ac52f95ff</t>
        </is>
      </c>
      <c r="J6" s="33" t="inlineStr">
        <is>
          <t>vimeo:1093833141</t>
        </is>
      </c>
      <c r="L6" s="33" t="inlineStr">
        <is>
          <t>https://www.lovethework.com/work/entries/me-feat-me-755132</t>
        </is>
      </c>
    </row>
    <row r="7">
      <c r="A7" s="33" t="n">
        <v>6</v>
      </c>
      <c r="B7" s="33" t="inlineStr">
        <is>
          <t>Silver</t>
        </is>
      </c>
      <c r="C7" s="33" t="inlineStr">
        <is>
          <t>"LOVE"</t>
        </is>
      </c>
      <c r="D7" s="33" t="inlineStr">
        <is>
          <t>OK GO</t>
        </is>
      </c>
      <c r="F7" s="33" t="inlineStr">
        <is>
          <t>SPECIALGUEST</t>
        </is>
      </c>
      <c r="H7" s="33" t="inlineStr">
        <is>
          <t>Excellence in Music Video</t>
        </is>
      </c>
      <c r="I7" s="33" t="inlineStr">
        <is>
          <t>digital-presentation-images/entertainment-lions-for-music-ok-go-love.webp</t>
        </is>
      </c>
      <c r="J7" s="33" t="inlineStr">
        <is>
          <t>gz9BRl7DVSM</t>
        </is>
      </c>
      <c r="K7" s="33" t="n"/>
      <c r="L7" s="33" t="inlineStr">
        <is>
          <t>https://www.lovethework.com/work/entries/love-754922</t>
        </is>
      </c>
    </row>
    <row r="8">
      <c r="A8" s="33" t="n">
        <v>7</v>
      </c>
      <c r="B8" s="33" t="inlineStr">
        <is>
          <t>Silver</t>
        </is>
      </c>
      <c r="C8" s="33" t="inlineStr">
        <is>
          <t>TENNESSEE SOUND SITES</t>
        </is>
      </c>
      <c r="D8" s="33" t="inlineStr">
        <is>
          <t>TENNESSEE DEPARTMENT OF TOURIST DEVELOPMENT</t>
        </is>
      </c>
      <c r="E8" s="33" t="inlineStr">
        <is>
          <t>TENNESSEE DEPARTMENT OF TOURIST DEVELOPMENT</t>
        </is>
      </c>
      <c r="F8" s="33" t="inlineStr">
        <is>
          <t>VML</t>
        </is>
      </c>
      <c r="G8" s="33" t="inlineStr">
        <is>
          <t>United States</t>
        </is>
      </c>
      <c r="H8" s="33" t="inlineStr">
        <is>
          <t>Diversity &amp; Inclusion in Music</t>
        </is>
      </c>
      <c r="I8" s="33" t="inlineStr">
        <is>
          <t>https://ascentialcdn.filespin.io/api/v1/conversion/eb513fac29984db2811524e932026062</t>
        </is>
      </c>
      <c r="J8" s="33" t="inlineStr">
        <is>
          <t>cE9pTxrtkjk</t>
        </is>
      </c>
      <c r="L8" s="33" t="inlineStr">
        <is>
          <t>https://www.lovethework.com/work/entries/tennessee-sound-sites-755015</t>
        </is>
      </c>
    </row>
    <row r="9">
      <c r="A9" s="33" t="n">
        <v>8</v>
      </c>
      <c r="B9" s="33" t="inlineStr">
        <is>
          <t>Silver</t>
        </is>
      </c>
      <c r="C9" s="33" t="inlineStr">
        <is>
          <t>THE GIRL WHO PLAYED THE TUTARI</t>
        </is>
      </c>
      <c r="D9" s="33" t="inlineStr">
        <is>
          <t>COCA-COLA</t>
        </is>
      </c>
      <c r="E9" s="33" t="inlineStr">
        <is>
          <t>COKE STUDIO BHARAT</t>
        </is>
      </c>
      <c r="F9" s="33" t="inlineStr">
        <is>
          <t>VML</t>
        </is>
      </c>
      <c r="G9" s="33" t="inlineStr">
        <is>
          <t>India</t>
        </is>
      </c>
      <c r="H9" s="33" t="inlineStr">
        <is>
          <t>Cultural Engagement</t>
        </is>
      </c>
      <c r="I9" s="33" t="inlineStr">
        <is>
          <t>digital-presentation-images/entertainment-lions-for-music-coca-cola-the-girl-who-played-the-tutari.webp</t>
        </is>
      </c>
      <c r="J9" s="33" t="inlineStr">
        <is>
          <t>vimeo:1073423333</t>
        </is>
      </c>
      <c r="L9" s="33" t="inlineStr">
        <is>
          <t>https://www.lovethework.com/work/entries/the-girl-who-played-the-tutari-754967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LITTLE SIMZ 'FLOOD'</t>
        </is>
      </c>
      <c r="D10" s="33" t="inlineStr">
        <is>
          <t>LITTLE SIMZ</t>
        </is>
      </c>
      <c r="E10" s="33" t="inlineStr">
        <is>
          <t>FILM</t>
        </is>
      </c>
      <c r="F10" s="33" t="inlineStr">
        <is>
          <t>PRETTYBIRD</t>
        </is>
      </c>
      <c r="G10" s="33" t="inlineStr">
        <is>
          <t>United Kingdom</t>
        </is>
      </c>
      <c r="H10" s="33" t="inlineStr">
        <is>
          <t>Excellence in Music Video</t>
        </is>
      </c>
      <c r="I10" s="33" t="inlineStr">
        <is>
          <t>https://ascentialcdn.filespin.io/api/v1/conversion/17f5e6466cc04660b48ef8ef11bb211e</t>
        </is>
      </c>
      <c r="J10" s="33" t="inlineStr">
        <is>
          <t>GvrNPiz7rHw</t>
        </is>
      </c>
      <c r="L10" s="33" t="inlineStr">
        <is>
          <t>https://www.lovethework.com/work/entries/little-simz-flood-754835</t>
        </is>
      </c>
    </row>
    <row r="11">
      <c r="A11" s="33" t="n">
        <v>10</v>
      </c>
      <c r="B11" s="33" t="inlineStr">
        <is>
          <t>Bronze</t>
        </is>
      </c>
      <c r="C11" s="33" t="inlineStr">
        <is>
          <t>KENDRICK LAMAR + APPLE MUSIC'S SUPER BOWL HALFTIME SHOW CAMPAIGN</t>
        </is>
      </c>
      <c r="D11" s="33" t="inlineStr">
        <is>
          <t>APPLE</t>
        </is>
      </c>
      <c r="E11" s="33" t="inlineStr">
        <is>
          <t>APPLE MUSIC</t>
        </is>
      </c>
      <c r="F11" s="33" t="inlineStr">
        <is>
          <t>APPLE</t>
        </is>
      </c>
      <c r="G11" s="33" t="inlineStr">
        <is>
          <t>United States</t>
        </is>
      </c>
      <c r="H11" s="33" t="inlineStr">
        <is>
          <t>Partnerships with Music Talent</t>
        </is>
      </c>
      <c r="I11" s="33" t="inlineStr">
        <is>
          <t>https://ascentialcdn.filespin.io/api/v1/conversion/4e38334504284effbc474e7a3273d412</t>
        </is>
      </c>
      <c r="J11" s="33" t="inlineStr">
        <is>
          <t>vimeo:1094223419</t>
        </is>
      </c>
      <c r="L11" s="33" t="inlineStr">
        <is>
          <t>https://www.lovethework.com/work/entries/kendrick-lamar-apple-musics-super-bowl-halftime-show-campaign-755001</t>
        </is>
      </c>
    </row>
    <row r="12">
      <c r="A12" s="33" t="n">
        <v>11</v>
      </c>
      <c r="B12" s="33" t="inlineStr">
        <is>
          <t>Bronze</t>
        </is>
      </c>
      <c r="C12" s="33" t="inlineStr">
        <is>
          <t>THE LAST TIMBIT</t>
        </is>
      </c>
      <c r="D12" s="33" t="inlineStr">
        <is>
          <t>TIM HORTONS</t>
        </is>
      </c>
      <c r="E12" s="33" t="inlineStr">
        <is>
          <t>TIM HORTONS</t>
        </is>
      </c>
      <c r="F12" s="33" t="inlineStr">
        <is>
          <t>GUT</t>
        </is>
      </c>
      <c r="G12" s="33" t="inlineStr">
        <is>
          <t>Canada</t>
        </is>
      </c>
      <c r="H12" s="33" t="inlineStr">
        <is>
          <t>Use of Original Composition</t>
        </is>
      </c>
      <c r="I12" s="33" t="inlineStr">
        <is>
          <t>https://ascentialcdn.filespin.io/api/v1/conversion/f0419f522ab74225a6515a6514c036ec</t>
        </is>
      </c>
      <c r="J12" s="33" t="inlineStr">
        <is>
          <t>vimeo:1094221778</t>
        </is>
      </c>
      <c r="L12" s="33" t="inlineStr">
        <is>
          <t>https://www.lovethework.com/work/entries/the-last-timbit-762830</t>
        </is>
      </c>
    </row>
    <row r="13">
      <c r="A13" s="33" t="n">
        <v>12</v>
      </c>
      <c r="B13" s="33" t="inlineStr">
        <is>
          <t>Bronze</t>
        </is>
      </c>
      <c r="C13" s="33" t="inlineStr">
        <is>
          <t>JOVEM MK - MEU KARMA</t>
        </is>
      </c>
      <c r="D13" s="33" t="inlineStr">
        <is>
          <t>KONDZILLA</t>
        </is>
      </c>
      <c r="E13" s="33" t="inlineStr">
        <is>
          <t>MUSIC</t>
        </is>
      </c>
      <c r="F13" s="33" t="inlineStr">
        <is>
          <t>AFRICA CREATIVE DDB</t>
        </is>
      </c>
      <c r="G13" s="33" t="inlineStr">
        <is>
          <t>Brazil</t>
        </is>
      </c>
      <c r="H13" s="33" t="inlineStr">
        <is>
          <t>Excellence in Music Video</t>
        </is>
      </c>
      <c r="I13" s="33" t="inlineStr">
        <is>
          <t>digital-presentation-images/entertainment-lions-for-music-kondzilla-jovem-mk-meu-karma.webp</t>
        </is>
      </c>
      <c r="J13" s="33" t="inlineStr">
        <is>
          <t>vimeo:1076470479</t>
        </is>
      </c>
      <c r="L13" s="33" t="inlineStr">
        <is>
          <t>https://www.lovethework.com/work/entries/jovem-mk-meu-karma-754791</t>
        </is>
      </c>
    </row>
    <row r="14">
      <c r="A14" s="33" t="n">
        <v>13</v>
      </c>
      <c r="B14" s="33" t="inlineStr">
        <is>
          <t>Bronze</t>
        </is>
      </c>
      <c r="C14" s="33" t="inlineStr">
        <is>
          <t>LOVE THE RACKS</t>
        </is>
      </c>
      <c r="D14" s="33" t="inlineStr">
        <is>
          <t>KITCHENAID</t>
        </is>
      </c>
      <c r="E14" s="33" t="inlineStr">
        <is>
          <t>KITCHENAIDÂ® 360Â° MAX JETSâ¢ THIRD RACK DISHWASHERS</t>
        </is>
      </c>
      <c r="F14" s="33" t="inlineStr">
        <is>
          <t>WOW STUDIOS</t>
        </is>
      </c>
      <c r="G14" s="33" t="inlineStr">
        <is>
          <t>United States</t>
        </is>
      </c>
      <c r="H14" s="33" t="inlineStr">
        <is>
          <t>Use of Original Composition</t>
        </is>
      </c>
      <c r="I14" s="33" t="inlineStr">
        <is>
          <t>digital-presentation-images/entertainment-lions-for-music-kitchenaid-love-the-racks.webp</t>
        </is>
      </c>
      <c r="J14" s="33" t="inlineStr">
        <is>
          <t>9qlKfY_FCe4</t>
        </is>
      </c>
      <c r="L14" s="33" t="inlineStr">
        <is>
          <t>https://www.lovethework.com/work/entries/love-the-racks-754806</t>
        </is>
      </c>
    </row>
    <row r="15">
      <c r="A15" s="33" t="n">
        <v>14</v>
      </c>
      <c r="B15" s="33" t="inlineStr">
        <is>
          <t>Bronze</t>
        </is>
      </c>
      <c r="C15" s="33" t="inlineStr">
        <is>
          <t>TRACKING BAD BUNNY</t>
        </is>
      </c>
      <c r="D15" s="33" t="inlineStr">
        <is>
          <t>RIMAS MUSIC</t>
        </is>
      </c>
      <c r="E15" s="33" t="inlineStr">
        <is>
          <t>BAD BUNNY</t>
        </is>
      </c>
      <c r="F15" s="33" t="inlineStr">
        <is>
          <t>DDB LATINA PUERTO RICO</t>
        </is>
      </c>
      <c r="G15" s="33" t="inlineStr">
        <is>
          <t>Puerto Rico</t>
        </is>
      </c>
      <c r="H15" s="33" t="inlineStr">
        <is>
          <t>Partnerships with Music Talent</t>
        </is>
      </c>
      <c r="I15" s="33" t="inlineStr">
        <is>
          <t>https://ascentialcdn.filespin.io/api/v1/conversion/6d3d67544e4a4fe7baad1c1b50560274</t>
        </is>
      </c>
      <c r="J15" s="33" t="inlineStr">
        <is>
          <t>hPLaT_JT9Zw</t>
        </is>
      </c>
      <c r="L15" s="33" t="inlineStr">
        <is>
          <t>https://www.lovethework.com/work/entries/tracking-bad-bunny-760302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A STONE ONLY ROLLS DOWNHILL</t>
        </is>
      </c>
      <c r="D16" s="33" t="inlineStr">
        <is>
          <t>OK GO</t>
        </is>
      </c>
      <c r="E16" s="33" t="inlineStr">
        <is>
          <t>OK GO</t>
        </is>
      </c>
      <c r="F16" s="33" t="inlineStr">
        <is>
          <t>PARK PICTURES</t>
        </is>
      </c>
      <c r="G16" s="33" t="inlineStr">
        <is>
          <t>United States</t>
        </is>
      </c>
      <c r="H16" s="33" t="inlineStr">
        <is>
          <t>Excellence in Music Video</t>
        </is>
      </c>
      <c r="I16" s="33" t="inlineStr">
        <is>
          <t>https://ascentialcdn.filespin.io/api/v1/storyboard/191cd784934f42e29f332027d298ef62/storyboard_000008.jpg</t>
        </is>
      </c>
      <c r="J16" s="33" t="inlineStr">
        <is>
          <t>MOEULOSVNK4</t>
        </is>
      </c>
      <c r="K16" s="33" t="n"/>
      <c r="L16" s="33" t="inlineStr">
        <is>
          <t>https://www.lovethework.com/work/entries/a-stone-only-rolls-downhill-754853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BORN TO RUN</t>
        </is>
      </c>
      <c r="D17" s="33" t="inlineStr">
        <is>
          <t>DOVE</t>
        </is>
      </c>
      <c r="E17" s="33" t="inlineStr">
        <is>
          <t>DOVE</t>
        </is>
      </c>
      <c r="F17" s="33" t="inlineStr">
        <is>
          <t>OGILVY UK</t>
        </is>
      </c>
      <c r="G17" s="33" t="inlineStr">
        <is>
          <t>United Kingdom</t>
        </is>
      </c>
      <c r="H17" s="33" t="inlineStr">
        <is>
          <t>Social Behaviour</t>
        </is>
      </c>
      <c r="I17" s="33" t="inlineStr">
        <is>
          <t>https://ascentialcdn.filespin.io/api/v1/conversion/1df87588cc0f4cf58bf77a0ffc045a44</t>
        </is>
      </c>
      <c r="J17" s="33" t="inlineStr">
        <is>
          <t>db2adhodJwc</t>
        </is>
      </c>
      <c r="L17" s="33" t="inlineStr">
        <is>
          <t>https://www.lovethework.com/work/entries/born-to-run-755077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SHOT ON IPHONE</t>
        </is>
      </c>
      <c r="D2" s="33" t="inlineStr">
        <is>
          <t>APPLE</t>
        </is>
      </c>
      <c r="E2" s="33" t="inlineStr">
        <is>
          <t>IPHONE</t>
        </is>
      </c>
      <c r="F2" s="33" t="inlineStr">
        <is>
          <t>TBWA\MEDIA ARTS LAB</t>
        </is>
      </c>
      <c r="G2" s="33" t="inlineStr">
        <is>
          <t>United States</t>
        </is>
      </c>
      <c r="H2" s="33" t="inlineStr">
        <is>
          <t>Long-Term Brand Platform</t>
        </is>
      </c>
      <c r="I2" s="33" t="inlineStr">
        <is>
          <t>https://ascentialcdn.filespin.io/api/v1/conversion/c125657ef0f84557825eba78ef7e3d63</t>
        </is>
      </c>
      <c r="J2" s="33" t="inlineStr">
        <is>
          <t>S74jad3ZmUY</t>
        </is>
      </c>
      <c r="L2" s="33" t="inlineStr">
        <is>
          <t>https://www.lovethework.com/work/entries/shot-on-iphone-765239</t>
        </is>
      </c>
    </row>
    <row r="3">
      <c r="A3" s="33" t="n">
        <v>2</v>
      </c>
      <c r="B3" s="33" t="inlineStr">
        <is>
          <t>Gold</t>
        </is>
      </c>
      <c r="C3" s="33" t="inlineStr">
        <is>
          <t>THE EVERYDAY TACTICIAN: HOW GETTING A FOOTBALL CLUB PROMOTED HELPED XBOX TAKE A STEP CLOSER TO THE FUTURE OF GAMING</t>
        </is>
      </c>
      <c r="D3" s="33" t="inlineStr">
        <is>
          <t>XBOX</t>
        </is>
      </c>
      <c r="E3" s="33" t="inlineStr">
        <is>
          <t>XBOX GAME PASS</t>
        </is>
      </c>
      <c r="F3" s="33" t="inlineStr">
        <is>
          <t>McCANN</t>
        </is>
      </c>
      <c r="G3" s="33" t="inlineStr">
        <is>
          <t>United Kingdom</t>
        </is>
      </c>
      <c r="H3" s="33" t="inlineStr">
        <is>
          <t>Launch</t>
        </is>
      </c>
      <c r="I3" s="33" t="inlineStr">
        <is>
          <t>https://ascentialcdn.filespin.io/api/v1/conversion/7c2d069dafe1485c9e355a842cdb238d</t>
        </is>
      </c>
      <c r="J3" s="33" t="inlineStr">
        <is>
          <t>Kb3nqqwihz0</t>
        </is>
      </c>
      <c r="L3" s="33" t="inlineStr">
        <is>
          <t>https://www.lovethework.com/work/entries/the-everyday-tactician-how-getting-a-football-club-promoted-helped-xbox-take-a-step-closer-to-the-future-of-gaming-764812</t>
        </is>
      </c>
    </row>
    <row r="4">
      <c r="A4" s="33" t="n">
        <v>3</v>
      </c>
      <c r="B4" s="33" t="inlineStr">
        <is>
          <t>Gold</t>
        </is>
      </c>
      <c r="C4" s="33" t="inlineStr">
        <is>
          <t>DON'T DRINK HERTOG JAN</t>
        </is>
      </c>
      <c r="D4" s="33" t="inlineStr">
        <is>
          <t>HERTOG JAN</t>
        </is>
      </c>
      <c r="E4" s="33" t="inlineStr">
        <is>
          <t>HERTOG JAN</t>
        </is>
      </c>
      <c r="F4" s="33" t="inlineStr">
        <is>
          <t>GUT</t>
        </is>
      </c>
      <c r="G4" s="33" t="inlineStr">
        <is>
          <t>Netherlands</t>
        </is>
      </c>
      <c r="H4" s="33" t="inlineStr">
        <is>
          <t>Single Market</t>
        </is>
      </c>
      <c r="I4" s="33" t="inlineStr">
        <is>
          <t>digital-presentation-images/creative-effectiveness-hertog-jan-dont-drink-hertog-jan.webp</t>
        </is>
      </c>
      <c r="J4" s="33" t="inlineStr">
        <is>
          <t>vimeo:1003184179</t>
        </is>
      </c>
      <c r="L4" s="33" t="inlineStr">
        <is>
          <t>https://www.lovethework.com/work/entries/dont-drink-hertog-jan-761647</t>
        </is>
      </c>
    </row>
    <row r="5">
      <c r="A5" s="33" t="n">
        <v>4</v>
      </c>
      <c r="B5" s="33" t="inlineStr">
        <is>
          <t>Gold</t>
        </is>
      </c>
      <c r="C5" s="33" t="inlineStr">
        <is>
          <t>THE MISHEARD VERSION</t>
        </is>
      </c>
      <c r="D5" s="33" t="inlineStr">
        <is>
          <t>SPECSAVERS</t>
        </is>
      </c>
      <c r="E5" s="33" t="inlineStr">
        <is>
          <t>AUDIOLOGY</t>
        </is>
      </c>
      <c r="F5" s="33" t="inlineStr">
        <is>
          <t>GOLIN</t>
        </is>
      </c>
      <c r="G5" s="33" t="inlineStr">
        <is>
          <t>United Kingdom</t>
        </is>
      </c>
      <c r="H5" s="33" t="inlineStr">
        <is>
          <t>Acquisition</t>
        </is>
      </c>
      <c r="I5" s="33" t="inlineStr">
        <is>
          <t>https://ascentialcdn.filespin.io/api/v1/conversion/907772d8708748d5b4087c68c1b6fdf9</t>
        </is>
      </c>
      <c r="J5" s="33" t="inlineStr">
        <is>
          <t>EgNb0LQxm84</t>
        </is>
      </c>
      <c r="L5" s="33" t="inlineStr">
        <is>
          <t>https://www.lovethework.com/work/entries/the-misheard-version-751965</t>
        </is>
      </c>
    </row>
    <row r="6">
      <c r="A6" s="33" t="n">
        <v>5</v>
      </c>
      <c r="B6" s="33" t="inlineStr">
        <is>
          <t>Silver</t>
        </is>
      </c>
      <c r="C6" s="33" t="inlineStr">
        <is>
          <t>SAMSUNG THROWBACK DEALS</t>
        </is>
      </c>
      <c r="D6" s="33" t="inlineStr">
        <is>
          <t>SAMSUNG BRAZIL</t>
        </is>
      </c>
      <c r="E6" s="33" t="inlineStr">
        <is>
          <t>E-COMMERCE</t>
        </is>
      </c>
      <c r="F6" s="33" t="inlineStr">
        <is>
          <t>MRM</t>
        </is>
      </c>
      <c r="G6" s="33" t="inlineStr">
        <is>
          <t>Brazil</t>
        </is>
      </c>
      <c r="H6" s="33" t="inlineStr">
        <is>
          <t>Breakthrough on a Budget</t>
        </is>
      </c>
      <c r="I6" s="33" t="inlineStr">
        <is>
          <t>https://ascentialcdn.filespin.io/api/v1/conversion/f046264282904c7b9cf6f37b69173ec2</t>
        </is>
      </c>
      <c r="J6" s="33" t="inlineStr">
        <is>
          <t>dlY3UOVF9OU</t>
        </is>
      </c>
      <c r="L6" s="33" t="inlineStr">
        <is>
          <t>https://www.lovethework.com/work/entries/samsung-throwback-deals-752109</t>
        </is>
      </c>
    </row>
    <row r="7">
      <c r="A7" s="33" t="n">
        <v>6</v>
      </c>
      <c r="B7" s="33" t="inlineStr">
        <is>
          <t>Silver</t>
        </is>
      </c>
      <c r="C7" s="33" t="inlineStr">
        <is>
          <t>REAL BEAUTY: HOW A SOAP BRAND CREATED A GLOBAL SELF-ESTEEM MOVEMENT</t>
        </is>
      </c>
      <c r="D7" s="33" t="inlineStr">
        <is>
          <t>DOVE</t>
        </is>
      </c>
      <c r="E7" s="33" t="inlineStr">
        <is>
          <t>DOVE</t>
        </is>
      </c>
      <c r="F7" s="33" t="inlineStr">
        <is>
          <t>OGILVY UK</t>
        </is>
      </c>
      <c r="G7" s="33" t="inlineStr">
        <is>
          <t>United Kingdom</t>
        </is>
      </c>
      <c r="H7" s="33" t="inlineStr">
        <is>
          <t>Long-Term Brand Platform</t>
        </is>
      </c>
      <c r="I7" s="33" t="inlineStr">
        <is>
          <t>https://ascentialcdn.filespin.io/api/v1/conversion/1c2573f5cf2c4b78af5a4b42f75ac2c2</t>
        </is>
      </c>
      <c r="J7" s="33" t="inlineStr">
        <is>
          <t>puQ0PNZ1W-A</t>
        </is>
      </c>
      <c r="L7" s="33" t="inlineStr">
        <is>
          <t>https://www.lovethework.com/work/entries/real-beauty-how-a-soap-brand-created-a-global-self-esteem-movement-765245</t>
        </is>
      </c>
    </row>
    <row r="8">
      <c r="A8" s="33" t="n">
        <v>7</v>
      </c>
      <c r="B8" s="33" t="inlineStr">
        <is>
          <t>Silver</t>
        </is>
      </c>
      <c r="C8" s="33" t="inlineStr">
        <is>
          <t>NO SMILES</t>
        </is>
      </c>
      <c r="D8" s="33" t="inlineStr">
        <is>
          <t>MCDONALD'S</t>
        </is>
      </c>
      <c r="E8" s="33" t="inlineStr">
        <is>
          <t>HIRING</t>
        </is>
      </c>
      <c r="F8" s="33" t="inlineStr">
        <is>
          <t>TBWA\HAKUHODO</t>
        </is>
      </c>
      <c r="G8" s="33" t="inlineStr">
        <is>
          <t>Japan</t>
        </is>
      </c>
      <c r="H8" s="33" t="inlineStr">
        <is>
          <t>Market Disruption</t>
        </is>
      </c>
      <c r="I8" s="33" t="inlineStr">
        <is>
          <t>https://ascentialcdn.filespin.io/api/v1/conversion/8bd771cfe9f74489a6ecf874a92cac25</t>
        </is>
      </c>
      <c r="J8" s="33" t="inlineStr">
        <is>
          <t>vimeo:1129136785</t>
        </is>
      </c>
      <c r="L8" s="33" t="inlineStr">
        <is>
          <t>https://www.lovethework.com/work/entries/no-smiles-752049</t>
        </is>
      </c>
    </row>
    <row r="9">
      <c r="A9" s="33" t="n">
        <v>8</v>
      </c>
      <c r="B9" s="33" t="inlineStr">
        <is>
          <t>Silver</t>
        </is>
      </c>
      <c r="C9" s="33" t="inlineStr">
        <is>
          <t>FIND YOUR SUMMER</t>
        </is>
      </c>
      <c r="D9" s="33" t="inlineStr">
        <is>
          <t>MAGNUM</t>
        </is>
      </c>
      <c r="E9" s="33" t="inlineStr">
        <is>
          <t>MAGNUM ICE CREAM</t>
        </is>
      </c>
      <c r="F9" s="33" t="inlineStr">
        <is>
          <t>LOLA MULLENLOWE</t>
        </is>
      </c>
      <c r="G9" s="33" t="inlineStr">
        <is>
          <t>Spain</t>
        </is>
      </c>
      <c r="H9" s="33" t="inlineStr">
        <is>
          <t>Market Disruption</t>
        </is>
      </c>
      <c r="I9" s="33" t="inlineStr">
        <is>
          <t>https://ascentialcdn.filespin.io/api/v1/conversion/fccf3dc65a7040fcbc382da62a1bcf0b</t>
        </is>
      </c>
      <c r="J9" s="33" t="inlineStr">
        <is>
          <t>jmf4xjZvwqs</t>
        </is>
      </c>
      <c r="L9" s="33" t="inlineStr">
        <is>
          <t>https://www.lovethework.com/work/entries/find-your-summer-761700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HANDSHAKE HUNT</t>
        </is>
      </c>
      <c r="D10" s="33" t="inlineStr">
        <is>
          <t>MERCADO LIVRE</t>
        </is>
      </c>
      <c r="E10" s="33" t="inlineStr">
        <is>
          <t>MERCADO LIVRE</t>
        </is>
      </c>
      <c r="F10" s="33" t="inlineStr">
        <is>
          <t>GUT</t>
        </is>
      </c>
      <c r="G10" s="33" t="inlineStr">
        <is>
          <t>Brazil</t>
        </is>
      </c>
      <c r="H10" s="33" t="inlineStr">
        <is>
          <t>Multi-Market</t>
        </is>
      </c>
      <c r="I10" s="33" t="inlineStr">
        <is>
          <t>https://ascentialcdn.filespin.io/api/v1/conversion/79595be993234fda94d72414b4e673e2</t>
        </is>
      </c>
      <c r="J10" s="33" t="inlineStr">
        <is>
          <t>Uc6Xgiizi8Q</t>
        </is>
      </c>
      <c r="L10" s="33" t="inlineStr">
        <is>
          <t>https://www.lovethework.com/work/entries/handshake-hunt-761683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REFURB</t>
        </is>
      </c>
      <c r="D11" s="33" t="inlineStr">
        <is>
          <t>PHILIPS</t>
        </is>
      </c>
      <c r="E11" s="33" t="inlineStr">
        <is>
          <t>PHILIPS</t>
        </is>
      </c>
      <c r="F11" s="33" t="inlineStr">
        <is>
          <t>LEPUB</t>
        </is>
      </c>
      <c r="G11" s="33" t="inlineStr">
        <is>
          <t>Netherlands</t>
        </is>
      </c>
      <c r="H11" s="33" t="inlineStr">
        <is>
          <t>Consumer Goods</t>
        </is>
      </c>
      <c r="I11" s="33" t="inlineStr">
        <is>
          <t>https://ascentialcdn.filespin.io/api/v1/conversion/0f9e4316f9644aad87356635e8f39cf3</t>
        </is>
      </c>
      <c r="J11" s="33" t="inlineStr">
        <is>
          <t>sJXFLk5wvcQ</t>
        </is>
      </c>
      <c r="L11" s="33" t="inlineStr">
        <is>
          <t>https://www.lovethework.com/work/entries/refurb-761714</t>
        </is>
      </c>
    </row>
    <row r="12">
      <c r="A12" s="33" t="n">
        <v>11</v>
      </c>
      <c r="B12" s="33" t="inlineStr">
        <is>
          <t>Bronze</t>
        </is>
      </c>
      <c r="C12" s="33" t="inlineStr">
        <is>
          <t>A PIECE OF ME</t>
        </is>
      </c>
      <c r="D12" s="33" t="inlineStr">
        <is>
          <t>KPN</t>
        </is>
      </c>
      <c r="E12" s="33" t="inlineStr">
        <is>
          <t>KPN</t>
        </is>
      </c>
      <c r="F12" s="33" t="inlineStr">
        <is>
          <t>DENTSU CREATIVE</t>
        </is>
      </c>
      <c r="G12" s="33" t="inlineStr">
        <is>
          <t>Netherlands</t>
        </is>
      </c>
      <c r="H12" s="33" t="inlineStr">
        <is>
          <t>Creative Effectiveness for Good</t>
        </is>
      </c>
      <c r="I12" s="33" t="inlineStr">
        <is>
          <t>https://ascentialcdn.filespin.io/api/v1/conversion/d2ae25cdfd9c418185c6cac4e75b98fe</t>
        </is>
      </c>
      <c r="J12" s="33" t="inlineStr">
        <is>
          <t>LwH85eFmveQ</t>
        </is>
      </c>
      <c r="L12" s="33" t="inlineStr">
        <is>
          <t>https://www.lovethework.com/work/entries/a-piece-of-me-752147</t>
        </is>
      </c>
    </row>
    <row r="13">
      <c r="A13" s="33" t="n">
        <v>12</v>
      </c>
      <c r="B13" s="33" t="inlineStr">
        <is>
          <t>Bronze</t>
        </is>
      </c>
      <c r="C13" s="33" t="inlineStr">
        <is>
          <t>MICHAEL CERAVE</t>
        </is>
      </c>
      <c r="D13" s="33" t="inlineStr">
        <is>
          <t>CERAVE</t>
        </is>
      </c>
      <c r="E13" s="33" t="inlineStr">
        <is>
          <t>CERAVE</t>
        </is>
      </c>
      <c r="F13" s="33" t="inlineStr">
        <is>
          <t>OGILVY PR</t>
        </is>
      </c>
      <c r="G13" s="33" t="inlineStr">
        <is>
          <t>United States</t>
        </is>
      </c>
      <c r="H13" s="33" t="inlineStr">
        <is>
          <t>Healthcare</t>
        </is>
      </c>
      <c r="I13" s="33" t="inlineStr">
        <is>
          <t>https://ascentialcdn.filespin.io/api/v1/conversion/a30647b18cf146969ce30881a640aca9</t>
        </is>
      </c>
      <c r="J13" s="33" t="inlineStr">
        <is>
          <t>vimeo:924148167</t>
        </is>
      </c>
      <c r="L13" s="33" t="inlineStr">
        <is>
          <t>https://www.lovethework.com/work/entries/michael-cerave-751766</t>
        </is>
      </c>
    </row>
    <row r="14">
      <c r="A14" s="33" t="n">
        <v>13</v>
      </c>
      <c r="B14" s="33" t="inlineStr">
        <is>
          <t>Bronze</t>
        </is>
      </c>
      <c r="C14" s="33" t="inlineStr">
        <is>
          <t>GRAVY RACE</t>
        </is>
      </c>
      <c r="D14" s="33" t="inlineStr">
        <is>
          <t>SHEBA</t>
        </is>
      </c>
      <c r="E14" s="33" t="inlineStr">
        <is>
          <t>SHEBA GRAVY INDULGENCE</t>
        </is>
      </c>
      <c r="F14" s="33" t="inlineStr">
        <is>
          <t>AMV BBDO</t>
        </is>
      </c>
      <c r="G14" s="33" t="inlineStr">
        <is>
          <t>United Kingdom</t>
        </is>
      </c>
      <c r="H14" s="33" t="inlineStr">
        <is>
          <t>Launch</t>
        </is>
      </c>
      <c r="I14" s="33" t="inlineStr">
        <is>
          <t>https://ascentialcdn.filespin.io/api/v1/conversion/038bde04baf641f5b86d5ffc16e16c00</t>
        </is>
      </c>
      <c r="J14" s="33" t="inlineStr">
        <is>
          <t>vimeo:992817876</t>
        </is>
      </c>
      <c r="L14" s="33" t="inlineStr">
        <is>
          <t>https://www.lovethework.com/work/entries/gravy-race-752096</t>
        </is>
      </c>
    </row>
    <row r="15">
      <c r="A15" s="33" t="n">
        <v>14</v>
      </c>
      <c r="B15" s="33" t="inlineStr">
        <is>
          <t>Bronze</t>
        </is>
      </c>
      <c r="C15" s="33" t="inlineStr">
        <is>
          <t>TRANSITION BODY LOTION</t>
        </is>
      </c>
      <c r="D15" s="33" t="inlineStr">
        <is>
          <t>UNILEVER</t>
        </is>
      </c>
      <c r="E15" s="33" t="inlineStr">
        <is>
          <t>VASELINE PRO DERMA TRANSITION BODY LOTION</t>
        </is>
      </c>
      <c r="F15" s="33" t="inlineStr">
        <is>
          <t>OGILVY</t>
        </is>
      </c>
      <c r="G15" s="33" t="inlineStr">
        <is>
          <t>Singapore</t>
        </is>
      </c>
      <c r="H15" s="33" t="inlineStr">
        <is>
          <t>Market Disruption</t>
        </is>
      </c>
      <c r="I15" s="33" t="inlineStr">
        <is>
          <t>https://ascentialcdn.filespin.io/api/v1/conversion/d6e660ee3971457587da9b43b2d99c60</t>
        </is>
      </c>
      <c r="J15" s="33" t="inlineStr">
        <is>
          <t>adj2vS3ZLUw</t>
        </is>
      </c>
      <c r="L15" s="33" t="inlineStr">
        <is>
          <t>https://www.lovethework.com/work/entries/transition-body-lotion-752021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SIGHTWALKS</t>
        </is>
      </c>
      <c r="D16" s="33" t="inlineStr">
        <is>
          <t>CEMENTO SOL</t>
        </is>
      </c>
      <c r="E16" s="33" t="inlineStr">
        <is>
          <t>CEMENT</t>
        </is>
      </c>
      <c r="F16" s="33" t="inlineStr">
        <is>
          <t>CIRCUS GREY</t>
        </is>
      </c>
      <c r="G16" s="33" t="inlineStr">
        <is>
          <t>Peru</t>
        </is>
      </c>
      <c r="H16" s="33" t="inlineStr">
        <is>
          <t>Creative Effectiveness for Good</t>
        </is>
      </c>
      <c r="I16" s="33" t="inlineStr">
        <is>
          <t>https://ascentialcdn.filespin.io/api/v1/conversion/837c7b2b781b41c9b041f7afafd7a9b2</t>
        </is>
      </c>
      <c r="J16" s="33" t="inlineStr">
        <is>
          <t>IRuDOllWc-E</t>
        </is>
      </c>
      <c r="L16" s="33" t="inlineStr">
        <is>
          <t>https://www.lovethework.com/work/entries/sightwalks-761736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HEINZ KETCHUP &amp; SEEMINGLY RANCH</t>
        </is>
      </c>
      <c r="D17" s="33" t="inlineStr">
        <is>
          <t>KRAFT HEINZ</t>
        </is>
      </c>
      <c r="E17" s="33" t="inlineStr">
        <is>
          <t>HEINZ KRANCH</t>
        </is>
      </c>
      <c r="F17" s="33" t="inlineStr">
        <is>
          <t>RETHINK</t>
        </is>
      </c>
      <c r="G17" s="33" t="inlineStr">
        <is>
          <t>Canada</t>
        </is>
      </c>
      <c r="H17" s="33" t="inlineStr">
        <is>
          <t>Real-Time Response</t>
        </is>
      </c>
      <c r="I17" s="33" t="inlineStr">
        <is>
          <t>https://ascentialcdn.filespin.io/api/v1/conversion/989e071cb1954ab69e5f7405a82bdb43</t>
        </is>
      </c>
      <c r="J17" s="33" t="inlineStr">
        <is>
          <t>9HpJtpvtrhs</t>
        </is>
      </c>
      <c r="L17" s="33" t="inlineStr">
        <is>
          <t>https://www.lovethework.com/work/entries/heinz-ketchup-seemingly-ranch-752139</t>
        </is>
      </c>
    </row>
    <row r="18">
      <c r="A18" s="33" t="n">
        <v>17</v>
      </c>
      <c r="B18" s="33" t="inlineStr">
        <is>
          <t>Bronze</t>
        </is>
      </c>
      <c r="C18" s="33" t="inlineStr">
        <is>
          <t>THE EVERYDAY TACTICIAN: HOW GETTING A FOOTBALL CLUB PROMOTED HELPED XBOX TAKE A STEP CLOSER TO THE FUTURE OF GAMING</t>
        </is>
      </c>
      <c r="D18" s="33" t="inlineStr">
        <is>
          <t>XBOX</t>
        </is>
      </c>
      <c r="E18" s="33" t="inlineStr">
        <is>
          <t>XBOX GAME PASS</t>
        </is>
      </c>
      <c r="F18" s="33" t="inlineStr">
        <is>
          <t>McCANN</t>
        </is>
      </c>
      <c r="G18" s="33" t="inlineStr">
        <is>
          <t>United Kingdom</t>
        </is>
      </c>
      <c r="H18" s="33" t="inlineStr">
        <is>
          <t>Collaboration</t>
        </is>
      </c>
      <c r="I18" s="33" t="inlineStr">
        <is>
          <t>https://ascentialcdn.filespin.io/api/v1/conversion/7c2d069dafe1485c9e355a842cdb238d</t>
        </is>
      </c>
      <c r="J18" s="33" t="inlineStr">
        <is>
          <t>Kb3nqqwihz0</t>
        </is>
      </c>
      <c r="L18" s="33" t="inlineStr">
        <is>
          <t>https://www.lovethework.com/work/entries/the-everyday-tactician-how-getting-a-football-club-promoted-helped-xbox-take-a-step-closer-to-the-future-of-gaming-764822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Gold</t>
        </is>
      </c>
      <c r="C2" s="33" t="inlineStr">
        <is>
          <t>IKEA HIDDEN TAGS</t>
        </is>
      </c>
      <c r="D2" s="33" t="inlineStr">
        <is>
          <t>IKEA</t>
        </is>
      </c>
      <c r="E2" s="33" t="inlineStr">
        <is>
          <t>IKEA</t>
        </is>
      </c>
      <c r="F2" s="33" t="inlineStr">
        <is>
          <t>UZINA</t>
        </is>
      </c>
      <c r="G2" s="33" t="inlineStr">
        <is>
          <t>Portugal</t>
        </is>
      </c>
      <c r="H2" s="33" t="inlineStr">
        <is>
          <t>Data Storytelling</t>
        </is>
      </c>
      <c r="I2" s="33" t="inlineStr">
        <is>
          <t>https://ascentialcdn.filespin.io/api/v1/conversion/237ade5924eb407898bf58d19f58a52a</t>
        </is>
      </c>
      <c r="J2" s="33" t="inlineStr">
        <is>
          <t>oKWkHqlt7yA</t>
        </is>
      </c>
      <c r="L2" s="33" t="inlineStr">
        <is>
          <t>https://www.lovethework.com/work/entries/ikea-hidden-tags-753885</t>
        </is>
      </c>
    </row>
    <row r="3">
      <c r="A3" s="33" t="n">
        <v>2</v>
      </c>
      <c r="B3" s="33" t="inlineStr">
        <is>
          <t>Gold</t>
        </is>
      </c>
      <c r="C3" s="33" t="inlineStr">
        <is>
          <t>SATO 2531</t>
        </is>
      </c>
      <c r="D3" s="33" t="inlineStr">
        <is>
          <t>ASUNIWA</t>
        </is>
      </c>
      <c r="E3" s="33" t="inlineStr">
        <is>
          <t>THINK NAME PROJECT</t>
        </is>
      </c>
      <c r="F3" s="33" t="inlineStr">
        <is>
          <t>DENTSU DIGITAL</t>
        </is>
      </c>
      <c r="G3" s="33" t="inlineStr">
        <is>
          <t>Japan</t>
        </is>
      </c>
      <c r="H3" s="33" t="inlineStr">
        <is>
          <t>Cultural Engagement</t>
        </is>
      </c>
      <c r="I3" s="33" t="inlineStr">
        <is>
          <t>https://ascentialcdn.filespin.io/api/v1/conversion/e23ba1fc24004021856268a0ee6b44d9</t>
        </is>
      </c>
      <c r="J3" s="33" t="inlineStr">
        <is>
          <t>BW5T0gC6o3o</t>
        </is>
      </c>
      <c r="L3" s="33" t="inlineStr">
        <is>
          <t>https://www.lovethework.com/work/entries/sato-2531-754250</t>
        </is>
      </c>
    </row>
    <row r="4">
      <c r="A4" s="33" t="n">
        <v>3</v>
      </c>
      <c r="B4" s="33" t="inlineStr">
        <is>
          <t>Gold</t>
        </is>
      </c>
      <c r="C4" s="33" t="inlineStr">
        <is>
          <t>ACKO TAILOR TEST</t>
        </is>
      </c>
      <c r="D4" s="33" t="inlineStr">
        <is>
          <t>ACKO</t>
        </is>
      </c>
      <c r="E4" s="33" t="inlineStr">
        <is>
          <t>HEALTH INSURANCE</t>
        </is>
      </c>
      <c r="F4" s="33" t="inlineStr">
        <is>
          <t>LEO</t>
        </is>
      </c>
      <c r="G4" s="33" t="inlineStr">
        <is>
          <t>India</t>
        </is>
      </c>
      <c r="H4" s="33" t="inlineStr">
        <is>
          <t>Creative Data Collection &amp; Research</t>
        </is>
      </c>
      <c r="I4" s="33" t="inlineStr">
        <is>
          <t>https://ascentialcdn.filespin.io/api/v1/conversion/a8a20a31dcb844ebad5ef04afca8370b</t>
        </is>
      </c>
      <c r="J4" s="33" t="inlineStr">
        <is>
          <t>alezIXsk0So</t>
        </is>
      </c>
      <c r="L4" s="33" t="inlineStr">
        <is>
          <t>https://www.lovethework.com/work/entries/acko-tailor-test-754081</t>
        </is>
      </c>
    </row>
    <row r="5">
      <c r="A5" s="33" t="n">
        <v>4</v>
      </c>
      <c r="B5" s="33" t="inlineStr">
        <is>
          <t>Silver</t>
        </is>
      </c>
      <c r="C5" s="33" t="inlineStr">
        <is>
          <t>E.L.F. BEAUTY "SO MANY DICKS"</t>
        </is>
      </c>
      <c r="D5" s="33" t="inlineStr">
        <is>
          <t>E.L.F. BEAUTY</t>
        </is>
      </c>
      <c r="F5" s="33" t="inlineStr">
        <is>
          <t>E.L.F. BEAUTY</t>
        </is>
      </c>
      <c r="H5" s="33" t="inlineStr">
        <is>
          <t>Use of Humour</t>
        </is>
      </c>
      <c r="I5" s="33" t="inlineStr">
        <is>
          <t>https://ascentialcdn.filespin.io/api/v1/conversion/64d76bdbc8f54be7a59e700d5332b2a6</t>
        </is>
      </c>
      <c r="J5" s="33" t="inlineStr">
        <is>
          <t>-koo15C3nYI</t>
        </is>
      </c>
      <c r="L5" s="33" t="inlineStr">
        <is>
          <t>https://www.lovethework.com/work/entries/elf-beauty-so-many-dicks-753999</t>
        </is>
      </c>
    </row>
    <row r="6">
      <c r="A6" s="33" t="n">
        <v>5</v>
      </c>
      <c r="B6" s="33" t="inlineStr">
        <is>
          <t>Silver</t>
        </is>
      </c>
      <c r="C6" s="33" t="inlineStr">
        <is>
          <t>DROPS OF HOPE</t>
        </is>
      </c>
      <c r="D6" s="33" t="inlineStr">
        <is>
          <t>KIMBERLY-CLARK</t>
        </is>
      </c>
      <c r="E6" s="33" t="inlineStr">
        <is>
          <t>POISE</t>
        </is>
      </c>
      <c r="F6" s="33" t="inlineStr">
        <is>
          <t>FCB NEW YORK</t>
        </is>
      </c>
      <c r="G6" s="33" t="inlineStr">
        <is>
          <t>United States</t>
        </is>
      </c>
      <c r="H6" s="33" t="inlineStr">
        <is>
          <t>Data-Driven Consumer Product</t>
        </is>
      </c>
      <c r="I6" s="33" t="inlineStr">
        <is>
          <t>https://ascentialcdn.filespin.io/api/v1/conversion/d3b1ef914a9640f7b0b0389b64d37fd2</t>
        </is>
      </c>
      <c r="J6" s="33" t="inlineStr">
        <is>
          <t>vimeo:1092193619</t>
        </is>
      </c>
      <c r="L6" s="33" t="inlineStr">
        <is>
          <t>https://www.lovethework.com/work/entries/drops-of-hope-753816</t>
        </is>
      </c>
    </row>
    <row r="7">
      <c r="A7" s="33" t="n">
        <v>6</v>
      </c>
      <c r="B7" s="33" t="inlineStr">
        <is>
          <t>Silver</t>
        </is>
      </c>
      <c r="C7" s="33" t="inlineStr">
        <is>
          <t>HEALTH TRACKER</t>
        </is>
      </c>
      <c r="D7" s="33" t="inlineStr">
        <is>
          <t>ELEA LABORATORY</t>
        </is>
      </c>
      <c r="E7" s="33" t="inlineStr">
        <is>
          <t>ELEA LABORATORY</t>
        </is>
      </c>
      <c r="F7" s="33" t="inlineStr">
        <is>
          <t>VML</t>
        </is>
      </c>
      <c r="G7" s="33" t="inlineStr">
        <is>
          <t>Argentina</t>
        </is>
      </c>
      <c r="H7" s="33" t="inlineStr">
        <is>
          <t>Cultural Engagement</t>
        </is>
      </c>
      <c r="I7" s="33" t="inlineStr">
        <is>
          <t>https://ascentialcdn.filespin.io/api/v1/conversion/dc840a1ede4e49ceba65f229ae4ced69</t>
        </is>
      </c>
      <c r="J7" s="33" t="inlineStr">
        <is>
          <t>uMCZkFghs_w</t>
        </is>
      </c>
      <c r="L7" s="33" t="inlineStr">
        <is>
          <t>https://www.lovethework.com/work/entries/health-tracker-754213</t>
        </is>
      </c>
    </row>
    <row r="8">
      <c r="A8" s="33" t="n">
        <v>7</v>
      </c>
      <c r="B8" s="33" t="inlineStr">
        <is>
          <t>Silver</t>
        </is>
      </c>
      <c r="C8" s="33" t="inlineStr">
        <is>
          <t>STREETNAV</t>
        </is>
      </c>
      <c r="D8" s="33" t="inlineStr">
        <is>
          <t>STREETCO</t>
        </is>
      </c>
      <c r="E8" s="33" t="inlineStr">
        <is>
          <t>STREETNAV</t>
        </is>
      </c>
      <c r="F8" s="33" t="inlineStr">
        <is>
          <t>HAVAS PARIS</t>
        </is>
      </c>
      <c r="G8" s="33" t="inlineStr">
        <is>
          <t>France</t>
        </is>
      </c>
      <c r="H8" s="33" t="inlineStr">
        <is>
          <t>Use of Real-Time Data</t>
        </is>
      </c>
      <c r="I8" s="33" t="inlineStr">
        <is>
          <t>https://ascentialcdn.filespin.io/api/v1/conversion/e94bf22aa9464e848abb53d498481dc1</t>
        </is>
      </c>
      <c r="J8" s="33" t="inlineStr">
        <is>
          <t>vimeo:1093372618</t>
        </is>
      </c>
      <c r="L8" s="33" t="inlineStr">
        <is>
          <t>https://www.lovethework.com/work/entries/streetnav-754079</t>
        </is>
      </c>
    </row>
    <row r="9">
      <c r="A9" s="33" t="n">
        <v>8</v>
      </c>
      <c r="B9" s="33" t="inlineStr">
        <is>
          <t>Silver</t>
        </is>
      </c>
      <c r="C9" s="33" t="inlineStr">
        <is>
          <t>PIXVERTISING</t>
        </is>
      </c>
      <c r="D9" s="33" t="inlineStr">
        <is>
          <t>BURGER KING</t>
        </is>
      </c>
      <c r="E9" s="33" t="inlineStr">
        <is>
          <t>BK FRANGUINHOS</t>
        </is>
      </c>
      <c r="F9" s="33" t="inlineStr">
        <is>
          <t>ALMAPBBDO</t>
        </is>
      </c>
      <c r="G9" s="33" t="inlineStr">
        <is>
          <t>Brazil</t>
        </is>
      </c>
      <c r="H9" s="33" t="inlineStr">
        <is>
          <t>Data-Driven Targeting</t>
        </is>
      </c>
      <c r="I9" s="33" t="inlineStr">
        <is>
          <t>https://ascentialcdn.filespin.io/api/v1/conversion/cfd7900b28e941bc9f0945581daf896f</t>
        </is>
      </c>
      <c r="J9" s="33" t="inlineStr">
        <is>
          <t>vimeo:1081470031</t>
        </is>
      </c>
      <c r="L9" s="33" t="inlineStr">
        <is>
          <t>https://www.lovethework.com/work/entries/pixvertising-761869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THE AMAZON GREENVENTORY</t>
        </is>
      </c>
      <c r="D10" s="33" t="inlineStr">
        <is>
          <t>NATURA</t>
        </is>
      </c>
      <c r="E10" s="33" t="inlineStr">
        <is>
          <t>INSTITUTO NATTURA</t>
        </is>
      </c>
      <c r="F10" s="33" t="inlineStr">
        <is>
          <t>AFRICA CREATIVE DDB</t>
        </is>
      </c>
      <c r="G10" s="33" t="inlineStr">
        <is>
          <t>Brazil</t>
        </is>
      </c>
      <c r="H10" s="33" t="inlineStr">
        <is>
          <t>Data Technology</t>
        </is>
      </c>
      <c r="I10" s="33" t="inlineStr">
        <is>
          <t>https://ascentialcdn.filespin.io/api/v1/conversion/8f27d4982c9f44a0ae99fa41531bda8e</t>
        </is>
      </c>
      <c r="J10" s="33" t="inlineStr">
        <is>
          <t>vimeo:1094885157</t>
        </is>
      </c>
      <c r="L10" s="33" t="inlineStr">
        <is>
          <t>https://www.lovethework.com/work/entries/the-amazon-greenventory-754084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BREASTMILK MONEY</t>
        </is>
      </c>
      <c r="D11" s="33" t="inlineStr">
        <is>
          <t>HERCONOMY</t>
        </is>
      </c>
      <c r="E11" s="33" t="inlineStr">
        <is>
          <t>HERCONOMY</t>
        </is>
      </c>
      <c r="F11" s="33" t="inlineStr">
        <is>
          <t>SERVICEPLAN GERMANY</t>
        </is>
      </c>
      <c r="G11" s="33" t="inlineStr">
        <is>
          <t>Germany</t>
        </is>
      </c>
      <c r="H11" s="33" t="inlineStr">
        <is>
          <t>Single-Market Campaign</t>
        </is>
      </c>
      <c r="I11" s="33" t="inlineStr">
        <is>
          <t>https://ascentialcdn.filespin.io/api/v1/conversion/73ea0e639f6747c68cf8460abe2f02bb</t>
        </is>
      </c>
      <c r="J11" s="33" t="inlineStr">
        <is>
          <t>vimeo:1094309200</t>
        </is>
      </c>
      <c r="L11" s="33" t="inlineStr">
        <is>
          <t>https://www.lovethework.com/work/entries/breastmilk-money-754148</t>
        </is>
      </c>
    </row>
    <row r="12">
      <c r="A12" s="33" t="n">
        <v>11</v>
      </c>
      <c r="B12" s="33" t="inlineStr">
        <is>
          <t>Bronze</t>
        </is>
      </c>
      <c r="C12" s="33" t="inlineStr">
        <is>
          <t>RECIPE FOR GROWTH</t>
        </is>
      </c>
      <c r="D12" s="33" t="inlineStr">
        <is>
          <t>IFOOD</t>
        </is>
      </c>
      <c r="E12" s="33" t="inlineStr">
        <is>
          <t>IFOOD B2B</t>
        </is>
      </c>
      <c r="F12" s="33" t="inlineStr">
        <is>
          <t>DM9</t>
        </is>
      </c>
      <c r="G12" s="33" t="inlineStr">
        <is>
          <t>Brazil</t>
        </is>
      </c>
      <c r="H12" s="33" t="inlineStr">
        <is>
          <t>Data Integration</t>
        </is>
      </c>
      <c r="I12" s="33" t="inlineStr">
        <is>
          <t>https://ascentialcdn.filespin.io/api/v1/conversion/06ac79ad1b9840bdb3df3269a42d0933</t>
        </is>
      </c>
      <c r="J12" s="33" t="inlineStr">
        <is>
          <t>vimeo:1080197730</t>
        </is>
      </c>
      <c r="L12" s="33" t="inlineStr">
        <is>
          <t>https://www.lovethework.com/work/entries/recipe-for-growth-754115</t>
        </is>
      </c>
    </row>
    <row r="13">
      <c r="A13" s="33" t="n">
        <v>12</v>
      </c>
      <c r="B13" s="33" t="inlineStr">
        <is>
          <t>Bronze</t>
        </is>
      </c>
      <c r="C13" s="33" t="inlineStr">
        <is>
          <t>DISCONNECT</t>
        </is>
      </c>
      <c r="D13" s="33" t="inlineStr">
        <is>
          <t>AIR FRANCE</t>
        </is>
      </c>
      <c r="E13" s="33" t="inlineStr">
        <is>
          <t>AIR FRANCE HOLIDAYS</t>
        </is>
      </c>
      <c r="F13" s="33" t="inlineStr">
        <is>
          <t>TBWA\PARIS</t>
        </is>
      </c>
      <c r="G13" s="33" t="inlineStr">
        <is>
          <t>France</t>
        </is>
      </c>
      <c r="H13" s="33" t="inlineStr">
        <is>
          <t>Data Visualisation</t>
        </is>
      </c>
      <c r="I13" s="33" t="inlineStr">
        <is>
          <t>https://ascentialcdn.filespin.io/api/v1/conversion/6fbd1db8f0384e92b6c363cfc1ba9bec</t>
        </is>
      </c>
      <c r="J13" s="33" t="inlineStr">
        <is>
          <t>htsdJ3-K3N4</t>
        </is>
      </c>
      <c r="L13" s="33" t="inlineStr">
        <is>
          <t>https://www.lovethework.com/work/entries/disconnect-753762</t>
        </is>
      </c>
    </row>
    <row r="14">
      <c r="A14" s="33" t="n">
        <v>13</v>
      </c>
      <c r="B14" s="33" t="inlineStr">
        <is>
          <t>Bronze</t>
        </is>
      </c>
      <c r="C14" s="33" t="inlineStr">
        <is>
          <t>IKEA HIDDEN TAGS</t>
        </is>
      </c>
      <c r="D14" s="33" t="inlineStr">
        <is>
          <t>IKEA</t>
        </is>
      </c>
      <c r="E14" s="33" t="inlineStr">
        <is>
          <t>IKEA</t>
        </is>
      </c>
      <c r="F14" s="33" t="inlineStr">
        <is>
          <t>UZINA</t>
        </is>
      </c>
      <c r="G14" s="33" t="inlineStr">
        <is>
          <t>Portugal</t>
        </is>
      </c>
      <c r="H14" s="33" t="inlineStr">
        <is>
          <t>Market Disruption</t>
        </is>
      </c>
      <c r="I14" s="33" t="inlineStr">
        <is>
          <t>https://ascentialcdn.filespin.io/api/v1/conversion/237ade5924eb407898bf58d19f58a52a</t>
        </is>
      </c>
      <c r="J14" s="33" t="inlineStr">
        <is>
          <t>oKWkHqlt7yA</t>
        </is>
      </c>
      <c r="L14" s="33" t="inlineStr">
        <is>
          <t>https://www.lovethework.com/work/entries/ikea-hidden-tags-754342</t>
        </is>
      </c>
    </row>
    <row r="15">
      <c r="A15" s="33" t="n">
        <v>14</v>
      </c>
      <c r="B15" s="33" t="inlineStr">
        <is>
          <t>Bronze</t>
        </is>
      </c>
      <c r="C15" s="33" t="inlineStr">
        <is>
          <t>THE MISSING PORTRAITS</t>
        </is>
      </c>
      <c r="D15" s="33" t="inlineStr">
        <is>
          <t>PIRACANJUBA</t>
        </is>
      </c>
      <c r="E15" s="33" t="inlineStr">
        <is>
          <t>MILK</t>
        </is>
      </c>
      <c r="F15" s="33" t="inlineStr">
        <is>
          <t>AMPFY</t>
        </is>
      </c>
      <c r="G15" s="33" t="inlineStr">
        <is>
          <t>Brazil</t>
        </is>
      </c>
      <c r="H15" s="33" t="inlineStr">
        <is>
          <t>Corporate Purpose &amp; Social Responsibility</t>
        </is>
      </c>
      <c r="I15" s="33" t="inlineStr">
        <is>
          <t>https://ascentialcdn.filespin.io/api/v1/conversion/32d357cad3624b9489965e9886948447</t>
        </is>
      </c>
      <c r="J15" s="33" t="inlineStr">
        <is>
          <t>vimeo:1077737553</t>
        </is>
      </c>
      <c r="L15" s="33" t="inlineStr">
        <is>
          <t>https://www.lovethework.com/work/entries/the-missing-portraits-754176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LIFE DONOR CARD</t>
        </is>
      </c>
      <c r="D16" s="33" t="inlineStr">
        <is>
          <t>MASTERCARD</t>
        </is>
      </c>
      <c r="E16" s="33" t="inlineStr">
        <is>
          <t>LIFE DONOR FEATURE</t>
        </is>
      </c>
      <c r="F16" s="33" t="inlineStr">
        <is>
          <t>MRM GERMANY</t>
        </is>
      </c>
      <c r="G16" s="33" t="inlineStr">
        <is>
          <t>Germany</t>
        </is>
      </c>
      <c r="H16" s="33" t="inlineStr">
        <is>
          <t>Data-Driven Consumer Product</t>
        </is>
      </c>
      <c r="I16" s="33" t="inlineStr">
        <is>
          <t>https://ascentialcdn.filespin.io/api/v1/conversion/d4f1b0f66c5e4ae7ad17037a6aa198f7</t>
        </is>
      </c>
      <c r="J16" s="33" t="inlineStr">
        <is>
          <t>pe-7cdkH2dA</t>
        </is>
      </c>
      <c r="L16" s="33" t="inlineStr">
        <is>
          <t>https://www.lovethework.com/work/entries/life-donor-card-759724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HUMANIMAL TOURISM</t>
        </is>
      </c>
      <c r="D17" s="33" t="inlineStr">
        <is>
          <t>PROCOLOMBIA</t>
        </is>
      </c>
      <c r="E17" s="33" t="inlineStr">
        <is>
          <t>COLOMBIA, THE COUNTRY OF BEAUTY</t>
        </is>
      </c>
      <c r="F17" s="33" t="inlineStr">
        <is>
          <t>DDB COLOMBIA</t>
        </is>
      </c>
      <c r="G17" s="33" t="inlineStr">
        <is>
          <t>Colombia</t>
        </is>
      </c>
      <c r="H17" s="33" t="inlineStr">
        <is>
          <t>Data-Enhanced Creativity</t>
        </is>
      </c>
      <c r="I17" s="33" t="inlineStr">
        <is>
          <t>https://ascentialcdn.filespin.io/api/v1/conversion/baf91a99fe954d17a2d2b48558a76a34</t>
        </is>
      </c>
      <c r="J17" s="33" t="inlineStr">
        <is>
          <t>1r6DMx0FOYk</t>
        </is>
      </c>
      <c r="L17" s="33" t="inlineStr">
        <is>
          <t>https://www.lovethework.com/work/entries/humanimal-tourism-753838</t>
        </is>
      </c>
    </row>
    <row r="18">
      <c r="A18" s="33" t="n">
        <v>17</v>
      </c>
      <c r="B18" s="33" t="inlineStr">
        <is>
          <t>Bronze</t>
        </is>
      </c>
      <c r="C18" s="33" t="inlineStr">
        <is>
          <t>THE SOCIAL FEED</t>
        </is>
      </c>
      <c r="D18" s="33" t="inlineStr">
        <is>
          <t>HUNGERSTATION</t>
        </is>
      </c>
      <c r="E18" s="33" t="inlineStr">
        <is>
          <t>FOOD DELIVERY APP</t>
        </is>
      </c>
      <c r="F18" s="33" t="inlineStr">
        <is>
          <t>VML</t>
        </is>
      </c>
      <c r="G18" s="33" t="inlineStr">
        <is>
          <t>United Arab Emirates</t>
        </is>
      </c>
      <c r="H18" s="33" t="inlineStr">
        <is>
          <t>Data-Driven Targeting</t>
        </is>
      </c>
      <c r="I18" s="33" t="inlineStr">
        <is>
          <t>https://ascentialcdn.filespin.io/api/v1/conversion/f79ebb4926094729b16cf44d9e9f7d4f</t>
        </is>
      </c>
      <c r="J18" s="33" t="inlineStr">
        <is>
          <t>vimeo:1075735593</t>
        </is>
      </c>
      <c r="L18" s="33" t="inlineStr">
        <is>
          <t>https://www.lovethework.com/work/entries/the-social-feed-753950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PRESERVED PROMOS</t>
        </is>
      </c>
      <c r="D2" s="33" t="inlineStr">
        <is>
          <t>ZIPLOC</t>
        </is>
      </c>
      <c r="E2" s="33" t="inlineStr">
        <is>
          <t>ZIPLOC</t>
        </is>
      </c>
      <c r="F2" s="33" t="inlineStr">
        <is>
          <t>VML</t>
        </is>
      </c>
      <c r="G2" s="33" t="inlineStr">
        <is>
          <t>United States</t>
        </is>
      </c>
      <c r="H2" s="33" t="inlineStr">
        <is>
          <t>Brand Strategy</t>
        </is>
      </c>
      <c r="I2" s="33" t="inlineStr">
        <is>
          <t>https://ascentialcdn.filespin.io/api/v1/conversion/8223f25b769b40e3b665c4ec19e2e12c</t>
        </is>
      </c>
      <c r="J2" s="33" t="inlineStr">
        <is>
          <t>F9CTRsV3N7k</t>
        </is>
      </c>
      <c r="L2" s="33" t="inlineStr">
        <is>
          <t>https://www.lovethework.com/work/entries/preserved-promos-756451</t>
        </is>
      </c>
    </row>
    <row r="3">
      <c r="A3" s="33" t="n">
        <v>2</v>
      </c>
      <c r="B3" s="33" t="inlineStr">
        <is>
          <t>Gold</t>
        </is>
      </c>
      <c r="C3" s="33" t="inlineStr">
        <is>
          <t>RECIPE FOR GROWTH</t>
        </is>
      </c>
      <c r="D3" s="33" t="inlineStr">
        <is>
          <t>IFOOD</t>
        </is>
      </c>
      <c r="E3" s="33" t="inlineStr">
        <is>
          <t>IFOOD B2B</t>
        </is>
      </c>
      <c r="F3" s="33" t="inlineStr">
        <is>
          <t>DM9</t>
        </is>
      </c>
      <c r="G3" s="33" t="inlineStr">
        <is>
          <t>Brazil</t>
        </is>
      </c>
      <c r="H3" s="33" t="inlineStr">
        <is>
          <t>Consumer Services/Business to Business</t>
        </is>
      </c>
      <c r="I3" s="33" t="inlineStr">
        <is>
          <t>https://ascentialcdn.filespin.io/api/v1/conversion/06ac79ad1b9840bdb3df3269a42d0933</t>
        </is>
      </c>
      <c r="J3" s="33" t="inlineStr">
        <is>
          <t>vimeo:1080197730</t>
        </is>
      </c>
      <c r="L3" s="33" t="inlineStr">
        <is>
          <t>https://www.lovethework.com/work/entries/recipe-for-growth-756123</t>
        </is>
      </c>
    </row>
    <row r="4">
      <c r="A4" s="33" t="n">
        <v>3</v>
      </c>
      <c r="B4" s="33" t="inlineStr">
        <is>
          <t>Gold</t>
        </is>
      </c>
      <c r="C4" s="33" t="inlineStr">
        <is>
          <t>SAD KAMA-CHAN</t>
        </is>
      </c>
      <c r="D4" s="33" t="inlineStr">
        <is>
          <t>B&amp;Q</t>
        </is>
      </c>
      <c r="E4" s="33" t="inlineStr">
        <is>
          <t>BAR B Q PLAZA</t>
        </is>
      </c>
      <c r="F4" s="33" t="inlineStr">
        <is>
          <t>GREY THAILAND</t>
        </is>
      </c>
      <c r="G4" s="33" t="inlineStr">
        <is>
          <t>Thailand</t>
        </is>
      </c>
      <c r="H4" s="33" t="inlineStr">
        <is>
          <t>Customer Acquisition &amp; Retention</t>
        </is>
      </c>
      <c r="I4" s="33" t="inlineStr">
        <is>
          <t>https://ascentialcdn.filespin.io/api/v1/conversion/b1a090f7c816487f8dcee01d4c656df9</t>
        </is>
      </c>
      <c r="J4" s="33" t="inlineStr">
        <is>
          <t>h7MYlQFAKMg</t>
        </is>
      </c>
      <c r="L4" s="33" t="inlineStr">
        <is>
          <t>https://www.lovethework.com/work/entries/sad-kama-chan-756446</t>
        </is>
      </c>
    </row>
    <row r="5">
      <c r="A5" s="33" t="n">
        <v>4</v>
      </c>
      <c r="B5" s="33" t="inlineStr">
        <is>
          <t>Gold</t>
        </is>
      </c>
      <c r="C5" s="33" t="inlineStr">
        <is>
          <t>LUCKY YATRA</t>
        </is>
      </c>
      <c r="D5" s="33" t="inlineStr">
        <is>
          <t>INDIAN RAILWAYS</t>
        </is>
      </c>
      <c r="E5" s="33" t="inlineStr">
        <is>
          <t>RAILWAY SERVICE</t>
        </is>
      </c>
      <c r="F5" s="33" t="inlineStr">
        <is>
          <t>FCB INDIA</t>
        </is>
      </c>
      <c r="G5" s="33" t="inlineStr">
        <is>
          <t>India</t>
        </is>
      </c>
      <c r="H5" s="33" t="inlineStr">
        <is>
          <t>Customer Acquisition &amp; Retention</t>
        </is>
      </c>
      <c r="I5" s="33" t="inlineStr">
        <is>
          <t>https://ascentialcdn.filespin.io/api/v1/conversion/81cf5ad6f9074f6589edcf4736a3552b</t>
        </is>
      </c>
      <c r="J5" s="33" t="inlineStr">
        <is>
          <t>19fzAvuFq0I</t>
        </is>
      </c>
      <c r="L5" s="33" t="inlineStr">
        <is>
          <t>https://www.lovethework.com/work/entries/lucky-yatra-756377</t>
        </is>
      </c>
    </row>
    <row r="6">
      <c r="A6" s="33" t="n">
        <v>5</v>
      </c>
      <c r="B6" s="33" t="inlineStr">
        <is>
          <t>Silver</t>
        </is>
      </c>
      <c r="C6" s="33" t="inlineStr">
        <is>
          <t>FOOTBALL IS FOR FOOD</t>
        </is>
      </c>
      <c r="D6" s="33" t="inlineStr">
        <is>
          <t>UBER EATS</t>
        </is>
      </c>
      <c r="E6" s="33" t="inlineStr">
        <is>
          <t>UBER EATS</t>
        </is>
      </c>
      <c r="F6" s="33" t="inlineStr">
        <is>
          <t>SPECIAL</t>
        </is>
      </c>
      <c r="G6" s="33" t="inlineStr">
        <is>
          <t>United States</t>
        </is>
      </c>
      <c r="H6" s="33" t="inlineStr">
        <is>
          <t>Travel, Leisure, Retail, Restaurants &amp; Fast-Food Chains</t>
        </is>
      </c>
      <c r="I6" s="33" t="inlineStr">
        <is>
          <t>https://ascentialcdn.filespin.io/api/v1/conversion/23d7c7eb3b1845ab821b2444f4366440</t>
        </is>
      </c>
      <c r="J6" s="33" t="inlineStr">
        <is>
          <t>Mi_cxUyqH4Q</t>
        </is>
      </c>
      <c r="L6" s="33" t="inlineStr">
        <is>
          <t>https://www.lovethework.com/work/entries/football-is-for-food-756070</t>
        </is>
      </c>
    </row>
    <row r="7">
      <c r="A7" s="33" t="n">
        <v>6</v>
      </c>
      <c r="B7" s="33" t="inlineStr">
        <is>
          <t>Silver</t>
        </is>
      </c>
      <c r="C7" s="33" t="inlineStr">
        <is>
          <t>MAKEUP PAYMENT</t>
        </is>
      </c>
      <c r="D7" s="33" t="inlineStr">
        <is>
          <t>MASTERCARD</t>
        </is>
      </c>
      <c r="E7" s="33" t="inlineStr">
        <is>
          <t>MASTERCARD</t>
        </is>
      </c>
      <c r="F7" s="33" t="inlineStr">
        <is>
          <t>MRM</t>
        </is>
      </c>
      <c r="G7" s="33" t="inlineStr">
        <is>
          <t>Brazil</t>
        </is>
      </c>
      <c r="H7" s="33" t="inlineStr">
        <is>
          <t>Innovative use of Commerce Channel</t>
        </is>
      </c>
      <c r="I7" s="33" t="inlineStr">
        <is>
          <t>https://ascentialcdn.filespin.io/api/v1/conversion/65f21a7641c4411ab901d5cc5854564a</t>
        </is>
      </c>
      <c r="J7" s="33" t="inlineStr">
        <is>
          <t>izZ-HPCDzy4</t>
        </is>
      </c>
      <c r="L7" s="33" t="inlineStr">
        <is>
          <t>https://www.lovethework.com/work/entries/makeup-payment-756226</t>
        </is>
      </c>
    </row>
    <row r="8">
      <c r="A8" s="33" t="n">
        <v>7</v>
      </c>
      <c r="B8" s="33" t="inlineStr">
        <is>
          <t>Silver</t>
        </is>
      </c>
      <c r="C8" s="33" t="inlineStr">
        <is>
          <t>COUPON RAIN</t>
        </is>
      </c>
      <c r="D8" s="33" t="inlineStr">
        <is>
          <t>MERCADO LIVRE</t>
        </is>
      </c>
      <c r="E8" s="33" t="inlineStr">
        <is>
          <t>MERCADO LIVRE</t>
        </is>
      </c>
      <c r="F8" s="33" t="inlineStr">
        <is>
          <t>GUT</t>
        </is>
      </c>
      <c r="G8" s="33" t="inlineStr">
        <is>
          <t>Brazil</t>
        </is>
      </c>
      <c r="H8" s="33" t="inlineStr">
        <is>
          <t>Travel, Leisure, Retail, Restaurants &amp; Fast-Food Chains</t>
        </is>
      </c>
      <c r="I8" s="33" t="inlineStr">
        <is>
          <t>https://ascentialcdn.filespin.io/api/v1/conversion/8782875c907847289e66a9d52a2b2ec8</t>
        </is>
      </c>
      <c r="J8" s="33" t="inlineStr">
        <is>
          <t>vimeo:1093414319</t>
        </is>
      </c>
      <c r="L8" s="33" t="inlineStr">
        <is>
          <t>https://www.lovethework.com/work/entries/coupon-rain-756095</t>
        </is>
      </c>
    </row>
    <row r="9">
      <c r="A9" s="33" t="n">
        <v>8</v>
      </c>
      <c r="B9" s="33" t="inlineStr">
        <is>
          <t>Silver</t>
        </is>
      </c>
      <c r="C9" s="33" t="inlineStr">
        <is>
          <t>THE SOCIAL FEED</t>
        </is>
      </c>
      <c r="D9" s="33" t="inlineStr">
        <is>
          <t>HUNGERSTATION</t>
        </is>
      </c>
      <c r="E9" s="33" t="inlineStr">
        <is>
          <t>FOOD DELIVERY APP</t>
        </is>
      </c>
      <c r="F9" s="33" t="inlineStr">
        <is>
          <t>VML</t>
        </is>
      </c>
      <c r="G9" s="33" t="inlineStr">
        <is>
          <t>United Arab Emirates</t>
        </is>
      </c>
      <c r="H9" s="33" t="inlineStr">
        <is>
          <t>Social Behaviour</t>
        </is>
      </c>
      <c r="I9" s="33" t="inlineStr">
        <is>
          <t>https://ascentialcdn.filespin.io/api/v1/conversion/ed346dbf026441888562409343c9c149</t>
        </is>
      </c>
      <c r="J9" s="33" t="inlineStr">
        <is>
          <t>vimeo:1075735593</t>
        </is>
      </c>
      <c r="L9" s="33" t="inlineStr">
        <is>
          <t>https://www.lovethework.com/work/entries/the-social-feed-756367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PRIZE ON THE BONE</t>
        </is>
      </c>
      <c r="D10" s="33" t="inlineStr">
        <is>
          <t>KFC</t>
        </is>
      </c>
      <c r="E10" s="33" t="inlineStr">
        <is>
          <t>KFC ICE-CREAM</t>
        </is>
      </c>
      <c r="F10" s="33" t="inlineStr">
        <is>
          <t>DM9</t>
        </is>
      </c>
      <c r="G10" s="33" t="inlineStr">
        <is>
          <t>Brazil</t>
        </is>
      </c>
      <c r="H10" s="33" t="inlineStr">
        <is>
          <t>Social Behaviour</t>
        </is>
      </c>
      <c r="I10" s="33" t="inlineStr">
        <is>
          <t>https://ascentialcdn.filespin.io/api/v1/conversion/32ef7021bdbd4c4392fa51fb240d45e6</t>
        </is>
      </c>
      <c r="J10" s="33" t="inlineStr">
        <is>
          <t>h4Kl5THlsYw</t>
        </is>
      </c>
      <c r="L10" s="33" t="inlineStr">
        <is>
          <t>https://www.lovethework.com/work/entries/prize-on-the-bone-756514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PRICE PACKS</t>
        </is>
      </c>
      <c r="D11" s="33" t="inlineStr">
        <is>
          <t>PENNY</t>
        </is>
      </c>
      <c r="E11" s="33" t="inlineStr">
        <is>
          <t>FOOD/NON-FOOD</t>
        </is>
      </c>
      <c r="F11" s="33" t="inlineStr">
        <is>
          <t>SERVICEPLAN GERMANY</t>
        </is>
      </c>
      <c r="G11" s="33" t="inlineStr">
        <is>
          <t>Germany</t>
        </is>
      </c>
      <c r="H11" s="33" t="inlineStr">
        <is>
          <t>Retail Media</t>
        </is>
      </c>
      <c r="I11" s="33" t="inlineStr">
        <is>
          <t>https://ascentialcdn.filespin.io/api/v1/conversion/67b6df2a0fe64deeb274c91d50040c54</t>
        </is>
      </c>
      <c r="J11" s="33" t="inlineStr">
        <is>
          <t>wXx6z3mDnVc</t>
        </is>
      </c>
      <c r="L11" s="33" t="inlineStr">
        <is>
          <t>https://www.lovethework.com/work/entries/price-packs-756267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ORANGE - SAFER PHONE</t>
        </is>
      </c>
      <c r="D12" s="33" t="inlineStr">
        <is>
          <t>ORANGE</t>
        </is>
      </c>
      <c r="E12" s="33" t="inlineStr">
        <is>
          <t>SAFER PHONES</t>
        </is>
      </c>
      <c r="F12" s="33" t="inlineStr">
        <is>
          <t>PUBLICIS CONSEIL</t>
        </is>
      </c>
      <c r="G12" s="33" t="inlineStr">
        <is>
          <t>France</t>
        </is>
      </c>
      <c r="H12" s="33" t="inlineStr">
        <is>
          <t>Consumer Services/Business to Business</t>
        </is>
      </c>
      <c r="I12" s="33" t="inlineStr">
        <is>
          <t>https://ascentialcdn.filespin.io/api/v1/conversion/cb56a9988125417f960278fdeea26a5f</t>
        </is>
      </c>
      <c r="J12" s="33" t="inlineStr">
        <is>
          <t>fvFMlQwQJNk</t>
        </is>
      </c>
      <c r="L12" s="33" t="inlineStr">
        <is>
          <t>https://www.lovethework.com/work/entries/orange-safer-phone-756150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U UP?</t>
        </is>
      </c>
      <c r="D13" s="33" t="inlineStr">
        <is>
          <t>IKEA</t>
        </is>
      </c>
      <c r="E13" s="33" t="inlineStr">
        <is>
          <t>IKEA</t>
        </is>
      </c>
      <c r="F13" s="33" t="inlineStr">
        <is>
          <t>RETHINK</t>
        </is>
      </c>
      <c r="G13" s="33" t="inlineStr">
        <is>
          <t>Canada</t>
        </is>
      </c>
      <c r="H13" s="33" t="inlineStr">
        <is>
          <t>Use of Humour</t>
        </is>
      </c>
      <c r="I13" s="33" t="inlineStr">
        <is>
          <t>https://ascentialcdn.filespin.io/api/v1/conversion/1d6f8cfcad1b47c9beaa5f403844ec8a</t>
        </is>
      </c>
      <c r="J13" s="33" t="inlineStr">
        <is>
          <t>VT02JDQuMxM</t>
        </is>
      </c>
      <c r="L13" s="33" t="inlineStr">
        <is>
          <t>https://www.lovethework.com/work/entries/u-up-756513</t>
        </is>
      </c>
    </row>
    <row r="14">
      <c r="A14" s="33" t="n">
        <v>13</v>
      </c>
      <c r="B14" s="33" t="inlineStr">
        <is>
          <t>Bronze</t>
        </is>
      </c>
      <c r="C14" s="33" t="inlineStr">
        <is>
          <t>BAD LUCK REVERSER</t>
        </is>
      </c>
      <c r="D14" s="33" t="inlineStr">
        <is>
          <t>REFISAL</t>
        </is>
      </c>
      <c r="E14" s="33" t="inlineStr">
        <is>
          <t>REFISAL</t>
        </is>
      </c>
      <c r="F14" s="33" t="inlineStr">
        <is>
          <t>NAME</t>
        </is>
      </c>
      <c r="G14" s="33" t="inlineStr">
        <is>
          <t>Colombia</t>
        </is>
      </c>
      <c r="H14" s="33" t="inlineStr">
        <is>
          <t>Targeting, Insights and Personalisation</t>
        </is>
      </c>
      <c r="I14" s="33" t="inlineStr">
        <is>
          <t>https://ascentialcdn.filespin.io/api/v1/conversion/7e95f656b693443d8d4e60f0a4c9b853</t>
        </is>
      </c>
      <c r="J14" s="33" t="inlineStr">
        <is>
          <t>4OaN00EWwWg</t>
        </is>
      </c>
      <c r="L14" s="33" t="inlineStr">
        <is>
          <t>https://www.lovethework.com/work/entries/bad-luck-reverser-756277</t>
        </is>
      </c>
    </row>
    <row r="15">
      <c r="A15" s="33" t="n">
        <v>14</v>
      </c>
      <c r="B15" s="33" t="inlineStr">
        <is>
          <t>Bronze</t>
        </is>
      </c>
      <c r="C15" s="33" t="inlineStr">
        <is>
          <t>CERTIFIED TOASTERS</t>
        </is>
      </c>
      <c r="D15" s="33" t="inlineStr">
        <is>
          <t>GOODMAN FIELDER BAKING</t>
        </is>
      </c>
      <c r="E15" s="33" t="inlineStr">
        <is>
          <t>VOGEL'S</t>
        </is>
      </c>
      <c r="F15" s="33" t="inlineStr">
        <is>
          <t>DDB NEW ZEALAND</t>
        </is>
      </c>
      <c r="G15" s="33" t="inlineStr">
        <is>
          <t>New Zealand</t>
        </is>
      </c>
      <c r="H15" s="33" t="inlineStr">
        <is>
          <t>Social Behaviour</t>
        </is>
      </c>
      <c r="I15" s="33" t="inlineStr">
        <is>
          <t>https://ascentialcdn.filespin.io/api/v1/conversion/30f06e4e4ef440009490ba98305ec513</t>
        </is>
      </c>
      <c r="J15" s="33" t="inlineStr">
        <is>
          <t>S_gE7H2X8zw</t>
        </is>
      </c>
      <c r="L15" s="33" t="inlineStr">
        <is>
          <t>https://www.lovethework.com/work/entries/certified-toasters-756382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GAMEPAY</t>
        </is>
      </c>
      <c r="D16" s="33" t="inlineStr">
        <is>
          <t>ELGIGANTEN</t>
        </is>
      </c>
      <c r="E16" s="33" t="inlineStr">
        <is>
          <t>GAMEPAY PAYMENT SOLUTION</t>
        </is>
      </c>
      <c r="F16" s="33" t="inlineStr">
        <is>
          <t>LEO STOCKHOLM</t>
        </is>
      </c>
      <c r="G16" s="33" t="inlineStr">
        <is>
          <t>Sweden</t>
        </is>
      </c>
      <c r="H16" s="33" t="inlineStr">
        <is>
          <t>In-Store Experiences</t>
        </is>
      </c>
      <c r="I16" s="33" t="inlineStr">
        <is>
          <t>https://ascentialcdn.filespin.io/api/v1/conversion/0dd066245fc34dabbdcefcd302d6dec0</t>
        </is>
      </c>
      <c r="J16" s="33" t="inlineStr">
        <is>
          <t>yR9xtq0UcRQ</t>
        </is>
      </c>
      <c r="L16" s="33" t="inlineStr">
        <is>
          <t>https://www.lovethework.com/work/entries/gamepay-756300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EMOJI COKE</t>
        </is>
      </c>
      <c r="D17" s="33" t="inlineStr">
        <is>
          <t>COCA-COLA</t>
        </is>
      </c>
      <c r="E17" s="33" t="inlineStr">
        <is>
          <t>COCA-COLA</t>
        </is>
      </c>
      <c r="F17" s="33" t="inlineStr">
        <is>
          <t>VML</t>
        </is>
      </c>
      <c r="G17" s="33" t="inlineStr">
        <is>
          <t>United States</t>
        </is>
      </c>
      <c r="H17" s="33" t="inlineStr">
        <is>
          <t>Consumer Goods</t>
        </is>
      </c>
      <c r="I17" s="33" t="inlineStr">
        <is>
          <t>https://ascentialcdn.filespin.io/api/v1/conversion/2feb6d1ff52a478c9a984b587364f7e7</t>
        </is>
      </c>
      <c r="J17" s="33" t="inlineStr">
        <is>
          <t>vimeo:1094885234</t>
        </is>
      </c>
      <c r="L17" s="33" t="inlineStr">
        <is>
          <t>https://www.lovethework.com/work/entries/emoji-coke-755966</t>
        </is>
      </c>
    </row>
    <row r="18">
      <c r="A18" s="33" t="n">
        <v>17</v>
      </c>
      <c r="B18" s="33" t="inlineStr">
        <is>
          <t>Bronze</t>
        </is>
      </c>
      <c r="C18" s="33" t="inlineStr">
        <is>
          <t>TRASH TALK CODES</t>
        </is>
      </c>
      <c r="D18" s="33" t="inlineStr">
        <is>
          <t>BRAHMA</t>
        </is>
      </c>
      <c r="E18" s="33" t="inlineStr">
        <is>
          <t>BEER</t>
        </is>
      </c>
      <c r="F18" s="33" t="inlineStr">
        <is>
          <t>AFRICA CREATIVE DDB</t>
        </is>
      </c>
      <c r="G18" s="33" t="inlineStr">
        <is>
          <t>Brazil</t>
        </is>
      </c>
      <c r="H18" s="33" t="inlineStr">
        <is>
          <t>Innovative use of Commerce Channel</t>
        </is>
      </c>
      <c r="I18" s="33" t="inlineStr">
        <is>
          <t>https://ascentialcdn.filespin.io/api/v1/conversion/33bdcd0b6d9f488bb4f5fc588536ffbd</t>
        </is>
      </c>
      <c r="J18" s="33" t="inlineStr">
        <is>
          <t>vimeo:1090489924</t>
        </is>
      </c>
      <c r="L18" s="33" t="inlineStr">
        <is>
          <t>https://www.lovethework.com/work/entries/trash-talk-codes-756163</t>
        </is>
      </c>
    </row>
    <row r="19">
      <c r="A19" s="33" t="n">
        <v>18</v>
      </c>
      <c r="B19" s="33" t="inlineStr">
        <is>
          <t>Bronze</t>
        </is>
      </c>
      <c r="C19" s="33" t="inlineStr">
        <is>
          <t>BAR DATING – POWERED BY HEI!</t>
        </is>
      </c>
      <c r="D19" s="33" t="inlineStr">
        <is>
          <t>HEINEKEN</t>
        </is>
      </c>
      <c r="E19" s="33" t="inlineStr">
        <is>
          <t>HEINEKEN</t>
        </is>
      </c>
      <c r="F19" s="33" t="inlineStr">
        <is>
          <t>LEPUB</t>
        </is>
      </c>
      <c r="G19" s="33" t="inlineStr">
        <is>
          <t>Brazil</t>
        </is>
      </c>
      <c r="H19" s="33" t="inlineStr">
        <is>
          <t>Social Behaviour</t>
        </is>
      </c>
      <c r="I19" s="33" t="inlineStr">
        <is>
          <t>https://ascentialcdn.filespin.io/api/v1/conversion/6e35bee1ed324003aa2a205fcdfecf12</t>
        </is>
      </c>
      <c r="J19" s="33" t="inlineStr">
        <is>
          <t>vimeo:1094166672</t>
        </is>
      </c>
      <c r="L19" s="33" t="inlineStr">
        <is>
          <t>https://www.lovethework.com/work/entries/bar-dating-powered-by-hei-764307</t>
        </is>
      </c>
    </row>
    <row r="20">
      <c r="A20" s="33" t="n">
        <v>19</v>
      </c>
      <c r="B20" s="33" t="inlineStr">
        <is>
          <t>Bronze</t>
        </is>
      </c>
      <c r="C20" s="33" t="inlineStr">
        <is>
          <t>MINEFIELD HONEY: HARVESTING HOPE</t>
        </is>
      </c>
      <c r="D20" s="33" t="inlineStr">
        <is>
          <t>KERNEL, MINISTRY OF FOREIGN AFFAIRS OF UKRAINE</t>
        </is>
      </c>
      <c r="E20" s="33" t="inlineStr">
        <is>
          <t>AGRICULTURE</t>
        </is>
      </c>
      <c r="F20" s="33" t="inlineStr">
        <is>
          <t>SAATCHI &amp; SAATCHI UKRAINE</t>
        </is>
      </c>
      <c r="G20" s="33" t="inlineStr">
        <is>
          <t>Ukraine</t>
        </is>
      </c>
      <c r="H20" s="33" t="inlineStr">
        <is>
          <t>Corporate Purpose &amp; Social Responsibility</t>
        </is>
      </c>
      <c r="I20" s="33" t="inlineStr">
        <is>
          <t>https://ascentialcdn.filespin.io/api/v1/conversion/e943553f2152499c8182bfce20e7355d</t>
        </is>
      </c>
      <c r="J20" s="33" t="inlineStr">
        <is>
          <t>ABV3K_N7a7k</t>
        </is>
      </c>
      <c r="L20" s="33" t="inlineStr">
        <is>
          <t>https://www.lovethework.com/work/entries/minefield-honey-harvesting-hope-762159</t>
        </is>
      </c>
    </row>
    <row r="21">
      <c r="A21" s="33" t="n">
        <v>20</v>
      </c>
      <c r="B21" s="33" t="inlineStr">
        <is>
          <t>Bronze</t>
        </is>
      </c>
      <c r="C21" s="33" t="inlineStr">
        <is>
          <t>KLEENEX SCORE</t>
        </is>
      </c>
      <c r="D21" s="33" t="inlineStr">
        <is>
          <t>KIMBERLY-CLARK</t>
        </is>
      </c>
      <c r="E21" s="33" t="inlineStr">
        <is>
          <t>KLEENEX</t>
        </is>
      </c>
      <c r="F21" s="33" t="inlineStr">
        <is>
          <t>VML</t>
        </is>
      </c>
      <c r="G21" s="33" t="inlineStr">
        <is>
          <t>United States</t>
        </is>
      </c>
      <c r="H21" s="33" t="inlineStr">
        <is>
          <t>Innovative use of Commerce Channel</t>
        </is>
      </c>
      <c r="I21" s="33" t="inlineStr">
        <is>
          <t>https://ascentialcdn.filespin.io/api/v1/conversion/b71f0dff73f3455abef2899f0b1aeb49</t>
        </is>
      </c>
      <c r="J21" s="33" t="inlineStr">
        <is>
          <t>hKBNKbhMwZw</t>
        </is>
      </c>
      <c r="L21" s="33" t="inlineStr">
        <is>
          <t>https://www.lovethework.com/work/entries/kleenex-score-756290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NIGHT FISHING</t>
        </is>
      </c>
      <c r="D2" s="33" t="inlineStr">
        <is>
          <t>HYUNDAI</t>
        </is>
      </c>
      <c r="E2" s="33" t="inlineStr">
        <is>
          <t>IONIQ</t>
        </is>
      </c>
      <c r="F2" s="33" t="inlineStr">
        <is>
          <t>INNOCEAN</t>
        </is>
      </c>
      <c r="G2" s="33" t="inlineStr">
        <is>
          <t>South Korea</t>
        </is>
      </c>
      <c r="H2" s="33" t="inlineStr">
        <is>
          <t>Fiction Film: 5-30 minutes</t>
        </is>
      </c>
      <c r="I2" s="33" t="inlineStr">
        <is>
          <t>digital-presentation-images/entertainment-hyundai-night-fishing.webp</t>
        </is>
      </c>
      <c r="J2" s="33" t="inlineStr">
        <is>
          <t>BTcsn4aLOkQ</t>
        </is>
      </c>
      <c r="L2" s="33" t="inlineStr">
        <is>
          <t>https://www.lovethework.com/work/entries/night-fishing-767309</t>
        </is>
      </c>
    </row>
    <row r="3">
      <c r="A3" s="33" t="n">
        <v>2</v>
      </c>
      <c r="B3" s="33" t="inlineStr">
        <is>
          <t>Gold</t>
        </is>
      </c>
      <c r="C3" s="33" t="inlineStr">
        <is>
          <t>THE FINAL COPY OF ILON SPECHT</t>
        </is>
      </c>
      <c r="D3" s="33" t="inlineStr">
        <is>
          <t>L'OREAL</t>
        </is>
      </c>
      <c r="E3" s="33" t="inlineStr">
        <is>
          <t>L'ORÃAL PARIS</t>
        </is>
      </c>
      <c r="F3" s="33" t="inlineStr">
        <is>
          <t>McCANN</t>
        </is>
      </c>
      <c r="G3" s="33" t="inlineStr">
        <is>
          <t>France</t>
        </is>
      </c>
      <c r="H3" s="33" t="inlineStr">
        <is>
          <t>Non-Fiction Film: 5-30 minutes</t>
        </is>
      </c>
      <c r="I3" s="33" t="inlineStr">
        <is>
          <t>digital-presentation-images/entertainment-loreal-the-final-copy-of-ilon-specht.webp</t>
        </is>
      </c>
      <c r="J3" s="33" t="inlineStr">
        <is>
          <t>vimeo:1094956645</t>
        </is>
      </c>
      <c r="L3" s="33" t="inlineStr">
        <is>
          <t>https://www.lovethework.com/work/entries/the-final-copy-of-ilon-specht-766871</t>
        </is>
      </c>
    </row>
    <row r="4">
      <c r="A4" s="33" t="n">
        <v>3</v>
      </c>
      <c r="B4" s="33" t="inlineStr">
        <is>
          <t>Gold</t>
        </is>
      </c>
      <c r="C4" s="33" t="inlineStr">
        <is>
          <t>HAALAND PAYBACK TIME</t>
        </is>
      </c>
      <c r="D4" s="33" t="inlineStr">
        <is>
          <t>CLASH OF CLANS</t>
        </is>
      </c>
      <c r="E4" s="33" t="inlineStr">
        <is>
          <t>CLASH OF CLANS</t>
        </is>
      </c>
      <c r="F4" s="33" t="inlineStr">
        <is>
          <t>DAVID</t>
        </is>
      </c>
      <c r="G4" s="33" t="inlineStr">
        <is>
          <t>United States</t>
        </is>
      </c>
      <c r="H4" s="33" t="inlineStr">
        <is>
          <t>Audience Engagement/Distribution Strategy</t>
        </is>
      </c>
      <c r="I4" s="33" t="inlineStr">
        <is>
          <t>https://ascentialcdn.filespin.io/api/v1/conversion/e56e744cd3594eceb82733246e9035b2</t>
        </is>
      </c>
      <c r="J4" s="33" t="inlineStr">
        <is>
          <t>TcQ--NtSQ9s</t>
        </is>
      </c>
      <c r="L4" s="33" t="inlineStr">
        <is>
          <t>https://www.lovethework.com/work/entries/haaland-payback-time-766835</t>
        </is>
      </c>
    </row>
    <row r="5">
      <c r="A5" s="33" t="n">
        <v>4</v>
      </c>
      <c r="B5" s="33" t="inlineStr">
        <is>
          <t>Gold</t>
        </is>
      </c>
      <c r="C5" s="33" t="inlineStr">
        <is>
          <t>CAPTION WITH INTENTION</t>
        </is>
      </c>
      <c r="D5" s="33" t="inlineStr">
        <is>
          <t>ACADEMY OF MOTION PICTURE ARTS &amp; SCIENCES - RAKISH - CHICAGO HEARING SOCIETY</t>
        </is>
      </c>
      <c r="E5" s="33" t="inlineStr">
        <is>
          <t>CLOSED CAPTIONING</t>
        </is>
      </c>
      <c r="F5" s="33" t="inlineStr">
        <is>
          <t>FCB CHICAGO</t>
        </is>
      </c>
      <c r="G5" s="33" t="inlineStr">
        <is>
          <t>United States</t>
        </is>
      </c>
      <c r="H5" s="33" t="inlineStr">
        <is>
          <t>Diversity &amp; Inclusion in Entertainment</t>
        </is>
      </c>
      <c r="I5" s="33" t="inlineStr">
        <is>
          <t>https://ascentialcdn.filespin.io/api/v1/conversion/3a7cf992b94648e7abc8a97fc02fb04b</t>
        </is>
      </c>
      <c r="J5" s="33" t="inlineStr">
        <is>
          <t>F48khKZhKHM</t>
        </is>
      </c>
      <c r="L5" s="33" t="inlineStr">
        <is>
          <t>https://www.lovethework.com/work/entries/caption-with-intention-767270</t>
        </is>
      </c>
    </row>
    <row r="6">
      <c r="A6" s="33" t="n">
        <v>5</v>
      </c>
      <c r="B6" s="33" t="inlineStr">
        <is>
          <t>Gold</t>
        </is>
      </c>
      <c r="C6" s="33" t="inlineStr">
        <is>
          <t>DUNGEONS&amp;DRAGONS: THE LOST EPISODE</t>
        </is>
      </c>
      <c r="D6" s="33" t="inlineStr">
        <is>
          <t>HASBRO</t>
        </is>
      </c>
      <c r="E6" s="33" t="inlineStr">
        <is>
          <t>TOYS</t>
        </is>
      </c>
      <c r="F6" s="33" t="inlineStr">
        <is>
          <t>OGILVY</t>
        </is>
      </c>
      <c r="G6" s="33" t="inlineStr">
        <is>
          <t>Brazil</t>
        </is>
      </c>
      <c r="H6" s="33" t="inlineStr">
        <is>
          <t>Influencer &amp; Co-Creation</t>
        </is>
      </c>
      <c r="I6" s="33" t="inlineStr">
        <is>
          <t>digital-presentation-images/entertainment-hasbro-dungeons-and-dragons-the-lost-episode.webp</t>
        </is>
      </c>
      <c r="J6" s="33" t="inlineStr">
        <is>
          <t>vimeo:1080276069</t>
        </is>
      </c>
      <c r="L6" s="33" t="inlineStr">
        <is>
          <t>https://www.lovethework.com/work/entries/dungeonsdragons-the-lost-episode-767102</t>
        </is>
      </c>
    </row>
    <row r="7">
      <c r="A7" s="33" t="n">
        <v>6</v>
      </c>
      <c r="B7" s="33" t="inlineStr">
        <is>
          <t>Gold</t>
        </is>
      </c>
      <c r="C7" s="33" t="inlineStr">
        <is>
          <t>TIDE COLLATERAL STAIN STORIES</t>
        </is>
      </c>
      <c r="D7" s="33" t="inlineStr">
        <is>
          <t>TIDE</t>
        </is>
      </c>
      <c r="E7" s="33" t="inlineStr">
        <is>
          <t>TIDE OXI BOOST</t>
        </is>
      </c>
      <c r="F7" s="33" t="inlineStr">
        <is>
          <t>SAATCHI &amp; SAATCHI</t>
        </is>
      </c>
      <c r="G7" s="33" t="inlineStr">
        <is>
          <t>United States</t>
        </is>
      </c>
      <c r="H7" s="33" t="inlineStr">
        <is>
          <t>Brand Partnerships, Sponsorships &amp; Collaborations</t>
        </is>
      </c>
      <c r="I7" s="33" t="inlineStr">
        <is>
          <t>https://ascentialcdn.filespin.io/api/v1/conversion/55473142d6864b37b0a59f44ba97046b</t>
        </is>
      </c>
      <c r="J7" s="33" t="inlineStr">
        <is>
          <t>vimeo:1078053795</t>
        </is>
      </c>
      <c r="L7" s="33" t="inlineStr">
        <is>
          <t>https://www.lovethework.com/work/entries/tide-collateral-stain-stories-767268</t>
        </is>
      </c>
    </row>
    <row r="8">
      <c r="A8" s="33" t="n">
        <v>7</v>
      </c>
      <c r="B8" s="33" t="inlineStr">
        <is>
          <t>Silver</t>
        </is>
      </c>
      <c r="C8" s="33" t="inlineStr">
        <is>
          <t>LAP OF LEGENDS</t>
        </is>
      </c>
      <c r="D8" s="33" t="inlineStr">
        <is>
          <t>AB INBEV - MICHELOB ULTRA</t>
        </is>
      </c>
      <c r="E8" s="33" t="inlineStr">
        <is>
          <t>MICHELOB ULTRA</t>
        </is>
      </c>
      <c r="F8" s="33" t="inlineStr">
        <is>
          <t>FCB NEW YORK</t>
        </is>
      </c>
      <c r="G8" s="33" t="inlineStr">
        <is>
          <t>United States</t>
        </is>
      </c>
      <c r="H8" s="33" t="inlineStr">
        <is>
          <t>Innovation in Branded Content</t>
        </is>
      </c>
      <c r="I8" s="33" t="inlineStr">
        <is>
          <t>https://ascentialcdn.filespin.io/api/v1/conversion/00bc8da7a7464d6c8f4154a6b1e3cc23</t>
        </is>
      </c>
      <c r="J8" s="33" t="inlineStr">
        <is>
          <t>vimeo:943372451</t>
        </is>
      </c>
      <c r="L8" s="33" t="inlineStr">
        <is>
          <t>https://www.lovethework.com/work/entries/lap-of-legends-767038</t>
        </is>
      </c>
    </row>
    <row r="9">
      <c r="A9" s="33" t="n">
        <v>8</v>
      </c>
      <c r="B9" s="33" t="inlineStr">
        <is>
          <t>Silver</t>
        </is>
      </c>
      <c r="C9" s="33" t="inlineStr">
        <is>
          <t>CAN'T UNSEE IT</t>
        </is>
      </c>
      <c r="D9" s="33" t="inlineStr">
        <is>
          <t>HEINZ KETCHUP &amp; MUSTARD</t>
        </is>
      </c>
      <c r="E9" s="33" t="inlineStr">
        <is>
          <t>KRAFT HEINZ</t>
        </is>
      </c>
      <c r="F9" s="33" t="inlineStr">
        <is>
          <t>RETHINK</t>
        </is>
      </c>
      <c r="G9" s="33" t="inlineStr">
        <is>
          <t>Canada</t>
        </is>
      </c>
      <c r="H9" s="33" t="inlineStr">
        <is>
          <t>Brand Partnerships, Sponsorships &amp; Collaborations</t>
        </is>
      </c>
      <c r="I9" s="33" t="inlineStr">
        <is>
          <t>https://ascentialcdn.filespin.io/api/v1/conversion/3db7ec7e31b7459bafa082009489d40e</t>
        </is>
      </c>
      <c r="J9" s="33" t="inlineStr">
        <is>
          <t>itiHi3WYcSs</t>
        </is>
      </c>
      <c r="L9" s="33" t="inlineStr">
        <is>
          <t>https://www.lovethework.com/work/entries/cant-unsee-it-767337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OREO SQUARE COOKIE</t>
        </is>
      </c>
      <c r="D10" s="33" t="inlineStr">
        <is>
          <t>MONDELEZ INTERNATIONAL</t>
        </is>
      </c>
      <c r="E10" s="33" t="inlineStr">
        <is>
          <t>OREO</t>
        </is>
      </c>
      <c r="F10" s="33" t="inlineStr">
        <is>
          <t>SAATCHI &amp; SAATCHI</t>
        </is>
      </c>
      <c r="G10" s="33" t="inlineStr">
        <is>
          <t>Germany</t>
        </is>
      </c>
      <c r="H10" s="33" t="inlineStr">
        <is>
          <t>Audience Engagement/Distribution Strategy</t>
        </is>
      </c>
      <c r="I10" s="33" t="inlineStr">
        <is>
          <t>https://ascentialcdn.filespin.io/api/v1/conversion/76013060c8dd4eaab1a92bf04d89af79</t>
        </is>
      </c>
      <c r="J10" s="33" t="inlineStr">
        <is>
          <t>vimeo:1068186645</t>
        </is>
      </c>
      <c r="L10" s="33" t="inlineStr">
        <is>
          <t>https://www.lovethework.com/work/entries/oreo-square-cookie-767454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CAPTION WITH INTENTION</t>
        </is>
      </c>
      <c r="D11" s="33" t="inlineStr">
        <is>
          <t>ACADEMY OF MOTION PICTURE ARTS &amp; SCIENCES - RAKISH - CHICAGO HEARING SOCIETY</t>
        </is>
      </c>
      <c r="E11" s="33" t="inlineStr">
        <is>
          <t>CLOSED CAPTIONING</t>
        </is>
      </c>
      <c r="F11" s="33" t="inlineStr">
        <is>
          <t>FCB CHICAGO</t>
        </is>
      </c>
      <c r="G11" s="33" t="inlineStr">
        <is>
          <t>United States</t>
        </is>
      </c>
      <c r="H11" s="33" t="inlineStr">
        <is>
          <t>Cultural Engagement</t>
        </is>
      </c>
      <c r="I11" s="33" t="inlineStr">
        <is>
          <t>https://ascentialcdn.filespin.io/api/v1/conversion/3a7cf992b94648e7abc8a97fc02fb04b</t>
        </is>
      </c>
      <c r="J11" s="33" t="inlineStr">
        <is>
          <t>F48khKZhKHM</t>
        </is>
      </c>
      <c r="L11" s="33" t="inlineStr">
        <is>
          <t>https://www.lovethework.com/work/entries/caption-with-intention-767304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THE FINAL COPY OF ILON SPECHT</t>
        </is>
      </c>
      <c r="D12" s="33" t="inlineStr">
        <is>
          <t>L'OREAL</t>
        </is>
      </c>
      <c r="E12" s="33" t="inlineStr">
        <is>
          <t>L'ORÃAL PARIS</t>
        </is>
      </c>
      <c r="F12" s="33" t="inlineStr">
        <is>
          <t>McCANN</t>
        </is>
      </c>
      <c r="G12" s="33" t="inlineStr">
        <is>
          <t>France</t>
        </is>
      </c>
      <c r="H12" s="33" t="inlineStr">
        <is>
          <t>Diversity &amp; Inclusion in Entertainment</t>
        </is>
      </c>
      <c r="I12" s="33" t="inlineStr">
        <is>
          <t>digital-presentation-images/entertainment-loreal-the-final-copy-of-ilon-specht.webp</t>
        </is>
      </c>
      <c r="J12" s="33" t="inlineStr">
        <is>
          <t>vimeo:1094956645</t>
        </is>
      </c>
      <c r="L12" s="33" t="inlineStr">
        <is>
          <t>https://www.lovethework.com/work/entries/the-final-copy-of-ilon-specht-766850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OLYMPIC GAMES OPENING CEREMONY PARIS 2024</t>
        </is>
      </c>
      <c r="D13" s="33" t="inlineStr">
        <is>
          <t>PARIS 2024</t>
        </is>
      </c>
      <c r="E13" s="33" t="inlineStr">
        <is>
          <t>PARIS 2024</t>
        </is>
      </c>
      <c r="F13" s="33" t="inlineStr">
        <is>
          <t>PANAME 24</t>
        </is>
      </c>
      <c r="G13" s="33" t="inlineStr">
        <is>
          <t>France</t>
        </is>
      </c>
      <c r="H13" s="33" t="inlineStr">
        <is>
          <t>Diversity &amp; Inclusion in Entertainment</t>
        </is>
      </c>
      <c r="I13" s="33" t="inlineStr">
        <is>
          <t>https://ascentialcdn.filespin.io/api/v1/conversion/60aa1888e5b6444381b060dc1801de84</t>
        </is>
      </c>
      <c r="J13" s="33" t="inlineStr">
        <is>
          <t>vimeo:1093757553</t>
        </is>
      </c>
      <c r="L13" s="33" t="inlineStr">
        <is>
          <t>https://www.lovethework.com/work/entries/olympic-games-opening-ceremony-paris-2024-767406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THE SHOOTING</t>
        </is>
      </c>
      <c r="D14" s="33" t="inlineStr">
        <is>
          <t>LA UNIÓN NEWSPAPER / ARTICULO 19</t>
        </is>
      </c>
      <c r="E14" s="33" t="inlineStr">
        <is>
          <t>LA UNIÃN NEWSPAPER / ARTICULO 19</t>
        </is>
      </c>
      <c r="F14" s="33" t="inlineStr">
        <is>
          <t>GREY</t>
        </is>
      </c>
      <c r="G14" s="33" t="inlineStr">
        <is>
          <t>Mexico</t>
        </is>
      </c>
      <c r="H14" s="33" t="inlineStr">
        <is>
          <t>Fiction Film: Up to 5 minutes</t>
        </is>
      </c>
      <c r="I14" s="33" t="inlineStr">
        <is>
          <t>digital-presentation-images/entertainment-la-union-newspaper-the-shooting.webp</t>
        </is>
      </c>
      <c r="J14" s="33" t="inlineStr">
        <is>
          <t>-saAXmItj_U</t>
        </is>
      </c>
      <c r="L14" s="33" t="inlineStr">
        <is>
          <t>https://www.lovethework.com/work/entries/the-shooting-766980</t>
        </is>
      </c>
    </row>
    <row r="15">
      <c r="A15" s="33" t="n">
        <v>14</v>
      </c>
      <c r="B15" s="33" t="inlineStr">
        <is>
          <t>Bronze</t>
        </is>
      </c>
      <c r="C15" s="33" t="inlineStr">
        <is>
          <t>CHEERING FOR THE RAIN</t>
        </is>
      </c>
      <c r="D15" s="33" t="inlineStr">
        <is>
          <t>GLOBOPLAY</t>
        </is>
      </c>
      <c r="E15" s="33" t="inlineStr">
        <is>
          <t>SENNA POR AYRTON</t>
        </is>
      </c>
      <c r="F15" s="33" t="inlineStr">
        <is>
          <t>ARTPLAN</t>
        </is>
      </c>
      <c r="G15" s="33" t="inlineStr">
        <is>
          <t>Brazil</t>
        </is>
      </c>
      <c r="H15" s="33" t="inlineStr">
        <is>
          <t>Social Behaviour</t>
        </is>
      </c>
      <c r="I15" s="33" t="inlineStr">
        <is>
          <t>https://ascentialcdn.filespin.io/api/v1/conversion/ef4af87cfc76490a81be851d1c90a77b</t>
        </is>
      </c>
      <c r="J15" s="33" t="inlineStr">
        <is>
          <t>vimeo:1094223352</t>
        </is>
      </c>
      <c r="L15" s="33" t="inlineStr">
        <is>
          <t>https://www.lovethework.com/work/entries/cheering-for-the-rain-767117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OREO EMPIRE</t>
        </is>
      </c>
      <c r="D16" s="33" t="inlineStr">
        <is>
          <t>OREO</t>
        </is>
      </c>
      <c r="E16" s="33" t="inlineStr">
        <is>
          <t>OREO COOKIES</t>
        </is>
      </c>
      <c r="F16" s="33" t="inlineStr">
        <is>
          <t>DENTSU CREATIVE</t>
        </is>
      </c>
      <c r="G16" s="33" t="inlineStr">
        <is>
          <t>United States</t>
        </is>
      </c>
      <c r="H16" s="33" t="inlineStr">
        <is>
          <t>Brand Integration</t>
        </is>
      </c>
      <c r="I16" s="33" t="inlineStr">
        <is>
          <t>https://ascentialcdn.filespin.io/api/v1/conversion/f2978f9255da42889e454a19c0f9f5ea</t>
        </is>
      </c>
      <c r="J16" s="33" t="inlineStr">
        <is>
          <t>JxtVzPFRTGw</t>
        </is>
      </c>
      <c r="L16" s="33" t="inlineStr">
        <is>
          <t>https://www.lovethework.com/work/entries/oreo-empire-767371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BACHELOR</t>
        </is>
      </c>
      <c r="D17" s="33" t="inlineStr">
        <is>
          <t>BACHELOR (CTV)</t>
        </is>
      </c>
      <c r="E17" s="33" t="inlineStr">
        <is>
          <t>TV SHOW</t>
        </is>
      </c>
      <c r="F17" s="33" t="inlineStr">
        <is>
          <t>STARLIGHTMEDIA</t>
        </is>
      </c>
      <c r="G17" s="33" t="inlineStr">
        <is>
          <t>Ukraine</t>
        </is>
      </c>
      <c r="H17" s="33" t="inlineStr">
        <is>
          <t>Diversity &amp; Inclusion in Entertainment</t>
        </is>
      </c>
      <c r="I17" s="33" t="inlineStr">
        <is>
          <t>https://ascentialcdn.filespin.io/api/v1/conversion/f24e68d6c8384d1eb2ad61b83f036618</t>
        </is>
      </c>
      <c r="J17" s="33" t="inlineStr">
        <is>
          <t>fDp5aDsp5QM</t>
        </is>
      </c>
      <c r="L17" s="33" t="inlineStr">
        <is>
          <t>https://www.lovethework.com/work/entries/bachelor-767396</t>
        </is>
      </c>
    </row>
    <row r="18">
      <c r="A18" s="33" t="n">
        <v>17</v>
      </c>
      <c r="B18" s="33" t="inlineStr">
        <is>
          <t>Bronze</t>
        </is>
      </c>
      <c r="C18" s="33" t="inlineStr">
        <is>
          <t>MAKE NEW ZEALAND THE BEST PLACE IN THE WORLD TO HAVE HERPES</t>
        </is>
      </c>
      <c r="D18" s="33" t="inlineStr">
        <is>
          <t>THE NEW ZEALAND HERPES FOUNDATION</t>
        </is>
      </c>
      <c r="E18" s="33" t="inlineStr">
        <is>
          <t>THE NEW ZEALAND HERPES FOUNDATION</t>
        </is>
      </c>
      <c r="F18" s="33" t="inlineStr">
        <is>
          <t>MOTION SICKNESS</t>
        </is>
      </c>
      <c r="G18" s="33" t="inlineStr">
        <is>
          <t>New Zealand</t>
        </is>
      </c>
      <c r="H18" s="33" t="inlineStr">
        <is>
          <t>Use of Humour</t>
        </is>
      </c>
      <c r="I18" s="33" t="inlineStr">
        <is>
          <t>https://ascentialcdn.filespin.io/api/v1/conversion/581ba8fb17334c1fbfc126a090ed2598</t>
        </is>
      </c>
      <c r="J18" s="33" t="inlineStr">
        <is>
          <t>_e1h2ZTJb2k</t>
        </is>
      </c>
      <c r="L18" s="33" t="inlineStr">
        <is>
          <t>https://www.lovethework.com/work/entries/make-new-zealand-the-best-place-in-the-world-to-have-herpes-767411</t>
        </is>
      </c>
    </row>
    <row r="19">
      <c r="A19" s="33" t="n">
        <v>18</v>
      </c>
      <c r="B19" s="33" t="inlineStr">
        <is>
          <t>Bronze</t>
        </is>
      </c>
      <c r="C19" s="33" t="inlineStr">
        <is>
          <t>LIDLIZE</t>
        </is>
      </c>
      <c r="D19" s="33" t="inlineStr">
        <is>
          <t>LIDL</t>
        </is>
      </c>
      <c r="E19" s="33" t="inlineStr">
        <is>
          <t>RETAIL</t>
        </is>
      </c>
      <c r="F19" s="33" t="inlineStr">
        <is>
          <t>MARCEL</t>
        </is>
      </c>
      <c r="G19" s="33" t="inlineStr">
        <is>
          <t>France</t>
        </is>
      </c>
      <c r="H19" s="33" t="inlineStr">
        <is>
          <t>Influencer &amp; Co-Creation</t>
        </is>
      </c>
      <c r="I19" s="33" t="inlineStr">
        <is>
          <t>https://ascentialcdn.filespin.io/api/v1/conversion/f979928ea0a14ad7a4df5b301de95a0e</t>
        </is>
      </c>
      <c r="J19" s="33" t="inlineStr">
        <is>
          <t>mba6sPCSX_8</t>
        </is>
      </c>
      <c r="L19" s="33" t="inlineStr">
        <is>
          <t>https://www.lovethework.com/work/entries/lidlize-766764</t>
        </is>
      </c>
    </row>
    <row r="20">
      <c r="A20" s="33" t="n">
        <v>19</v>
      </c>
      <c r="B20" s="33" t="inlineStr">
        <is>
          <t>Bronze</t>
        </is>
      </c>
      <c r="C20" s="33" t="inlineStr">
        <is>
          <t>THE BOY &amp; THE OCTOPUS</t>
        </is>
      </c>
      <c r="D20" s="33" t="inlineStr">
        <is>
          <t>DISNEY</t>
        </is>
      </c>
      <c r="E20" s="33" t="inlineStr">
        <is>
          <t>THE WALT DISNEY COMPANY</t>
        </is>
      </c>
      <c r="F20" s="33" t="inlineStr">
        <is>
          <t>adam&amp;eveDDB</t>
        </is>
      </c>
      <c r="G20" s="33" t="inlineStr">
        <is>
          <t>United States</t>
        </is>
      </c>
      <c r="H20" s="33" t="inlineStr">
        <is>
          <t>Fiction Film: Up to 5 minutes</t>
        </is>
      </c>
      <c r="I20" s="33" t="inlineStr">
        <is>
          <t>digital-presentation-images/entertainment-disney-the-boy-and-the-octopus.webp</t>
        </is>
      </c>
      <c r="J20" s="33" t="inlineStr">
        <is>
          <t>clgyncrbyDg</t>
        </is>
      </c>
      <c r="L20" s="33" t="inlineStr">
        <is>
          <t>https://www.lovethework.com/work/entries/the-boy-the-octopus-766970</t>
        </is>
      </c>
    </row>
    <row r="21">
      <c r="A21" s="33" t="n">
        <v>20</v>
      </c>
      <c r="B21" s="33" t="inlineStr">
        <is>
          <t>Bronze</t>
        </is>
      </c>
      <c r="C21" s="33" t="inlineStr">
        <is>
          <t>TIDE COLLATERAL STAIN STORIES</t>
        </is>
      </c>
      <c r="D21" s="33" t="inlineStr">
        <is>
          <t>TIDE</t>
        </is>
      </c>
      <c r="E21" s="33" t="inlineStr">
        <is>
          <t>TIDE OXI BOOST</t>
        </is>
      </c>
      <c r="F21" s="33" t="inlineStr">
        <is>
          <t>SAATCHI &amp; SAATCHI</t>
        </is>
      </c>
      <c r="G21" s="33" t="inlineStr">
        <is>
          <t>United States</t>
        </is>
      </c>
      <c r="H21" s="33" t="inlineStr">
        <is>
          <t>360 Integrated Brand Experience</t>
        </is>
      </c>
      <c r="I21" s="33" t="inlineStr">
        <is>
          <t>https://ascentialcdn.filespin.io/api/v1/conversion/2e880efa163040b884c55c34c5aa79f9</t>
        </is>
      </c>
      <c r="J21" s="33" t="inlineStr">
        <is>
          <t>vimeo:1078053795</t>
        </is>
      </c>
      <c r="L21" s="33" t="inlineStr">
        <is>
          <t>https://www.lovethework.com/work/entries/tide-collateral-stain-stories-767167</t>
        </is>
      </c>
    </row>
    <row r="22">
      <c r="A22" s="33" t="n">
        <v>21</v>
      </c>
      <c r="B22" s="33" t="inlineStr">
        <is>
          <t>Bronze</t>
        </is>
      </c>
      <c r="C22" s="33" t="inlineStr">
        <is>
          <t>GROUP THERAPY</t>
        </is>
      </c>
      <c r="D22" s="33" t="inlineStr">
        <is>
          <t>AXA</t>
        </is>
      </c>
      <c r="E22" s="33" t="inlineStr">
        <is>
          <t>AXA</t>
        </is>
      </c>
      <c r="F22" s="33" t="inlineStr">
        <is>
          <t>VML</t>
        </is>
      </c>
      <c r="G22" s="33" t="inlineStr">
        <is>
          <t>France</t>
        </is>
      </c>
      <c r="H22" s="33" t="inlineStr">
        <is>
          <t>Non-Fiction Film: Over 30 minutes</t>
        </is>
      </c>
      <c r="I22" s="33" t="inlineStr">
        <is>
          <t>digital-presentation-images/entertainment-axa-group-therapy.webp</t>
        </is>
      </c>
      <c r="J22" s="33" t="inlineStr">
        <is>
          <t>cH8-sNMfrOM</t>
        </is>
      </c>
      <c r="L22" s="33" t="inlineStr">
        <is>
          <t>https://www.lovethework.com/work/entries/group-therapy-767010</t>
        </is>
      </c>
    </row>
    <row r="23">
      <c r="A23" s="33" t="n">
        <v>22</v>
      </c>
      <c r="B23" s="33" t="inlineStr">
        <is>
          <t>Bronze</t>
        </is>
      </c>
      <c r="C23" s="33" t="inlineStr">
        <is>
          <t>STARRING BARS</t>
        </is>
      </c>
      <c r="D23" s="33" t="inlineStr">
        <is>
          <t>HEINEKEN</t>
        </is>
      </c>
      <c r="E23" s="33" t="inlineStr">
        <is>
          <t>HEINEKEN</t>
        </is>
      </c>
      <c r="F23" s="33" t="inlineStr">
        <is>
          <t>LEPUB</t>
        </is>
      </c>
      <c r="G23" s="33" t="inlineStr">
        <is>
          <t>Italy</t>
        </is>
      </c>
      <c r="H23" s="33" t="inlineStr">
        <is>
          <t>Brand Partnerships, Sponsorships &amp; Collaborations</t>
        </is>
      </c>
      <c r="I23" s="33" t="inlineStr">
        <is>
          <t>https://ascentialcdn.filespin.io/api/v1/conversion/6544f095e71a47a39d27334e2404e951</t>
        </is>
      </c>
      <c r="J23" s="33" t="inlineStr">
        <is>
          <t>VNq1oogkrYk</t>
        </is>
      </c>
      <c r="L23" s="33" t="inlineStr">
        <is>
          <t>https://www.lovethework.com/work/entries/starring-bars-767438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HAALAND PAYBACK TIME</t>
        </is>
      </c>
      <c r="D2" s="33" t="inlineStr">
        <is>
          <t>CLASH OF CLANS</t>
        </is>
      </c>
      <c r="E2" s="33" t="inlineStr">
        <is>
          <t>CLASH OF CLANS</t>
        </is>
      </c>
      <c r="F2" s="33" t="inlineStr">
        <is>
          <t>DAVID</t>
        </is>
      </c>
      <c r="G2" s="33" t="inlineStr">
        <is>
          <t>United States</t>
        </is>
      </c>
      <c r="H2" s="33" t="inlineStr">
        <is>
          <t>Partnerships with Sports Talent</t>
        </is>
      </c>
      <c r="I2" s="33" t="inlineStr">
        <is>
          <t>https://ascentialcdn.filespin.io/api/v1/conversion/0ab9c1eb4c5a4e82b68ff5fcca75da6b</t>
        </is>
      </c>
      <c r="J2" s="33" t="inlineStr">
        <is>
          <t>TcQ--NtSQ9s</t>
        </is>
      </c>
      <c r="L2" s="33" t="inlineStr">
        <is>
          <t>https://www.lovethework.com/work/entries/haaland-payback-time-762223</t>
        </is>
      </c>
    </row>
    <row r="3">
      <c r="A3" s="33" t="n">
        <v>2</v>
      </c>
      <c r="B3" s="33" t="inlineStr">
        <is>
          <t>Gold</t>
        </is>
      </c>
      <c r="C3" s="33" t="inlineStr">
        <is>
          <t>OLYMPIC GAMES OPENING CEREMONY PARIS 2024</t>
        </is>
      </c>
      <c r="D3" s="33" t="inlineStr">
        <is>
          <t>PARIS 2024</t>
        </is>
      </c>
      <c r="E3" s="33" t="inlineStr">
        <is>
          <t>PARIS 2024</t>
        </is>
      </c>
      <c r="F3" s="33" t="inlineStr">
        <is>
          <t>PANAME 24</t>
        </is>
      </c>
      <c r="G3" s="33" t="inlineStr">
        <is>
          <t>France</t>
        </is>
      </c>
      <c r="H3" s="33" t="inlineStr">
        <is>
          <t>Broadcast/Live Streaming</t>
        </is>
      </c>
      <c r="I3" s="33" t="inlineStr">
        <is>
          <t>https://ascentialcdn.filespin.io/api/v1/conversion/60aa1888e5b6444381b060dc1801de84</t>
        </is>
      </c>
      <c r="J3" s="33" t="inlineStr">
        <is>
          <t>vimeo:1093757553</t>
        </is>
      </c>
      <c r="L3" s="33" t="inlineStr">
        <is>
          <t>https://www.lovethework.com/work/entries/olympic-games-opening-ceremony-paris-2024-757241</t>
        </is>
      </c>
    </row>
    <row r="4">
      <c r="A4" s="33" t="n">
        <v>3</v>
      </c>
      <c r="B4" s="33" t="inlineStr">
        <is>
          <t>Gold</t>
        </is>
      </c>
      <c r="C4" s="33" t="inlineStr">
        <is>
          <t>SIGNED BY FANATICS</t>
        </is>
      </c>
      <c r="D4" s="33" t="inlineStr">
        <is>
          <t>FANATICS</t>
        </is>
      </c>
      <c r="E4" s="33" t="inlineStr">
        <is>
          <t>Licensed Sports Merchandise</t>
        </is>
      </c>
      <c r="F4" s="33" t="inlineStr">
        <is>
          <t>FANATICS</t>
        </is>
      </c>
      <c r="G4" s="33" t="inlineStr">
        <is>
          <t>United States</t>
        </is>
      </c>
      <c r="H4" s="33" t="inlineStr">
        <is>
          <t>Esports &amp; Gaming</t>
        </is>
      </c>
      <c r="I4" s="33" t="inlineStr">
        <is>
          <t>https://ascentialcdn.filespin.io/api/v1/conversion/6dec2b71e9e0467cb429446b1f864686</t>
        </is>
      </c>
      <c r="J4" s="33" t="inlineStr">
        <is>
          <t>vimeo:1094224675</t>
        </is>
      </c>
      <c r="L4" s="33" t="inlineStr">
        <is>
          <t>https://www.lovethework.com/work/entries/signed-by-fanatics-757314</t>
        </is>
      </c>
    </row>
    <row r="5">
      <c r="A5" s="33" t="n">
        <v>4</v>
      </c>
      <c r="B5" s="33" t="inlineStr">
        <is>
          <t>Gold</t>
        </is>
      </c>
      <c r="C5" s="33" t="inlineStr">
        <is>
          <t>KYIKATEJÊ</t>
        </is>
      </c>
      <c r="D5" s="33" t="inlineStr">
        <is>
          <t>GAVIÃO KYIKATEJÊ FOOTBALL CLUB, AREA 23</t>
        </is>
      </c>
      <c r="E5" s="33" t="inlineStr">
        <is>
          <t>GAVIÃO KYIKATEJÃ FOOTBALL CLUB</t>
        </is>
      </c>
      <c r="F5" s="33" t="inlineStr">
        <is>
          <t>AN IPG HEALTH COMPANY</t>
        </is>
      </c>
      <c r="G5" s="33" t="inlineStr">
        <is>
          <t>United States</t>
        </is>
      </c>
      <c r="H5" s="33" t="inlineStr">
        <is>
          <t>Film Series and Audio</t>
        </is>
      </c>
      <c r="I5" s="33" t="inlineStr">
        <is>
          <t>digital-presentation-images/entertainment-lions-for-sport-gaviao-kyikateje-football-club-kyikateje.webp</t>
        </is>
      </c>
      <c r="J5" s="33" t="inlineStr">
        <is>
          <t>vimeo:1080359037</t>
        </is>
      </c>
      <c r="L5" s="33" t="inlineStr">
        <is>
          <t>https://www.lovethework.com/work/entries/kyikatej-757331</t>
        </is>
      </c>
    </row>
    <row r="6">
      <c r="A6" s="33" t="n">
        <v>5</v>
      </c>
      <c r="B6" s="33" t="inlineStr">
        <is>
          <t>Gold</t>
        </is>
      </c>
      <c r="C6" s="33" t="inlineStr">
        <is>
          <t>THE 4TH JUDGE</t>
        </is>
      </c>
      <c r="D6" s="33" t="inlineStr">
        <is>
          <t>THE RING</t>
        </is>
      </c>
      <c r="E6" s="33" t="inlineStr">
        <is>
          <t>BOXING EVENT</t>
        </is>
      </c>
      <c r="F6" s="33" t="inlineStr">
        <is>
          <t>BIGTIME CREATIVE SHOP</t>
        </is>
      </c>
      <c r="G6" s="33" t="inlineStr">
        <is>
          <t>Saudi Arabia</t>
        </is>
      </c>
      <c r="H6" s="33" t="inlineStr">
        <is>
          <t>Innovation in Sport</t>
        </is>
      </c>
      <c r="I6" s="33" t="inlineStr">
        <is>
          <t>https://ascentialcdn.filespin.io/api/v1/conversion/564dea338e9e42018a7f0c9b66595cae</t>
        </is>
      </c>
      <c r="J6" s="33" t="inlineStr">
        <is>
          <t>vimeo:1056470221</t>
        </is>
      </c>
      <c r="L6" s="33" t="inlineStr">
        <is>
          <t>https://www.lovethework.com/work/entries/the-4th-judge-762406</t>
        </is>
      </c>
    </row>
    <row r="7">
      <c r="A7" s="33" t="n">
        <v>6</v>
      </c>
      <c r="B7" s="33" t="inlineStr">
        <is>
          <t>Gold</t>
        </is>
      </c>
      <c r="C7" s="33" t="inlineStr">
        <is>
          <t>OBSESSION</t>
        </is>
      </c>
      <c r="D7" s="33" t="inlineStr">
        <is>
          <t>RIYADH SEASON</t>
        </is>
      </c>
      <c r="E7" s="33" t="inlineStr">
        <is>
          <t>BOXING FIGHT</t>
        </is>
      </c>
      <c r="F7" s="33" t="inlineStr">
        <is>
          <t>BIGTIME CREATIVE SHOP</t>
        </is>
      </c>
      <c r="G7" s="33" t="inlineStr">
        <is>
          <t>Saudi Arabia</t>
        </is>
      </c>
      <c r="H7" s="33" t="inlineStr">
        <is>
          <t>Use of Humour</t>
        </is>
      </c>
      <c r="I7" s="33" t="inlineStr">
        <is>
          <t>digital-presentation-images/entertainment-lions-for-sport-riyadh-season-obsession.webp</t>
        </is>
      </c>
      <c r="J7" s="33" t="inlineStr">
        <is>
          <t>PdcUQwAtDDs</t>
        </is>
      </c>
      <c r="L7" s="33" t="inlineStr">
        <is>
          <t>https://www.lovethework.com/work/entries/obsession-763910</t>
        </is>
      </c>
    </row>
    <row r="8">
      <c r="A8" s="33" t="n">
        <v>7</v>
      </c>
      <c r="B8" s="33" t="inlineStr">
        <is>
          <t>Silver</t>
        </is>
      </c>
      <c r="C8" s="33" t="inlineStr">
        <is>
          <t>PAID THROUGH PARENTS</t>
        </is>
      </c>
      <c r="D8" s="33" t="inlineStr">
        <is>
          <t>COORS BREWING COMPANY</t>
        </is>
      </c>
      <c r="E8" s="33" t="inlineStr">
        <is>
          <t>MOLSON COORS</t>
        </is>
      </c>
      <c r="F8" s="33" t="inlineStr">
        <is>
          <t>RETHINK</t>
        </is>
      </c>
      <c r="G8" s="33" t="inlineStr">
        <is>
          <t>Canada</t>
        </is>
      </c>
      <c r="H8" s="33" t="inlineStr">
        <is>
          <t>Brand Partnerships, Sponsorships &amp; Collaborations</t>
        </is>
      </c>
      <c r="I8" s="33" t="inlineStr">
        <is>
          <t>https://ascentialcdn.filespin.io/api/v1/conversion/a5629a97973948f688643981b63ac56e</t>
        </is>
      </c>
      <c r="J8" s="33" t="inlineStr">
        <is>
          <t>8urf8-B-xrE</t>
        </is>
      </c>
      <c r="L8" s="33" t="inlineStr">
        <is>
          <t>https://www.lovethework.com/work/entries/paid-through-parents-757385</t>
        </is>
      </c>
    </row>
    <row r="9">
      <c r="A9" s="33" t="n">
        <v>8</v>
      </c>
      <c r="B9" s="33" t="inlineStr">
        <is>
          <t>Silver</t>
        </is>
      </c>
      <c r="C9" s="33" t="inlineStr">
        <is>
          <t>RUNNING IN FEAR</t>
        </is>
      </c>
      <c r="D9" s="33" t="inlineStr">
        <is>
          <t>ALMA PRETA</t>
        </is>
      </c>
      <c r="E9" s="33" t="inlineStr">
        <is>
          <t>ALMA PRETA</t>
        </is>
      </c>
      <c r="F9" s="33" t="inlineStr">
        <is>
          <t>LEW'LARA\TBWA</t>
        </is>
      </c>
      <c r="G9" s="33" t="inlineStr">
        <is>
          <t>Brazil</t>
        </is>
      </c>
      <c r="H9" s="33" t="inlineStr">
        <is>
          <t>Diversity &amp; Inclusion in Sport</t>
        </is>
      </c>
      <c r="I9" s="33" t="inlineStr">
        <is>
          <t>https://ascentialcdn.filespin.io/api/v1/conversion/091d74f6176f4334bcedd28604ff10a5</t>
        </is>
      </c>
      <c r="J9" s="33" t="inlineStr">
        <is>
          <t>mgBubkLmF-g</t>
        </is>
      </c>
      <c r="L9" s="33" t="inlineStr">
        <is>
          <t>https://www.lovethework.com/work/entries/running-in-fear-757711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THE 4TH JUDGE</t>
        </is>
      </c>
      <c r="D10" s="33" t="inlineStr">
        <is>
          <t>THE RING</t>
        </is>
      </c>
      <c r="E10" s="33" t="inlineStr">
        <is>
          <t>BOXING EVENT</t>
        </is>
      </c>
      <c r="F10" s="33" t="inlineStr">
        <is>
          <t>BIGTIME CREATIVE SHOP</t>
        </is>
      </c>
      <c r="G10" s="33" t="inlineStr">
        <is>
          <t>Saudi Arabia</t>
        </is>
      </c>
      <c r="H10" s="33" t="inlineStr">
        <is>
          <t>Sports Live Experience</t>
        </is>
      </c>
      <c r="I10" s="33" t="inlineStr">
        <is>
          <t>https://ascentialcdn.filespin.io/api/v1/conversion/564dea338e9e42018a7f0c9b66595cae</t>
        </is>
      </c>
      <c r="J10" s="33" t="inlineStr">
        <is>
          <t>vimeo:1056470221</t>
        </is>
      </c>
      <c r="L10" s="33" t="inlineStr">
        <is>
          <t>https://www.lovethework.com/work/entries/the-4th-judge-762326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AVANI'S GOLD</t>
        </is>
      </c>
      <c r="D11" s="33" t="inlineStr">
        <is>
          <t>BRITANNIA MARIE GOLD</t>
        </is>
      </c>
      <c r="E11" s="33" t="inlineStr">
        <is>
          <t>BRITANNIA MARIE GOLD</t>
        </is>
      </c>
      <c r="F11" s="33" t="inlineStr">
        <is>
          <t>TALENTED</t>
        </is>
      </c>
      <c r="G11" s="33" t="inlineStr">
        <is>
          <t>India</t>
        </is>
      </c>
      <c r="H11" s="33" t="inlineStr">
        <is>
          <t>Brand Storytelling</t>
        </is>
      </c>
      <c r="I11" s="33" t="inlineStr">
        <is>
          <t>https://ascentialcdn.filespin.io/api/v1/conversion/e0e7f0a8eeed48888d3d57f241eb99ae</t>
        </is>
      </c>
      <c r="J11" s="33" t="inlineStr">
        <is>
          <t>dz9sYI3dZ-0</t>
        </is>
      </c>
      <c r="L11" s="33" t="inlineStr">
        <is>
          <t>https://www.lovethework.com/work/entries/avanis-gold-757226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HAALAND PAYBACK TIME</t>
        </is>
      </c>
      <c r="D12" s="33" t="inlineStr">
        <is>
          <t>CLASH OF CLANS</t>
        </is>
      </c>
      <c r="E12" s="33" t="inlineStr">
        <is>
          <t>CLASH OF CLANS</t>
        </is>
      </c>
      <c r="F12" s="33" t="inlineStr">
        <is>
          <t>DAVID</t>
        </is>
      </c>
      <c r="G12" s="33" t="inlineStr">
        <is>
          <t>United States</t>
        </is>
      </c>
      <c r="H12" s="33" t="inlineStr">
        <is>
          <t>Esports &amp; Gaming</t>
        </is>
      </c>
      <c r="I12" s="33" t="inlineStr">
        <is>
          <t>https://ascentialcdn.filespin.io/api/v1/conversion/0ab9c1eb4c5a4e82b68ff5fcca75da6b</t>
        </is>
      </c>
      <c r="J12" s="33" t="inlineStr">
        <is>
          <t>TcQ--NtSQ9s</t>
        </is>
      </c>
      <c r="L12" s="33" t="inlineStr">
        <is>
          <t>https://www.lovethework.com/work/entries/haaland-payback-time-762343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KYIKATEJÊ</t>
        </is>
      </c>
      <c r="D13" s="33" t="inlineStr">
        <is>
          <t>GAVIÃO KYIKATEJÊ FOOTBALL CLUB, AREA 23</t>
        </is>
      </c>
      <c r="E13" s="33" t="inlineStr">
        <is>
          <t>GAVIÃO KYIKATEJÃ FOOTBALL CLUB</t>
        </is>
      </c>
      <c r="F13" s="33" t="inlineStr">
        <is>
          <t>AN IPG HEALTH COMPANY</t>
        </is>
      </c>
      <c r="G13" s="33" t="inlineStr">
        <is>
          <t>United States</t>
        </is>
      </c>
      <c r="H13" s="33" t="inlineStr">
        <is>
          <t>Diversity &amp; Inclusion in Sport</t>
        </is>
      </c>
      <c r="I13" s="33" t="inlineStr">
        <is>
          <t>digital-presentation-images/entertainment-lions-for-sport-gaviao-kyikateje-football-club-kyikateje.webp</t>
        </is>
      </c>
      <c r="J13" s="33" t="inlineStr">
        <is>
          <t>vimeo:1080359037</t>
        </is>
      </c>
      <c r="L13" s="33" t="inlineStr">
        <is>
          <t>https://www.lovethework.com/work/entries/kyikatej-757692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JORDAN CAN'T BAN GREATNESS</t>
        </is>
      </c>
      <c r="D14" s="33" t="inlineStr">
        <is>
          <t>NIKE</t>
        </is>
      </c>
      <c r="E14" s="33" t="inlineStr">
        <is>
          <t>NIKE</t>
        </is>
      </c>
      <c r="F14" s="33" t="inlineStr">
        <is>
          <t>WIEDEN+KENNEDY</t>
        </is>
      </c>
      <c r="G14" s="33" t="inlineStr">
        <is>
          <t>United States</t>
        </is>
      </c>
      <c r="H14" s="33" t="inlineStr">
        <is>
          <t>Brand Storytelling</t>
        </is>
      </c>
      <c r="I14" s="33" t="inlineStr">
        <is>
          <t>https://ascentialcdn.filespin.io/api/v1/conversion/7954f7f7cb2f4db5865a8948faec77c0</t>
        </is>
      </c>
      <c r="J14" s="33" t="inlineStr">
        <is>
          <t>vimeo:1096009769</t>
        </is>
      </c>
      <c r="L14" s="33" t="inlineStr">
        <is>
          <t>https://www.lovethework.com/work/entries/jordan-cant-ban-greatness-757287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SAVING PELOTICA DE GOMA</t>
        </is>
      </c>
      <c r="D15" s="33" t="inlineStr">
        <is>
          <t>VACÍLATE ESTO</t>
        </is>
      </c>
      <c r="E15" s="33" t="inlineStr">
        <is>
          <t>VACÃLATE ESTO</t>
        </is>
      </c>
      <c r="F15" s="33" t="inlineStr">
        <is>
          <t>THE WEB</t>
        </is>
      </c>
      <c r="G15" s="33" t="inlineStr">
        <is>
          <t>Venezuela</t>
        </is>
      </c>
      <c r="H15" s="33" t="inlineStr">
        <is>
          <t>Influencer &amp; Co-Creation</t>
        </is>
      </c>
      <c r="I15" s="33" t="inlineStr">
        <is>
          <t>https://ascentialcdn.filespin.io/api/v1/conversion/c41e8e08644c46d1aa1edaeb702267bd</t>
        </is>
      </c>
      <c r="J15" s="33" t="inlineStr">
        <is>
          <t>177jg-ARY5Y</t>
        </is>
      </c>
      <c r="L15" s="33" t="inlineStr">
        <is>
          <t>https://www.lovethework.com/work/entries/saving-pelotica-de-goma-757522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PAID THROUGH PARENTS</t>
        </is>
      </c>
      <c r="D16" s="33" t="inlineStr">
        <is>
          <t>COORS BREWING COMPANY</t>
        </is>
      </c>
      <c r="E16" s="33" t="inlineStr">
        <is>
          <t>MOLSON COORS</t>
        </is>
      </c>
      <c r="F16" s="33" t="inlineStr">
        <is>
          <t>RETHINK</t>
        </is>
      </c>
      <c r="G16" s="33" t="inlineStr">
        <is>
          <t>Canada</t>
        </is>
      </c>
      <c r="H16" s="33" t="inlineStr">
        <is>
          <t>Influencer &amp; Co-Creation</t>
        </is>
      </c>
      <c r="I16" s="33" t="inlineStr">
        <is>
          <t>https://ascentialcdn.filespin.io/api/v1/conversion/a5629a97973948f688643981b63ac56e</t>
        </is>
      </c>
      <c r="J16" s="33" t="inlineStr">
        <is>
          <t>8urf8-B-xrE</t>
        </is>
      </c>
      <c r="L16" s="33" t="inlineStr">
        <is>
          <t>https://www.lovethework.com/work/entries/paid-through-parents-757417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COORS LIGHT, COORS LIGHT</t>
        </is>
      </c>
      <c r="D17" s="33" t="inlineStr">
        <is>
          <t>COORS BREWING COMPANY</t>
        </is>
      </c>
      <c r="E17" s="33" t="inlineStr">
        <is>
          <t>COORS LIGHT</t>
        </is>
      </c>
      <c r="F17" s="33" t="inlineStr">
        <is>
          <t>MOLSON COORS BEVERAGE COMPANY</t>
        </is>
      </c>
      <c r="G17" s="33" t="inlineStr">
        <is>
          <t>United States</t>
        </is>
      </c>
      <c r="H17" s="33" t="inlineStr">
        <is>
          <t>Challenger Brand</t>
        </is>
      </c>
      <c r="I17" s="33" t="inlineStr">
        <is>
          <t>https://ascentialcdn.filespin.io/api/v1/conversion/801ddebed5f640bdbb9533426b87109b</t>
        </is>
      </c>
      <c r="J17" s="33" t="inlineStr">
        <is>
          <t>vimeo:1064154466</t>
        </is>
      </c>
      <c r="L17" s="33" t="inlineStr">
        <is>
          <t>https://www.lovethework.com/work/entries/coors-light-coors-light-757682</t>
        </is>
      </c>
    </row>
    <row r="18">
      <c r="A18" s="33" t="n">
        <v>17</v>
      </c>
      <c r="B18" s="33" t="inlineStr">
        <is>
          <t>Bronze</t>
        </is>
      </c>
      <c r="C18" s="33" t="inlineStr">
        <is>
          <t>FOOTBALL LOVER FM</t>
        </is>
      </c>
      <c r="D18" s="33" t="inlineStr">
        <is>
          <t>SO FOOT</t>
        </is>
      </c>
      <c r="E18" s="33" t="inlineStr">
        <is>
          <t>SO FOOT</t>
        </is>
      </c>
      <c r="F18" s="33" t="inlineStr">
        <is>
          <t>BETC</t>
        </is>
      </c>
      <c r="G18" s="33" t="inlineStr">
        <is>
          <t>France</t>
        </is>
      </c>
      <c r="H18" s="33" t="inlineStr">
        <is>
          <t>Use of Humour</t>
        </is>
      </c>
      <c r="I18" s="33" t="inlineStr">
        <is>
          <t>https://ascentialcdn.filespin.io/api/v1/conversion/0b397234b3d74a5aa798ad871042c23c</t>
        </is>
      </c>
      <c r="J18" s="33" t="inlineStr">
        <is>
          <t>j0eeoSEDFn0</t>
        </is>
      </c>
      <c r="L18" s="33" t="inlineStr">
        <is>
          <t>https://www.lovethework.com/work/entries/football-lover-fm-757706</t>
        </is>
      </c>
    </row>
    <row r="19">
      <c r="A19" s="33" t="n">
        <v>18</v>
      </c>
      <c r="B19" s="33" t="inlineStr">
        <is>
          <t>Bronze</t>
        </is>
      </c>
      <c r="C19" s="33" t="inlineStr">
        <is>
          <t>THE IMPOSSIBLE DRIVE</t>
        </is>
      </c>
      <c r="D19" s="33" t="inlineStr">
        <is>
          <t>LEGO</t>
        </is>
      </c>
      <c r="E19" s="33" t="inlineStr">
        <is>
          <t>LEGO TECHNIC</t>
        </is>
      </c>
      <c r="F19" s="33" t="inlineStr">
        <is>
          <t>M&amp;C SAATCHI</t>
        </is>
      </c>
      <c r="G19" s="33" t="inlineStr">
        <is>
          <t>United Kingdom</t>
        </is>
      </c>
      <c r="H19" s="33" t="inlineStr">
        <is>
          <t>Brand Partnerships, Sponsorships &amp; Collaborations</t>
        </is>
      </c>
      <c r="I19" s="33" t="inlineStr">
        <is>
          <t>https://ascentialcdn.filespin.io/api/v1/conversion/943f4b70d83740e6add888e6112aab73</t>
        </is>
      </c>
      <c r="J19" s="33" t="inlineStr">
        <is>
          <t>vimeo:1178908888</t>
        </is>
      </c>
      <c r="L19" s="33" t="inlineStr">
        <is>
          <t>https://www.lovethework.com/work/entries/the-impossible-drive-757483</t>
        </is>
      </c>
    </row>
    <row r="20">
      <c r="A20" s="33" t="n">
        <v>19</v>
      </c>
      <c r="B20" s="33" t="inlineStr">
        <is>
          <t>Bronze</t>
        </is>
      </c>
      <c r="C20" s="33" t="inlineStr">
        <is>
          <t>AEROMEXICANOS</t>
        </is>
      </c>
      <c r="D20" s="33" t="inlineStr">
        <is>
          <t>AEROMEXICO</t>
        </is>
      </c>
      <c r="E20" s="33" t="inlineStr">
        <is>
          <t>AEROMEXICO</t>
        </is>
      </c>
      <c r="F20" s="33" t="inlineStr">
        <is>
          <t>OGILVY</t>
        </is>
      </c>
      <c r="G20" s="33" t="inlineStr">
        <is>
          <t>Mexico</t>
        </is>
      </c>
      <c r="H20" s="33" t="inlineStr">
        <is>
          <t>Cultural Engagement</t>
        </is>
      </c>
      <c r="I20" s="33" t="inlineStr">
        <is>
          <t>https://ascentialcdn.filespin.io/api/v1/conversion/05665843413b4b8a80ba1017cabcdac1</t>
        </is>
      </c>
      <c r="J20" s="33" t="inlineStr">
        <is>
          <t>6MDBJbej100</t>
        </is>
      </c>
      <c r="L20" s="33" t="inlineStr">
        <is>
          <t>https://www.lovethework.com/work/entries/aeromexicanos-762363</t>
        </is>
      </c>
    </row>
    <row r="21">
      <c r="A21" s="33" t="n">
        <v>20</v>
      </c>
      <c r="B21" s="33" t="inlineStr">
        <is>
          <t>Bronze</t>
        </is>
      </c>
      <c r="C21" s="33" t="inlineStr">
        <is>
          <t>BAD LUCK REVERSER</t>
        </is>
      </c>
      <c r="D21" s="33" t="inlineStr">
        <is>
          <t>REFISAL</t>
        </is>
      </c>
      <c r="E21" s="33" t="inlineStr">
        <is>
          <t>REFISAL</t>
        </is>
      </c>
      <c r="F21" s="33" t="inlineStr">
        <is>
          <t>NAME</t>
        </is>
      </c>
      <c r="G21" s="33" t="inlineStr">
        <is>
          <t>Colombia</t>
        </is>
      </c>
      <c r="H21" s="33" t="inlineStr">
        <is>
          <t>Fan Engagement/Distribution Strategy</t>
        </is>
      </c>
      <c r="I21" s="33" t="inlineStr">
        <is>
          <t>https://ascentialcdn.filespin.io/api/v1/conversion/7e95f656b693443d8d4e60f0a4c9b853</t>
        </is>
      </c>
      <c r="J21" s="33" t="inlineStr">
        <is>
          <t>4OaN00EWwWg</t>
        </is>
      </c>
      <c r="L21" s="33" t="inlineStr">
        <is>
          <t>https://www.lovethework.com/work/entries/bad-luck-reverser-757468</t>
        </is>
      </c>
    </row>
    <row r="22">
      <c r="A22" s="33" t="n">
        <v>21</v>
      </c>
      <c r="B22" s="33" t="inlineStr">
        <is>
          <t>Bronze</t>
        </is>
      </c>
      <c r="C22" s="33" t="inlineStr">
        <is>
          <t>HEY JUDE</t>
        </is>
      </c>
      <c r="D22" s="33" t="inlineStr">
        <is>
          <t>ADIDAS</t>
        </is>
      </c>
      <c r="E22" s="33" t="inlineStr">
        <is>
          <t>ADIDAS</t>
        </is>
      </c>
      <c r="F22" s="33" t="inlineStr">
        <is>
          <t>JOHANNES LEONARDO</t>
        </is>
      </c>
      <c r="G22" s="33" t="inlineStr">
        <is>
          <t>United States</t>
        </is>
      </c>
      <c r="H22" s="33" t="inlineStr">
        <is>
          <t>Fan Engagement/Distribution Strategy</t>
        </is>
      </c>
      <c r="I22" s="33" t="inlineStr">
        <is>
          <t>https://ascentialcdn.filespin.io/api/v1/conversion/c5b4d99a1f714aea8f5124ebd5d701f7</t>
        </is>
      </c>
      <c r="J22" s="33" t="inlineStr">
        <is>
          <t>aoOfn_W8PWg</t>
        </is>
      </c>
      <c r="L22" s="33" t="inlineStr">
        <is>
          <t>https://www.lovethework.com/work/entries/hey-jude-757188</t>
        </is>
      </c>
    </row>
    <row r="23">
      <c r="A23" s="33" t="n">
        <v>22</v>
      </c>
      <c r="B23" s="33" t="inlineStr">
        <is>
          <t>Bronze</t>
        </is>
      </c>
      <c r="C23" s="33" t="inlineStr">
        <is>
          <t>THE FLAME THAT WASN'T A FLAME</t>
        </is>
      </c>
      <c r="D23" s="33" t="inlineStr">
        <is>
          <t>EDF</t>
        </is>
      </c>
      <c r="E23" s="33" t="inlineStr">
        <is>
          <t>EDF</t>
        </is>
      </c>
      <c r="F23" s="33" t="inlineStr">
        <is>
          <t>BETC</t>
        </is>
      </c>
      <c r="G23" s="33" t="inlineStr">
        <is>
          <t>France</t>
        </is>
      </c>
      <c r="H23" s="33" t="inlineStr">
        <is>
          <t>Sports Live Experience</t>
        </is>
      </c>
      <c r="I23" s="33" t="inlineStr">
        <is>
          <t>https://ascentialcdn.filespin.io/api/v1/conversion/59c61cb1e6984e748ed9ff58ce4d2280</t>
        </is>
      </c>
      <c r="J23" s="33" t="inlineStr">
        <is>
          <t>sXFFpanPbNE</t>
        </is>
      </c>
      <c r="L23" s="33" t="inlineStr">
        <is>
          <t>https://www.lovethework.com/work/entries/the-flame-that-wasnt-a-flame-757294</t>
        </is>
      </c>
    </row>
    <row r="24">
      <c r="A24" s="33" t="n">
        <v>23</v>
      </c>
      <c r="B24" s="33" t="inlineStr">
        <is>
          <t>Bronze</t>
        </is>
      </c>
      <c r="C24" s="33" t="inlineStr">
        <is>
          <t>EXCUSES BARS</t>
        </is>
      </c>
      <c r="D24" s="33" t="inlineStr">
        <is>
          <t>HEINEKEN</t>
        </is>
      </c>
      <c r="E24" s="33" t="inlineStr">
        <is>
          <t>HEINEKEN</t>
        </is>
      </c>
      <c r="F24" s="33" t="inlineStr">
        <is>
          <t>LEPUB</t>
        </is>
      </c>
      <c r="G24" s="33" t="inlineStr">
        <is>
          <t>Italy</t>
        </is>
      </c>
      <c r="H24" s="33" t="inlineStr">
        <is>
          <t>Fan Engagement/Distribution Strategy</t>
        </is>
      </c>
      <c r="I24" s="33" t="inlineStr">
        <is>
          <t>https://ascentialcdn.filespin.io/api/v1/conversion/f219a00eceb44153993b72462c35b6bc</t>
        </is>
      </c>
      <c r="J24" s="33" t="inlineStr">
        <is>
          <t>vimeo:1103062284</t>
        </is>
      </c>
      <c r="L24" s="33" t="inlineStr">
        <is>
          <t>https://www.lovethework.com/work/entries/excuses-bars-762239</t>
        </is>
      </c>
    </row>
    <row r="25">
      <c r="A25" s="33" t="n">
        <v>24</v>
      </c>
      <c r="B25" s="33" t="inlineStr">
        <is>
          <t>Bronze</t>
        </is>
      </c>
      <c r="C25" s="33" t="inlineStr">
        <is>
          <t>SENNA'S CUT</t>
        </is>
      </c>
      <c r="D25" s="33" t="inlineStr">
        <is>
          <t>NETFLIX</t>
        </is>
      </c>
      <c r="E25" s="33" t="inlineStr">
        <is>
          <t>SENNA</t>
        </is>
      </c>
      <c r="F25" s="33" t="inlineStr">
        <is>
          <t>MONKS</t>
        </is>
      </c>
      <c r="G25" s="33" t="inlineStr">
        <is>
          <t>Argentina</t>
        </is>
      </c>
      <c r="H25" s="33" t="inlineStr">
        <is>
          <t>Fan Engagement/Distribution Strategy</t>
        </is>
      </c>
      <c r="I25" s="33" t="inlineStr">
        <is>
          <t>digital-presentation-images/entertainment-lions-for-sport-netflix-sennas-cut.webp</t>
        </is>
      </c>
      <c r="J25" s="33" t="inlineStr">
        <is>
          <t>5lDse7WCVUU</t>
        </is>
      </c>
      <c r="L25" s="33" t="inlineStr">
        <is>
          <t>https://www.lovethework.com/work/entries/sennas-cut-757380</t>
        </is>
      </c>
    </row>
    <row r="26">
      <c r="A26" s="33" t="n">
        <v>25</v>
      </c>
      <c r="B26" s="33" t="inlineStr">
        <is>
          <t>Bronze</t>
        </is>
      </c>
      <c r="C26" s="33" t="inlineStr">
        <is>
          <t>THE FAN REMOTE</t>
        </is>
      </c>
      <c r="D26" s="33" t="inlineStr">
        <is>
          <t>CLARO</t>
        </is>
      </c>
      <c r="E26" s="33" t="inlineStr">
        <is>
          <t>CLARO TV+</t>
        </is>
      </c>
      <c r="F26" s="33" t="inlineStr">
        <is>
          <t>TALENT MARCEL</t>
        </is>
      </c>
      <c r="G26" s="33" t="inlineStr">
        <is>
          <t>Brazil</t>
        </is>
      </c>
      <c r="H26" s="33" t="inlineStr">
        <is>
          <t>Innovation in Sport</t>
        </is>
      </c>
      <c r="I26" s="33" t="inlineStr">
        <is>
          <t>https://ascentialcdn.filespin.io/api/v1/conversion/4789c727ab0e4e79bc0a89252cc425d9</t>
        </is>
      </c>
      <c r="J26" s="33" t="inlineStr">
        <is>
          <t>3BbpfDvl6f4</t>
        </is>
      </c>
      <c r="L26" s="33" t="inlineStr">
        <is>
          <t>https://www.lovethework.com/work/entries/the-fan-remote-757600</t>
        </is>
      </c>
    </row>
    <row r="27">
      <c r="A27" s="33" t="n">
        <v>26</v>
      </c>
      <c r="B27" s="33" t="inlineStr">
        <is>
          <t>Bronze</t>
        </is>
      </c>
      <c r="C27" s="33" t="inlineStr">
        <is>
          <t>FIELDS OF GLORY</t>
        </is>
      </c>
      <c r="D27" s="33" t="inlineStr">
        <is>
          <t>PILSEN BEER</t>
        </is>
      </c>
      <c r="E27" s="33" t="inlineStr">
        <is>
          <t>PILSEN BEER</t>
        </is>
      </c>
      <c r="F27" s="33" t="inlineStr">
        <is>
          <t>MONKS</t>
        </is>
      </c>
      <c r="G27" s="33" t="inlineStr">
        <is>
          <t>Colombia</t>
        </is>
      </c>
      <c r="H27" s="33" t="inlineStr">
        <is>
          <t>Brand Partnerships, Sponsorships &amp; Collaborations</t>
        </is>
      </c>
      <c r="I27" s="33" t="inlineStr">
        <is>
          <t>https://ascentialcdn.filespin.io/api/v1/conversion/3c8c2a1d775049aeb067fb493759f83d</t>
        </is>
      </c>
      <c r="J27" s="33" t="inlineStr">
        <is>
          <t>3nAP3n43rok</t>
        </is>
      </c>
      <c r="L27" s="33" t="inlineStr">
        <is>
          <t>https://www.lovethework.com/work/entries/fields-of-glory-757481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REAL BEAUTY: HOW A SOAP BRAND CREATED A GLOBAL SELF-ESTEEM MOVEMENT</t>
        </is>
      </c>
      <c r="D2" s="33" t="inlineStr">
        <is>
          <t>DOVE</t>
        </is>
      </c>
      <c r="E2" s="33" t="inlineStr">
        <is>
          <t>DOVE</t>
        </is>
      </c>
      <c r="F2" s="33" t="inlineStr">
        <is>
          <t>OGILVY UK</t>
        </is>
      </c>
      <c r="G2" s="33" t="inlineStr">
        <is>
          <t>United Kingdom</t>
        </is>
      </c>
      <c r="H2" s="33" t="inlineStr">
        <is>
          <t>Long-Term Brand Platform</t>
        </is>
      </c>
      <c r="I2" s="33" t="inlineStr">
        <is>
          <t>digital-presentation-images/creative-strategy-dove-real-beauty-how-a-soap-brand-created-a-global-self-esteem-movement.webp</t>
        </is>
      </c>
      <c r="J2" s="33" t="inlineStr">
        <is>
          <t>puQ0PNZ1W-A</t>
        </is>
      </c>
      <c r="L2" s="33" t="inlineStr">
        <is>
          <t>https://www.lovethework.com/work/entries/real-beauty-how-a-soap-brand-created-a-global-self-esteem-movement-757207</t>
        </is>
      </c>
    </row>
    <row r="3">
      <c r="A3" s="33" t="n">
        <v>2</v>
      </c>
      <c r="B3" s="33" t="inlineStr">
        <is>
          <t>Gold</t>
        </is>
      </c>
      <c r="C3" s="33" t="inlineStr">
        <is>
          <t>SATO 2531</t>
        </is>
      </c>
      <c r="D3" s="33" t="inlineStr">
        <is>
          <t>ASUNIWA</t>
        </is>
      </c>
      <c r="E3" s="33" t="inlineStr">
        <is>
          <t>THINK NAME PROJECT</t>
        </is>
      </c>
      <c r="F3" s="33" t="inlineStr">
        <is>
          <t>DENTSU DIGITAL</t>
        </is>
      </c>
      <c r="G3" s="33" t="inlineStr">
        <is>
          <t>Japan</t>
        </is>
      </c>
      <c r="H3" s="33" t="inlineStr">
        <is>
          <t>Data &amp; Analytics</t>
        </is>
      </c>
      <c r="I3" s="33" t="inlineStr">
        <is>
          <t>digital-presentation-images/creative-strategy-asuniwa-sato-2531.webp</t>
        </is>
      </c>
      <c r="J3" s="33" t="inlineStr">
        <is>
          <t>BW5T0gC6o3o</t>
        </is>
      </c>
      <c r="L3" s="33" t="inlineStr">
        <is>
          <t>https://www.lovethework.com/work/entries/sato-2531-756616</t>
        </is>
      </c>
    </row>
    <row r="4">
      <c r="A4" s="33" t="n">
        <v>3</v>
      </c>
      <c r="B4" s="33" t="inlineStr">
        <is>
          <t>Gold</t>
        </is>
      </c>
      <c r="C4" s="33" t="inlineStr">
        <is>
          <t>HUMANIMAL TOURISM</t>
        </is>
      </c>
      <c r="D4" s="33" t="inlineStr">
        <is>
          <t>PROCOLOMBIA</t>
        </is>
      </c>
      <c r="E4" s="33" t="inlineStr">
        <is>
          <t>COLOMBIA, THE COUNTRY OF BEAUTY</t>
        </is>
      </c>
      <c r="F4" s="33" t="inlineStr">
        <is>
          <t>DDB COLOMBIA</t>
        </is>
      </c>
      <c r="G4" s="33" t="inlineStr">
        <is>
          <t>Colombia</t>
        </is>
      </c>
      <c r="H4" s="33" t="inlineStr">
        <is>
          <t>Data &amp; Analytics</t>
        </is>
      </c>
      <c r="I4" s="33" t="inlineStr">
        <is>
          <t>digital-presentation-images/creative-strategy-procolombia-humanimal-tourism.webp</t>
        </is>
      </c>
      <c r="J4" s="33" t="inlineStr">
        <is>
          <t>1r6DMx0FOYk</t>
        </is>
      </c>
      <c r="L4" s="33" t="inlineStr">
        <is>
          <t>https://www.lovethework.com/work/entries/humanimal-tourism-756682</t>
        </is>
      </c>
    </row>
    <row r="5">
      <c r="A5" s="33" t="n">
        <v>4</v>
      </c>
      <c r="B5" s="33" t="inlineStr">
        <is>
          <t>Gold</t>
        </is>
      </c>
      <c r="C5" s="33" t="inlineStr">
        <is>
          <t>AXA - THREE WORDS</t>
        </is>
      </c>
      <c r="D5" s="33" t="inlineStr">
        <is>
          <t>AXA</t>
        </is>
      </c>
      <c r="E5" s="33" t="inlineStr">
        <is>
          <t>INSURANCE</t>
        </is>
      </c>
      <c r="F5" s="33" t="inlineStr">
        <is>
          <t>PUBLICIS CONSEIL</t>
        </is>
      </c>
      <c r="G5" s="33" t="inlineStr">
        <is>
          <t>France</t>
        </is>
      </c>
      <c r="H5" s="33" t="inlineStr">
        <is>
          <t>Products/Services</t>
        </is>
      </c>
      <c r="I5" s="33" t="inlineStr">
        <is>
          <t>digital-presentation-images/creative-strategy-axa-axa-three-words.webp</t>
        </is>
      </c>
      <c r="J5" s="33" t="inlineStr">
        <is>
          <t>pY-03zuV7mE</t>
        </is>
      </c>
      <c r="L5" s="33" t="inlineStr">
        <is>
          <t>https://www.lovethework.com/work/entries/axa-three-words-757080</t>
        </is>
      </c>
    </row>
    <row r="6">
      <c r="A6" s="33" t="n">
        <v>5</v>
      </c>
      <c r="B6" s="33" t="inlineStr">
        <is>
          <t>Gold</t>
        </is>
      </c>
      <c r="C6" s="33" t="inlineStr">
        <is>
          <t>THE NEW PRESIDENT</t>
        </is>
      </c>
      <c r="D6" s="33" t="inlineStr">
        <is>
          <t>ANNAHAR NEWSPAPER</t>
        </is>
      </c>
      <c r="E6" s="33" t="inlineStr">
        <is>
          <t>ANNAHAR NEWSPAPER</t>
        </is>
      </c>
      <c r="F6" s="33" t="inlineStr">
        <is>
          <t>IMPACT BBDO</t>
        </is>
      </c>
      <c r="G6" s="33" t="inlineStr">
        <is>
          <t>United Arab Emirates</t>
        </is>
      </c>
      <c r="H6" s="33" t="inlineStr">
        <is>
          <t>Media/Entertainment</t>
        </is>
      </c>
      <c r="I6" s="33" t="inlineStr">
        <is>
          <t>https://ascentialcdn.filespin.io/api/v1/conversion/04e3ef953a454b9da10f1982fa8553b3</t>
        </is>
      </c>
      <c r="J6" s="33" t="inlineStr">
        <is>
          <t>MeCjFylJMVo</t>
        </is>
      </c>
      <c r="L6" s="33" t="inlineStr">
        <is>
          <t>https://www.lovethework.com/work/entries/the-new-president-756636</t>
        </is>
      </c>
    </row>
    <row r="7">
      <c r="A7" s="33" t="n">
        <v>6</v>
      </c>
      <c r="B7" s="33" t="inlineStr">
        <is>
          <t>Gold</t>
        </is>
      </c>
      <c r="C7" s="33" t="inlineStr">
        <is>
          <t>PEDIGREE CARAMELO</t>
        </is>
      </c>
      <c r="D7" s="33" t="inlineStr">
        <is>
          <t>PEDIGREE</t>
        </is>
      </c>
      <c r="E7" s="33" t="inlineStr">
        <is>
          <t>PEDIGREE</t>
        </is>
      </c>
      <c r="F7" s="33" t="inlineStr">
        <is>
          <t>ALMAPBBDO</t>
        </is>
      </c>
      <c r="G7" s="33" t="inlineStr">
        <is>
          <t>Brazil</t>
        </is>
      </c>
      <c r="H7" s="33" t="inlineStr">
        <is>
          <t>Brand Strategy</t>
        </is>
      </c>
      <c r="I7" s="33" t="inlineStr">
        <is>
          <t>digital-presentation-images/creative-strategy-pedigree-caramelo.webp</t>
        </is>
      </c>
      <c r="J7" s="33" t="inlineStr">
        <is>
          <t>prMM0H9psRs</t>
        </is>
      </c>
      <c r="L7" s="33" t="inlineStr">
        <is>
          <t>https://www.lovethework.com/work/entries/pedigree-caramelo-762215</t>
        </is>
      </c>
    </row>
    <row r="8">
      <c r="A8" s="33" t="n">
        <v>7</v>
      </c>
      <c r="B8" s="33" t="inlineStr">
        <is>
          <t>Silver</t>
        </is>
      </c>
      <c r="C8" s="33" t="inlineStr">
        <is>
          <t>CHOOSE UBER</t>
        </is>
      </c>
      <c r="D8" s="33" t="inlineStr">
        <is>
          <t>HEETCH</t>
        </is>
      </c>
      <c r="E8" s="33" t="inlineStr">
        <is>
          <t>HEETCH</t>
        </is>
      </c>
      <c r="F8" s="33" t="inlineStr">
        <is>
          <t>BETC</t>
        </is>
      </c>
      <c r="G8" s="33" t="inlineStr">
        <is>
          <t>France</t>
        </is>
      </c>
      <c r="H8" s="33" t="inlineStr">
        <is>
          <t>Brave Brands</t>
        </is>
      </c>
      <c r="I8" s="33" t="inlineStr">
        <is>
          <t>https://ascentialcdn.filespin.io/api/v1/conversion/fd2b448479ca41b7aa08b7d8a4bd8749</t>
        </is>
      </c>
      <c r="J8" s="33" t="inlineStr">
        <is>
          <t>l9rO0yGTLEM</t>
        </is>
      </c>
      <c r="L8" s="33" t="inlineStr">
        <is>
          <t>https://www.lovethework.com/work/entries/choose-uber-762197</t>
        </is>
      </c>
    </row>
    <row r="9">
      <c r="A9" s="33" t="n">
        <v>8</v>
      </c>
      <c r="B9" s="33" t="inlineStr">
        <is>
          <t>Silver</t>
        </is>
      </c>
      <c r="C9" s="33" t="inlineStr">
        <is>
          <t>ANNAHAR'S ACTIVE JOURNALISM</t>
        </is>
      </c>
      <c r="D9" s="33" t="inlineStr">
        <is>
          <t>ANNAHAR</t>
        </is>
      </c>
      <c r="E9" s="33" t="inlineStr">
        <is>
          <t>ANNAHAR</t>
        </is>
      </c>
      <c r="F9" s="33" t="inlineStr">
        <is>
          <t>IMPACT BBDO</t>
        </is>
      </c>
      <c r="G9" s="33" t="inlineStr">
        <is>
          <t>United Arab Emirates</t>
        </is>
      </c>
      <c r="H9" s="33" t="inlineStr">
        <is>
          <t>Long-Term Brand Platform</t>
        </is>
      </c>
      <c r="I9" s="33" t="inlineStr">
        <is>
          <t>https://ascentialcdn.filespin.io/api/v1/conversion/b4e46a523b114724a7376a0c7e970774</t>
        </is>
      </c>
      <c r="J9" s="33" t="inlineStr">
        <is>
          <t>vimeo:1094885200</t>
        </is>
      </c>
      <c r="L9" s="33" t="inlineStr">
        <is>
          <t>https://www.lovethework.com/work/entries/annahars-active-journalism-757177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DAISY VS SCAMMERS</t>
        </is>
      </c>
      <c r="D10" s="33" t="inlineStr">
        <is>
          <t>O2</t>
        </is>
      </c>
      <c r="E10" s="33" t="inlineStr">
        <is>
          <t>DAISY VS SCAMMERS</t>
        </is>
      </c>
      <c r="F10" s="33" t="inlineStr">
        <is>
          <t>VCCP</t>
        </is>
      </c>
      <c r="G10" s="33" t="inlineStr">
        <is>
          <t>United Kingdom</t>
        </is>
      </c>
      <c r="H10" s="33" t="inlineStr">
        <is>
          <t>Breakthrough on a Budget</t>
        </is>
      </c>
      <c r="I10" s="33" t="inlineStr">
        <is>
          <t>digital-presentation-images/creative-strategy-o2-daisy-vs-scammers.webp</t>
        </is>
      </c>
      <c r="J10" s="33" t="inlineStr">
        <is>
          <t>tnfhe_XMg7U</t>
        </is>
      </c>
      <c r="L10" s="33" t="inlineStr">
        <is>
          <t>https://www.lovethework.com/work/entries/daisy-vs-scammers-756893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FOUND IN TRANSLATION</t>
        </is>
      </c>
      <c r="D11" s="33" t="inlineStr">
        <is>
          <t>MEDALLA LIGHT</t>
        </is>
      </c>
      <c r="E11" s="33" t="inlineStr">
        <is>
          <t>MEDALLA LIGHT</t>
        </is>
      </c>
      <c r="F11" s="33" t="inlineStr">
        <is>
          <t>DDB LATINA PUERTO RICO</t>
        </is>
      </c>
      <c r="G11" s="33" t="inlineStr">
        <is>
          <t>Puerto Rico</t>
        </is>
      </c>
      <c r="H11" s="33" t="inlineStr">
        <is>
          <t>Cultural Engagement</t>
        </is>
      </c>
      <c r="I11" s="33" t="inlineStr">
        <is>
          <t>digital-presentation-images/creative-strategy-medalla-light-found-in-translation.webp</t>
        </is>
      </c>
      <c r="J11" s="33" t="inlineStr">
        <is>
          <t>O_uAjIgBx2g</t>
        </is>
      </c>
      <c r="L11" s="33" t="inlineStr">
        <is>
          <t>https://www.lovethework.com/work/entries/found-in-translation-757072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THE LAST BARF BAG</t>
        </is>
      </c>
      <c r="D12" s="33" t="inlineStr">
        <is>
          <t>DRAMAMINE</t>
        </is>
      </c>
      <c r="E12" s="33" t="inlineStr">
        <is>
          <t>DRAMAMINE</t>
        </is>
      </c>
      <c r="F12" s="33" t="inlineStr">
        <is>
          <t>FCB CHICAGO</t>
        </is>
      </c>
      <c r="G12" s="33" t="inlineStr">
        <is>
          <t>United States</t>
        </is>
      </c>
      <c r="H12" s="33" t="inlineStr">
        <is>
          <t>Healthcare</t>
        </is>
      </c>
      <c r="I12" s="33" t="inlineStr">
        <is>
          <t>digital-presentation-images/creative-strategy-dramamine-the-last-barf-bag.webp</t>
        </is>
      </c>
      <c r="J12" s="33" t="inlineStr">
        <is>
          <t>QEJe_2ygBzQ</t>
        </is>
      </c>
      <c r="L12" s="33" t="inlineStr">
        <is>
          <t>https://www.lovethework.com/work/entries/the-last-barf-bag-756641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IT'S A CHEETOS THING</t>
        </is>
      </c>
      <c r="D13" s="33" t="inlineStr">
        <is>
          <t>CHEETOS | PEPSICO</t>
        </is>
      </c>
      <c r="E13" s="33" t="inlineStr">
        <is>
          <t>CHEETOS</t>
        </is>
      </c>
      <c r="F13" s="33" t="inlineStr">
        <is>
          <t>GOODBY SILVERSTEIN &amp; PARTNERS</t>
        </is>
      </c>
      <c r="G13" s="33" t="inlineStr">
        <is>
          <t>United States</t>
        </is>
      </c>
      <c r="H13" s="33" t="inlineStr">
        <is>
          <t>Long-Term Brand Platform</t>
        </is>
      </c>
      <c r="I13" s="33" t="inlineStr">
        <is>
          <t>digital-presentation-images/creative-strategy-cheetos-pepsico-its-a-cheetos-thing.webp</t>
        </is>
      </c>
      <c r="J13" s="33" t="inlineStr">
        <is>
          <t>vimeo:1094791063</t>
        </is>
      </c>
      <c r="L13" s="33" t="inlineStr">
        <is>
          <t>https://www.lovethework.com/work/entries/its-a-cheetos-thing-757167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AXA - THREE WORDS</t>
        </is>
      </c>
      <c r="D14" s="33" t="inlineStr">
        <is>
          <t>AXA</t>
        </is>
      </c>
      <c r="E14" s="33" t="inlineStr">
        <is>
          <t>INSURANCE</t>
        </is>
      </c>
      <c r="F14" s="33" t="inlineStr">
        <is>
          <t>PUBLICIS CONSEIL</t>
        </is>
      </c>
      <c r="G14" s="33" t="inlineStr">
        <is>
          <t>France</t>
        </is>
      </c>
      <c r="H14" s="33" t="inlineStr">
        <is>
          <t>Corporate Purpose &amp; Social Responsibility</t>
        </is>
      </c>
      <c r="I14" s="33" t="inlineStr">
        <is>
          <t>digital-presentation-images/creative-strategy-axa-axa-three-words.webp</t>
        </is>
      </c>
      <c r="J14" s="33" t="inlineStr">
        <is>
          <t>pY-03zuV7mE</t>
        </is>
      </c>
      <c r="L14" s="33" t="inlineStr">
        <is>
          <t>https://www.lovethework.com/work/entries/axa-three-words-756914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GET COMFORTABLE</t>
        </is>
      </c>
      <c r="D15" s="33" t="inlineStr">
        <is>
          <t>ANDREX</t>
        </is>
      </c>
      <c r="E15" s="33" t="inlineStr">
        <is>
          <t>ANDREX</t>
        </is>
      </c>
      <c r="F15" s="33" t="inlineStr">
        <is>
          <t>FCB LONDON</t>
        </is>
      </c>
      <c r="G15" s="33" t="inlineStr">
        <is>
          <t>United Kingdom</t>
        </is>
      </c>
      <c r="H15" s="33" t="inlineStr">
        <is>
          <t>Consumer Goods</t>
        </is>
      </c>
      <c r="I15" s="33" t="inlineStr">
        <is>
          <t>digital-presentation-images/creative-strategy-andrex-get-comfortable.webp</t>
        </is>
      </c>
      <c r="J15" s="33" t="inlineStr">
        <is>
          <t>gGnarGs_icM</t>
        </is>
      </c>
      <c r="L15" s="33" t="inlineStr">
        <is>
          <t>https://www.lovethework.com/work/entries/get-comfortable-756571</t>
        </is>
      </c>
    </row>
    <row r="16">
      <c r="A16" s="33" t="n">
        <v>15</v>
      </c>
      <c r="B16" s="33" t="inlineStr">
        <is>
          <t>Silver</t>
        </is>
      </c>
      <c r="C16" s="33" t="inlineStr">
        <is>
          <t>THE PRINCESS &amp; THE CROWN</t>
        </is>
      </c>
      <c r="D16" s="33" t="inlineStr">
        <is>
          <t>SEDA, DROGA5</t>
        </is>
      </c>
      <c r="E16" s="33" t="inlineStr">
        <is>
          <t>SEDA SHAMPOO</t>
        </is>
      </c>
      <c r="F16" s="33" t="inlineStr">
        <is>
          <t>PART OF ACCENTURE SONG</t>
        </is>
      </c>
      <c r="G16" s="33" t="inlineStr">
        <is>
          <t>Brazil</t>
        </is>
      </c>
      <c r="H16" s="33" t="inlineStr">
        <is>
          <t>Audience Insight</t>
        </is>
      </c>
      <c r="I16" s="33" t="inlineStr">
        <is>
          <t>digital-presentation-images/creative-strategy-seda-droga5-the-princess-and-the-crown.webp</t>
        </is>
      </c>
      <c r="J16" s="33" t="inlineStr">
        <is>
          <t>J750Ylo52is</t>
        </is>
      </c>
      <c r="L16" s="33" t="inlineStr">
        <is>
          <t>https://www.lovethework.com/work/entries/the-princess-the-crown-756938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GUARDED BUS STOP</t>
        </is>
      </c>
      <c r="D17" s="33" t="inlineStr">
        <is>
          <t>ELETROMIDIA</t>
        </is>
      </c>
      <c r="E17" s="33" t="inlineStr">
        <is>
          <t>GUARDED BUS STOP</t>
        </is>
      </c>
      <c r="F17" s="33" t="inlineStr">
        <is>
          <t>ALMAPBBDO</t>
        </is>
      </c>
      <c r="G17" s="33" t="inlineStr">
        <is>
          <t>Brazil</t>
        </is>
      </c>
      <c r="H17" s="33" t="inlineStr">
        <is>
          <t>Corporate Purpose &amp; Social Responsibility</t>
        </is>
      </c>
      <c r="I17" s="33" t="inlineStr">
        <is>
          <t>digital-presentation-images/creative-strategy-eletromidia-guarded-bus-stop.webp</t>
        </is>
      </c>
      <c r="J17" s="33" t="inlineStr">
        <is>
          <t>vimeo:844081201</t>
        </is>
      </c>
      <c r="L17" s="33" t="inlineStr">
        <is>
          <t>https://www.lovethework.com/work/entries/guarded-bus-stop-762347</t>
        </is>
      </c>
    </row>
    <row r="18">
      <c r="A18" s="33" t="n">
        <v>17</v>
      </c>
      <c r="B18" s="33" t="inlineStr">
        <is>
          <t>Bronze</t>
        </is>
      </c>
      <c r="C18" s="33" t="inlineStr">
        <is>
          <t>MEET MARINA PRIETO</t>
        </is>
      </c>
      <c r="D18" s="33" t="inlineStr">
        <is>
          <t>JC DECAUX</t>
        </is>
      </c>
      <c r="E18" s="33" t="inlineStr">
        <is>
          <t>MEDIA CHANNEL</t>
        </is>
      </c>
      <c r="F18" s="33" t="inlineStr">
        <is>
          <t>DAVID</t>
        </is>
      </c>
      <c r="G18" s="33" t="inlineStr">
        <is>
          <t>Spain</t>
        </is>
      </c>
      <c r="H18" s="33" t="inlineStr">
        <is>
          <t>Consumer Services/Business to Business</t>
        </is>
      </c>
      <c r="I18" s="33" t="inlineStr">
        <is>
          <t>digital-presentation-images/creative-strategy-jc-decaux-meet-marina-prieto.webp</t>
        </is>
      </c>
      <c r="J18" s="33" t="inlineStr">
        <is>
          <t>4j2UkSs-cSo</t>
        </is>
      </c>
      <c r="L18" s="33" t="inlineStr">
        <is>
          <t>https://www.lovethework.com/work/entries/meet-marina-prieto-756662</t>
        </is>
      </c>
    </row>
    <row r="19">
      <c r="A19" s="33" t="n">
        <v>18</v>
      </c>
      <c r="B19" s="33" t="inlineStr">
        <is>
          <t>Bronze</t>
        </is>
      </c>
      <c r="C19" s="33" t="inlineStr">
        <is>
          <t>TRANSITION BODY LOTION</t>
        </is>
      </c>
      <c r="D19" s="33" t="inlineStr">
        <is>
          <t>UNILEVER</t>
        </is>
      </c>
      <c r="E19" s="33" t="inlineStr">
        <is>
          <t>VASELINE PRO DERMA TRANSITION BODY LOTION</t>
        </is>
      </c>
      <c r="F19" s="33" t="inlineStr">
        <is>
          <t>OGILVY</t>
        </is>
      </c>
      <c r="G19" s="33" t="inlineStr">
        <is>
          <t>Singapore</t>
        </is>
      </c>
      <c r="H19" s="33" t="inlineStr">
        <is>
          <t>Products/Services</t>
        </is>
      </c>
      <c r="I19" s="33" t="inlineStr">
        <is>
          <t>digital-presentation-images/creative-strategy-unilever-transition-body-lotion.webp</t>
        </is>
      </c>
      <c r="J19" s="33" t="inlineStr">
        <is>
          <t>adj2vS3ZLUw</t>
        </is>
      </c>
      <c r="L19" s="33" t="inlineStr">
        <is>
          <t>https://www.lovethework.com/work/entries/transition-body-lotion-757003</t>
        </is>
      </c>
    </row>
    <row r="20">
      <c r="A20" s="33" t="n">
        <v>19</v>
      </c>
      <c r="B20" s="33" t="inlineStr">
        <is>
          <t>Bronze</t>
        </is>
      </c>
      <c r="C20" s="33" t="inlineStr">
        <is>
          <t>PUB MUSEUMS</t>
        </is>
      </c>
      <c r="D20" s="33" t="inlineStr">
        <is>
          <t>HEINEKEN</t>
        </is>
      </c>
      <c r="E20" s="33" t="inlineStr">
        <is>
          <t>HEINEKEN</t>
        </is>
      </c>
      <c r="F20" s="33" t="inlineStr">
        <is>
          <t>LEPUB</t>
        </is>
      </c>
      <c r="G20" s="33" t="inlineStr">
        <is>
          <t>Italy</t>
        </is>
      </c>
      <c r="H20" s="33" t="inlineStr">
        <is>
          <t>Corporate Purpose &amp; Social Responsibility</t>
        </is>
      </c>
      <c r="I20" s="33" t="inlineStr">
        <is>
          <t>https://ascentialcdn.filespin.io/api/v1/conversion/86282110e23b4b43a6d78c517dc757a2</t>
        </is>
      </c>
      <c r="J20" s="33" t="inlineStr">
        <is>
          <t>Qp8Od1eQOt4</t>
        </is>
      </c>
      <c r="L20" s="33" t="inlineStr">
        <is>
          <t>https://www.lovethework.com/work/entries/pub-museums-756811</t>
        </is>
      </c>
    </row>
    <row r="21">
      <c r="A21" s="33" t="n">
        <v>20</v>
      </c>
      <c r="B21" s="33" t="inlineStr">
        <is>
          <t>Bronze</t>
        </is>
      </c>
      <c r="C21" s="33" t="inlineStr">
        <is>
          <t>CHILD WEDDING CARDS</t>
        </is>
      </c>
      <c r="D21" s="33" t="inlineStr">
        <is>
          <t>UN WOMEN</t>
        </is>
      </c>
      <c r="E21" s="33" t="inlineStr">
        <is>
          <t>UN WOMEN</t>
        </is>
      </c>
      <c r="F21" s="33" t="inlineStr">
        <is>
          <t>IMPACT BBDO</t>
        </is>
      </c>
      <c r="G21" s="33" t="inlineStr">
        <is>
          <t>United Arab Emirates</t>
        </is>
      </c>
      <c r="H21" s="33" t="inlineStr">
        <is>
          <t>Breakthrough on a Budget</t>
        </is>
      </c>
      <c r="I21" s="33" t="inlineStr">
        <is>
          <t>https://ascentialcdn.filespin.io/api/v1/conversion/abc63dd6ae264a01a36dad6fe71eb424</t>
        </is>
      </c>
      <c r="J21" s="33" t="inlineStr">
        <is>
          <t>G_dzr4SJqjY</t>
        </is>
      </c>
      <c r="L21" s="33" t="inlineStr">
        <is>
          <t>https://www.lovethework.com/work/entries/child-wedding-cards-756874</t>
        </is>
      </c>
    </row>
    <row r="22">
      <c r="A22" s="33" t="n">
        <v>21</v>
      </c>
      <c r="B22" s="33" t="inlineStr">
        <is>
          <t>Bronze</t>
        </is>
      </c>
      <c r="C22" s="33" t="inlineStr">
        <is>
          <t>MICHAEL CERAVE</t>
        </is>
      </c>
      <c r="D22" s="33" t="inlineStr">
        <is>
          <t>CERAVE</t>
        </is>
      </c>
      <c r="E22" s="33" t="inlineStr">
        <is>
          <t>CERAVE</t>
        </is>
      </c>
      <c r="F22" s="33" t="inlineStr">
        <is>
          <t>OGILVY PR</t>
        </is>
      </c>
      <c r="G22" s="33" t="inlineStr">
        <is>
          <t>United States</t>
        </is>
      </c>
      <c r="H22" s="33" t="inlineStr">
        <is>
          <t>Market Disruption</t>
        </is>
      </c>
      <c r="I22" s="33" t="inlineStr">
        <is>
          <t>digital-presentation-images/creative-strategy-cerave-michael-cerave.webp</t>
        </is>
      </c>
      <c r="J22" s="33" t="inlineStr">
        <is>
          <t>vimeo:924148167</t>
        </is>
      </c>
      <c r="L22" s="33" t="inlineStr">
        <is>
          <t>https://www.lovethework.com/work/entries/michael-cerave-762224</t>
        </is>
      </c>
    </row>
    <row r="23">
      <c r="A23" s="33" t="n">
        <v>22</v>
      </c>
      <c r="B23" s="33" t="inlineStr">
        <is>
          <t>Bronze</t>
        </is>
      </c>
      <c r="C23" s="33" t="inlineStr">
        <is>
          <t>THE HIDDEN EYE TEST</t>
        </is>
      </c>
      <c r="D23" s="33" t="inlineStr">
        <is>
          <t>1001 OPTOMETRY</t>
        </is>
      </c>
      <c r="E23" s="33" t="inlineStr">
        <is>
          <t>1001 OPTOMETRY</t>
        </is>
      </c>
      <c r="F23" s="33" t="inlineStr">
        <is>
          <t>VML</t>
        </is>
      </c>
      <c r="G23" s="33" t="inlineStr">
        <is>
          <t>Australia</t>
        </is>
      </c>
      <c r="H23" s="33" t="inlineStr">
        <is>
          <t>Travel, Leisure, Retail, Restaurants &amp; Fast-Food Chains</t>
        </is>
      </c>
      <c r="I23" s="33" t="inlineStr">
        <is>
          <t>digital-presentation-images/creative-strategy-1001-optometry-the-hidden-eye-test.webp</t>
        </is>
      </c>
      <c r="J23" s="33" t="inlineStr">
        <is>
          <t>vimeo:1077848029</t>
        </is>
      </c>
      <c r="L23" s="33" t="inlineStr">
        <is>
          <t>https://www.lovethework.com/work/entries/the-hidden-eye-test-756664</t>
        </is>
      </c>
    </row>
    <row r="24">
      <c r="A24" s="33" t="n">
        <v>23</v>
      </c>
      <c r="B24" s="33" t="inlineStr">
        <is>
          <t>Bronze</t>
        </is>
      </c>
      <c r="C24" s="33" t="inlineStr">
        <is>
          <t>SOUNDS RIGHT</t>
        </is>
      </c>
      <c r="D24" s="33" t="inlineStr">
        <is>
          <t>MUSEUM FOR THE UNITED NATIONS - UN LIVE, SPOTIFY</t>
        </is>
      </c>
      <c r="E24" s="33" t="inlineStr">
        <is>
          <t>MUSIC</t>
        </is>
      </c>
      <c r="F24" s="33" t="inlineStr">
        <is>
          <t>AKQA</t>
        </is>
      </c>
      <c r="G24" s="33" t="inlineStr">
        <is>
          <t>Denmark</t>
        </is>
      </c>
      <c r="H24" s="33" t="inlineStr">
        <is>
          <t>Media/Entertainment</t>
        </is>
      </c>
      <c r="I24" s="33" t="inlineStr">
        <is>
          <t>digital-presentation-images/creative-strategy-museum-for-the-united-nations-sounds-right.webp</t>
        </is>
      </c>
      <c r="J24" s="33" t="inlineStr">
        <is>
          <t>vimeo:1094746280</t>
        </is>
      </c>
      <c r="L24" s="33" t="inlineStr">
        <is>
          <t>https://www.lovethework.com/work/entries/sounds-right-756651</t>
        </is>
      </c>
    </row>
    <row r="25">
      <c r="A25" s="33" t="n">
        <v>24</v>
      </c>
      <c r="B25" s="33" t="inlineStr">
        <is>
          <t>Bronze</t>
        </is>
      </c>
      <c r="C25" s="33" t="inlineStr">
        <is>
          <t>FOOTBALL IS FOR FOOD</t>
        </is>
      </c>
      <c r="D25" s="33" t="inlineStr">
        <is>
          <t>UBER EATS</t>
        </is>
      </c>
      <c r="E25" s="33" t="inlineStr">
        <is>
          <t>UBER EATS</t>
        </is>
      </c>
      <c r="F25" s="33" t="inlineStr">
        <is>
          <t>SPECIAL</t>
        </is>
      </c>
      <c r="G25" s="33" t="inlineStr">
        <is>
          <t>United States</t>
        </is>
      </c>
      <c r="H25" s="33" t="inlineStr">
        <is>
          <t>Travel, Leisure, Retail, Restaurants &amp; Fast-Food Chains</t>
        </is>
      </c>
      <c r="I25" s="33" t="inlineStr">
        <is>
          <t>digital-presentation-images/creative-strategy-uber-eats-football-is-for-food.webp</t>
        </is>
      </c>
      <c r="J25" s="33" t="inlineStr">
        <is>
          <t>Mi_cxUyqH4Q</t>
        </is>
      </c>
      <c r="L25" s="33" t="inlineStr">
        <is>
          <t>https://www.lovethework.com/work/entries/football-is-for-food-756733</t>
        </is>
      </c>
    </row>
    <row r="26">
      <c r="A26" s="33" t="n">
        <v>25</v>
      </c>
      <c r="B26" s="33" t="inlineStr">
        <is>
          <t>Bronze</t>
        </is>
      </c>
      <c r="C26" s="33" t="inlineStr">
        <is>
          <t>WAITING TO LIVE</t>
        </is>
      </c>
      <c r="D26" s="33" t="inlineStr">
        <is>
          <t>NHS</t>
        </is>
      </c>
      <c r="E26" s="33" t="inlineStr">
        <is>
          <t>NHS BLOOD &amp; TRANSPLANT</t>
        </is>
      </c>
      <c r="F26" s="33" t="inlineStr">
        <is>
          <t>VML</t>
        </is>
      </c>
      <c r="G26" s="33" t="inlineStr">
        <is>
          <t>United Kingdom</t>
        </is>
      </c>
      <c r="H26" s="33" t="inlineStr">
        <is>
          <t>Not-for-Profit / Charity / Government</t>
        </is>
      </c>
      <c r="I26" s="33" t="inlineStr">
        <is>
          <t>digital-presentation-images/creative-strategy-nhs-waiting-to-live.webp</t>
        </is>
      </c>
      <c r="J26" s="33" t="inlineStr">
        <is>
          <t>OyiFnpmTFsY</t>
        </is>
      </c>
      <c r="L26" s="33" t="inlineStr">
        <is>
          <t>https://www.lovethework.com/work/entries/waiting-to-live-756712</t>
        </is>
      </c>
    </row>
    <row r="27">
      <c r="A27" s="33" t="n">
        <v>26</v>
      </c>
      <c r="B27" s="33" t="inlineStr">
        <is>
          <t>Bronze</t>
        </is>
      </c>
      <c r="C27" s="33" t="inlineStr">
        <is>
          <t>THE 26TH MINUTE</t>
        </is>
      </c>
      <c r="D27" s="33" t="inlineStr">
        <is>
          <t>DUBLIN SAMARITANS, DROGA5</t>
        </is>
      </c>
      <c r="E27" s="33" t="inlineStr">
        <is>
          <t>SAMARITANS VOLUNTEER RECRUITMENT</t>
        </is>
      </c>
      <c r="F27" s="33" t="inlineStr">
        <is>
          <t>PART OF ACCENTURE SONG</t>
        </is>
      </c>
      <c r="G27" s="33" t="inlineStr">
        <is>
          <t>Ireland</t>
        </is>
      </c>
      <c r="H27" s="33" t="inlineStr">
        <is>
          <t>Audience Insight</t>
        </is>
      </c>
      <c r="I27" s="33" t="inlineStr">
        <is>
          <t>digital-presentation-images/creative-strategy-dublin-samaritans-droga5-the-26th-minute.webp</t>
        </is>
      </c>
      <c r="J27" s="33" t="inlineStr">
        <is>
          <t>vimeo:1156074978</t>
        </is>
      </c>
      <c r="L27" s="33" t="inlineStr">
        <is>
          <t>https://www.lovethework.com/work/entries/the-26th-minute-756951</t>
        </is>
      </c>
    </row>
    <row r="28">
      <c r="A28" s="33" t="n">
        <v>27</v>
      </c>
      <c r="B28" s="33" t="inlineStr">
        <is>
          <t>Bronze</t>
        </is>
      </c>
      <c r="C28" s="33" t="inlineStr">
        <is>
          <t>THE NEW PRESIDENT</t>
        </is>
      </c>
      <c r="D28" s="33" t="inlineStr">
        <is>
          <t>ANNAHAR NEWSPAPER</t>
        </is>
      </c>
      <c r="E28" s="33" t="inlineStr">
        <is>
          <t>ANNAHAR NEWSPAPER</t>
        </is>
      </c>
      <c r="F28" s="33" t="inlineStr">
        <is>
          <t>IMPACT BBDO</t>
        </is>
      </c>
      <c r="G28" s="33" t="inlineStr">
        <is>
          <t>United Arab Emirates</t>
        </is>
      </c>
      <c r="H28" s="33" t="inlineStr">
        <is>
          <t>Brave Brands</t>
        </is>
      </c>
      <c r="I28" s="33" t="inlineStr">
        <is>
          <t>https://ascentialcdn.filespin.io/api/v1/conversion/04e3ef953a454b9da10f1982fa8553b3</t>
        </is>
      </c>
      <c r="J28" s="33" t="inlineStr">
        <is>
          <t>MeCjFylJMVo</t>
        </is>
      </c>
      <c r="L28" s="33" t="inlineStr">
        <is>
          <t>https://www.lovethework.com/work/entries/the-new-president-757020</t>
        </is>
      </c>
    </row>
    <row r="29">
      <c r="A29" s="33" t="n">
        <v>28</v>
      </c>
      <c r="B29" s="33" t="inlineStr">
        <is>
          <t>Bronze</t>
        </is>
      </c>
      <c r="C29" s="33" t="inlineStr">
        <is>
          <t>SATO 2531</t>
        </is>
      </c>
      <c r="D29" s="33" t="inlineStr">
        <is>
          <t>ASUNIWA</t>
        </is>
      </c>
      <c r="E29" s="33" t="inlineStr">
        <is>
          <t>THINK NAME PROJECT</t>
        </is>
      </c>
      <c r="F29" s="33" t="inlineStr">
        <is>
          <t>DENTSU DIGITAL</t>
        </is>
      </c>
      <c r="G29" s="33" t="inlineStr">
        <is>
          <t>Japan</t>
        </is>
      </c>
      <c r="H29" s="33" t="inlineStr">
        <is>
          <t>Cultural Engagement</t>
        </is>
      </c>
      <c r="I29" s="33" t="inlineStr">
        <is>
          <t>digital-presentation-images/creative-strategy-asuniwa-sato-2531.webp</t>
        </is>
      </c>
      <c r="J29" s="33" t="inlineStr">
        <is>
          <t>BW5T0gC6o3o</t>
        </is>
      </c>
      <c r="L29" s="33" t="inlineStr">
        <is>
          <t>https://www.lovethework.com/work/entries/sato-2531-757065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NIGRUM CORPUS</t>
        </is>
      </c>
      <c r="D2" s="33" t="inlineStr">
        <is>
          <t>IDOMED</t>
        </is>
      </c>
      <c r="E2" s="33" t="inlineStr">
        <is>
          <t>NIGRUM CORPUS</t>
        </is>
      </c>
      <c r="F2" s="33" t="inlineStr">
        <is>
          <t>ARTPLAN</t>
        </is>
      </c>
      <c r="G2" s="33" t="inlineStr">
        <is>
          <t>Brazil</t>
        </is>
      </c>
      <c r="H2" s="33" t="inlineStr">
        <is>
          <t>Art Direction: Print &amp; Publishing</t>
        </is>
      </c>
      <c r="I2" s="33" t="inlineStr">
        <is>
          <t>https://ascentialcdn.filespin.io/api/v1/conversion/bf5407e59cfa412f991854f10cadc2f2</t>
        </is>
      </c>
      <c r="J2" s="33" t="inlineStr">
        <is>
          <t>vimeo:1089083708</t>
        </is>
      </c>
      <c r="L2" s="33" t="inlineStr">
        <is>
          <t>https://www.lovethework.com/work/entries/nigrum-corpus-755517</t>
        </is>
      </c>
    </row>
    <row r="3">
      <c r="A3" s="33" t="n">
        <v>2</v>
      </c>
      <c r="B3" s="33" t="inlineStr">
        <is>
          <t>Gold</t>
        </is>
      </c>
      <c r="C3" s="33" t="inlineStr">
        <is>
          <t>PROJECT 4270</t>
        </is>
      </c>
      <c r="D3" s="33" t="inlineStr">
        <is>
          <t>BANCO DE CHILE</t>
        </is>
      </c>
      <c r="E3" s="33" t="inlineStr">
        <is>
          <t>BANCO DE CHILE</t>
        </is>
      </c>
      <c r="F3" s="33" t="inlineStr">
        <is>
          <t>BBDO CHILE</t>
        </is>
      </c>
      <c r="G3" s="33" t="inlineStr">
        <is>
          <t>Chile</t>
        </is>
      </c>
      <c r="H3" s="33" t="inlineStr">
        <is>
          <t>Photography: Brand &amp; Communications Design</t>
        </is>
      </c>
      <c r="I3" s="33" t="inlineStr">
        <is>
          <t>https://ascentialcdn.filespin.io/api/v1/conversion/49a6511e16b04d3a992e7af24cead47a</t>
        </is>
      </c>
      <c r="J3" s="33" t="inlineStr">
        <is>
          <t>ge_gHOV-RZc</t>
        </is>
      </c>
      <c r="L3" s="33" t="inlineStr">
        <is>
          <t>https://www.lovethework.com/work/entries/project-4270-755469</t>
        </is>
      </c>
    </row>
    <row r="4">
      <c r="A4" s="33" t="n">
        <v>3</v>
      </c>
      <c r="B4" s="33" t="inlineStr">
        <is>
          <t>Gold</t>
        </is>
      </c>
      <c r="C4" s="33" t="inlineStr">
        <is>
          <t>EYE SCAN</t>
        </is>
      </c>
      <c r="D4" s="33" t="inlineStr">
        <is>
          <t>1001 OPTOMETRY</t>
        </is>
      </c>
      <c r="E4" s="33" t="inlineStr">
        <is>
          <t>1001 OPTOMETRY</t>
        </is>
      </c>
      <c r="F4" s="33" t="inlineStr">
        <is>
          <t>VML</t>
        </is>
      </c>
      <c r="G4" s="33" t="inlineStr">
        <is>
          <t>Australia</t>
        </is>
      </c>
      <c r="H4" s="33" t="inlineStr">
        <is>
          <t>Art Direction: Outdoor</t>
        </is>
      </c>
      <c r="I4" s="33" t="inlineStr">
        <is>
          <t>https://ascentialcdn.filespin.io/api/v1/conversion/0d649f054bbc45eb8338454f58477357</t>
        </is>
      </c>
      <c r="J4" s="33" t="inlineStr">
        <is>
          <t>e1py_XZAMkk</t>
        </is>
      </c>
      <c r="K4" s="33" t="inlineStr">
        <is>
          <t>1001-optometry-art-direction-outdoor</t>
        </is>
      </c>
      <c r="L4" s="33" t="inlineStr">
        <is>
          <t>https://www.lovethework.com/work/entries/eye-scan-755297</t>
        </is>
      </c>
    </row>
    <row r="5">
      <c r="A5" s="33" t="n">
        <v>4</v>
      </c>
      <c r="B5" s="33" t="inlineStr">
        <is>
          <t>Gold</t>
        </is>
      </c>
      <c r="C5" s="33" t="inlineStr">
        <is>
          <t>EYE TEST</t>
        </is>
      </c>
      <c r="D5" s="33" t="inlineStr">
        <is>
          <t>1001 OPTOMETRY</t>
        </is>
      </c>
      <c r="E5" s="33" t="inlineStr">
        <is>
          <t>1001 OPTOMETRY</t>
        </is>
      </c>
      <c r="F5" s="33" t="inlineStr">
        <is>
          <t>VML</t>
        </is>
      </c>
      <c r="G5" s="33" t="inlineStr">
        <is>
          <t>Australia</t>
        </is>
      </c>
      <c r="H5" s="33" t="inlineStr">
        <is>
          <t>Art Direction: Outdoor</t>
        </is>
      </c>
      <c r="I5" s="33" t="inlineStr">
        <is>
          <t>digital-presentation-images/industry-craft-1001-optometry-eye-test.webp</t>
        </is>
      </c>
      <c r="J5" s="33" t="inlineStr">
        <is>
          <t>e1py_XZAMkk</t>
        </is>
      </c>
      <c r="K5" s="33" t="inlineStr">
        <is>
          <t>1001-optometry-art-direction-outdoor</t>
        </is>
      </c>
      <c r="L5" s="33" t="inlineStr">
        <is>
          <t>https://www.lovethework.com/work/entries/eye-test-755288</t>
        </is>
      </c>
    </row>
    <row r="6">
      <c r="A6" s="33" t="n">
        <v>5</v>
      </c>
      <c r="B6" s="33" t="inlineStr">
        <is>
          <t>Gold</t>
        </is>
      </c>
      <c r="C6" s="33" t="inlineStr">
        <is>
          <t>EYECARE</t>
        </is>
      </c>
      <c r="D6" s="33" t="inlineStr">
        <is>
          <t>1001 OPTOMETRY</t>
        </is>
      </c>
      <c r="E6" s="33" t="inlineStr">
        <is>
          <t>1001 OPTOMETRY</t>
        </is>
      </c>
      <c r="F6" s="33" t="inlineStr">
        <is>
          <t>VML</t>
        </is>
      </c>
      <c r="G6" s="33" t="inlineStr">
        <is>
          <t>Australia</t>
        </is>
      </c>
      <c r="H6" s="33" t="inlineStr">
        <is>
          <t>Art Direction: Outdoor</t>
        </is>
      </c>
      <c r="I6" s="33" t="inlineStr">
        <is>
          <t>https://ascentialcdn.filespin.io/api/v1/conversion/1414d4463a6843cf997e70a4225294ad</t>
        </is>
      </c>
      <c r="J6" s="33" t="inlineStr">
        <is>
          <t>e1py_XZAMkk</t>
        </is>
      </c>
      <c r="K6" s="33" t="inlineStr">
        <is>
          <t>1001-optometry-art-direction-outdoor</t>
        </is>
      </c>
      <c r="L6" s="33" t="inlineStr">
        <is>
          <t>https://www.lovethework.com/work/entries/eyecare-755309</t>
        </is>
      </c>
    </row>
    <row r="7">
      <c r="A7" s="33" t="n">
        <v>6</v>
      </c>
      <c r="B7" s="33" t="inlineStr">
        <is>
          <t>Gold</t>
        </is>
      </c>
      <c r="C7" s="33" t="inlineStr">
        <is>
          <t>WINNING ISN'T COMFORTABLE</t>
        </is>
      </c>
      <c r="D7" s="33" t="inlineStr">
        <is>
          <t>NIKE</t>
        </is>
      </c>
      <c r="E7" s="33" t="inlineStr">
        <is>
          <t>NIKE</t>
        </is>
      </c>
      <c r="F7" s="33" t="inlineStr">
        <is>
          <t>WIEDEN+KENNEDY</t>
        </is>
      </c>
      <c r="G7" s="33" t="inlineStr">
        <is>
          <t>United States</t>
        </is>
      </c>
      <c r="H7" s="33" t="inlineStr">
        <is>
          <t>Copywriting: Brand &amp; Communications Design</t>
        </is>
      </c>
      <c r="I7" s="33" t="inlineStr">
        <is>
          <t>https://ascentialcdn.filespin.io/api/v1/conversion/3550c1fc27e344ca95537ef31e739800</t>
        </is>
      </c>
      <c r="J7" s="33" t="inlineStr">
        <is>
          <t>FFFmnfdBrm8</t>
        </is>
      </c>
      <c r="L7" s="33" t="inlineStr">
        <is>
          <t>https://www.lovethework.com/work/entries/winning-isnt-comfortable-755643</t>
        </is>
      </c>
    </row>
    <row r="8">
      <c r="A8" s="33" t="n">
        <v>7</v>
      </c>
      <c r="B8" s="33" t="inlineStr">
        <is>
          <t>Gold</t>
        </is>
      </c>
      <c r="C8" s="33" t="inlineStr">
        <is>
          <t>NO LABELS</t>
        </is>
      </c>
      <c r="D8" s="33" t="inlineStr">
        <is>
          <t>NIKKA WHISKY</t>
        </is>
      </c>
      <c r="E8" s="33" t="inlineStr">
        <is>
          <t>NIKKA WHISKY</t>
        </is>
      </c>
      <c r="F8" s="33" t="inlineStr">
        <is>
          <t>DENTSU INC.</t>
        </is>
      </c>
      <c r="G8" s="33" t="inlineStr">
        <is>
          <t>Japan</t>
        </is>
      </c>
      <c r="H8" s="33" t="inlineStr">
        <is>
          <t>Photography: Brand &amp; Communications Design</t>
        </is>
      </c>
      <c r="I8" s="33" t="inlineStr">
        <is>
          <t>https://ascentialcdn.filespin.io/api/v1/conversion/298920c22d6d4405bd030b3c48358045</t>
        </is>
      </c>
      <c r="J8" s="33" t="inlineStr">
        <is>
          <t>vimeo:1094008740</t>
        </is>
      </c>
      <c r="L8" s="33" t="inlineStr">
        <is>
          <t>https://www.lovethework.com/work/entries/no-labels-755428</t>
        </is>
      </c>
    </row>
    <row r="9">
      <c r="A9" s="33" t="n">
        <v>8</v>
      </c>
      <c r="B9" s="33" t="inlineStr">
        <is>
          <t>Silver</t>
        </is>
      </c>
      <c r="C9" s="33" t="inlineStr">
        <is>
          <t>THE PHILHARMONIC PRINTS – FOYER WINDOWS, 1ST FLOOR</t>
        </is>
      </c>
      <c r="D9" s="33" t="inlineStr">
        <is>
          <t>BERLINER PHILHARMONIKER</t>
        </is>
      </c>
      <c r="E9" s="33" t="inlineStr">
        <is>
          <t>BERLINER PHILHARMONIKER</t>
        </is>
      </c>
      <c r="F9" s="33" t="inlineStr">
        <is>
          <t>SCHOLZ &amp; FRIENDS</t>
        </is>
      </c>
      <c r="G9" s="33" t="inlineStr">
        <is>
          <t>Germany</t>
        </is>
      </c>
      <c r="H9" s="33" t="inlineStr">
        <is>
          <t>Art Direction: Outdoor</t>
        </is>
      </c>
      <c r="I9" s="33" t="inlineStr">
        <is>
          <t>https://ascentialcdn.filespin.io/api/v1/conversion/45b82704ea3c485b85b739da362c39ed</t>
        </is>
      </c>
      <c r="J9" s="33" t="inlineStr">
        <is>
          <t>vimeo:1093696994</t>
        </is>
      </c>
      <c r="K9" s="33" t="inlineStr">
        <is>
          <t>berliner-philharmoniker-art-direction-outdoor</t>
        </is>
      </c>
      <c r="L9" s="33" t="inlineStr">
        <is>
          <t>https://www.lovethework.com/work/entries/the-philharmonic-prints-foyer-windows-1st-floor-762038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MOCTEZUMA — CEMENT REIMAGINED IN MEXICO</t>
        </is>
      </c>
      <c r="D10" s="33" t="inlineStr">
        <is>
          <t>MOCTEZUMA</t>
        </is>
      </c>
      <c r="E10" s="33" t="inlineStr">
        <is>
          <t>MOCTEZUMA CEMENT</t>
        </is>
      </c>
      <c r="F10" s="33" t="inlineStr">
        <is>
          <t>BRANDS&amp;PEOPLE</t>
        </is>
      </c>
      <c r="G10" s="33" t="inlineStr">
        <is>
          <t>Mexico</t>
        </is>
      </c>
      <c r="H10" s="33" t="inlineStr">
        <is>
          <t>Art Direction: Packaging Design</t>
        </is>
      </c>
      <c r="I10" s="33" t="inlineStr">
        <is>
          <t>https://ascentialcdn.filespin.io/api/v1/conversion/45acab20ec964b83b71a1ef010683ff4</t>
        </is>
      </c>
      <c r="J10" s="33" t="inlineStr">
        <is>
          <t>DTHrH8UT9Ow</t>
        </is>
      </c>
      <c r="L10" s="33" t="inlineStr">
        <is>
          <t>https://www.lovethework.com/work/entries/moctezuma-cement-reimagined-in-mexico-762817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DESIGNING PARIS 2024</t>
        </is>
      </c>
      <c r="D11" s="33" t="inlineStr">
        <is>
          <t>COJOP 2024</t>
        </is>
      </c>
      <c r="E11" s="33" t="inlineStr">
        <is>
          <t>PARIS 2024 OLYMPIC GAMES</t>
        </is>
      </c>
      <c r="F11" s="33" t="inlineStr">
        <is>
          <t>W CONRAN DESIGN</t>
        </is>
      </c>
      <c r="G11" s="33" t="inlineStr">
        <is>
          <t>France</t>
        </is>
      </c>
      <c r="H11" s="33" t="inlineStr">
        <is>
          <t>Art Direction: Brand &amp; Communications Design</t>
        </is>
      </c>
      <c r="I11" s="33" t="inlineStr">
        <is>
          <t>https://ascentialcdn.filespin.io/api/v1/conversion/d08dfedd3b1440c495f9825ba37be9ee</t>
        </is>
      </c>
      <c r="J11" s="33" t="inlineStr">
        <is>
          <t>b-00yk-YunY</t>
        </is>
      </c>
      <c r="L11" s="33" t="inlineStr">
        <is>
          <t>https://www.lovethework.com/work/entries/designing-paris-2024-755182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MADE TO SHARE</t>
        </is>
      </c>
      <c r="D12" s="33" t="inlineStr">
        <is>
          <t>CADBURY</t>
        </is>
      </c>
      <c r="E12" s="33" t="inlineStr">
        <is>
          <t>CADBURY DAIRY MILK</t>
        </is>
      </c>
      <c r="F12" s="33" t="inlineStr">
        <is>
          <t>VCCP</t>
        </is>
      </c>
      <c r="G12" s="33" t="inlineStr">
        <is>
          <t>United Kingdom</t>
        </is>
      </c>
      <c r="H12" s="33" t="inlineStr">
        <is>
          <t>Copywriting: Packaging Design</t>
        </is>
      </c>
      <c r="I12" s="33" t="inlineStr">
        <is>
          <t>https://ascentialcdn.filespin.io/api/v1/conversion/e8adc13b9108423d81f397fa0733aba6</t>
        </is>
      </c>
      <c r="J12" s="33" t="inlineStr">
        <is>
          <t>4GIFbq2eeFg</t>
        </is>
      </c>
      <c r="L12" s="33" t="inlineStr">
        <is>
          <t>https://www.lovethework.com/work/entries/made-to-share-764634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YOU MUST BE HUMAN</t>
        </is>
      </c>
      <c r="D13" s="33" t="inlineStr">
        <is>
          <t>WORLDCOIN</t>
        </is>
      </c>
      <c r="E13" s="33" t="inlineStr">
        <is>
          <t>WORLD ID</t>
        </is>
      </c>
      <c r="F13" s="33" t="inlineStr">
        <is>
          <t>adam&amp;eveBerlin</t>
        </is>
      </c>
      <c r="G13" s="33" t="inlineStr">
        <is>
          <t>Germany</t>
        </is>
      </c>
      <c r="H13" s="33" t="inlineStr">
        <is>
          <t>Copywriting: Outdoor</t>
        </is>
      </c>
      <c r="I13" s="33" t="inlineStr">
        <is>
          <t>https://ascentialcdn.filespin.io/api/v1/conversion/afbd21854dee4741933864bfb260b620</t>
        </is>
      </c>
      <c r="J13" s="33" t="inlineStr">
        <is>
          <t>Gw_U4uH5-9g</t>
        </is>
      </c>
      <c r="L13" s="33" t="inlineStr">
        <is>
          <t>https://www.lovethework.com/work/entries/you-must-be-human-764585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60 YEARS OF FILM</t>
        </is>
      </c>
      <c r="D14" s="33" t="inlineStr">
        <is>
          <t>CHICAGO INTERNATIONAL FILM FESTIVAL</t>
        </is>
      </c>
      <c r="E14" s="33" t="inlineStr">
        <is>
          <t>CHICAGO INTERNATIONAL FILM FESTIVAL</t>
        </is>
      </c>
      <c r="F14" s="33" t="inlineStr">
        <is>
          <t>OGILVY</t>
        </is>
      </c>
      <c r="G14" s="33" t="inlineStr">
        <is>
          <t>United States</t>
        </is>
      </c>
      <c r="H14" s="33" t="inlineStr">
        <is>
          <t>Art Direction: Brand &amp; Communications Design</t>
        </is>
      </c>
      <c r="I14" s="33" t="inlineStr">
        <is>
          <t>https://ascentialcdn.filespin.io/api/v1/conversion/9ae725d9e1774872a4971b3b6e62fbbb</t>
        </is>
      </c>
      <c r="L14" s="33" t="inlineStr">
        <is>
          <t>https://www.lovethework.com/work/entries/60-years-of-film-761969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THE PHILHARMONIC PRINTS – STAGE FLOOR, GREAT HALL</t>
        </is>
      </c>
      <c r="D15" s="33" t="inlineStr">
        <is>
          <t>BERLINER PHILHARMONIKER</t>
        </is>
      </c>
      <c r="E15" s="33" t="inlineStr">
        <is>
          <t>BERLINER PHILHARMONIKER</t>
        </is>
      </c>
      <c r="F15" s="33" t="inlineStr">
        <is>
          <t>SCHOLZ &amp; FRIENDS</t>
        </is>
      </c>
      <c r="G15" s="33" t="inlineStr">
        <is>
          <t>Germany</t>
        </is>
      </c>
      <c r="H15" s="33" t="inlineStr">
        <is>
          <t>Art Direction: Outdoor</t>
        </is>
      </c>
      <c r="I15" s="33" t="inlineStr">
        <is>
          <t>https://ascentialcdn.filespin.io/api/v1/conversion/f59ad983232a4d4185656043a643b86d</t>
        </is>
      </c>
      <c r="J15" s="33" t="inlineStr">
        <is>
          <t>vimeo:1093696994</t>
        </is>
      </c>
      <c r="K15" s="33" t="inlineStr">
        <is>
          <t>berliner-philharmoniker-art-direction-outdoor</t>
        </is>
      </c>
      <c r="L15" s="33" t="inlineStr">
        <is>
          <t>https://www.lovethework.com/work/entries/the-philharmonic-prints-stage-floor-great-hall-762059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BOAT</t>
        </is>
      </c>
      <c r="D16" s="33" t="inlineStr">
        <is>
          <t>CORNETTO</t>
        </is>
      </c>
      <c r="E16" s="33" t="inlineStr">
        <is>
          <t>CORNETTO ICE CREAM</t>
        </is>
      </c>
      <c r="F16" s="33" t="inlineStr">
        <is>
          <t>LOLA MULLENLOWE</t>
        </is>
      </c>
      <c r="G16" s="33" t="inlineStr">
        <is>
          <t>Spain</t>
        </is>
      </c>
      <c r="H16" s="33" t="inlineStr">
        <is>
          <t>Art Direction: Outdoor</t>
        </is>
      </c>
      <c r="I16" s="33" t="inlineStr">
        <is>
          <t>https://ascentialcdn.filespin.io/api/v1/conversion/3a177c8b37754037a19ddf0d99c858db</t>
        </is>
      </c>
      <c r="J16" s="33" t="inlineStr">
        <is>
          <t>hWhvFLwHOlE</t>
        </is>
      </c>
      <c r="K16" s="33" t="inlineStr">
        <is>
          <t>cornetto-art-direction-outdoor</t>
        </is>
      </c>
      <c r="L16" s="33" t="inlineStr">
        <is>
          <t>https://www.lovethework.com/work/entries/boat-764631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PROTECTOR OF THE CHALICE</t>
        </is>
      </c>
      <c r="D17" s="33" t="inlineStr">
        <is>
          <t>STELLA ARTOIS</t>
        </is>
      </c>
      <c r="E17" s="33" t="inlineStr">
        <is>
          <t>STELLA ARTOIS</t>
        </is>
      </c>
      <c r="F17" s="33" t="inlineStr">
        <is>
          <t>GREY</t>
        </is>
      </c>
      <c r="G17" s="33" t="inlineStr">
        <is>
          <t>United Kingdom</t>
        </is>
      </c>
      <c r="H17" s="33" t="inlineStr">
        <is>
          <t>Art Direction: Print &amp; Publishing</t>
        </is>
      </c>
      <c r="I17" s="33" t="inlineStr">
        <is>
          <t>https://ascentialcdn.filespin.io/api/v1/conversion/a33c9462c05d4330895b056745b6a602</t>
        </is>
      </c>
      <c r="K17" s="33" t="inlineStr">
        <is>
          <t>stella-artois-art-direction-print-publishing</t>
        </is>
      </c>
      <c r="L17" s="33" t="inlineStr">
        <is>
          <t>https://www.lovethework.com/work/entries/protector-of-the-chalice-755403</t>
        </is>
      </c>
    </row>
    <row r="18">
      <c r="A18" s="33" t="n">
        <v>17</v>
      </c>
      <c r="B18" s="33" t="inlineStr">
        <is>
          <t>Bronze</t>
        </is>
      </c>
      <c r="C18" s="33" t="inlineStr">
        <is>
          <t>WINIS FONT</t>
        </is>
      </c>
      <c r="D18" s="33" t="inlineStr">
        <is>
          <t>WINIS</t>
        </is>
      </c>
      <c r="E18" s="33" t="inlineStr">
        <is>
          <t>WINIS CANDY</t>
        </is>
      </c>
      <c r="F18" s="33" t="inlineStr">
        <is>
          <t>D14S</t>
        </is>
      </c>
      <c r="G18" s="33" t="inlineStr">
        <is>
          <t>Mexico</t>
        </is>
      </c>
      <c r="H18" s="33" t="inlineStr">
        <is>
          <t>Art Direction: Brand &amp; Communications Design</t>
        </is>
      </c>
      <c r="I18" s="33" t="inlineStr">
        <is>
          <t>https://ascentialcdn.filespin.io/api/v1/conversion/bddc09c58f164186b2e60a6ff81be5d1</t>
        </is>
      </c>
      <c r="J18" s="33" t="inlineStr">
        <is>
          <t>nSdGQxDXGSs</t>
        </is>
      </c>
      <c r="L18" s="33" t="inlineStr">
        <is>
          <t>https://www.lovethework.com/work/entries/winis-font-763701</t>
        </is>
      </c>
    </row>
    <row r="19">
      <c r="A19" s="33" t="n">
        <v>18</v>
      </c>
      <c r="B19" s="33" t="inlineStr">
        <is>
          <t>Bronze</t>
        </is>
      </c>
      <c r="C19" s="33" t="inlineStr">
        <is>
          <t>855-HOW-TO-QUIT-(OPIOIDS)</t>
        </is>
      </c>
      <c r="D19" s="33" t="inlineStr">
        <is>
          <t>ANZEN HEALTH</t>
        </is>
      </c>
      <c r="E19" s="33" t="inlineStr">
        <is>
          <t>855-HOW-TO-QUIT-HELPLINE</t>
        </is>
      </c>
      <c r="F19" s="33" t="inlineStr">
        <is>
          <t>SERVICEPLAN GERMANY</t>
        </is>
      </c>
      <c r="G19" s="33" t="inlineStr">
        <is>
          <t>Germany</t>
        </is>
      </c>
      <c r="H19" s="33" t="inlineStr">
        <is>
          <t>Art Direction: Brand &amp; Communications Design</t>
        </is>
      </c>
      <c r="I19" s="33" t="inlineStr">
        <is>
          <t>https://ascentialcdn.filespin.io/api/v1/conversion/8f5ea045b19848018f457f855087bd79</t>
        </is>
      </c>
      <c r="J19" s="33" t="inlineStr">
        <is>
          <t>I_xvPLZ9DDk</t>
        </is>
      </c>
      <c r="L19" s="33" t="inlineStr">
        <is>
          <t>https://www.lovethework.com/work/entries/855-how-to-quit-opioids-755234</t>
        </is>
      </c>
    </row>
    <row r="20">
      <c r="A20" s="33" t="n">
        <v>19</v>
      </c>
      <c r="B20" s="33" t="inlineStr">
        <is>
          <t>Bronze</t>
        </is>
      </c>
      <c r="C20" s="33" t="inlineStr">
        <is>
          <t>MAKE LOVE LAST - LIVING ROOM</t>
        </is>
      </c>
      <c r="D20" s="33" t="inlineStr">
        <is>
          <t>VIATRIS</t>
        </is>
      </c>
      <c r="E20" s="33" t="inlineStr">
        <is>
          <t>VIAGRA</t>
        </is>
      </c>
      <c r="F20" s="33" t="inlineStr">
        <is>
          <t>OGILVY</t>
        </is>
      </c>
      <c r="G20" s="33" t="inlineStr">
        <is>
          <t>China</t>
        </is>
      </c>
      <c r="H20" s="33" t="inlineStr">
        <is>
          <t>Photography: Outdoor</t>
        </is>
      </c>
      <c r="I20" s="33" t="inlineStr">
        <is>
          <t>digital-presentation-images/industry-craft-viatris-make-love-last-living-room.webp</t>
        </is>
      </c>
      <c r="J20" s="33" t="inlineStr">
        <is>
          <t>vimeo:1086963204</t>
        </is>
      </c>
      <c r="K20" s="33" t="inlineStr">
        <is>
          <t>viatris-photography-outdoor</t>
        </is>
      </c>
      <c r="L20" s="33" t="inlineStr">
        <is>
          <t>https://www.lovethework.com/work/entries/make-love-last-living-room-755540</t>
        </is>
      </c>
    </row>
    <row r="21">
      <c r="A21" s="33" t="n">
        <v>20</v>
      </c>
      <c r="B21" s="33" t="inlineStr">
        <is>
          <t>Bronze</t>
        </is>
      </c>
      <c r="C21" s="33" t="inlineStr">
        <is>
          <t>'THE SHINING'</t>
        </is>
      </c>
      <c r="D21" s="33" t="inlineStr">
        <is>
          <t>COCA-COLA</t>
        </is>
      </c>
      <c r="E21" s="33" t="inlineStr">
        <is>
          <t>COCA-COLA</t>
        </is>
      </c>
      <c r="F21" s="33" t="inlineStr">
        <is>
          <t>VML</t>
        </is>
      </c>
      <c r="G21" s="33" t="inlineStr">
        <is>
          <t>United States</t>
        </is>
      </c>
      <c r="H21" s="33" t="inlineStr">
        <is>
          <t>Art Direction: Print &amp; Publishing</t>
        </is>
      </c>
      <c r="I21" s="33" t="inlineStr">
        <is>
          <t>https://ascentialcdn.filespin.io/api/v1/conversion/5e0c4fda3f3d4bc2ad2e0d8b2247d936</t>
        </is>
      </c>
      <c r="J21" s="33" t="inlineStr">
        <is>
          <t>vimeo:1124237531</t>
        </is>
      </c>
      <c r="K21" s="33" t="inlineStr">
        <is>
          <t>coca-cola-art-direction-print-publishing</t>
        </is>
      </c>
      <c r="L21" s="33" t="inlineStr">
        <is>
          <t>https://www.lovethework.com/work/entries/the-shining-755543</t>
        </is>
      </c>
    </row>
    <row r="22">
      <c r="A22" s="33" t="n">
        <v>21</v>
      </c>
      <c r="B22" s="33" t="inlineStr">
        <is>
          <t>Bronze</t>
        </is>
      </c>
      <c r="C22" s="33" t="inlineStr">
        <is>
          <t>MAKE LOVE LAST - BEDROOM</t>
        </is>
      </c>
      <c r="D22" s="33" t="inlineStr">
        <is>
          <t>VIATRIS</t>
        </is>
      </c>
      <c r="E22" s="33" t="inlineStr">
        <is>
          <t>VIAGRA</t>
        </is>
      </c>
      <c r="F22" s="33" t="inlineStr">
        <is>
          <t>OGILVY</t>
        </is>
      </c>
      <c r="G22" s="33" t="inlineStr">
        <is>
          <t>China</t>
        </is>
      </c>
      <c r="H22" s="33" t="inlineStr">
        <is>
          <t>Photography: Outdoor</t>
        </is>
      </c>
      <c r="I22" s="33" t="inlineStr">
        <is>
          <t>https://ascentialcdn.filespin.io/api/v1/conversion/c1c1d7e736414c30b0c7dd8125ee00de</t>
        </is>
      </c>
      <c r="J22" s="33" t="inlineStr">
        <is>
          <t>vimeo:1086963204</t>
        </is>
      </c>
      <c r="K22" s="33" t="inlineStr">
        <is>
          <t>viatris-photography-outdoor</t>
        </is>
      </c>
      <c r="L22" s="33" t="inlineStr">
        <is>
          <t>https://www.lovethework.com/work/entries/make-love-last-bedroom-755520</t>
        </is>
      </c>
    </row>
    <row r="23">
      <c r="A23" s="33" t="n">
        <v>22</v>
      </c>
      <c r="B23" s="33" t="inlineStr">
        <is>
          <t>Bronze</t>
        </is>
      </c>
      <c r="C23" s="33" t="inlineStr">
        <is>
          <t>TENNESSEE SOUND SITES</t>
        </is>
      </c>
      <c r="D23" s="33" t="inlineStr">
        <is>
          <t>TENNESSEE DEPARTMENT OF TOURIST DEVELOPMENT</t>
        </is>
      </c>
      <c r="E23" s="33" t="inlineStr">
        <is>
          <t>TENNESSEE DEPARTMENT OF TOURIST DEVELOPMENT</t>
        </is>
      </c>
      <c r="F23" s="33" t="inlineStr">
        <is>
          <t>VML</t>
        </is>
      </c>
      <c r="G23" s="33" t="inlineStr">
        <is>
          <t>United States</t>
        </is>
      </c>
      <c r="H23" s="33" t="inlineStr">
        <is>
          <t>Copywriting: Excellence in Image Description</t>
        </is>
      </c>
      <c r="I23" s="33" t="inlineStr">
        <is>
          <t>https://ascentialcdn.filespin.io/api/v1/conversion/eb513fac29984db2811524e932026062</t>
        </is>
      </c>
      <c r="J23" s="33" t="inlineStr">
        <is>
          <t>cE9pTxrtkjk</t>
        </is>
      </c>
      <c r="L23" s="33" t="inlineStr">
        <is>
          <t>https://www.lovethework.com/work/entries/tennessee-sound-sites-755571</t>
        </is>
      </c>
    </row>
    <row r="24">
      <c r="A24" s="33" t="n">
        <v>23</v>
      </c>
      <c r="B24" s="33" t="inlineStr">
        <is>
          <t>Bronze</t>
        </is>
      </c>
      <c r="C24" s="33" t="inlineStr">
        <is>
          <t>SURFER</t>
        </is>
      </c>
      <c r="D24" s="33" t="inlineStr">
        <is>
          <t>CORNETTO</t>
        </is>
      </c>
      <c r="E24" s="33" t="inlineStr">
        <is>
          <t>CORNETTO ICE CREAM</t>
        </is>
      </c>
      <c r="F24" s="33" t="inlineStr">
        <is>
          <t>LOLA MULLENLOWE</t>
        </is>
      </c>
      <c r="G24" s="33" t="inlineStr">
        <is>
          <t>Spain</t>
        </is>
      </c>
      <c r="H24" s="33" t="inlineStr">
        <is>
          <t>Art Direction: Outdoor</t>
        </is>
      </c>
      <c r="I24" s="33" t="inlineStr">
        <is>
          <t>https://ascentialcdn.filespin.io/api/v1/conversion/9ceaf650a007496f90b6d5670786b4df</t>
        </is>
      </c>
      <c r="J24" s="33" t="inlineStr">
        <is>
          <t>hWhvFLwHOlE</t>
        </is>
      </c>
      <c r="K24" s="33" t="inlineStr">
        <is>
          <t>cornetto-art-direction-outdoor</t>
        </is>
      </c>
      <c r="L24" s="33" t="inlineStr">
        <is>
          <t>https://www.lovethework.com/work/entries/surfer-764652</t>
        </is>
      </c>
    </row>
    <row r="25">
      <c r="A25" s="33" t="n">
        <v>24</v>
      </c>
      <c r="B25" s="33" t="inlineStr">
        <is>
          <t>Bronze</t>
        </is>
      </c>
      <c r="C25" s="33" t="inlineStr">
        <is>
          <t>'EXTREME METAPHORS'</t>
        </is>
      </c>
      <c r="D25" s="33" t="inlineStr">
        <is>
          <t>COCA-COLA</t>
        </is>
      </c>
      <c r="E25" s="33" t="inlineStr">
        <is>
          <t>COCA-COLA</t>
        </is>
      </c>
      <c r="F25" s="33" t="inlineStr">
        <is>
          <t>VML</t>
        </is>
      </c>
      <c r="G25" s="33" t="inlineStr">
        <is>
          <t>United States</t>
        </is>
      </c>
      <c r="H25" s="33" t="inlineStr">
        <is>
          <t>Art Direction: Print &amp; Publishing</t>
        </is>
      </c>
      <c r="I25" s="33" t="inlineStr">
        <is>
          <t>https://ascentialcdn.filespin.io/api/v1/conversion/e7e539cb5808438292eda4ab47fb950f</t>
        </is>
      </c>
      <c r="J25" s="33" t="inlineStr">
        <is>
          <t>vimeo:1124237531</t>
        </is>
      </c>
      <c r="K25" s="33" t="inlineStr">
        <is>
          <t>coca-cola-art-direction-print-publishing</t>
        </is>
      </c>
      <c r="L25" s="33" t="inlineStr">
        <is>
          <t>https://www.lovethework.com/work/entries/extreme-metaphors-755369</t>
        </is>
      </c>
    </row>
    <row r="26">
      <c r="A26" s="33" t="n">
        <v>25</v>
      </c>
      <c r="B26" s="33" t="inlineStr">
        <is>
          <t>Bronze</t>
        </is>
      </c>
      <c r="C26" s="33" t="inlineStr">
        <is>
          <t>'A HOUSE FOR MR. BISWAS'</t>
        </is>
      </c>
      <c r="D26" s="33" t="inlineStr">
        <is>
          <t>COCA-COLA</t>
        </is>
      </c>
      <c r="E26" s="33" t="inlineStr">
        <is>
          <t>COCA-COLA</t>
        </is>
      </c>
      <c r="F26" s="33" t="inlineStr">
        <is>
          <t>VML</t>
        </is>
      </c>
      <c r="G26" s="33" t="inlineStr">
        <is>
          <t>United States</t>
        </is>
      </c>
      <c r="H26" s="33" t="inlineStr">
        <is>
          <t>Art Direction: Print &amp; Publishing</t>
        </is>
      </c>
      <c r="I26" s="33" t="inlineStr">
        <is>
          <t>https://ascentialcdn.filespin.io/api/v1/conversion/9c2384ef085943848ac188cd6d5d9a43</t>
        </is>
      </c>
      <c r="J26" s="33" t="inlineStr">
        <is>
          <t>vimeo:1124237531</t>
        </is>
      </c>
      <c r="K26" s="33" t="inlineStr">
        <is>
          <t>coca-cola-art-direction-print-publishing</t>
        </is>
      </c>
      <c r="L26" s="33" t="inlineStr">
        <is>
          <t>https://www.lovethework.com/work/entries/a-house-for-mr-biswas-755553</t>
        </is>
      </c>
    </row>
    <row r="27">
      <c r="A27" s="33" t="n">
        <v>26</v>
      </c>
      <c r="B27" s="33" t="inlineStr">
        <is>
          <t>Bronze</t>
        </is>
      </c>
      <c r="C27" s="33" t="inlineStr">
        <is>
          <t>WAVES</t>
        </is>
      </c>
      <c r="D27" s="33" t="inlineStr">
        <is>
          <t>CORNETTO</t>
        </is>
      </c>
      <c r="E27" s="33" t="inlineStr">
        <is>
          <t>CORNETTO ICE CREAM</t>
        </is>
      </c>
      <c r="F27" s="33" t="inlineStr">
        <is>
          <t>LOLA MULLENLOWE</t>
        </is>
      </c>
      <c r="G27" s="33" t="inlineStr">
        <is>
          <t>Spain</t>
        </is>
      </c>
      <c r="H27" s="33" t="inlineStr">
        <is>
          <t>Art Direction: Outdoor</t>
        </is>
      </c>
      <c r="I27" s="33" t="inlineStr">
        <is>
          <t>https://ascentialcdn.filespin.io/api/v1/conversion/35c567148f6e40e1a267849bde62ba92</t>
        </is>
      </c>
      <c r="J27" s="33" t="inlineStr">
        <is>
          <t>hWhvFLwHOlE</t>
        </is>
      </c>
      <c r="K27" s="33" t="inlineStr">
        <is>
          <t>cornetto-art-direction-outdoor</t>
        </is>
      </c>
      <c r="L27" s="33" t="inlineStr">
        <is>
          <t>https://www.lovethework.com/work/entries/waves-764642</t>
        </is>
      </c>
    </row>
    <row r="28">
      <c r="A28" s="33" t="n">
        <v>27</v>
      </c>
      <c r="B28" s="33" t="inlineStr">
        <is>
          <t>Bronze</t>
        </is>
      </c>
      <c r="C28" s="33" t="inlineStr">
        <is>
          <t>FLAGS OF UNITY</t>
        </is>
      </c>
      <c r="D28" s="33" t="inlineStr">
        <is>
          <t>AMREF</t>
        </is>
      </c>
      <c r="E28" s="33" t="inlineStr">
        <is>
          <t>AMREF</t>
        </is>
      </c>
      <c r="F28" s="33" t="inlineStr">
        <is>
          <t>EDELMAN</t>
        </is>
      </c>
      <c r="G28" s="33" t="inlineStr">
        <is>
          <t>United Kingdom</t>
        </is>
      </c>
      <c r="H28" s="33" t="inlineStr">
        <is>
          <t>Art Direction: Brand &amp; Communications Design</t>
        </is>
      </c>
      <c r="I28" s="33" t="inlineStr">
        <is>
          <t>https://ascentialcdn.filespin.io/api/v1/conversion/9614d02c7bc4416ba1536c73770f5d8e</t>
        </is>
      </c>
      <c r="J28" s="33" t="inlineStr">
        <is>
          <t>Vddqdo02OOQ</t>
        </is>
      </c>
      <c r="L28" s="33" t="inlineStr">
        <is>
          <t>https://www.lovethework.com/work/entries/flags-of-unity-755285</t>
        </is>
      </c>
    </row>
    <row r="29">
      <c r="A29" s="33" t="n">
        <v>28</v>
      </c>
      <c r="B29" s="33" t="inlineStr">
        <is>
          <t>Bronze</t>
        </is>
      </c>
      <c r="C29" s="33" t="inlineStr">
        <is>
          <t>THE SHAKESPEARE BIC</t>
        </is>
      </c>
      <c r="D29" s="33" t="inlineStr">
        <is>
          <t>BIC</t>
        </is>
      </c>
      <c r="E29" s="33" t="inlineStr">
        <is>
          <t>BIC CRYSTAL PEN</t>
        </is>
      </c>
      <c r="F29" s="33" t="inlineStr">
        <is>
          <t>VML</t>
        </is>
      </c>
      <c r="G29" s="33" t="inlineStr">
        <is>
          <t>Brazil</t>
        </is>
      </c>
      <c r="H29" s="33" t="inlineStr">
        <is>
          <t>Art Direction: Print &amp; Publishing</t>
        </is>
      </c>
      <c r="I29" s="33" t="inlineStr">
        <is>
          <t>digital-presentation-images/industry-craft-bic-the-shakespeare-bic.webp</t>
        </is>
      </c>
      <c r="J29" s="33" t="inlineStr">
        <is>
          <t>5ngNVTeyi4g</t>
        </is>
      </c>
      <c r="L29" s="33" t="inlineStr">
        <is>
          <t>https://www.lovethework.com/work/entries/the-shakespeare-bic-755424</t>
        </is>
      </c>
    </row>
    <row r="30">
      <c r="A30" s="33" t="n">
        <v>29</v>
      </c>
      <c r="B30" s="33" t="inlineStr">
        <is>
          <t>Bronze</t>
        </is>
      </c>
      <c r="C30" s="33" t="inlineStr">
        <is>
          <t>WINTER TAKES ON COLORS</t>
        </is>
      </c>
      <c r="D30" s="33" t="inlineStr">
        <is>
          <t>MCDONALD'S POLSKA</t>
        </is>
      </c>
      <c r="E30" s="33" t="inlineStr">
        <is>
          <t>DRWALA BURGER (LIMITED TIMED OFFER)</t>
        </is>
      </c>
      <c r="F30" s="33" t="inlineStr">
        <is>
          <t>DDB WARSAW</t>
        </is>
      </c>
      <c r="G30" s="33" t="inlineStr">
        <is>
          <t>Poland</t>
        </is>
      </c>
      <c r="H30" s="33" t="inlineStr">
        <is>
          <t>Art Direction: Outdoor</t>
        </is>
      </c>
      <c r="I30" s="33" t="inlineStr">
        <is>
          <t>digital-presentation-images/industry-craft-mcdonalds-polska-winter-takes-on-colors.webp</t>
        </is>
      </c>
      <c r="J30" s="33" t="inlineStr">
        <is>
          <t>qcSHtBgAB6o</t>
        </is>
      </c>
      <c r="L30" s="33" t="inlineStr">
        <is>
          <t>https://www.lovethework.com/work/entries/winter-takes-on-colors-755528</t>
        </is>
      </c>
    </row>
    <row r="31">
      <c r="A31" s="33" t="n">
        <v>30</v>
      </c>
      <c r="B31" s="33" t="inlineStr">
        <is>
          <t>Bronze</t>
        </is>
      </c>
      <c r="C31" s="33" t="inlineStr">
        <is>
          <t>HAPPINESS WITHIN CHAOS</t>
        </is>
      </c>
      <c r="D31" s="33" t="inlineStr">
        <is>
          <t>STELLA ARTOIS</t>
        </is>
      </c>
      <c r="E31" s="33" t="inlineStr">
        <is>
          <t>STELLA ARTOIS</t>
        </is>
      </c>
      <c r="F31" s="33" t="inlineStr">
        <is>
          <t>GREY</t>
        </is>
      </c>
      <c r="G31" s="33" t="inlineStr">
        <is>
          <t>United Kingdom</t>
        </is>
      </c>
      <c r="H31" s="33" t="inlineStr">
        <is>
          <t>Art Direction: Print &amp; Publishing</t>
        </is>
      </c>
      <c r="I31" s="33" t="inlineStr">
        <is>
          <t>https://ascentialcdn.filespin.io/api/v1/conversion/882ea591b6fa40b29a529180b71afa65</t>
        </is>
      </c>
      <c r="J31" s="33" t="n"/>
      <c r="K31" s="33" t="inlineStr">
        <is>
          <t>stella-artois-art-direction-print-publishing</t>
        </is>
      </c>
      <c r="L31" s="33" t="inlineStr">
        <is>
          <t>https://www.lovethework.com/work/entries/happiness-within-chaos-755413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VASELINE VERIFIED</t>
        </is>
      </c>
      <c r="D2" s="33" t="inlineStr">
        <is>
          <t>UNILEVER</t>
        </is>
      </c>
      <c r="E2" s="33" t="inlineStr">
        <is>
          <t>VASELINE</t>
        </is>
      </c>
      <c r="F2" s="33" t="inlineStr">
        <is>
          <t>OGILVY</t>
        </is>
      </c>
      <c r="G2" s="33" t="inlineStr">
        <is>
          <t>Singapore</t>
        </is>
      </c>
      <c r="H2" s="33" t="inlineStr">
        <is>
          <t>Social &amp; Creator - OTC Applications</t>
        </is>
      </c>
      <c r="I2" s="33" t="inlineStr">
        <is>
          <t>https://ascentialcdn.filespin.io/api/v1/conversion/faf0755b0d4e4594ad93cb75d6288e3d</t>
        </is>
      </c>
      <c r="J2" s="33" t="inlineStr">
        <is>
          <t>vimeo:1082798104</t>
        </is>
      </c>
      <c r="L2" s="33" t="inlineStr">
        <is>
          <t>https://www.lovethework.com/work/entries/vaseline-verified-753151</t>
        </is>
      </c>
    </row>
    <row r="3">
      <c r="A3" s="33" t="n">
        <v>2</v>
      </c>
      <c r="B3" s="33" t="inlineStr">
        <is>
          <t>Gold</t>
        </is>
      </c>
      <c r="C3" s="33" t="inlineStr">
        <is>
          <t>THE COUNT</t>
        </is>
      </c>
      <c r="D3" s="33" t="inlineStr">
        <is>
          <t>SICKKIDS FOUNDATION</t>
        </is>
      </c>
      <c r="E3" s="33" t="inlineStr">
        <is>
          <t>SICKKIDS FOUNDATION</t>
        </is>
      </c>
      <c r="F3" s="33" t="inlineStr">
        <is>
          <t>FCB TORONTO</t>
        </is>
      </c>
      <c r="G3" s="33" t="inlineStr">
        <is>
          <t>Canada</t>
        </is>
      </c>
      <c r="H3" s="33" t="inlineStr">
        <is>
          <t>Film Craft: Use of Music/Sound Design - Fundraising &amp; Advocacy</t>
        </is>
      </c>
      <c r="I3" s="33" t="inlineStr">
        <is>
          <t>digital-presentation-images/health-and-wellness-sickkids-foundation-the-count.webp</t>
        </is>
      </c>
      <c r="J3" s="33" t="inlineStr">
        <is>
          <t>qNF34ZROR8s</t>
        </is>
      </c>
      <c r="L3" s="33" t="inlineStr">
        <is>
          <t>https://www.lovethework.com/work/entries/the-count-759678</t>
        </is>
      </c>
    </row>
    <row r="4">
      <c r="A4" s="33" t="n">
        <v>3</v>
      </c>
      <c r="B4" s="33" t="inlineStr">
        <is>
          <t>Gold</t>
        </is>
      </c>
      <c r="C4" s="33" t="inlineStr">
        <is>
          <t>GROUP THERAPY</t>
        </is>
      </c>
      <c r="D4" s="33" t="inlineStr">
        <is>
          <t>AXA</t>
        </is>
      </c>
      <c r="E4" s="33" t="inlineStr">
        <is>
          <t>AXA</t>
        </is>
      </c>
      <c r="F4" s="33" t="inlineStr">
        <is>
          <t>VML</t>
        </is>
      </c>
      <c r="G4" s="33" t="inlineStr">
        <is>
          <t>France</t>
        </is>
      </c>
      <c r="H4" s="33" t="inlineStr">
        <is>
          <t>Entertainment - Brand-Led Education &amp; Awareness</t>
        </is>
      </c>
      <c r="I4" s="33" t="inlineStr">
        <is>
          <t>digital-presentation-images/health-and-wellness-axa-group-therapy.webp</t>
        </is>
      </c>
      <c r="J4" s="33" t="inlineStr">
        <is>
          <t>cH8-sNMfrOM</t>
        </is>
      </c>
      <c r="L4" s="33" t="inlineStr">
        <is>
          <t>https://www.lovethework.com/work/entries/group-therapy-753332</t>
        </is>
      </c>
    </row>
    <row r="5">
      <c r="A5" s="33" t="n">
        <v>4</v>
      </c>
      <c r="B5" s="33" t="inlineStr">
        <is>
          <t>Gold</t>
        </is>
      </c>
      <c r="C5" s="33" t="inlineStr">
        <is>
          <t>SIGHTWALKS</t>
        </is>
      </c>
      <c r="D5" s="33" t="inlineStr">
        <is>
          <t>CEMENTO SOL</t>
        </is>
      </c>
      <c r="E5" s="33" t="inlineStr">
        <is>
          <t>CEMENT</t>
        </is>
      </c>
      <c r="F5" s="33" t="inlineStr">
        <is>
          <t>CIRCUS GREY</t>
        </is>
      </c>
      <c r="G5" s="33" t="inlineStr">
        <is>
          <t>Peru</t>
        </is>
      </c>
      <c r="H5" s="33" t="inlineStr">
        <is>
          <t>Outdoor: Ambient - Brand-Led Education &amp; Awareness</t>
        </is>
      </c>
      <c r="I5" s="33" t="inlineStr">
        <is>
          <t>https://ascentialcdn.filespin.io/api/v1/conversion/96cab410285c45ed905a8377e0cc25f5</t>
        </is>
      </c>
      <c r="J5" s="33" t="inlineStr">
        <is>
          <t>IRuDOllWc-E</t>
        </is>
      </c>
      <c r="L5" s="33" t="inlineStr">
        <is>
          <t>https://www.lovethework.com/work/entries/sightwalks-758841</t>
        </is>
      </c>
    </row>
    <row r="6">
      <c r="A6" s="33" t="n">
        <v>5</v>
      </c>
      <c r="B6" s="33" t="inlineStr">
        <is>
          <t>Gold</t>
        </is>
      </c>
      <c r="C6" s="33" t="inlineStr">
        <is>
          <t>ZIP CODE EXAM</t>
        </is>
      </c>
      <c r="D6" s="33" t="inlineStr">
        <is>
          <t>ZIP CODE EXAM , AREA 23</t>
        </is>
      </c>
      <c r="E6" s="33" t="inlineStr">
        <is>
          <t>ZIP CODE EXAM</t>
        </is>
      </c>
      <c r="F6" s="33" t="inlineStr">
        <is>
          <t>AN IPG HEALTH COMPANY</t>
        </is>
      </c>
      <c r="G6" s="33" t="inlineStr">
        <is>
          <t>United States</t>
        </is>
      </c>
      <c r="H6" s="33" t="inlineStr">
        <is>
          <t>Creative Data - Non-profit/Foundation-led Education &amp; Awareness</t>
        </is>
      </c>
      <c r="I6" s="33" t="inlineStr">
        <is>
          <t>https://ascentialcdn.filespin.io/api/v1/conversion/fcac93d33c3d4b1c93da6b13d3e32b5e</t>
        </is>
      </c>
      <c r="J6" s="33" t="inlineStr">
        <is>
          <t>2f0k9hGHLuA</t>
        </is>
      </c>
      <c r="L6" s="33" t="inlineStr">
        <is>
          <t>https://www.lovethework.com/work/entries/zip-code-exam-763308</t>
        </is>
      </c>
    </row>
    <row r="7">
      <c r="A7" s="33" t="n">
        <v>6</v>
      </c>
      <c r="B7" s="33" t="inlineStr">
        <is>
          <t>Gold</t>
        </is>
      </c>
      <c r="C7" s="33" t="inlineStr">
        <is>
          <t>THE BEST PLACE IN THE WORLD TO HAVE HERPES</t>
        </is>
      </c>
      <c r="D7" s="33" t="inlineStr">
        <is>
          <t>NEW ZEALAND HERPES FOUNDATION</t>
        </is>
      </c>
      <c r="E7" s="33" t="inlineStr">
        <is>
          <t>NEW ZEALAND HERPES FOUNDATION</t>
        </is>
      </c>
      <c r="F7" s="33" t="inlineStr">
        <is>
          <t>FINCH</t>
        </is>
      </c>
      <c r="G7" s="33" t="inlineStr">
        <is>
          <t>Australia</t>
        </is>
      </c>
      <c r="H7" s="33" t="inlineStr">
        <is>
          <t>Entertainment - Non-profit/Foundation-led Education &amp; Awareness</t>
        </is>
      </c>
      <c r="I7" s="33" t="inlineStr">
        <is>
          <t>https://ascentialcdn.filespin.io/api/v1/conversion/5d4b1b0582c5428bafb14fcc9670d1dc</t>
        </is>
      </c>
      <c r="J7" s="33" t="inlineStr">
        <is>
          <t>vimeo:1083074994</t>
        </is>
      </c>
      <c r="L7" s="33" t="inlineStr">
        <is>
          <t>https://www.lovethework.com/work/entries/the-best-place-in-the-world-to-have-herpes-753429</t>
        </is>
      </c>
    </row>
    <row r="8">
      <c r="A8" s="33" t="n">
        <v>7</v>
      </c>
      <c r="B8" s="33" t="inlineStr">
        <is>
          <t>Gold</t>
        </is>
      </c>
      <c r="C8" s="33" t="inlineStr">
        <is>
          <t>NIGRUM CORPUS</t>
        </is>
      </c>
      <c r="D8" s="33" t="inlineStr">
        <is>
          <t>IDOMED</t>
        </is>
      </c>
      <c r="E8" s="33" t="inlineStr">
        <is>
          <t>NIGRUM CORPUS</t>
        </is>
      </c>
      <c r="F8" s="33" t="inlineStr">
        <is>
          <t>ARTPLAN</t>
        </is>
      </c>
      <c r="G8" s="33" t="inlineStr">
        <is>
          <t>Brazil</t>
        </is>
      </c>
      <c r="H8" s="33" t="inlineStr">
        <is>
          <t>Industry Craft: Art Direction - Brand-Led Education &amp; Awareness</t>
        </is>
      </c>
      <c r="I8" s="33" t="inlineStr">
        <is>
          <t>https://ascentialcdn.filespin.io/api/v1/conversion/2a553b0447c74fe5a2affb443a416633</t>
        </is>
      </c>
      <c r="J8" s="33" t="inlineStr">
        <is>
          <t>vimeo:1089083708</t>
        </is>
      </c>
      <c r="L8" s="33" t="inlineStr">
        <is>
          <t>https://www.lovethework.com/work/entries/nigrum-corpus-759635</t>
        </is>
      </c>
    </row>
    <row r="9">
      <c r="A9" s="33" t="n">
        <v>8</v>
      </c>
      <c r="B9" s="33" t="inlineStr">
        <is>
          <t>Silver</t>
        </is>
      </c>
      <c r="C9" s="33" t="inlineStr">
        <is>
          <t>ZIP CODE EXAM</t>
        </is>
      </c>
      <c r="D9" s="33" t="inlineStr">
        <is>
          <t>ZIP CODE EXAM , AREA 23</t>
        </is>
      </c>
      <c r="E9" s="33" t="inlineStr">
        <is>
          <t>ZIP CODE EXAM</t>
        </is>
      </c>
      <c r="F9" s="33" t="inlineStr">
        <is>
          <t>AN IPG HEALTH COMPANY</t>
        </is>
      </c>
      <c r="G9" s="33" t="inlineStr">
        <is>
          <t>United States</t>
        </is>
      </c>
      <c r="H9" s="33" t="inlineStr">
        <is>
          <t>Integrated - Non-profit/Foundation-led Education &amp; Awareness</t>
        </is>
      </c>
      <c r="I9" s="33" t="inlineStr">
        <is>
          <t>https://ascentialcdn.filespin.io/api/v1/conversion/ab087ed95b3a43e88ff6b9ef28d02df5</t>
        </is>
      </c>
      <c r="J9" s="33" t="inlineStr">
        <is>
          <t>2f0k9hGHLuA</t>
        </is>
      </c>
      <c r="L9" s="33" t="inlineStr">
        <is>
          <t>https://www.lovethework.com/work/entries/zip-code-exam-765197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MEMENTO BEER</t>
        </is>
      </c>
      <c r="D10" s="33" t="inlineStr">
        <is>
          <t>ABRACERVA</t>
        </is>
      </c>
      <c r="E10" s="33" t="inlineStr">
        <is>
          <t>NON-ALCOHOLIC BEER</t>
        </is>
      </c>
      <c r="F10" s="33" t="inlineStr">
        <is>
          <t>OGILVY HEALTH</t>
        </is>
      </c>
      <c r="G10" s="33" t="inlineStr">
        <is>
          <t>United States</t>
        </is>
      </c>
      <c r="H10" s="33" t="inlineStr">
        <is>
          <t>Healthcare Product Innovation - Nutraceuticals</t>
        </is>
      </c>
      <c r="I10" s="33" t="inlineStr">
        <is>
          <t>https://ascentialcdn.filespin.io/api/v1/conversion/976392be2e5d4a0fbac33fda02182549</t>
        </is>
      </c>
      <c r="J10" s="33" t="inlineStr">
        <is>
          <t>vimeo:1099664585</t>
        </is>
      </c>
      <c r="L10" s="33" t="inlineStr">
        <is>
          <t>https://www.lovethework.com/work/entries/memento-beer-752967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NAGA SAINT EYE TEST</t>
        </is>
      </c>
      <c r="D11" s="33" t="inlineStr">
        <is>
          <t>EYEBETES FOUNDATION</t>
        </is>
      </c>
      <c r="E11" s="33" t="inlineStr">
        <is>
          <t>EYE TEST SERVICES</t>
        </is>
      </c>
      <c r="F11" s="33" t="inlineStr">
        <is>
          <t>GODREJ CREATIVE LAB</t>
        </is>
      </c>
      <c r="G11" s="33" t="inlineStr">
        <is>
          <t>India</t>
        </is>
      </c>
      <c r="H11" s="33" t="inlineStr">
        <is>
          <t>Direct - Non-profit/Foundation-led Education &amp; Awareness</t>
        </is>
      </c>
      <c r="I11" s="33" t="inlineStr">
        <is>
          <t>https://ascentialcdn.filespin.io/api/v1/conversion/5097b08d039c468999082882e3dc18f4</t>
        </is>
      </c>
      <c r="J11" s="33" t="inlineStr">
        <is>
          <t>vimeo:1107064614</t>
        </is>
      </c>
      <c r="L11" s="33" t="inlineStr">
        <is>
          <t>https://www.lovethework.com/work/entries/naga-saint-eye-test-753527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THE MIND GUARDIAN</t>
        </is>
      </c>
      <c r="D12" s="33" t="inlineStr">
        <is>
          <t>SAMSUNG</t>
        </is>
      </c>
      <c r="E12" s="33" t="inlineStr">
        <is>
          <t>SAMSUNG</t>
        </is>
      </c>
      <c r="F12" s="33" t="inlineStr">
        <is>
          <t>CHEIL WORLDWIDE</t>
        </is>
      </c>
      <c r="G12" s="33" t="inlineStr">
        <is>
          <t>Spain</t>
        </is>
      </c>
      <c r="H12" s="33" t="inlineStr">
        <is>
          <t>Use of Technology - Health &amp; Wellness Tech</t>
        </is>
      </c>
      <c r="I12" s="33" t="inlineStr">
        <is>
          <t>https://ascentialcdn.filespin.io/api/v1/conversion/006b57346ea04abda2e417e9ec9c5e39</t>
        </is>
      </c>
      <c r="J12" s="33" t="inlineStr">
        <is>
          <t>UeoOgsVrEE4</t>
        </is>
      </c>
      <c r="L12" s="33" t="inlineStr">
        <is>
          <t>https://www.lovethework.com/work/entries/the-mind-guardian-753085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THE RAREST STARS SHINE BRIGHTEST</t>
        </is>
      </c>
      <c r="D13" s="33" t="inlineStr">
        <is>
          <t>MONTEFIORE EINSTEIN</t>
        </is>
      </c>
      <c r="E13" s="33" t="inlineStr">
        <is>
          <t>MONTEFIORE EINSTEIN</t>
        </is>
      </c>
      <c r="F13" s="33" t="inlineStr">
        <is>
          <t>ALTO</t>
        </is>
      </c>
      <c r="G13" s="33" t="inlineStr">
        <is>
          <t>United States</t>
        </is>
      </c>
      <c r="H13" s="33" t="inlineStr">
        <is>
          <t>Film: Cinema, TV and Digital Film Content - Health Services &amp; Facilities</t>
        </is>
      </c>
      <c r="I13" s="33" t="inlineStr">
        <is>
          <t>digital-presentation-images/health-and-wellness-montefiore-einstein-the-rarest-stars-shine-brightest.webp</t>
        </is>
      </c>
      <c r="J13" s="33" t="inlineStr">
        <is>
          <t>vimeo:1056957344</t>
        </is>
      </c>
      <c r="L13" s="33" t="inlineStr">
        <is>
          <t>https://www.lovethework.com/work/entries/the-rarest-stars-shine-brightest-753653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BREASTMILK MONEY</t>
        </is>
      </c>
      <c r="D14" s="33" t="inlineStr">
        <is>
          <t>HERCONOMY</t>
        </is>
      </c>
      <c r="E14" s="33" t="inlineStr">
        <is>
          <t>HERCONOMY</t>
        </is>
      </c>
      <c r="F14" s="33" t="inlineStr">
        <is>
          <t>SERVICEPLAN GERMANY</t>
        </is>
      </c>
      <c r="G14" s="33" t="inlineStr">
        <is>
          <t>Germany</t>
        </is>
      </c>
      <c r="H14" s="33" t="inlineStr">
        <is>
          <t>Direct - Brand-Led Education &amp; Awareness</t>
        </is>
      </c>
      <c r="I14" s="33" t="inlineStr">
        <is>
          <t>https://ascentialcdn.filespin.io/api/v1/conversion/73ea0e639f6747c68cf8460abe2f02bb</t>
        </is>
      </c>
      <c r="J14" s="33" t="inlineStr">
        <is>
          <t>vimeo:1094309200</t>
        </is>
      </c>
      <c r="L14" s="33" t="inlineStr">
        <is>
          <t>https://www.lovethework.com/work/entries/breastmilk-money-753277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CREAMOTHERAPY</t>
        </is>
      </c>
      <c r="D15" s="33" t="inlineStr">
        <is>
          <t>MY DOCTORS RECIPE</t>
        </is>
      </c>
      <c r="E15" s="33" t="inlineStr">
        <is>
          <t>NUTRI ICE</t>
        </is>
      </c>
      <c r="F15" s="33" t="inlineStr">
        <is>
          <t>HAVAS LYNX</t>
        </is>
      </c>
      <c r="G15" s="33" t="inlineStr">
        <is>
          <t>United Kingdom</t>
        </is>
      </c>
      <c r="H15" s="33" t="inlineStr">
        <is>
          <t>Healthcare Product Innovation - Nutraceuticals</t>
        </is>
      </c>
      <c r="I15" s="33" t="inlineStr">
        <is>
          <t>https://ascentialcdn.filespin.io/api/v1/conversion/58801b8585ed4774878a11441091b7d8</t>
        </is>
      </c>
      <c r="J15" s="33" t="inlineStr">
        <is>
          <t>mD27VWqfj5g</t>
        </is>
      </c>
      <c r="L15" s="33" t="inlineStr">
        <is>
          <t>https://www.lovethework.com/work/entries/creamotherapy-753157</t>
        </is>
      </c>
    </row>
    <row r="16">
      <c r="A16" s="33" t="n">
        <v>15</v>
      </c>
      <c r="B16" s="33" t="inlineStr">
        <is>
          <t>Silver</t>
        </is>
      </c>
      <c r="C16" s="33" t="inlineStr">
        <is>
          <t>DON'T SLEEP ON SAQUON</t>
        </is>
      </c>
      <c r="D16" s="33" t="inlineStr">
        <is>
          <t>UNISOM</t>
        </is>
      </c>
      <c r="E16" s="33" t="inlineStr">
        <is>
          <t>UNISOM</t>
        </is>
      </c>
      <c r="F16" s="33" t="inlineStr">
        <is>
          <t>THE MARTIN AGENCY</t>
        </is>
      </c>
      <c r="G16" s="33" t="inlineStr">
        <is>
          <t>United States</t>
        </is>
      </c>
      <c r="H16" s="33" t="inlineStr">
        <is>
          <t>PR - OTC Oral Medicines</t>
        </is>
      </c>
      <c r="I16" s="33" t="inlineStr">
        <is>
          <t>https://ascentialcdn.filespin.io/api/v1/conversion/ac0ba2cefb2d4319a2897836bac8e95b</t>
        </is>
      </c>
      <c r="J16" s="33" t="inlineStr">
        <is>
          <t>ozI9PGCR_Fw</t>
        </is>
      </c>
      <c r="L16" s="33" t="inlineStr">
        <is>
          <t>https://www.lovethework.com/work/entries/dont-sleep-on-saquon-753018</t>
        </is>
      </c>
    </row>
    <row r="17">
      <c r="A17" s="33" t="n">
        <v>16</v>
      </c>
      <c r="B17" s="33" t="inlineStr">
        <is>
          <t>Silver</t>
        </is>
      </c>
      <c r="C17" s="33" t="inlineStr">
        <is>
          <t>DROPS OF HOPE</t>
        </is>
      </c>
      <c r="D17" s="33" t="inlineStr">
        <is>
          <t>KIMBERLY-CLARK</t>
        </is>
      </c>
      <c r="E17" s="33" t="inlineStr">
        <is>
          <t>POISE</t>
        </is>
      </c>
      <c r="F17" s="33" t="inlineStr">
        <is>
          <t>FCB NEW YORK</t>
        </is>
      </c>
      <c r="G17" s="33" t="inlineStr">
        <is>
          <t>United States</t>
        </is>
      </c>
      <c r="H17" s="33" t="inlineStr">
        <is>
          <t>Brand Experience &amp; Activation - Brand-Led Education &amp; Awareness</t>
        </is>
      </c>
      <c r="I17" s="33" t="inlineStr">
        <is>
          <t>https://ascentialcdn.filespin.io/api/v1/conversion/2b33d598710842f6973f6726a77d3be8</t>
        </is>
      </c>
      <c r="J17" s="33" t="inlineStr">
        <is>
          <t>vimeo:1092193619</t>
        </is>
      </c>
      <c r="L17" s="33" t="inlineStr">
        <is>
          <t>https://www.lovethework.com/work/entries/drops-of-hope-753269</t>
        </is>
      </c>
    </row>
    <row r="18">
      <c r="A18" s="33" t="n">
        <v>17</v>
      </c>
      <c r="B18" s="33" t="inlineStr">
        <is>
          <t>Silver</t>
        </is>
      </c>
      <c r="C18" s="33" t="inlineStr">
        <is>
          <t>OMNILIVERY</t>
        </is>
      </c>
      <c r="D18" s="33" t="inlineStr">
        <is>
          <t>OMNI</t>
        </is>
      </c>
      <c r="E18" s="33" t="inlineStr">
        <is>
          <t>MOBILITY SYSTEM FOR WHEELCHAIR</t>
        </is>
      </c>
      <c r="F18" s="33" t="inlineStr">
        <is>
          <t>SAATCHI &amp; SAATCHI FRANCE</t>
        </is>
      </c>
      <c r="G18" s="33" t="inlineStr">
        <is>
          <t>France</t>
        </is>
      </c>
      <c r="H18" s="33" t="inlineStr">
        <is>
          <t>Healthcare Product Innovation - Health &amp; Wellness Tech</t>
        </is>
      </c>
      <c r="I18" s="33" t="inlineStr">
        <is>
          <t>https://ascentialcdn.filespin.io/api/v1/conversion/38cbe1a6ee444db186b748c9da630bdc</t>
        </is>
      </c>
      <c r="J18" s="33" t="inlineStr">
        <is>
          <t>vimeo:1158377325</t>
        </is>
      </c>
      <c r="L18" s="33" t="inlineStr">
        <is>
          <t>https://www.lovethework.com/work/entries/omnilivery-753052</t>
        </is>
      </c>
    </row>
    <row r="19">
      <c r="A19" s="33" t="n">
        <v>18</v>
      </c>
      <c r="B19" s="33" t="inlineStr">
        <is>
          <t>Silver</t>
        </is>
      </c>
      <c r="C19" s="33" t="inlineStr">
        <is>
          <t>MISSED BIRTHDAYS</t>
        </is>
      </c>
      <c r="D19" s="33" t="inlineStr">
        <is>
          <t>ITV X CALM</t>
        </is>
      </c>
      <c r="E19" s="33" t="inlineStr">
        <is>
          <t>ITV X CALM</t>
        </is>
      </c>
      <c r="F19" s="33" t="inlineStr">
        <is>
          <t>adam&amp;eveDDB</t>
        </is>
      </c>
      <c r="G19" s="33" t="inlineStr">
        <is>
          <t>United Kingdom</t>
        </is>
      </c>
      <c r="H19" s="33" t="inlineStr">
        <is>
          <t>Integrated - Brand-Led Education &amp; Awareness</t>
        </is>
      </c>
      <c r="I19" s="33" t="inlineStr">
        <is>
          <t>https://ascentialcdn.filespin.io/api/v1/conversion/3d5f05527b0c4cd6b9752f323f566c63</t>
        </is>
      </c>
      <c r="J19" s="33" t="inlineStr">
        <is>
          <t>ifZVZ4fX4gg</t>
        </is>
      </c>
      <c r="L19" s="33" t="inlineStr">
        <is>
          <t>https://www.lovethework.com/work/entries/missed-birthdays-753149</t>
        </is>
      </c>
    </row>
    <row r="20">
      <c r="A20" s="33" t="n">
        <v>19</v>
      </c>
      <c r="B20" s="33" t="inlineStr">
        <is>
          <t>Bronze</t>
        </is>
      </c>
      <c r="C20" s="33" t="inlineStr">
        <is>
          <t>INTERFACE OF HUMANITY POWERED BY NTT</t>
        </is>
      </c>
      <c r="D20" s="33" t="inlineStr">
        <is>
          <t>NTT HUMAN INFORMATICS LABORATORIES</t>
        </is>
      </c>
      <c r="E20" s="33" t="inlineStr">
        <is>
          <t>NTT HUMAN INFORMATICS LABORATORIES</t>
        </is>
      </c>
      <c r="F20" s="33" t="inlineStr">
        <is>
          <t>DENTSU INC.</t>
        </is>
      </c>
      <c r="G20" s="33" t="inlineStr">
        <is>
          <t>Japan</t>
        </is>
      </c>
      <c r="H20" s="33" t="inlineStr">
        <is>
          <t>Use of Technology - Health &amp; Wellness Tech</t>
        </is>
      </c>
      <c r="I20" s="33" t="inlineStr">
        <is>
          <t>https://ascentialcdn.filespin.io/api/v1/conversion/15acf37ec83847ee82067e734a40a3de</t>
        </is>
      </c>
      <c r="J20" s="33" t="inlineStr">
        <is>
          <t>9Yv1aq_N-Ss</t>
        </is>
      </c>
      <c r="L20" s="33" t="inlineStr">
        <is>
          <t>https://www.lovethework.com/work/entries/interface-of-humanity-powered-by-ntt-753027</t>
        </is>
      </c>
    </row>
    <row r="21">
      <c r="A21" s="33" t="n">
        <v>20</v>
      </c>
      <c r="B21" s="33" t="inlineStr">
        <is>
          <t>Bronze</t>
        </is>
      </c>
      <c r="C21" s="33" t="inlineStr">
        <is>
          <t>HER DOME</t>
        </is>
      </c>
      <c r="D21" s="33" t="inlineStr">
        <is>
          <t>GOVERNMENT OF THE STATE OF SAO PAULO</t>
        </is>
      </c>
      <c r="E21" s="33" t="inlineStr">
        <is>
          <t>GOVERNMENT OF THE STATE OF SÃO PAULO - WOMEN'S SAFETY</t>
        </is>
      </c>
      <c r="F21" s="33" t="inlineStr">
        <is>
          <t>DPZ</t>
        </is>
      </c>
      <c r="G21" s="33" t="inlineStr">
        <is>
          <t>Brazil</t>
        </is>
      </c>
      <c r="H21" s="33" t="inlineStr">
        <is>
          <t>Use of Technology - Health &amp; Wellness Tech</t>
        </is>
      </c>
      <c r="I21" s="33" t="inlineStr">
        <is>
          <t>https://ascentialcdn.filespin.io/api/v1/conversion/3712e2a622444a32895dce6764b60a64</t>
        </is>
      </c>
      <c r="J21" s="33" t="inlineStr">
        <is>
          <t>vimeo:1093399045</t>
        </is>
      </c>
      <c r="L21" s="33" t="inlineStr">
        <is>
          <t>https://www.lovethework.com/work/entries/her-dome-753056</t>
        </is>
      </c>
    </row>
    <row r="22">
      <c r="A22" s="33" t="n">
        <v>21</v>
      </c>
      <c r="B22" s="33" t="inlineStr">
        <is>
          <t>Bronze</t>
        </is>
      </c>
      <c r="C22" s="33" t="inlineStr">
        <is>
          <t>NIGRUM CORPUS</t>
        </is>
      </c>
      <c r="D22" s="33" t="inlineStr">
        <is>
          <t>IDOMED</t>
        </is>
      </c>
      <c r="E22" s="33" t="inlineStr">
        <is>
          <t>NIGRUM CORPUS</t>
        </is>
      </c>
      <c r="F22" s="33" t="inlineStr">
        <is>
          <t>ARTPLAN</t>
        </is>
      </c>
      <c r="G22" s="33" t="inlineStr">
        <is>
          <t>Brazil</t>
        </is>
      </c>
      <c r="H22" s="33" t="inlineStr">
        <is>
          <t>Industry Craft: Illustration - Brand-Led Education &amp; Awareness</t>
        </is>
      </c>
      <c r="I22" s="33" t="inlineStr">
        <is>
          <t>https://ascentialcdn.filespin.io/api/v1/conversion/72c8c8ae63834151a80593fcde332afb</t>
        </is>
      </c>
      <c r="J22" s="33" t="inlineStr">
        <is>
          <t>vimeo:1089083708</t>
        </is>
      </c>
      <c r="L22" s="33" t="inlineStr">
        <is>
          <t>https://www.lovethework.com/work/entries/nigrum-corpus-759644</t>
        </is>
      </c>
    </row>
    <row r="23">
      <c r="A23" s="33" t="n">
        <v>22</v>
      </c>
      <c r="B23" s="33" t="inlineStr">
        <is>
          <t>Bronze</t>
        </is>
      </c>
      <c r="C23" s="33" t="inlineStr">
        <is>
          <t>VISIONGRAM</t>
        </is>
      </c>
      <c r="D23" s="33" t="inlineStr">
        <is>
          <t>JAPAN BLIND JUDO FEDERATION</t>
        </is>
      </c>
      <c r="E23" s="33" t="inlineStr">
        <is>
          <t>VISIONGRAM</t>
        </is>
      </c>
      <c r="F23" s="33" t="inlineStr">
        <is>
          <t>DENTSU INC.</t>
        </is>
      </c>
      <c r="G23" s="33" t="inlineStr">
        <is>
          <t>Japan</t>
        </is>
      </c>
      <c r="H23" s="33" t="inlineStr">
        <is>
          <t>Use of Technology - Non-profit/Foundation-led Education &amp; Awareness</t>
        </is>
      </c>
      <c r="I23" s="33" t="inlineStr">
        <is>
          <t>https://ascentialcdn.filespin.io/api/v1/conversion/1d90874d49d049ef919f6ac01a22dfa3</t>
        </is>
      </c>
      <c r="J23" s="33" t="inlineStr">
        <is>
          <t>vimeo:1178670307</t>
        </is>
      </c>
      <c r="L23" s="33" t="inlineStr">
        <is>
          <t>https://www.lovethework.com/work/entries/visiongram-753110</t>
        </is>
      </c>
    </row>
    <row r="24">
      <c r="A24" s="33" t="n">
        <v>23</v>
      </c>
      <c r="B24" s="33" t="inlineStr">
        <is>
          <t>Bronze</t>
        </is>
      </c>
      <c r="C24" s="33" t="inlineStr">
        <is>
          <t>SICKLE CELL BALL</t>
        </is>
      </c>
      <c r="D24" s="33" t="inlineStr">
        <is>
          <t>NEWYORK-PRESBYTERIAN</t>
        </is>
      </c>
      <c r="E24" s="33" t="inlineStr">
        <is>
          <t>SICKLE CELL BALL</t>
        </is>
      </c>
      <c r="F24" s="33" t="inlineStr">
        <is>
          <t>HAVAS</t>
        </is>
      </c>
      <c r="G24" s="33" t="inlineStr">
        <is>
          <t>United States</t>
        </is>
      </c>
      <c r="H24" s="33" t="inlineStr">
        <is>
          <t>Brand Experience &amp; Activation - Non-profit/Foundation-led Education &amp; Awareness</t>
        </is>
      </c>
      <c r="I24" s="33" t="inlineStr">
        <is>
          <t>https://ascentialcdn.filespin.io/api/v1/conversion/cddc5ccda6a24baeaf4e5cb205c9bb46</t>
        </is>
      </c>
      <c r="J24" s="33" t="inlineStr">
        <is>
          <t>vimeo:1082598227</t>
        </is>
      </c>
      <c r="L24" s="33" t="inlineStr">
        <is>
          <t>https://www.lovethework.com/work/entries/sickle-cell-ball-753415</t>
        </is>
      </c>
    </row>
    <row r="25">
      <c r="A25" s="33" t="n">
        <v>24</v>
      </c>
      <c r="B25" s="33" t="inlineStr">
        <is>
          <t>Bronze</t>
        </is>
      </c>
      <c r="C25" s="33" t="inlineStr">
        <is>
          <t>THE SHADED ROUTE</t>
        </is>
      </c>
      <c r="D25" s="33" t="inlineStr">
        <is>
          <t>HUNGERSTATION</t>
        </is>
      </c>
      <c r="E25" s="33" t="inlineStr">
        <is>
          <t>HUNGERSTATION DELIVERY APP</t>
        </is>
      </c>
      <c r="F25" s="33" t="inlineStr">
        <is>
          <t>VML</t>
        </is>
      </c>
      <c r="G25" s="33" t="inlineStr">
        <is>
          <t>Saudi Arabia</t>
        </is>
      </c>
      <c r="H25" s="33" t="inlineStr">
        <is>
          <t>Mobile - Health &amp; Wellness Tech</t>
        </is>
      </c>
      <c r="I25" s="33" t="inlineStr">
        <is>
          <t>https://ascentialcdn.filespin.io/api/v1/conversion/a5387631458b48648c6dba4b21efb3d0</t>
        </is>
      </c>
      <c r="J25" s="33" t="inlineStr">
        <is>
          <t>5cGxg-wRzsE</t>
        </is>
      </c>
      <c r="L25" s="33" t="inlineStr">
        <is>
          <t>https://www.lovethework.com/work/entries/the-shaded-route-753005</t>
        </is>
      </c>
    </row>
    <row r="26">
      <c r="A26" s="33" t="n">
        <v>25</v>
      </c>
      <c r="B26" s="33" t="inlineStr">
        <is>
          <t>Bronze</t>
        </is>
      </c>
      <c r="C26" s="33" t="inlineStr">
        <is>
          <t>DON'T SLEEP ON SAQUON</t>
        </is>
      </c>
      <c r="D26" s="33" t="inlineStr">
        <is>
          <t>UNISOM</t>
        </is>
      </c>
      <c r="E26" s="33" t="inlineStr">
        <is>
          <t>UNISOM</t>
        </is>
      </c>
      <c r="F26" s="33" t="inlineStr">
        <is>
          <t>THE MARTIN AGENCY</t>
        </is>
      </c>
      <c r="G26" s="33" t="inlineStr">
        <is>
          <t>United States</t>
        </is>
      </c>
      <c r="H26" s="33" t="inlineStr">
        <is>
          <t>Social &amp; Creator - OTC Oral Medicines</t>
        </is>
      </c>
      <c r="I26" s="33" t="inlineStr">
        <is>
          <t>https://ascentialcdn.filespin.io/api/v1/conversion/ac0ba2cefb2d4319a2897836bac8e95b</t>
        </is>
      </c>
      <c r="J26" s="33" t="inlineStr">
        <is>
          <t>ozI9PGCR_Fw</t>
        </is>
      </c>
      <c r="L26" s="33" t="inlineStr">
        <is>
          <t>https://www.lovethework.com/work/entries/dont-sleep-on-saquon-753135</t>
        </is>
      </c>
    </row>
    <row r="27">
      <c r="A27" s="33" t="n">
        <v>26</v>
      </c>
      <c r="B27" s="33" t="inlineStr">
        <is>
          <t>Bronze</t>
        </is>
      </c>
      <c r="C27" s="33" t="inlineStr">
        <is>
          <t>THE UNIVERSITY OF DYSLEXIC THINKING</t>
        </is>
      </c>
      <c r="D27" s="33" t="inlineStr">
        <is>
          <t>MADE BY DYSLEXIA X VIRGIN</t>
        </is>
      </c>
      <c r="E27" s="33" t="inlineStr">
        <is>
          <t>DYSLEXICU</t>
        </is>
      </c>
      <c r="F27" s="33" t="inlineStr">
        <is>
          <t>DDB MELBOURNE</t>
        </is>
      </c>
      <c r="G27" s="33" t="inlineStr">
        <is>
          <t>Australia</t>
        </is>
      </c>
      <c r="H27" s="33" t="inlineStr">
        <is>
          <t>Integrated - Non-profit/Foundation-led Education &amp; Awareness</t>
        </is>
      </c>
      <c r="I27" s="33" t="inlineStr">
        <is>
          <t>https://ascentialcdn.filespin.io/api/v1/conversion/d72ef2fa1ff64f98933e1d3fcb040726</t>
        </is>
      </c>
      <c r="J27" s="33" t="inlineStr">
        <is>
          <t>vimeo:1106636655</t>
        </is>
      </c>
      <c r="L27" s="33" t="inlineStr">
        <is>
          <t>https://www.lovethework.com/work/entries/the-university-of-dyslexic-thinking-753452</t>
        </is>
      </c>
    </row>
    <row r="28">
      <c r="A28" s="33" t="n">
        <v>27</v>
      </c>
      <c r="B28" s="33" t="inlineStr">
        <is>
          <t>Bronze</t>
        </is>
      </c>
      <c r="C28" s="33" t="inlineStr">
        <is>
          <t>DIARY OF A HEAD INJURY</t>
        </is>
      </c>
      <c r="D28" s="33" t="inlineStr">
        <is>
          <t>HEADWAY</t>
        </is>
      </c>
      <c r="E28" s="33" t="inlineStr">
        <is>
          <t>BRAIN INJURY PREVENTION AWARENESS</t>
        </is>
      </c>
      <c r="F28" s="33" t="inlineStr">
        <is>
          <t>ASSEMBLY</t>
        </is>
      </c>
      <c r="G28" s="33" t="inlineStr">
        <is>
          <t>New Zealand</t>
        </is>
      </c>
      <c r="H28" s="33" t="inlineStr">
        <is>
          <t>Film Craft: Animation/Visual Effects - Non-profit/Foundation-led Education &amp; Awareness</t>
        </is>
      </c>
      <c r="I28" s="33" t="inlineStr">
        <is>
          <t>digital-presentation-images/health-and-wellness-headway-diary-of-a-head-injury.webp</t>
        </is>
      </c>
      <c r="J28" s="33" t="inlineStr">
        <is>
          <t>vimeo:1065270658</t>
        </is>
      </c>
      <c r="L28" s="33" t="inlineStr">
        <is>
          <t>https://www.lovethework.com/work/entries/diary-of-a-head-injury-753514</t>
        </is>
      </c>
    </row>
    <row r="29">
      <c r="A29" s="33" t="n">
        <v>28</v>
      </c>
      <c r="B29" s="33" t="inlineStr">
        <is>
          <t>Bronze</t>
        </is>
      </c>
      <c r="C29" s="33" t="inlineStr">
        <is>
          <t>THE TRIAL (FILM)</t>
        </is>
      </c>
      <c r="D29" s="33" t="inlineStr">
        <is>
          <t>ALL IN ACTION FUND</t>
        </is>
      </c>
      <c r="E29" s="33" t="inlineStr">
        <is>
          <t>Reproductive Rights Awareness</t>
        </is>
      </c>
      <c r="F29" s="33" t="inlineStr">
        <is>
          <t>KLICK HEALTH</t>
        </is>
      </c>
      <c r="G29" s="33" t="inlineStr">
        <is>
          <t>Canada</t>
        </is>
      </c>
      <c r="H29" s="33" t="inlineStr">
        <is>
          <t>Film Craft: Script - Fundraising &amp; Advocacy</t>
        </is>
      </c>
      <c r="I29" s="33" t="inlineStr">
        <is>
          <t>digital-presentation-images/health-and-wellness-all-in-action-fund-the-trial-film.webp</t>
        </is>
      </c>
      <c r="J29" s="33" t="inlineStr">
        <is>
          <t>PDJ3ZaDr0R0</t>
        </is>
      </c>
      <c r="L29" s="33" t="inlineStr">
        <is>
          <t>https://www.lovethework.com/work/entries/the-trial-film-753432</t>
        </is>
      </c>
    </row>
    <row r="30">
      <c r="A30" s="33" t="n">
        <v>29</v>
      </c>
      <c r="B30" s="33" t="inlineStr">
        <is>
          <t>Bronze</t>
        </is>
      </c>
      <c r="C30" s="33" t="inlineStr">
        <is>
          <t>THE COUNT</t>
        </is>
      </c>
      <c r="D30" s="33" t="inlineStr">
        <is>
          <t>SICKKIDS FOUNDATION</t>
        </is>
      </c>
      <c r="E30" s="33" t="inlineStr">
        <is>
          <t>SICKKIDS FOUNDATION</t>
        </is>
      </c>
      <c r="F30" s="33" t="inlineStr">
        <is>
          <t>FCB TORONTO</t>
        </is>
      </c>
      <c r="G30" s="33" t="inlineStr">
        <is>
          <t>Canada</t>
        </is>
      </c>
      <c r="H30" s="33" t="inlineStr">
        <is>
          <t>Film: Cinema, TV and Digital Film Content - Fundraising &amp; Advocacy</t>
        </is>
      </c>
      <c r="I30" s="33" t="inlineStr">
        <is>
          <t>digital-presentation-images/health-and-wellness-sickkids-foundation-the-count.webp</t>
        </is>
      </c>
      <c r="J30" s="33" t="inlineStr">
        <is>
          <t>qNF34ZROR8s</t>
        </is>
      </c>
      <c r="L30" s="33" t="inlineStr">
        <is>
          <t>https://www.lovethework.com/work/entries/the-count-759685</t>
        </is>
      </c>
    </row>
    <row r="31">
      <c r="A31" s="33" t="n">
        <v>30</v>
      </c>
      <c r="B31" s="33" t="inlineStr">
        <is>
          <t>Bronze</t>
        </is>
      </c>
      <c r="C31" s="33" t="inlineStr">
        <is>
          <t>THIS IS NOT A GAME</t>
        </is>
      </c>
      <c r="D31" s="33" t="inlineStr">
        <is>
          <t>MOVISTAR</t>
        </is>
      </c>
      <c r="E31" s="33" t="inlineStr">
        <is>
          <t>TELCO</t>
        </is>
      </c>
      <c r="F31" s="33" t="inlineStr">
        <is>
          <t>VML</t>
        </is>
      </c>
      <c r="G31" s="33" t="inlineStr">
        <is>
          <t>Mexico</t>
        </is>
      </c>
      <c r="H31" s="33" t="inlineStr">
        <is>
          <t>Film Craft: Direction - Brand-Led Education &amp; Awareness</t>
        </is>
      </c>
      <c r="I31" s="33" t="inlineStr">
        <is>
          <t>digital-presentation-images/health-and-wellness-movistar-this-is-not-a-game.webp</t>
        </is>
      </c>
      <c r="J31" s="33" t="inlineStr">
        <is>
          <t>qKqi8uMMr6c</t>
        </is>
      </c>
      <c r="L31" s="33" t="inlineStr">
        <is>
          <t>https://www.lovethework.com/work/entries/this-is-not-a-game-763210</t>
        </is>
      </c>
    </row>
    <row r="32">
      <c r="A32" s="33" t="n">
        <v>31</v>
      </c>
      <c r="B32" s="33" t="inlineStr">
        <is>
          <t>Bronze</t>
        </is>
      </c>
      <c r="C32" s="33" t="inlineStr">
        <is>
          <t>NEVER JUST A PERIOD</t>
        </is>
      </c>
      <c r="D32" s="33" t="inlineStr">
        <is>
          <t>BODYFORM</t>
        </is>
      </c>
      <c r="E32" s="33" t="inlineStr">
        <is>
          <t>BODYFORM</t>
        </is>
      </c>
      <c r="F32" s="33" t="inlineStr">
        <is>
          <t>AMV BBDO</t>
        </is>
      </c>
      <c r="G32" s="33" t="inlineStr">
        <is>
          <t>United Kingdom</t>
        </is>
      </c>
      <c r="H32" s="33" t="inlineStr">
        <is>
          <t>Film Craft: Production Design/Art Direction - Brand-Led Education &amp; Awareness</t>
        </is>
      </c>
      <c r="I32" s="33" t="inlineStr">
        <is>
          <t>digital-presentation-images/health-and-wellness-bodyform-never-just-a-period.webp</t>
        </is>
      </c>
      <c r="J32" s="33" t="inlineStr">
        <is>
          <t>EQW59KR3c4U</t>
        </is>
      </c>
      <c r="L32" s="33" t="inlineStr">
        <is>
          <t>https://www.lovethework.com/work/entries/never-just-a-period-753006</t>
        </is>
      </c>
    </row>
    <row r="33">
      <c r="A33" s="33" t="n">
        <v>32</v>
      </c>
      <c r="B33" s="33" t="inlineStr">
        <is>
          <t>Bronze</t>
        </is>
      </c>
      <c r="C33" s="33" t="inlineStr">
        <is>
          <t>DROPS OF HOPE</t>
        </is>
      </c>
      <c r="D33" s="33" t="inlineStr">
        <is>
          <t>KIMBERLY-CLARK</t>
        </is>
      </c>
      <c r="E33" s="33" t="inlineStr">
        <is>
          <t>POISE</t>
        </is>
      </c>
      <c r="F33" s="33" t="inlineStr">
        <is>
          <t>FCB NEW YORK</t>
        </is>
      </c>
      <c r="G33" s="33" t="inlineStr">
        <is>
          <t>United States</t>
        </is>
      </c>
      <c r="H33" s="33" t="inlineStr">
        <is>
          <t>Direct - Brand-Led Education &amp; Awareness</t>
        </is>
      </c>
      <c r="I33" s="33" t="inlineStr">
        <is>
          <t>https://ascentialcdn.filespin.io/api/v1/conversion/622c651b611b41e88a708572da8762a5</t>
        </is>
      </c>
      <c r="J33" s="33" t="inlineStr">
        <is>
          <t>vimeo:1092193619</t>
        </is>
      </c>
      <c r="L33" s="33" t="inlineStr">
        <is>
          <t>https://www.lovethework.com/work/entries/drops-of-hope-753250</t>
        </is>
      </c>
    </row>
    <row r="34">
      <c r="A34" s="33" t="n">
        <v>33</v>
      </c>
      <c r="B34" s="33" t="inlineStr">
        <is>
          <t>Bronze</t>
        </is>
      </c>
      <c r="C34" s="33" t="inlineStr">
        <is>
          <t>THE RAREST STARS SHINE BRIGHTEST</t>
        </is>
      </c>
      <c r="D34" s="33" t="inlineStr">
        <is>
          <t>MONTEFIORE EINSTEIN</t>
        </is>
      </c>
      <c r="E34" s="33" t="inlineStr">
        <is>
          <t>MONTEFIORE EINSTEIN</t>
        </is>
      </c>
      <c r="F34" s="33" t="inlineStr">
        <is>
          <t>ALTO</t>
        </is>
      </c>
      <c r="G34" s="33" t="inlineStr">
        <is>
          <t>United States</t>
        </is>
      </c>
      <c r="H34" s="33" t="inlineStr">
        <is>
          <t>Film Craft: Script - Health Services &amp; Facilities</t>
        </is>
      </c>
      <c r="I34" s="33" t="inlineStr">
        <is>
          <t>digital-presentation-images/health-and-wellness-montefiore-einstein-the-rarest-stars-shine-brightest.webp</t>
        </is>
      </c>
      <c r="J34" s="33" t="inlineStr">
        <is>
          <t>vimeo:1056957344</t>
        </is>
      </c>
      <c r="L34" s="33" t="inlineStr">
        <is>
          <t>https://www.lovethework.com/work/entries/the-rarest-stars-shine-brightest-753581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LUCKY YATRA</t>
        </is>
      </c>
      <c r="D2" s="33" t="inlineStr">
        <is>
          <t>INDIAN RAILWAYS</t>
        </is>
      </c>
      <c r="E2" s="33" t="inlineStr">
        <is>
          <t>RAILWAY SERVICE</t>
        </is>
      </c>
      <c r="F2" s="33" t="inlineStr">
        <is>
          <t>FCB INDIA</t>
        </is>
      </c>
      <c r="G2" s="33" t="inlineStr">
        <is>
          <t>India</t>
        </is>
      </c>
      <c r="H2" s="33" t="inlineStr">
        <is>
          <t>Travel, Leisure, Retail, Restaurants &amp; Fast-Food Chains</t>
        </is>
      </c>
      <c r="I2" s="33" t="inlineStr">
        <is>
          <t>https://ascentialcdn.filespin.io/api/v1/conversion/ef118ab5982a4092aa78da671a82d86d</t>
        </is>
      </c>
      <c r="J2" s="33" t="inlineStr">
        <is>
          <t>19fzAvuFq0I</t>
        </is>
      </c>
      <c r="L2" s="33" t="inlineStr">
        <is>
          <t>https://www.lovethework.com/work/entries/lucky-yatra-749405</t>
        </is>
      </c>
    </row>
    <row r="3">
      <c r="A3" s="33" t="n">
        <v>2</v>
      </c>
      <c r="B3" s="33" t="inlineStr">
        <is>
          <t>Gold</t>
        </is>
      </c>
      <c r="C3" s="33" t="inlineStr">
        <is>
          <t>THE PARENTAL LEAVE MORTGAGE</t>
        </is>
      </c>
      <c r="D3" s="33" t="inlineStr">
        <is>
          <t>NORDEA</t>
        </is>
      </c>
      <c r="E3" s="33" t="inlineStr">
        <is>
          <t>THE PARENTAL LEAVE MORTGAGE</t>
        </is>
      </c>
      <c r="F3" s="33" t="inlineStr">
        <is>
          <t>NORD DDB</t>
        </is>
      </c>
      <c r="G3" s="33" t="inlineStr">
        <is>
          <t>Sweden</t>
        </is>
      </c>
      <c r="H3" s="33" t="inlineStr">
        <is>
          <t>Consumer Services/Business to Business</t>
        </is>
      </c>
      <c r="I3" s="33" t="inlineStr">
        <is>
          <t>https://ascentialcdn.filespin.io/api/v1/conversion/a8b9edfd44de47b893b950770030cf54</t>
        </is>
      </c>
      <c r="J3" s="33" t="inlineStr">
        <is>
          <t>9xzGRtPDwCU</t>
        </is>
      </c>
      <c r="L3" s="33" t="inlineStr">
        <is>
          <t>https://www.lovethework.com/work/entries/the-parental-leave-mortgage-749615</t>
        </is>
      </c>
    </row>
    <row r="4">
      <c r="A4" s="33" t="n">
        <v>3</v>
      </c>
      <c r="B4" s="33" t="inlineStr">
        <is>
          <t>Gold</t>
        </is>
      </c>
      <c r="C4" s="33" t="inlineStr">
        <is>
          <t>LUCKY YATRA</t>
        </is>
      </c>
      <c r="D4" s="33" t="inlineStr">
        <is>
          <t>INDIAN RAILWAYS</t>
        </is>
      </c>
      <c r="E4" s="33" t="inlineStr">
        <is>
          <t>RAILWAY SERVICE</t>
        </is>
      </c>
      <c r="F4" s="33" t="inlineStr">
        <is>
          <t>FCB INDIA</t>
        </is>
      </c>
      <c r="G4" s="33" t="inlineStr">
        <is>
          <t>India</t>
        </is>
      </c>
      <c r="H4" s="33" t="inlineStr">
        <is>
          <t>Local Brand</t>
        </is>
      </c>
      <c r="I4" s="33" t="inlineStr">
        <is>
          <t>https://ascentialcdn.filespin.io/api/v1/conversion/6ce681a1873344eba0bc91e5d14a4997</t>
        </is>
      </c>
      <c r="J4" s="33" t="inlineStr">
        <is>
          <t>19fzAvuFq0I</t>
        </is>
      </c>
      <c r="L4" s="33" t="inlineStr">
        <is>
          <t>https://www.lovethework.com/work/entries/lucky-yatra-750264</t>
        </is>
      </c>
    </row>
    <row r="5">
      <c r="A5" s="33" t="n">
        <v>4</v>
      </c>
      <c r="B5" s="33" t="inlineStr">
        <is>
          <t>Gold</t>
        </is>
      </c>
      <c r="C5" s="33" t="inlineStr">
        <is>
          <t>HAALAND PAYBACK TIME</t>
        </is>
      </c>
      <c r="D5" s="33" t="inlineStr">
        <is>
          <t>CLASH OF CLANS</t>
        </is>
      </c>
      <c r="E5" s="33" t="inlineStr">
        <is>
          <t>CLASH OF CLANS</t>
        </is>
      </c>
      <c r="F5" s="33" t="inlineStr">
        <is>
          <t>DAVID</t>
        </is>
      </c>
      <c r="G5" s="33" t="inlineStr">
        <is>
          <t>United States</t>
        </is>
      </c>
      <c r="H5" s="33" t="inlineStr">
        <is>
          <t>Innovative Use of Influencers/Creators</t>
        </is>
      </c>
      <c r="I5" s="33" t="inlineStr">
        <is>
          <t>https://ascentialcdn.filespin.io/api/v1/conversion/e56e744cd3594eceb82733246e9035b2</t>
        </is>
      </c>
      <c r="J5" s="33" t="inlineStr">
        <is>
          <t>TcQ--NtSQ9s</t>
        </is>
      </c>
      <c r="L5" s="33" t="inlineStr">
        <is>
          <t>https://www.lovethework.com/work/entries/haaland-payback-time-749773</t>
        </is>
      </c>
    </row>
    <row r="6">
      <c r="A6" s="33" t="n">
        <v>5</v>
      </c>
      <c r="B6" s="33" t="inlineStr">
        <is>
          <t>Gold</t>
        </is>
      </c>
      <c r="C6" s="33" t="inlineStr">
        <is>
          <t>NUTTER BUTTER, YOU GOOD?</t>
        </is>
      </c>
      <c r="D6" s="33" t="inlineStr">
        <is>
          <t>NUTTER BUTTER</t>
        </is>
      </c>
      <c r="E6" s="33" t="inlineStr">
        <is>
          <t>NUTTER BUTTER COOKIE</t>
        </is>
      </c>
      <c r="F6" s="33" t="inlineStr">
        <is>
          <t>DENTSU CREATIVE</t>
        </is>
      </c>
      <c r="G6" s="33" t="inlineStr">
        <is>
          <t>United States</t>
        </is>
      </c>
      <c r="H6" s="33" t="inlineStr">
        <is>
          <t>Content Creation &amp; Production</t>
        </is>
      </c>
      <c r="I6" s="33" t="inlineStr">
        <is>
          <t>https://ascentialcdn.filespin.io/api/v1/conversion/6876d84d5b5142e19c9d97302718d0f2</t>
        </is>
      </c>
      <c r="J6" s="33" t="inlineStr">
        <is>
          <t>AzhCsGOqfyg</t>
        </is>
      </c>
      <c r="L6" s="33" t="inlineStr">
        <is>
          <t>https://www.lovethework.com/work/entries/nutter-butter-you-good-749742</t>
        </is>
      </c>
    </row>
    <row r="7">
      <c r="A7" s="33" t="n">
        <v>6</v>
      </c>
      <c r="B7" s="33" t="inlineStr">
        <is>
          <t>Gold</t>
        </is>
      </c>
      <c r="C7" s="33" t="inlineStr">
        <is>
          <t>AXA - THREE WORDS</t>
        </is>
      </c>
      <c r="D7" s="33" t="inlineStr">
        <is>
          <t>AXA</t>
        </is>
      </c>
      <c r="E7" s="33" t="inlineStr">
        <is>
          <t>INSURANCE</t>
        </is>
      </c>
      <c r="F7" s="33" t="inlineStr">
        <is>
          <t>PUBLICIS CONSEIL</t>
        </is>
      </c>
      <c r="G7" s="33" t="inlineStr">
        <is>
          <t>France</t>
        </is>
      </c>
      <c r="H7" s="33" t="inlineStr">
        <is>
          <t>Consumer Services/Business to Business</t>
        </is>
      </c>
      <c r="I7" s="33" t="inlineStr">
        <is>
          <t>https://ascentialcdn.filespin.io/api/v1/conversion/e1a85ff134e545c7b049791151432028</t>
        </is>
      </c>
      <c r="J7" s="33" t="inlineStr">
        <is>
          <t>pY-03zuV7mE</t>
        </is>
      </c>
      <c r="L7" s="33" t="inlineStr">
        <is>
          <t>https://www.lovethework.com/work/entries/axa-three-words-749672</t>
        </is>
      </c>
    </row>
    <row r="8">
      <c r="A8" s="33" t="n">
        <v>7</v>
      </c>
      <c r="B8" s="33" t="inlineStr">
        <is>
          <t>Gold</t>
        </is>
      </c>
      <c r="C8" s="33" t="inlineStr">
        <is>
          <t>PROGRESSO SOUP DROPS</t>
        </is>
      </c>
      <c r="D8" s="33" t="inlineStr">
        <is>
          <t>PROGRESSO</t>
        </is>
      </c>
      <c r="E8" s="33" t="inlineStr">
        <is>
          <t>PROGRESSO CANNED SOUPS</t>
        </is>
      </c>
      <c r="F8" s="33" t="inlineStr">
        <is>
          <t>EDELMAN</t>
        </is>
      </c>
      <c r="G8" s="33" t="inlineStr">
        <is>
          <t>United States</t>
        </is>
      </c>
      <c r="H8" s="33" t="inlineStr">
        <is>
          <t>Media Relations</t>
        </is>
      </c>
      <c r="I8" s="33" t="inlineStr">
        <is>
          <t>https://ascentialcdn.filespin.io/api/v1/conversion/8a8d409a0e954a6b8f0df7b07bba8cc9</t>
        </is>
      </c>
      <c r="J8" s="33" t="inlineStr">
        <is>
          <t>vimeo:1094573277</t>
        </is>
      </c>
      <c r="L8" s="33" t="inlineStr">
        <is>
          <t>https://www.lovethework.com/work/entries/progresso-soup-drops-749792</t>
        </is>
      </c>
    </row>
    <row r="9">
      <c r="A9" s="33" t="n">
        <v>8</v>
      </c>
      <c r="B9" s="33" t="inlineStr">
        <is>
          <t>Gold</t>
        </is>
      </c>
      <c r="C9" s="33" t="inlineStr">
        <is>
          <t>SUN RESERVE</t>
        </is>
      </c>
      <c r="D9" s="33" t="inlineStr">
        <is>
          <t>CORONA</t>
        </is>
      </c>
      <c r="E9" s="33" t="inlineStr">
        <is>
          <t>CORONA</t>
        </is>
      </c>
      <c r="F9" s="33" t="inlineStr">
        <is>
          <t>GREY</t>
        </is>
      </c>
      <c r="G9" s="33" t="inlineStr">
        <is>
          <t>Brazil</t>
        </is>
      </c>
      <c r="H9" s="33" t="inlineStr">
        <is>
          <t>Use of Events &amp; Stunts</t>
        </is>
      </c>
      <c r="I9" s="33" t="inlineStr">
        <is>
          <t>https://ascentialcdn.filespin.io/api/v1/conversion/652b705dcecc4cb7a72c76e4e22c80e5</t>
        </is>
      </c>
      <c r="J9" s="33" t="inlineStr">
        <is>
          <t>vimeo:1091835567</t>
        </is>
      </c>
      <c r="L9" s="33" t="inlineStr">
        <is>
          <t>https://www.lovethework.com/work/entries/sun-reserve-749967</t>
        </is>
      </c>
    </row>
    <row r="10">
      <c r="A10" s="33" t="n">
        <v>9</v>
      </c>
      <c r="B10" s="33" t="inlineStr">
        <is>
          <t>Gold</t>
        </is>
      </c>
      <c r="C10" s="33" t="inlineStr">
        <is>
          <t>DAISY VS SCAMMERS</t>
        </is>
      </c>
      <c r="D10" s="33" t="inlineStr">
        <is>
          <t>O2</t>
        </is>
      </c>
      <c r="E10" s="33" t="inlineStr">
        <is>
          <t>DAISY VS SCAMMERS</t>
        </is>
      </c>
      <c r="F10" s="33" t="inlineStr">
        <is>
          <t>VCCP</t>
        </is>
      </c>
      <c r="G10" s="33" t="inlineStr">
        <is>
          <t>United Kingdom</t>
        </is>
      </c>
      <c r="H10" s="33" t="inlineStr">
        <is>
          <t>Use of Technology</t>
        </is>
      </c>
      <c r="I10" s="33" t="inlineStr">
        <is>
          <t>https://ascentialcdn.filespin.io/api/v1/conversion/6f38aa2f9e1c4c1c906cc1fb6b7c7e8b</t>
        </is>
      </c>
      <c r="J10" s="33" t="inlineStr">
        <is>
          <t>tnfhe_XMg7U</t>
        </is>
      </c>
      <c r="L10" s="33" t="inlineStr">
        <is>
          <t>https://www.lovethework.com/work/entries/daisy-vs-scammers-750173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OLYMPIC CURRY</t>
        </is>
      </c>
      <c r="D11" s="33" t="inlineStr">
        <is>
          <t>MCDONALD'S</t>
        </is>
      </c>
      <c r="E11" s="33" t="inlineStr">
        <is>
          <t>CURRY SAUCE</t>
        </is>
      </c>
      <c r="F11" s="33" t="inlineStr">
        <is>
          <t>DDB PARIS</t>
        </is>
      </c>
      <c r="G11" s="33" t="inlineStr">
        <is>
          <t>France</t>
        </is>
      </c>
      <c r="H11" s="33" t="inlineStr">
        <is>
          <t>Social Engagement</t>
        </is>
      </c>
      <c r="I11" s="33" t="inlineStr">
        <is>
          <t>https://ascentialcdn.filespin.io/api/v1/conversion/b8993a8a561d47fe9b9f126b8fbb45ce</t>
        </is>
      </c>
      <c r="J11" s="33" t="inlineStr">
        <is>
          <t>tOs7DlcDX0U</t>
        </is>
      </c>
      <c r="L11" s="33" t="inlineStr">
        <is>
          <t>https://www.lovethework.com/work/entries/olympic-curry-749727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SATO 2531</t>
        </is>
      </c>
      <c r="D12" s="33" t="inlineStr">
        <is>
          <t>ASUNIWA</t>
        </is>
      </c>
      <c r="E12" s="33" t="inlineStr">
        <is>
          <t>THINK NAME PROJECT</t>
        </is>
      </c>
      <c r="F12" s="33" t="inlineStr">
        <is>
          <t>DENTSU DIGITAL</t>
        </is>
      </c>
      <c r="G12" s="33" t="inlineStr">
        <is>
          <t>Japan</t>
        </is>
      </c>
      <c r="H12" s="33" t="inlineStr">
        <is>
          <t>Research, Data &amp; Analytics</t>
        </is>
      </c>
      <c r="I12" s="33" t="inlineStr">
        <is>
          <t>https://ascentialcdn.filespin.io/api/v1/conversion/32b2b247e87144d9837c4fa1252873da</t>
        </is>
      </c>
      <c r="J12" s="33" t="inlineStr">
        <is>
          <t>BW5T0gC6o3o</t>
        </is>
      </c>
      <c r="L12" s="33" t="inlineStr">
        <is>
          <t>https://www.lovethework.com/work/entries/sato-2531-749858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36 MONTHS</t>
        </is>
      </c>
      <c r="D13" s="33" t="inlineStr">
        <is>
          <t>36 MONTHS</t>
        </is>
      </c>
      <c r="E13" s="33" t="inlineStr">
        <is>
          <t>36 MONTHS</t>
        </is>
      </c>
      <c r="F13" s="33" t="inlineStr">
        <is>
          <t>SUPERMASSIVE</t>
        </is>
      </c>
      <c r="G13" s="33" t="inlineStr">
        <is>
          <t>Australia</t>
        </is>
      </c>
      <c r="H13" s="33" t="inlineStr">
        <is>
          <t>PR Effectiveness</t>
        </is>
      </c>
      <c r="I13" s="33" t="inlineStr">
        <is>
          <t>https://ascentialcdn.filespin.io/api/v1/conversion/cdd8c63860a0458e9216b7b4bf571de5</t>
        </is>
      </c>
      <c r="J13" s="33" t="inlineStr">
        <is>
          <t>KXjKyTfgps8</t>
        </is>
      </c>
      <c r="L13" s="33" t="inlineStr">
        <is>
          <t>https://www.lovethework.com/work/entries/36-months-749925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STARRING BARS</t>
        </is>
      </c>
      <c r="D14" s="33" t="inlineStr">
        <is>
          <t>HEINEKEN®</t>
        </is>
      </c>
      <c r="E14" s="33" t="inlineStr">
        <is>
          <t>HEINEKENÂ®</t>
        </is>
      </c>
      <c r="F14" s="33" t="inlineStr">
        <is>
          <t>EDELMAN</t>
        </is>
      </c>
      <c r="G14" s="33" t="inlineStr">
        <is>
          <t>United Kingdom</t>
        </is>
      </c>
      <c r="H14" s="33" t="inlineStr">
        <is>
          <t>Corporate Image, Communication &amp; Reputation Management</t>
        </is>
      </c>
      <c r="I14" s="33" t="inlineStr">
        <is>
          <t>https://ascentialcdn.filespin.io/api/v1/conversion/cb4f0acca9cb478893406007849a23c0</t>
        </is>
      </c>
      <c r="J14" s="33" t="inlineStr">
        <is>
          <t>VNq1oogkrYk</t>
        </is>
      </c>
      <c r="L14" s="33" t="inlineStr">
        <is>
          <t>https://www.lovethework.com/work/entries/starring-bars-750301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VAGINA PRIVACY NETWORK</t>
        </is>
      </c>
      <c r="D15" s="33" t="inlineStr">
        <is>
          <t>MSI REPRODUCTIVE CHOICES</t>
        </is>
      </c>
      <c r="E15" s="33" t="inlineStr">
        <is>
          <t>MSI REPRODUCTIVE CHOICES</t>
        </is>
      </c>
      <c r="F15" s="33" t="inlineStr">
        <is>
          <t>WEBER SHANDWICK</t>
        </is>
      </c>
      <c r="G15" s="33" t="inlineStr">
        <is>
          <t>United States</t>
        </is>
      </c>
      <c r="H15" s="33" t="inlineStr">
        <is>
          <t>Cultural Engagement</t>
        </is>
      </c>
      <c r="I15" s="33" t="inlineStr">
        <is>
          <t>https://ascentialcdn.filespin.io/api/v1/conversion/5c80ce09550145728784bed3f8bb1e31</t>
        </is>
      </c>
      <c r="J15" s="33" t="inlineStr">
        <is>
          <t>iLs_Pjjgevo</t>
        </is>
      </c>
      <c r="L15" s="33" t="inlineStr">
        <is>
          <t>https://www.lovethework.com/work/entries/vagina-privacy-network-750716</t>
        </is>
      </c>
    </row>
    <row r="16">
      <c r="A16" s="33" t="n">
        <v>15</v>
      </c>
      <c r="B16" s="33" t="inlineStr">
        <is>
          <t>Silver</t>
        </is>
      </c>
      <c r="C16" s="33" t="inlineStr">
        <is>
          <t>THE PARENTAL LEAVE MORTGAGE</t>
        </is>
      </c>
      <c r="D16" s="33" t="inlineStr">
        <is>
          <t>NORDEA</t>
        </is>
      </c>
      <c r="E16" s="33" t="inlineStr">
        <is>
          <t>THE PARENTAL LEAVE MORTGAGE</t>
        </is>
      </c>
      <c r="F16" s="33" t="inlineStr">
        <is>
          <t>NORD DDB</t>
        </is>
      </c>
      <c r="G16" s="33" t="inlineStr">
        <is>
          <t>Sweden</t>
        </is>
      </c>
      <c r="H16" s="33" t="inlineStr">
        <is>
          <t>Single-Market Campaign</t>
        </is>
      </c>
      <c r="I16" s="33" t="inlineStr">
        <is>
          <t>https://ascentialcdn.filespin.io/api/v1/conversion/a8b9edfd44de47b893b950770030cf54</t>
        </is>
      </c>
      <c r="J16" s="33" t="inlineStr">
        <is>
          <t>9xzGRtPDwCU</t>
        </is>
      </c>
      <c r="L16" s="33" t="inlineStr">
        <is>
          <t>https://www.lovethework.com/work/entries/the-parental-leave-mortgage-750346</t>
        </is>
      </c>
    </row>
    <row r="17">
      <c r="A17" s="33" t="n">
        <v>16</v>
      </c>
      <c r="B17" s="33" t="inlineStr">
        <is>
          <t>Silver</t>
        </is>
      </c>
      <c r="C17" s="33" t="inlineStr">
        <is>
          <t>DAISY VS SCAMMERS</t>
        </is>
      </c>
      <c r="D17" s="33" t="inlineStr">
        <is>
          <t>O2</t>
        </is>
      </c>
      <c r="E17" s="33" t="inlineStr">
        <is>
          <t>DAISY VS SCAMMERS</t>
        </is>
      </c>
      <c r="F17" s="33" t="inlineStr">
        <is>
          <t>VCCP</t>
        </is>
      </c>
      <c r="G17" s="33" t="inlineStr">
        <is>
          <t>United Kingdom</t>
        </is>
      </c>
      <c r="H17" s="33" t="inlineStr">
        <is>
          <t>Corporate Purpose &amp; Social Responsibility</t>
        </is>
      </c>
      <c r="I17" s="33" t="inlineStr">
        <is>
          <t>https://ascentialcdn.filespin.io/api/v1/conversion/007c37a609e847899644d346bd35699c</t>
        </is>
      </c>
      <c r="J17" s="33" t="inlineStr">
        <is>
          <t>tnfhe_XMg7U</t>
        </is>
      </c>
      <c r="L17" s="33" t="inlineStr">
        <is>
          <t>https://www.lovethework.com/work/entries/daisy-vs-scammers-750543</t>
        </is>
      </c>
    </row>
    <row r="18">
      <c r="A18" s="33" t="n">
        <v>17</v>
      </c>
      <c r="B18" s="33" t="inlineStr">
        <is>
          <t>Silver</t>
        </is>
      </c>
      <c r="C18" s="33" t="inlineStr">
        <is>
          <t>DROPS OF HOPE</t>
        </is>
      </c>
      <c r="D18" s="33" t="inlineStr">
        <is>
          <t>KIMBERLY-CLARK</t>
        </is>
      </c>
      <c r="E18" s="33" t="inlineStr">
        <is>
          <t>POISE</t>
        </is>
      </c>
      <c r="F18" s="33" t="inlineStr">
        <is>
          <t>FCB NEW YORK</t>
        </is>
      </c>
      <c r="G18" s="33" t="inlineStr">
        <is>
          <t>United States</t>
        </is>
      </c>
      <c r="H18" s="33" t="inlineStr">
        <is>
          <t>Corporate Purpose &amp; Social Responsibility</t>
        </is>
      </c>
      <c r="I18" s="33" t="inlineStr">
        <is>
          <t>https://ascentialcdn.filespin.io/api/v1/conversion/209b56419a8746b798d912dd8a2484be</t>
        </is>
      </c>
      <c r="J18" s="33" t="inlineStr">
        <is>
          <t>vimeo:1092193619</t>
        </is>
      </c>
      <c r="L18" s="33" t="inlineStr">
        <is>
          <t>https://www.lovethework.com/work/entries/drops-of-hope-750467</t>
        </is>
      </c>
    </row>
    <row r="19">
      <c r="A19" s="33" t="n">
        <v>18</v>
      </c>
      <c r="B19" s="33" t="inlineStr">
        <is>
          <t>Silver</t>
        </is>
      </c>
      <c r="C19" s="33" t="inlineStr">
        <is>
          <t>VASELINE VERIFIED</t>
        </is>
      </c>
      <c r="D19" s="33" t="inlineStr">
        <is>
          <t>UNILEVER</t>
        </is>
      </c>
      <c r="E19" s="33" t="inlineStr">
        <is>
          <t>VASELINE</t>
        </is>
      </c>
      <c r="F19" s="33" t="inlineStr">
        <is>
          <t>OGILVY</t>
        </is>
      </c>
      <c r="G19" s="33" t="inlineStr">
        <is>
          <t>Singapore</t>
        </is>
      </c>
      <c r="H19" s="33" t="inlineStr">
        <is>
          <t>Community Management</t>
        </is>
      </c>
      <c r="I19" s="33" t="inlineStr">
        <is>
          <t>https://ascentialcdn.filespin.io/api/v1/conversion/faf0755b0d4e4594ad93cb75d6288e3d</t>
        </is>
      </c>
      <c r="J19" s="33" t="inlineStr">
        <is>
          <t>vimeo:1082798104</t>
        </is>
      </c>
      <c r="L19" s="33" t="inlineStr">
        <is>
          <t>https://www.lovethework.com/work/entries/vaseline-verified-749609</t>
        </is>
      </c>
    </row>
    <row r="20">
      <c r="A20" s="33" t="n">
        <v>19</v>
      </c>
      <c r="B20" s="33" t="inlineStr">
        <is>
          <t>Silver</t>
        </is>
      </c>
      <c r="C20" s="33" t="inlineStr">
        <is>
          <t>BACK HOME</t>
        </is>
      </c>
      <c r="D20" s="33" t="inlineStr">
        <is>
          <t>IMPERIAL, JOYSTICK</t>
        </is>
      </c>
      <c r="E20" s="33" t="inlineStr">
        <is>
          <t>IMPERIAL BEER</t>
        </is>
      </c>
      <c r="F20" s="33" t="inlineStr">
        <is>
          <t>FIFCO</t>
        </is>
      </c>
      <c r="G20" s="33" t="inlineStr">
        <is>
          <t>Costa Rica</t>
        </is>
      </c>
      <c r="H20" s="33" t="inlineStr">
        <is>
          <t>Market Disruption</t>
        </is>
      </c>
      <c r="I20" s="33" t="inlineStr">
        <is>
          <t>https://ascentialcdn.filespin.io/api/v1/conversion/91816b59cf3643579a92b833dbfa85d5</t>
        </is>
      </c>
      <c r="J20" s="33" t="inlineStr">
        <is>
          <t>eldXt2qk7Aw</t>
        </is>
      </c>
      <c r="L20" s="33" t="inlineStr">
        <is>
          <t>https://www.lovethework.com/work/entries/back-home-750655</t>
        </is>
      </c>
    </row>
    <row r="21">
      <c r="A21" s="33" t="n">
        <v>20</v>
      </c>
      <c r="B21" s="33" t="inlineStr">
        <is>
          <t>Silver</t>
        </is>
      </c>
      <c r="C21" s="33" t="inlineStr">
        <is>
          <t>THE FINAL COPY OF ILON SPECHT</t>
        </is>
      </c>
      <c r="D21" s="33" t="inlineStr">
        <is>
          <t>L'OREAL</t>
        </is>
      </c>
      <c r="E21" s="33" t="inlineStr">
        <is>
          <t>L'ORÃAL PARIS</t>
        </is>
      </c>
      <c r="F21" s="33" t="inlineStr">
        <is>
          <t>McCANN</t>
        </is>
      </c>
      <c r="G21" s="33" t="inlineStr">
        <is>
          <t>France</t>
        </is>
      </c>
      <c r="H21" s="33" t="inlineStr">
        <is>
          <t>Content Creation &amp; Production</t>
        </is>
      </c>
      <c r="I21" s="33" t="inlineStr">
        <is>
          <t>digital-presentation-images/pr-loreal-the-final-copy-of-ilon-specht.webp</t>
        </is>
      </c>
      <c r="J21" s="33" t="inlineStr">
        <is>
          <t>vimeo:1094956645</t>
        </is>
      </c>
      <c r="L21" s="33" t="inlineStr">
        <is>
          <t>https://www.lovethework.com/work/entries/the-final-copy-of-ilon-specht-749945</t>
        </is>
      </c>
    </row>
    <row r="22">
      <c r="A22" s="33" t="n">
        <v>21</v>
      </c>
      <c r="B22" s="33" t="inlineStr">
        <is>
          <t>Silver</t>
        </is>
      </c>
      <c r="C22" s="33" t="inlineStr">
        <is>
          <t>AXA - THREE WORDS</t>
        </is>
      </c>
      <c r="D22" s="33" t="inlineStr">
        <is>
          <t>AXA</t>
        </is>
      </c>
      <c r="E22" s="33" t="inlineStr">
        <is>
          <t>INSURANCE</t>
        </is>
      </c>
      <c r="F22" s="33" t="inlineStr">
        <is>
          <t>PUBLICIS CONSEIL</t>
        </is>
      </c>
      <c r="G22" s="33" t="inlineStr">
        <is>
          <t>France</t>
        </is>
      </c>
      <c r="H22" s="33" t="inlineStr">
        <is>
          <t>Brand Voice &amp; Strategic Storytelling</t>
        </is>
      </c>
      <c r="I22" s="33" t="inlineStr">
        <is>
          <t>https://ascentialcdn.filespin.io/api/v1/conversion/e1a85ff134e545c7b049791151432028</t>
        </is>
      </c>
      <c r="J22" s="33" t="inlineStr">
        <is>
          <t>pY-03zuV7mE</t>
        </is>
      </c>
      <c r="L22" s="33" t="inlineStr">
        <is>
          <t>https://www.lovethework.com/work/entries/axa-three-words-750061</t>
        </is>
      </c>
    </row>
    <row r="23">
      <c r="A23" s="33" t="n">
        <v>22</v>
      </c>
      <c r="B23" s="33" t="inlineStr">
        <is>
          <t>Silver</t>
        </is>
      </c>
      <c r="C23" s="33" t="inlineStr">
        <is>
          <t>LUCKY YATRA</t>
        </is>
      </c>
      <c r="D23" s="33" t="inlineStr">
        <is>
          <t>INDIAN RAILWAYS</t>
        </is>
      </c>
      <c r="E23" s="33" t="inlineStr">
        <is>
          <t>RAILWAY SERVICE</t>
        </is>
      </c>
      <c r="F23" s="33" t="inlineStr">
        <is>
          <t>FCB INDIA</t>
        </is>
      </c>
      <c r="G23" s="33" t="inlineStr">
        <is>
          <t>India</t>
        </is>
      </c>
      <c r="H23" s="33" t="inlineStr">
        <is>
          <t>Social Behaviour</t>
        </is>
      </c>
      <c r="I23" s="33" t="inlineStr">
        <is>
          <t>https://ascentialcdn.filespin.io/api/v1/conversion/ef118ab5982a4092aa78da671a82d86d</t>
        </is>
      </c>
      <c r="J23" s="33" t="inlineStr">
        <is>
          <t>19fzAvuFq0I</t>
        </is>
      </c>
      <c r="L23" s="33" t="inlineStr">
        <is>
          <t>https://www.lovethework.com/work/entries/lucky-yatra-750435</t>
        </is>
      </c>
    </row>
    <row r="24">
      <c r="A24" s="33" t="n">
        <v>23</v>
      </c>
      <c r="B24" s="33" t="inlineStr">
        <is>
          <t>Silver</t>
        </is>
      </c>
      <c r="C24" s="33" t="inlineStr">
        <is>
          <t>LIFE QUALITY INSURANCE</t>
        </is>
      </c>
      <c r="D24" s="33" t="inlineStr">
        <is>
          <t>GREATER COPENHAGEN REGION</t>
        </is>
      </c>
      <c r="E24" s="33" t="inlineStr">
        <is>
          <t>LQI</t>
        </is>
      </c>
      <c r="F24" s="33" t="inlineStr">
        <is>
          <t>OGILVY</t>
        </is>
      </c>
      <c r="G24" s="33" t="inlineStr">
        <is>
          <t>Denmark</t>
        </is>
      </c>
      <c r="H24" s="33" t="inlineStr">
        <is>
          <t>Challenger Brand</t>
        </is>
      </c>
      <c r="I24" s="33" t="inlineStr">
        <is>
          <t>https://ascentialcdn.filespin.io/api/v1/conversion/b1496fa749f64107b95e694dad4ea642</t>
        </is>
      </c>
      <c r="J24" s="33" t="inlineStr">
        <is>
          <t>vimeo:1072467811</t>
        </is>
      </c>
      <c r="L24" s="33" t="inlineStr">
        <is>
          <t>https://www.lovethework.com/work/entries/life-quality-insurance-762920</t>
        </is>
      </c>
    </row>
    <row r="25">
      <c r="A25" s="33" t="n">
        <v>24</v>
      </c>
      <c r="B25" s="33" t="inlineStr">
        <is>
          <t>Bronze</t>
        </is>
      </c>
      <c r="C25" s="33" t="inlineStr">
        <is>
          <t>SPREADBEATS</t>
        </is>
      </c>
      <c r="D25" s="33" t="inlineStr">
        <is>
          <t>SPOTIFY</t>
        </is>
      </c>
      <c r="E25" s="33" t="inlineStr">
        <is>
          <t>SPOTIFY</t>
        </is>
      </c>
      <c r="F25" s="33" t="inlineStr">
        <is>
          <t>FCB NEW YORK</t>
        </is>
      </c>
      <c r="G25" s="33" t="inlineStr">
        <is>
          <t>United States</t>
        </is>
      </c>
      <c r="H25" s="33" t="inlineStr">
        <is>
          <t>Content Creation &amp; Production</t>
        </is>
      </c>
      <c r="I25" s="33" t="inlineStr">
        <is>
          <t>https://ascentialcdn.filespin.io/api/v1/conversion/801d900ea7e54051acb4be6f9e72ee48</t>
        </is>
      </c>
      <c r="J25" s="33" t="inlineStr">
        <is>
          <t>Zc-U6PM9ilE</t>
        </is>
      </c>
      <c r="L25" s="33" t="inlineStr">
        <is>
          <t>https://www.lovethework.com/work/entries/spreadbeats-749631</t>
        </is>
      </c>
    </row>
    <row r="26">
      <c r="A26" s="33" t="n">
        <v>25</v>
      </c>
      <c r="B26" s="33" t="inlineStr">
        <is>
          <t>Bronze</t>
        </is>
      </c>
      <c r="C26" s="33" t="inlineStr">
        <is>
          <t>RETURNING CREATIVITY</t>
        </is>
      </c>
      <c r="D26" s="33" t="inlineStr">
        <is>
          <t>CRAYOLA</t>
        </is>
      </c>
      <c r="E26" s="33" t="inlineStr">
        <is>
          <t>CRAYOLA CRAYONS</t>
        </is>
      </c>
      <c r="F26" s="33" t="inlineStr">
        <is>
          <t>DENTSU CREATIVE</t>
        </is>
      </c>
      <c r="G26" s="33" t="inlineStr">
        <is>
          <t>United States</t>
        </is>
      </c>
      <c r="H26" s="33" t="inlineStr">
        <is>
          <t>Consumer Goods</t>
        </is>
      </c>
      <c r="I26" s="33" t="inlineStr">
        <is>
          <t>https://ascentialcdn.filespin.io/api/v1/conversion/4c902db1b7474d62b83e2c58918cb516</t>
        </is>
      </c>
      <c r="J26" s="33" t="inlineStr">
        <is>
          <t>p8IHkizfvVE</t>
        </is>
      </c>
      <c r="L26" s="33" t="inlineStr">
        <is>
          <t>https://www.lovethework.com/work/entries/returning-creativity-749503</t>
        </is>
      </c>
    </row>
    <row r="27">
      <c r="A27" s="33" t="n">
        <v>26</v>
      </c>
      <c r="B27" s="33" t="inlineStr">
        <is>
          <t>Bronze</t>
        </is>
      </c>
      <c r="C27" s="33" t="inlineStr">
        <is>
          <t>BAZ BOX</t>
        </is>
      </c>
      <c r="D27" s="33" t="inlineStr">
        <is>
          <t>SPECIAL K</t>
        </is>
      </c>
      <c r="E27" s="33" t="inlineStr">
        <is>
          <t>SPECIAL K CEREAL</t>
        </is>
      </c>
      <c r="F27" s="33" t="inlineStr">
        <is>
          <t>MSL</t>
        </is>
      </c>
      <c r="G27" s="33" t="inlineStr">
        <is>
          <t>United States</t>
        </is>
      </c>
      <c r="H27" s="33" t="inlineStr">
        <is>
          <t>Real-Time Response</t>
        </is>
      </c>
      <c r="I27" s="33" t="inlineStr">
        <is>
          <t>https://ascentialcdn.filespin.io/api/v1/conversion/cf9b2fe1598741a49e722f6eea3b77a0</t>
        </is>
      </c>
      <c r="J27" s="33" t="inlineStr">
        <is>
          <t>vimeo:1038385052</t>
        </is>
      </c>
      <c r="L27" s="33" t="inlineStr">
        <is>
          <t>https://www.lovethework.com/work/entries/baz-box-749721</t>
        </is>
      </c>
    </row>
    <row r="28">
      <c r="A28" s="33" t="n">
        <v>27</v>
      </c>
      <c r="B28" s="33" t="inlineStr">
        <is>
          <t>Bronze</t>
        </is>
      </c>
      <c r="C28" s="33" t="inlineStr">
        <is>
          <t>ZIP CODE EXAM</t>
        </is>
      </c>
      <c r="D28" s="33" t="inlineStr">
        <is>
          <t>ZIP CODE EXAM , AREA 23</t>
        </is>
      </c>
      <c r="E28" s="33" t="inlineStr">
        <is>
          <t>ZIP CODE EXAM</t>
        </is>
      </c>
      <c r="F28" s="33" t="inlineStr">
        <is>
          <t>AN IPG HEALTH COMPANY</t>
        </is>
      </c>
      <c r="G28" s="33" t="inlineStr">
        <is>
          <t>United States</t>
        </is>
      </c>
      <c r="H28" s="33" t="inlineStr">
        <is>
          <t>Research, Data &amp; Analytics</t>
        </is>
      </c>
      <c r="I28" s="33" t="inlineStr">
        <is>
          <t>https://ascentialcdn.filespin.io/api/v1/conversion/fcac93d33c3d4b1c93da6b13d3e32b5e</t>
        </is>
      </c>
      <c r="J28" s="33" t="inlineStr">
        <is>
          <t>2f0k9hGHLuA</t>
        </is>
      </c>
      <c r="L28" s="33" t="inlineStr">
        <is>
          <t>https://www.lovethework.com/work/entries/zip-code-exam-763599</t>
        </is>
      </c>
    </row>
    <row r="29">
      <c r="A29" s="33" t="n">
        <v>28</v>
      </c>
      <c r="B29" s="33" t="inlineStr">
        <is>
          <t>Bronze</t>
        </is>
      </c>
      <c r="C29" s="33" t="inlineStr">
        <is>
          <t>YOU ALREADY VOTE, SO VOTE</t>
        </is>
      </c>
      <c r="D29" s="33" t="inlineStr">
        <is>
          <t>MY LIFE MY SAY</t>
        </is>
      </c>
      <c r="E29" s="33" t="inlineStr">
        <is>
          <t>MY LIFE MY SAY</t>
        </is>
      </c>
      <c r="F29" s="33" t="inlineStr">
        <is>
          <t>OGILVY UK</t>
        </is>
      </c>
      <c r="G29" s="33" t="inlineStr">
        <is>
          <t>United Kingdom</t>
        </is>
      </c>
      <c r="H29" s="33" t="inlineStr">
        <is>
          <t>Innovative Use of Influencers/Creators</t>
        </is>
      </c>
      <c r="I29" s="33" t="inlineStr">
        <is>
          <t>https://ascentialcdn.filespin.io/api/v1/conversion/2e5a7229e93f47729bb533fe3facf0ce</t>
        </is>
      </c>
      <c r="J29" s="33" t="inlineStr">
        <is>
          <t>1xK0G1NUDCY</t>
        </is>
      </c>
      <c r="L29" s="33" t="inlineStr">
        <is>
          <t>https://www.lovethework.com/work/entries/you-already-vote-so-vote-749869</t>
        </is>
      </c>
    </row>
    <row r="30">
      <c r="A30" s="33" t="n">
        <v>29</v>
      </c>
      <c r="B30" s="33" t="inlineStr">
        <is>
          <t>Bronze</t>
        </is>
      </c>
      <c r="C30" s="33" t="inlineStr">
        <is>
          <t>VASELINE VERIFIED</t>
        </is>
      </c>
      <c r="D30" s="33" t="inlineStr">
        <is>
          <t>UNILEVER</t>
        </is>
      </c>
      <c r="E30" s="33" t="inlineStr">
        <is>
          <t>VASELINE</t>
        </is>
      </c>
      <c r="F30" s="33" t="inlineStr">
        <is>
          <t>OGILVY</t>
        </is>
      </c>
      <c r="G30" s="33" t="inlineStr">
        <is>
          <t>Singapore</t>
        </is>
      </c>
      <c r="H30" s="33" t="inlineStr">
        <is>
          <t>Social Engagement</t>
        </is>
      </c>
      <c r="I30" s="33" t="inlineStr">
        <is>
          <t>https://ascentialcdn.filespin.io/api/v1/conversion/faf0755b0d4e4594ad93cb75d6288e3d</t>
        </is>
      </c>
      <c r="J30" s="33" t="inlineStr">
        <is>
          <t>vimeo:1082798104</t>
        </is>
      </c>
      <c r="L30" s="33" t="inlineStr">
        <is>
          <t>https://www.lovethework.com/work/entries/vaseline-verified-749628</t>
        </is>
      </c>
    </row>
    <row r="31">
      <c r="A31" s="33" t="n">
        <v>30</v>
      </c>
      <c r="B31" s="33" t="inlineStr">
        <is>
          <t>Bronze</t>
        </is>
      </c>
      <c r="C31" s="33" t="inlineStr">
        <is>
          <t>GULF OF MEXICO (BAR)</t>
        </is>
      </c>
      <c r="D31" s="33" t="inlineStr">
        <is>
          <t>TECATE</t>
        </is>
      </c>
      <c r="E31" s="33" t="inlineStr">
        <is>
          <t>TECATE LIGHT</t>
        </is>
      </c>
      <c r="F31" s="33" t="inlineStr">
        <is>
          <t>LEPUB</t>
        </is>
      </c>
      <c r="G31" s="33" t="inlineStr">
        <is>
          <t>Mexico</t>
        </is>
      </c>
      <c r="H31" s="33" t="inlineStr">
        <is>
          <t>Use of Events &amp; Stunts</t>
        </is>
      </c>
      <c r="I31" s="33" t="inlineStr">
        <is>
          <t>https://ascentialcdn.filespin.io/api/v1/conversion/afa88aa8421b41a18c68b9863bb6926c</t>
        </is>
      </c>
      <c r="J31" s="33" t="inlineStr">
        <is>
          <t>vimeo:1092263623</t>
        </is>
      </c>
      <c r="L31" s="33" t="inlineStr">
        <is>
          <t>https://www.lovethework.com/work/entries/gulf-of-mexico-bar-750080</t>
        </is>
      </c>
    </row>
    <row r="32">
      <c r="A32" s="33" t="n">
        <v>31</v>
      </c>
      <c r="B32" s="33" t="inlineStr">
        <is>
          <t>Bronze</t>
        </is>
      </c>
      <c r="C32" s="33" t="inlineStr">
        <is>
          <t>THE CHEEKY CONTROLLER</t>
        </is>
      </c>
      <c r="D32" s="33" t="inlineStr">
        <is>
          <t>XBOX</t>
        </is>
      </c>
      <c r="E32" s="33" t="inlineStr">
        <is>
          <t>XBOX CONTROLLER</t>
        </is>
      </c>
      <c r="F32" s="33" t="inlineStr">
        <is>
          <t>McCANN</t>
        </is>
      </c>
      <c r="G32" s="33" t="inlineStr">
        <is>
          <t>United Kingdom</t>
        </is>
      </c>
      <c r="H32" s="33" t="inlineStr">
        <is>
          <t>Use of Humour</t>
        </is>
      </c>
      <c r="I32" s="33" t="inlineStr">
        <is>
          <t>https://ascentialcdn.filespin.io/api/v1/conversion/f1c6e266081d4161b8e3ecc7ecb15a78</t>
        </is>
      </c>
      <c r="J32" s="33" t="inlineStr">
        <is>
          <t>vimeo:1034892837</t>
        </is>
      </c>
      <c r="L32" s="33" t="inlineStr">
        <is>
          <t>https://www.lovethework.com/work/entries/the-cheeky-controller-761423</t>
        </is>
      </c>
    </row>
    <row r="33">
      <c r="A33" s="33" t="n">
        <v>32</v>
      </c>
      <c r="B33" s="33" t="inlineStr">
        <is>
          <t>Bronze</t>
        </is>
      </c>
      <c r="C33" s="33" t="inlineStr">
        <is>
          <t>BARK AIR: 100% REAL AIRLINE FOR DOGS</t>
        </is>
      </c>
      <c r="D33" s="33" t="inlineStr">
        <is>
          <t>BARK AIR</t>
        </is>
      </c>
      <c r="E33" s="33" t="inlineStr">
        <is>
          <t>BARK AIR</t>
        </is>
      </c>
      <c r="F33" s="33" t="inlineStr">
        <is>
          <t>TOMBRAS</t>
        </is>
      </c>
      <c r="G33" s="33" t="inlineStr">
        <is>
          <t>United States</t>
        </is>
      </c>
      <c r="H33" s="33" t="inlineStr">
        <is>
          <t>Launch/Relaunch</t>
        </is>
      </c>
      <c r="I33" s="33" t="inlineStr">
        <is>
          <t>https://ascentialcdn.filespin.io/api/v1/conversion/e8c3f17a1d22438baf55afccbfc8e939</t>
        </is>
      </c>
      <c r="J33" s="33" t="inlineStr">
        <is>
          <t>mp4:https://resized-media.entries.clios.com/companies/3852/media/a285f696-814b-493b-b79c-08dd4de0928e.mp4</t>
        </is>
      </c>
      <c r="L33" s="33" t="inlineStr">
        <is>
          <t>https://www.lovethework.com/work/entries/bark-air-100-real-airline-for-dogs-750098</t>
        </is>
      </c>
    </row>
    <row r="34">
      <c r="A34" s="33" t="n">
        <v>33</v>
      </c>
      <c r="B34" s="33" t="inlineStr">
        <is>
          <t>Bronze</t>
        </is>
      </c>
      <c r="C34" s="33" t="inlineStr">
        <is>
          <t>DON'T SLEEP ON SAQUON</t>
        </is>
      </c>
      <c r="D34" s="33" t="inlineStr">
        <is>
          <t>UNISOM</t>
        </is>
      </c>
      <c r="E34" s="33" t="inlineStr">
        <is>
          <t>UNISOM</t>
        </is>
      </c>
      <c r="F34" s="33" t="inlineStr">
        <is>
          <t>THE MARTIN AGENCY</t>
        </is>
      </c>
      <c r="G34" s="33" t="inlineStr">
        <is>
          <t>United States</t>
        </is>
      </c>
      <c r="H34" s="33" t="inlineStr">
        <is>
          <t>Healthcare</t>
        </is>
      </c>
      <c r="I34" s="33" t="inlineStr">
        <is>
          <t>https://ascentialcdn.filespin.io/api/v1/conversion/ac0ba2cefb2d4319a2897836bac8e95b</t>
        </is>
      </c>
      <c r="J34" s="33" t="inlineStr">
        <is>
          <t>ozI9PGCR_Fw</t>
        </is>
      </c>
      <c r="L34" s="33" t="inlineStr">
        <is>
          <t>https://www.lovethework.com/work/entries/dont-sleep-on-saquon-749425</t>
        </is>
      </c>
    </row>
    <row r="35">
      <c r="A35" s="33" t="n">
        <v>34</v>
      </c>
      <c r="B35" s="33" t="inlineStr">
        <is>
          <t>Bronze</t>
        </is>
      </c>
      <c r="C35" s="33" t="inlineStr">
        <is>
          <t>SHARE THE FIRST</t>
        </is>
      </c>
      <c r="D35" s="33" t="inlineStr">
        <is>
          <t>DOVE</t>
        </is>
      </c>
      <c r="E35" s="33" t="inlineStr">
        <is>
          <t>DOVE</t>
        </is>
      </c>
      <c r="F35" s="33" t="inlineStr">
        <is>
          <t>EDELMAN</t>
        </is>
      </c>
      <c r="G35" s="33" t="inlineStr">
        <is>
          <t>United Kingdom</t>
        </is>
      </c>
      <c r="H35" s="33" t="inlineStr">
        <is>
          <t>Social Behaviour</t>
        </is>
      </c>
      <c r="I35" s="33" t="inlineStr">
        <is>
          <t>https://ascentialcdn.filespin.io/api/v1/conversion/646d07b2f9d44d25a9c40938cb00263d</t>
        </is>
      </c>
      <c r="J35" s="33" t="inlineStr">
        <is>
          <t>V68MSwIkKM0</t>
        </is>
      </c>
      <c r="L35" s="33" t="inlineStr">
        <is>
          <t>https://www.lovethework.com/work/entries/share-the-first-750505</t>
        </is>
      </c>
    </row>
    <row r="36">
      <c r="A36" s="33" t="n">
        <v>35</v>
      </c>
      <c r="B36" s="33" t="inlineStr">
        <is>
          <t>Bronze</t>
        </is>
      </c>
      <c r="C36" s="33" t="inlineStr">
        <is>
          <t>UNFREEZE MY RIGHTS</t>
        </is>
      </c>
      <c r="D36" s="33" t="inlineStr">
        <is>
          <t>AWAKENING FOUNDATION</t>
        </is>
      </c>
      <c r="E36" s="33" t="inlineStr">
        <is>
          <t>WOMENâS EGG AUTONOMY AND REPRODUCTIVE RIGHT</t>
        </is>
      </c>
      <c r="F36" s="33" t="inlineStr">
        <is>
          <t>DENTSU CREATIVE TAIWAN</t>
        </is>
      </c>
      <c r="G36" s="33" t="inlineStr">
        <is>
          <t>Chinese Taipei</t>
        </is>
      </c>
      <c r="H36" s="33" t="inlineStr">
        <is>
          <t>Single-Market Campaign</t>
        </is>
      </c>
      <c r="I36" s="33" t="inlineStr">
        <is>
          <t>https://ascentialcdn.filespin.io/api/v1/conversion/a218a039090842639ec9571a03e108c2</t>
        </is>
      </c>
      <c r="J36" s="33" t="inlineStr">
        <is>
          <t>hylpKEPpuJU</t>
        </is>
      </c>
      <c r="L36" s="33" t="inlineStr">
        <is>
          <t>https://www.lovethework.com/work/entries/unfreeze-my-rights-750272</t>
        </is>
      </c>
    </row>
    <row r="37">
      <c r="A37" s="33" t="n">
        <v>36</v>
      </c>
      <c r="B37" s="33" t="inlineStr">
        <is>
          <t>Bronze</t>
        </is>
      </c>
      <c r="C37" s="33" t="inlineStr">
        <is>
          <t>DIRTY MOUTH SPONSORSHIP</t>
        </is>
      </c>
      <c r="D37" s="33" t="inlineStr">
        <is>
          <t>CIF, DROGA5</t>
        </is>
      </c>
      <c r="E37" s="33" t="inlineStr">
        <is>
          <t>CIF</t>
        </is>
      </c>
      <c r="F37" s="33" t="inlineStr">
        <is>
          <t>PART OF ACCENTURE SONG</t>
        </is>
      </c>
      <c r="G37" s="33" t="inlineStr">
        <is>
          <t>Brazil</t>
        </is>
      </c>
      <c r="H37" s="33" t="inlineStr">
        <is>
          <t>Innovative Use of Influencers/Creators</t>
        </is>
      </c>
      <c r="I37" s="33" t="inlineStr">
        <is>
          <t>digital-presentation-images/pr-cif-dirty-mouth-sponsorship.webp</t>
        </is>
      </c>
      <c r="J37" s="33" t="inlineStr">
        <is>
          <t>DlylpwndJuU</t>
        </is>
      </c>
      <c r="L37" s="33" t="inlineStr">
        <is>
          <t>https://www.lovethework.com/work/entries/dirty-mouth-sponsorship-749823</t>
        </is>
      </c>
    </row>
    <row r="38">
      <c r="A38" s="33" t="n">
        <v>37</v>
      </c>
      <c r="B38" s="33" t="inlineStr">
        <is>
          <t>Bronze</t>
        </is>
      </c>
      <c r="C38" s="33" t="inlineStr">
        <is>
          <t>FILTER CAPS</t>
        </is>
      </c>
      <c r="D38" s="33" t="inlineStr">
        <is>
          <t>FILSA</t>
        </is>
      </c>
      <c r="E38" s="33" t="inlineStr">
        <is>
          <t>WATER FILTER</t>
        </is>
      </c>
      <c r="F38" s="33" t="inlineStr">
        <is>
          <t>OGILVY COLOMBIA</t>
        </is>
      </c>
      <c r="G38" s="33" t="inlineStr">
        <is>
          <t>Colombia</t>
        </is>
      </c>
      <c r="H38" s="33" t="inlineStr">
        <is>
          <t>Corporate Purpose &amp; Social Responsibility</t>
        </is>
      </c>
      <c r="I38" s="33" t="inlineStr">
        <is>
          <t>https://ascentialcdn.filespin.io/api/v1/conversion/1ab5088d7e8045be97ee60dda6493938</t>
        </is>
      </c>
      <c r="J38" s="33" t="inlineStr">
        <is>
          <t>I60bNRM2UhM</t>
        </is>
      </c>
      <c r="L38" s="33" t="inlineStr">
        <is>
          <t>https://www.lovethework.com/work/entries/filter-caps-750736</t>
        </is>
      </c>
    </row>
    <row r="39">
      <c r="A39" s="33" t="n">
        <v>38</v>
      </c>
      <c r="B39" s="33" t="inlineStr">
        <is>
          <t>Bronze</t>
        </is>
      </c>
      <c r="C39" s="33" t="inlineStr">
        <is>
          <t>AIRBNB ICONS</t>
        </is>
      </c>
      <c r="D39" s="33" t="inlineStr">
        <is>
          <t>AIRBNB</t>
        </is>
      </c>
      <c r="E39" s="33" t="inlineStr">
        <is>
          <t>AIRBNB ICONS</t>
        </is>
      </c>
      <c r="F39" s="33" t="inlineStr">
        <is>
          <t>WEBER SHANDWICK</t>
        </is>
      </c>
      <c r="G39" s="33" t="inlineStr">
        <is>
          <t>United States</t>
        </is>
      </c>
      <c r="H39" s="33" t="inlineStr">
        <is>
          <t>Sponsorship &amp; Brand Partnership</t>
        </is>
      </c>
      <c r="I39" s="33" t="inlineStr">
        <is>
          <t>https://ascentialcdn.filespin.io/api/v1/conversion/db51bea9a01d40108f74e1fa9bd7ad3f</t>
        </is>
      </c>
      <c r="J39" s="33" t="inlineStr">
        <is>
          <t>vimeo:1094578684</t>
        </is>
      </c>
      <c r="L39" s="33" t="inlineStr">
        <is>
          <t>https://www.lovethework.com/work/entries/airbnb-icons-750344</t>
        </is>
      </c>
    </row>
    <row r="40">
      <c r="A40" s="33" t="n">
        <v>39</v>
      </c>
      <c r="B40" s="33" t="inlineStr">
        <is>
          <t>Bronze</t>
        </is>
      </c>
      <c r="C40" s="33" t="inlineStr">
        <is>
          <t>BOX TO BEDS</t>
        </is>
      </c>
      <c r="D40" s="33" t="inlineStr">
        <is>
          <t>AMAZON</t>
        </is>
      </c>
      <c r="E40" s="33" t="inlineStr">
        <is>
          <t>AMAZON</t>
        </is>
      </c>
      <c r="F40" s="33" t="inlineStr">
        <is>
          <t>OGILVY</t>
        </is>
      </c>
      <c r="G40" s="33" t="inlineStr">
        <is>
          <t>India</t>
        </is>
      </c>
      <c r="H40" s="33" t="inlineStr">
        <is>
          <t>Cultural Engagement</t>
        </is>
      </c>
      <c r="I40" s="33" t="inlineStr">
        <is>
          <t>https://ascentialcdn.filespin.io/api/v1/conversion/b5f895adbf4c4511b092d3d1cf94a294</t>
        </is>
      </c>
      <c r="J40" s="33" t="inlineStr">
        <is>
          <t>-Fu5oT3qYjo</t>
        </is>
      </c>
      <c r="L40" s="33" t="inlineStr">
        <is>
          <t>https://www.lovethework.com/work/entries/box-to-beds-750639</t>
        </is>
      </c>
    </row>
    <row r="41">
      <c r="A41" s="33" t="n">
        <v>40</v>
      </c>
      <c r="B41" s="33" t="inlineStr">
        <is>
          <t>Bronze</t>
        </is>
      </c>
      <c r="C41" s="33" t="inlineStr">
        <is>
          <t>RENAULT - UN.PATENT</t>
        </is>
      </c>
      <c r="D41" s="33" t="inlineStr">
        <is>
          <t>RENAULT</t>
        </is>
      </c>
      <c r="E41" s="33" t="inlineStr">
        <is>
          <t>INNOVATING TOOLS</t>
        </is>
      </c>
      <c r="F41" s="33" t="inlineStr">
        <is>
          <t>PUBLICIS CONSEIL</t>
        </is>
      </c>
      <c r="G41" s="33" t="inlineStr">
        <is>
          <t>France</t>
        </is>
      </c>
      <c r="H41" s="33" t="inlineStr">
        <is>
          <t>Brand Voice &amp; Strategic Storytelling</t>
        </is>
      </c>
      <c r="I41" s="33" t="inlineStr">
        <is>
          <t>https://ascentialcdn.filespin.io/api/v1/conversion/f8592ba04ed4495d8a51757d790e8679</t>
        </is>
      </c>
      <c r="J41" s="33" t="inlineStr">
        <is>
          <t>yuaAtV_VnC0</t>
        </is>
      </c>
      <c r="L41" s="33" t="inlineStr">
        <is>
          <t>https://www.lovethework.com/work/entries/renault-unpatent-750048</t>
        </is>
      </c>
    </row>
    <row r="42">
      <c r="A42" s="33" t="n">
        <v>41</v>
      </c>
      <c r="B42" s="33" t="inlineStr">
        <is>
          <t>Bronze</t>
        </is>
      </c>
      <c r="C42" s="33" t="inlineStr">
        <is>
          <t>EXPORT ULTRA COLD CALL BACK SERVICE</t>
        </is>
      </c>
      <c r="D42" s="33" t="inlineStr">
        <is>
          <t>EXPORT ULTRA</t>
        </is>
      </c>
      <c r="E42" s="33" t="inlineStr">
        <is>
          <t>EXPORT ULTRA BEER</t>
        </is>
      </c>
      <c r="F42" s="33" t="inlineStr">
        <is>
          <t>SPECIAL</t>
        </is>
      </c>
      <c r="G42" s="33" t="inlineStr">
        <is>
          <t>New Zealand</t>
        </is>
      </c>
      <c r="H42" s="33" t="inlineStr">
        <is>
          <t>Use of Humour</t>
        </is>
      </c>
      <c r="I42" s="33" t="inlineStr">
        <is>
          <t>digital-presentation-images/pr-export-ultra-export-ultra-cold-call-back-service.webp</t>
        </is>
      </c>
      <c r="J42" s="33" t="inlineStr">
        <is>
          <t>EMZYDpxI_KI</t>
        </is>
      </c>
      <c r="L42" s="33" t="inlineStr">
        <is>
          <t>https://www.lovethework.com/work/entries/export-ultra-cold-call-back-service-750536</t>
        </is>
      </c>
    </row>
    <row r="43">
      <c r="A43" s="33" t="n">
        <v>42</v>
      </c>
      <c r="B43" s="33" t="inlineStr">
        <is>
          <t>Bronze</t>
        </is>
      </c>
      <c r="C43" s="33" t="inlineStr">
        <is>
          <t>THE MEAL</t>
        </is>
      </c>
      <c r="D43" s="33" t="inlineStr">
        <is>
          <t>MCDONALD'S</t>
        </is>
      </c>
      <c r="E43" s="33" t="inlineStr">
        <is>
          <t>HAPPY MEAL</t>
        </is>
      </c>
      <c r="F43" s="33" t="inlineStr">
        <is>
          <t>READY10</t>
        </is>
      </c>
      <c r="G43" s="33" t="inlineStr">
        <is>
          <t>United Kingdom</t>
        </is>
      </c>
      <c r="H43" s="33" t="inlineStr">
        <is>
          <t>Corporate Purpose &amp; Social Responsibility</t>
        </is>
      </c>
      <c r="I43" s="33" t="inlineStr">
        <is>
          <t>https://ascentialcdn.filespin.io/api/v1/conversion/5e2b835a636345e0a9110a3076d31dca</t>
        </is>
      </c>
      <c r="J43" s="33" t="inlineStr">
        <is>
          <t>YEPttzbn0Z0</t>
        </is>
      </c>
      <c r="L43" s="33" t="inlineStr">
        <is>
          <t>https://www.lovethework.com/work/entries/the-meal-750472</t>
        </is>
      </c>
    </row>
    <row r="44">
      <c r="A44" s="33" t="n">
        <v>43</v>
      </c>
      <c r="B44" s="33" t="inlineStr">
        <is>
          <t>Bronze</t>
        </is>
      </c>
      <c r="C44" s="33" t="inlineStr">
        <is>
          <t>SPONSORED BALLS</t>
        </is>
      </c>
      <c r="D44" s="33" t="inlineStr">
        <is>
          <t>TESTICULAR CANCER SOCIETY</t>
        </is>
      </c>
      <c r="E44" s="33" t="inlineStr">
        <is>
          <t>SHORTS</t>
        </is>
      </c>
      <c r="F44" s="33" t="inlineStr">
        <is>
          <t>FP7 McCANN</t>
        </is>
      </c>
      <c r="G44" s="33" t="inlineStr">
        <is>
          <t>United Arab Emirates</t>
        </is>
      </c>
      <c r="H44" s="33" t="inlineStr">
        <is>
          <t>Use of Events &amp; Stunts</t>
        </is>
      </c>
      <c r="I44" s="33" t="inlineStr">
        <is>
          <t>digital-presentation-images/pr-testicular-cancer-society-sponsored-balls.webp</t>
        </is>
      </c>
      <c r="J44" s="33" t="inlineStr">
        <is>
          <t>vimeo:1083510969</t>
        </is>
      </c>
      <c r="L44" s="33" t="inlineStr">
        <is>
          <t>https://www.lovethework.com/work/entries/sponsored-balls-750118</t>
        </is>
      </c>
    </row>
    <row r="45">
      <c r="A45" s="33" t="n">
        <v>44</v>
      </c>
      <c r="B45" s="33" t="inlineStr">
        <is>
          <t>Bronze</t>
        </is>
      </c>
      <c r="C45" s="33" t="inlineStr">
        <is>
          <t>SATO 2531</t>
        </is>
      </c>
      <c r="D45" s="33" t="inlineStr">
        <is>
          <t>ASUNIWA</t>
        </is>
      </c>
      <c r="E45" s="33" t="inlineStr">
        <is>
          <t>THINK NAME PROJECT</t>
        </is>
      </c>
      <c r="F45" s="33" t="inlineStr">
        <is>
          <t>DENTSU DIGITAL</t>
        </is>
      </c>
      <c r="G45" s="33" t="inlineStr">
        <is>
          <t>Japan</t>
        </is>
      </c>
      <c r="H45" s="33" t="inlineStr">
        <is>
          <t>Single-Market Campaign</t>
        </is>
      </c>
      <c r="I45" s="33" t="inlineStr">
        <is>
          <t>https://ascentialcdn.filespin.io/api/v1/conversion/fe9e00109f57461bb9f36f9c845a8be1</t>
        </is>
      </c>
      <c r="J45" s="33" t="inlineStr">
        <is>
          <t>BW5T0gC6o3o</t>
        </is>
      </c>
      <c r="L45" s="33" t="inlineStr">
        <is>
          <t>https://www.lovethework.com/work/entries/sato-2531-750198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PRICE PACKS</t>
        </is>
      </c>
      <c r="D2" s="33" t="inlineStr">
        <is>
          <t>PENNY</t>
        </is>
      </c>
      <c r="E2" s="33" t="inlineStr">
        <is>
          <t>FOOD/NON-FOOD</t>
        </is>
      </c>
      <c r="F2" s="33" t="inlineStr">
        <is>
          <t>SERVICEPLAN GERMANY</t>
        </is>
      </c>
      <c r="G2" s="33" t="inlineStr">
        <is>
          <t>Germany</t>
        </is>
      </c>
      <c r="H2" s="33" t="inlineStr">
        <is>
          <t>Market Disruption</t>
        </is>
      </c>
      <c r="I2" s="33" t="inlineStr">
        <is>
          <t>https://ascentialcdn.filespin.io/api/v1/conversion/67b6df2a0fe64deeb274c91d50040c54</t>
        </is>
      </c>
      <c r="J2" s="33" t="inlineStr">
        <is>
          <t>wXx6z3mDnVc</t>
        </is>
      </c>
      <c r="L2" s="33" t="inlineStr">
        <is>
          <t>https://www.lovethework.com/work/entries/price-packs-740125</t>
        </is>
      </c>
    </row>
    <row r="3">
      <c r="A3" s="33" t="n">
        <v>2</v>
      </c>
      <c r="B3" s="33" t="inlineStr">
        <is>
          <t>Gold</t>
        </is>
      </c>
      <c r="C3" s="33" t="inlineStr">
        <is>
          <t>INK OF DEMOCRACY</t>
        </is>
      </c>
      <c r="D3" s="33" t="inlineStr">
        <is>
          <t>TIMES OF INDIA GROUP</t>
        </is>
      </c>
      <c r="E3" s="33" t="inlineStr">
        <is>
          <t>ELECTION APPEAL</t>
        </is>
      </c>
      <c r="F3" s="33" t="inlineStr">
        <is>
          <t>HAVAS</t>
        </is>
      </c>
      <c r="G3" s="33" t="inlineStr">
        <is>
          <t>India</t>
        </is>
      </c>
      <c r="H3" s="33" t="inlineStr">
        <is>
          <t>Corporate Purpose &amp; Social Responsibility</t>
        </is>
      </c>
      <c r="I3" s="33" t="inlineStr">
        <is>
          <t>digital-presentation-images/print-and-publishing-times-of-india-group-ink-of-democracy.webp</t>
        </is>
      </c>
      <c r="J3" s="33" t="inlineStr">
        <is>
          <t>Y04IsSy9fCI</t>
        </is>
      </c>
      <c r="L3" s="33" t="inlineStr">
        <is>
          <t>https://www.lovethework.com/work/entries/ink-of-democracy-740050</t>
        </is>
      </c>
    </row>
    <row r="4">
      <c r="A4" s="33" t="n">
        <v>3</v>
      </c>
      <c r="B4" s="33" t="inlineStr">
        <is>
          <t>Gold</t>
        </is>
      </c>
      <c r="C4" s="33" t="inlineStr">
        <is>
          <t>HOLI</t>
        </is>
      </c>
      <c r="D4" s="33" t="inlineStr">
        <is>
          <t>DOVE</t>
        </is>
      </c>
      <c r="E4" s="33" t="inlineStr">
        <is>
          <t>DOVE SOAP</t>
        </is>
      </c>
      <c r="F4" s="33" t="inlineStr">
        <is>
          <t>OGILVY</t>
        </is>
      </c>
      <c r="G4" s="33" t="inlineStr">
        <is>
          <t>United States</t>
        </is>
      </c>
      <c r="H4" s="33" t="inlineStr">
        <is>
          <t>Consumer Goods</t>
        </is>
      </c>
      <c r="I4" s="33" t="inlineStr">
        <is>
          <t>https://ascentialcdn.filespin.io/api/v1/conversion/8487f504004046b3b4f39c80f9542955</t>
        </is>
      </c>
      <c r="J4" s="33" t="inlineStr">
        <is>
          <t>vimeo:1083687587</t>
        </is>
      </c>
      <c r="K4" s="33" t="inlineStr">
        <is>
          <t>dove-consumer-goods</t>
        </is>
      </c>
      <c r="L4" s="33" t="inlineStr">
        <is>
          <t>https://www.lovethework.com/work/entries/holi-739718</t>
        </is>
      </c>
    </row>
    <row r="5">
      <c r="A5" s="33" t="n">
        <v>4</v>
      </c>
      <c r="B5" s="33" t="inlineStr">
        <is>
          <t>Gold</t>
        </is>
      </c>
      <c r="C5" s="33" t="inlineStr">
        <is>
          <t>ST. PATRICK'S DAY</t>
        </is>
      </c>
      <c r="D5" s="33" t="inlineStr">
        <is>
          <t>DOVE</t>
        </is>
      </c>
      <c r="E5" s="33" t="inlineStr">
        <is>
          <t>DOVE SOAP</t>
        </is>
      </c>
      <c r="F5" s="33" t="inlineStr">
        <is>
          <t>OGILVY</t>
        </is>
      </c>
      <c r="G5" s="33" t="inlineStr">
        <is>
          <t>United States</t>
        </is>
      </c>
      <c r="H5" s="33" t="inlineStr">
        <is>
          <t>Consumer Goods</t>
        </is>
      </c>
      <c r="I5" s="33" t="inlineStr">
        <is>
          <t>https://ascentialcdn.filespin.io/api/v1/conversion/372489df63044fcf8bfb5e5cca943bfe</t>
        </is>
      </c>
      <c r="J5" s="33" t="inlineStr">
        <is>
          <t>vimeo:1083687587</t>
        </is>
      </c>
      <c r="K5" s="33" t="inlineStr">
        <is>
          <t>dove-consumer-goods</t>
        </is>
      </c>
      <c r="L5" s="33" t="inlineStr">
        <is>
          <t>https://www.lovethework.com/work/entries/st-patricks-day-739704</t>
        </is>
      </c>
    </row>
    <row r="6">
      <c r="A6" s="33" t="n">
        <v>5</v>
      </c>
      <c r="B6" s="33" t="inlineStr">
        <is>
          <t>Gold</t>
        </is>
      </c>
      <c r="C6" s="33" t="inlineStr">
        <is>
          <t>HAPPINESS WITHIN CHAOS</t>
        </is>
      </c>
      <c r="D6" s="33" t="inlineStr">
        <is>
          <t>STELLA ARTOIS</t>
        </is>
      </c>
      <c r="E6" s="33" t="inlineStr">
        <is>
          <t>STELLA ARTOIS</t>
        </is>
      </c>
      <c r="F6" s="33" t="inlineStr">
        <is>
          <t>GREY</t>
        </is>
      </c>
      <c r="G6" s="33" t="inlineStr">
        <is>
          <t>United Kingdom</t>
        </is>
      </c>
      <c r="H6" s="33" t="inlineStr">
        <is>
          <t>Consumer Goods</t>
        </is>
      </c>
      <c r="I6" s="33" t="inlineStr">
        <is>
          <t>https://ascentialcdn.filespin.io/api/v1/conversion/882ea591b6fa40b29a529180b71afa65</t>
        </is>
      </c>
      <c r="J6" s="33" t="n"/>
      <c r="K6" s="33" t="inlineStr">
        <is>
          <t>stella-artois-philosophical</t>
        </is>
      </c>
      <c r="L6" s="33" t="inlineStr">
        <is>
          <t>https://www.lovethework.com/work/entries/happiness-within-chaos-739654</t>
        </is>
      </c>
    </row>
    <row r="7">
      <c r="A7" s="33" t="n">
        <v>6</v>
      </c>
      <c r="B7" s="33" t="inlineStr">
        <is>
          <t>Gold</t>
        </is>
      </c>
      <c r="C7" s="33" t="inlineStr">
        <is>
          <t>NEW YEAR'S</t>
        </is>
      </c>
      <c r="D7" s="33" t="inlineStr">
        <is>
          <t>DOVE</t>
        </is>
      </c>
      <c r="E7" s="33" t="inlineStr">
        <is>
          <t>DOVE SOAP</t>
        </is>
      </c>
      <c r="F7" s="33" t="inlineStr">
        <is>
          <t>OGILVY</t>
        </is>
      </c>
      <c r="G7" s="33" t="inlineStr">
        <is>
          <t>United States</t>
        </is>
      </c>
      <c r="H7" s="33" t="inlineStr">
        <is>
          <t>Consumer Goods</t>
        </is>
      </c>
      <c r="I7" s="33" t="inlineStr">
        <is>
          <t>https://ascentialcdn.filespin.io/api/v1/conversion/38e5adf42b364346bf882ff41160aabc</t>
        </is>
      </c>
      <c r="J7" s="33" t="inlineStr">
        <is>
          <t>vimeo:1083687587</t>
        </is>
      </c>
      <c r="K7" s="33" t="inlineStr">
        <is>
          <t>dove-consumer-goods</t>
        </is>
      </c>
      <c r="L7" s="33" t="inlineStr">
        <is>
          <t>https://www.lovethework.com/work/entries/new-years-739696</t>
        </is>
      </c>
    </row>
    <row r="8">
      <c r="A8" s="33" t="n">
        <v>7</v>
      </c>
      <c r="B8" s="33" t="inlineStr">
        <is>
          <t>Gold</t>
        </is>
      </c>
      <c r="C8" s="33" t="inlineStr">
        <is>
          <t>MARDI GRAS</t>
        </is>
      </c>
      <c r="D8" s="33" t="inlineStr">
        <is>
          <t>DOVE</t>
        </is>
      </c>
      <c r="E8" s="33" t="inlineStr">
        <is>
          <t>DOVE SOAP</t>
        </is>
      </c>
      <c r="F8" s="33" t="inlineStr">
        <is>
          <t>OGILVY</t>
        </is>
      </c>
      <c r="G8" s="33" t="inlineStr">
        <is>
          <t>United States</t>
        </is>
      </c>
      <c r="H8" s="33" t="inlineStr">
        <is>
          <t>Consumer Goods</t>
        </is>
      </c>
      <c r="I8" s="33" t="inlineStr">
        <is>
          <t>https://ascentialcdn.filespin.io/api/v1/conversion/616e9779606e4684a96c828d12a9b7a0</t>
        </is>
      </c>
      <c r="J8" s="33" t="inlineStr">
        <is>
          <t>vimeo:1083687587</t>
        </is>
      </c>
      <c r="K8" s="33" t="inlineStr">
        <is>
          <t>dove-consumer-goods</t>
        </is>
      </c>
      <c r="L8" s="33" t="inlineStr">
        <is>
          <t>https://www.lovethework.com/work/entries/mardi-gras-739712</t>
        </is>
      </c>
    </row>
    <row r="9">
      <c r="A9" s="33" t="n">
        <v>8</v>
      </c>
      <c r="B9" s="33" t="inlineStr">
        <is>
          <t>Gold</t>
        </is>
      </c>
      <c r="C9" s="33" t="inlineStr">
        <is>
          <t>CARNAVAL</t>
        </is>
      </c>
      <c r="D9" s="33" t="inlineStr">
        <is>
          <t>DOVE</t>
        </is>
      </c>
      <c r="E9" s="33" t="inlineStr">
        <is>
          <t>DOVE SOAP</t>
        </is>
      </c>
      <c r="F9" s="33" t="inlineStr">
        <is>
          <t>OGILVY</t>
        </is>
      </c>
      <c r="G9" s="33" t="inlineStr">
        <is>
          <t>United States</t>
        </is>
      </c>
      <c r="H9" s="33" t="inlineStr">
        <is>
          <t>Consumer Goods</t>
        </is>
      </c>
      <c r="I9" s="33" t="inlineStr">
        <is>
          <t>https://ascentialcdn.filespin.io/api/v1/conversion/3bc75956d7df4f839632c72343fb5cb5</t>
        </is>
      </c>
      <c r="J9" s="33" t="inlineStr">
        <is>
          <t>vimeo:1083687587</t>
        </is>
      </c>
      <c r="K9" s="33" t="inlineStr">
        <is>
          <t>dove-consumer-goods</t>
        </is>
      </c>
      <c r="L9" s="33" t="inlineStr">
        <is>
          <t>https://www.lovethework.com/work/entries/carnaval-739726</t>
        </is>
      </c>
    </row>
    <row r="10">
      <c r="A10" s="33" t="n">
        <v>9</v>
      </c>
      <c r="B10" s="33" t="inlineStr">
        <is>
          <t>Gold</t>
        </is>
      </c>
      <c r="C10" s="33" t="inlineStr">
        <is>
          <t>THE SIP OF SANCTUARY</t>
        </is>
      </c>
      <c r="D10" s="33" t="inlineStr">
        <is>
          <t>STELLA ARTOIS</t>
        </is>
      </c>
      <c r="E10" s="33" t="inlineStr">
        <is>
          <t>STELLA ARTOIS</t>
        </is>
      </c>
      <c r="F10" s="33" t="inlineStr">
        <is>
          <t>GREY</t>
        </is>
      </c>
      <c r="G10" s="33" t="inlineStr">
        <is>
          <t>United Kingdom</t>
        </is>
      </c>
      <c r="H10" s="33" t="inlineStr">
        <is>
          <t>Consumer Goods</t>
        </is>
      </c>
      <c r="I10" s="33" t="inlineStr">
        <is>
          <t>https://ascentialcdn.filespin.io/api/v1/conversion/bc046e548975443980453424bc30515a</t>
        </is>
      </c>
      <c r="K10" s="33" t="inlineStr">
        <is>
          <t>stella-artois-philosophical</t>
        </is>
      </c>
      <c r="L10" s="33" t="inlineStr">
        <is>
          <t>https://www.lovethework.com/work/entries/the-sip-of-sanctuary-739632</t>
        </is>
      </c>
    </row>
    <row r="11">
      <c r="A11" s="33" t="n">
        <v>10</v>
      </c>
      <c r="B11" s="33" t="inlineStr">
        <is>
          <t>Gold</t>
        </is>
      </c>
      <c r="C11" s="33" t="inlineStr">
        <is>
          <t>PROTECTOR OF THE CHALICE</t>
        </is>
      </c>
      <c r="D11" s="33" t="inlineStr">
        <is>
          <t>STELLA ARTOIS</t>
        </is>
      </c>
      <c r="E11" s="33" t="inlineStr">
        <is>
          <t>STELLA ARTOIS</t>
        </is>
      </c>
      <c r="F11" s="33" t="inlineStr">
        <is>
          <t>GREY</t>
        </is>
      </c>
      <c r="G11" s="33" t="inlineStr">
        <is>
          <t>United Kingdom</t>
        </is>
      </c>
      <c r="H11" s="33" t="inlineStr">
        <is>
          <t>Consumer Goods</t>
        </is>
      </c>
      <c r="I11" s="33" t="inlineStr">
        <is>
          <t>https://ascentialcdn.filespin.io/api/v1/conversion/a33c9462c05d4330895b056745b6a602</t>
        </is>
      </c>
      <c r="K11" s="33" t="inlineStr">
        <is>
          <t>stella-artois-philosophical</t>
        </is>
      </c>
      <c r="L11" s="33" t="inlineStr">
        <is>
          <t>https://www.lovethework.com/work/entries/protector-of-the-chalice-739644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ROSES</t>
        </is>
      </c>
      <c r="D12" s="33" t="inlineStr">
        <is>
          <t>OREO</t>
        </is>
      </c>
      <c r="E12" s="33" t="inlineStr">
        <is>
          <t>OREO</t>
        </is>
      </c>
      <c r="F12" s="33" t="inlineStr">
        <is>
          <t>LEPUB BOGOTA</t>
        </is>
      </c>
      <c r="G12" s="33" t="inlineStr">
        <is>
          <t>Colombia</t>
        </is>
      </c>
      <c r="H12" s="33" t="inlineStr">
        <is>
          <t>Consumer Goods</t>
        </is>
      </c>
      <c r="I12" s="33" t="inlineStr">
        <is>
          <t>https://ascentialcdn.filespin.io/api/v1/conversion/7e2d8fe4c7af49f0b2003ab42f27074e</t>
        </is>
      </c>
      <c r="J12" s="33" t="inlineStr">
        <is>
          <t>p_3AcLnU1A8</t>
        </is>
      </c>
      <c r="K12" s="33" t="inlineStr">
        <is>
          <t>oreo-consumer-goods</t>
        </is>
      </c>
      <c r="L12" s="33" t="inlineStr">
        <is>
          <t>https://www.lovethework.com/work/entries/roses-764508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TOILET PAPER</t>
        </is>
      </c>
      <c r="D13" s="33" t="inlineStr">
        <is>
          <t>OREO</t>
        </is>
      </c>
      <c r="E13" s="33" t="inlineStr">
        <is>
          <t>OREO</t>
        </is>
      </c>
      <c r="F13" s="33" t="inlineStr">
        <is>
          <t>LEPUB BOGOTA</t>
        </is>
      </c>
      <c r="G13" s="33" t="inlineStr">
        <is>
          <t>Colombia</t>
        </is>
      </c>
      <c r="H13" s="33" t="inlineStr">
        <is>
          <t>Consumer Goods</t>
        </is>
      </c>
      <c r="I13" s="33" t="inlineStr">
        <is>
          <t>https://ascentialcdn.filespin.io/api/v1/conversion/96ea34877f1644f4a22d867dfa8e2f5d</t>
        </is>
      </c>
      <c r="J13" s="33" t="inlineStr">
        <is>
          <t>p_3AcLnU1A8</t>
        </is>
      </c>
      <c r="K13" s="33" t="inlineStr">
        <is>
          <t>oreo-consumer-goods</t>
        </is>
      </c>
      <c r="L13" s="33" t="inlineStr">
        <is>
          <t>https://www.lovethework.com/work/entries/toilet-paper-764491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NOT EVERY SMILE STARTS AS A SMILE</t>
        </is>
      </c>
      <c r="D14" s="33" t="inlineStr">
        <is>
          <t>COLGATE</t>
        </is>
      </c>
      <c r="E14" s="33" t="inlineStr">
        <is>
          <t>COLGATE</t>
        </is>
      </c>
      <c r="F14" s="33" t="inlineStr">
        <is>
          <t>VML</t>
        </is>
      </c>
      <c r="G14" s="33" t="inlineStr">
        <is>
          <t>France</t>
        </is>
      </c>
      <c r="H14" s="33" t="inlineStr">
        <is>
          <t>Social Behaviour</t>
        </is>
      </c>
      <c r="I14" s="33" t="inlineStr">
        <is>
          <t>https://ascentialcdn.filespin.io/api/v1/conversion/7795062110544927acc4f73eedfb3d7d</t>
        </is>
      </c>
      <c r="J14" s="33" t="inlineStr">
        <is>
          <t>vimeo:1099341785</t>
        </is>
      </c>
      <c r="L14" s="33" t="inlineStr">
        <is>
          <t>https://www.lovethework.com/work/entries/not-every-smile-starts-as-a-smile-740106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NOTES ON NOTES</t>
        </is>
      </c>
      <c r="D15" s="33" t="inlineStr">
        <is>
          <t>CAPITAL BANK</t>
        </is>
      </c>
      <c r="E15" s="33" t="inlineStr">
        <is>
          <t>CAPITAL BANK LOANS</t>
        </is>
      </c>
      <c r="F15" s="33" t="inlineStr">
        <is>
          <t>ADPRO&amp;</t>
        </is>
      </c>
      <c r="G15" s="33" t="inlineStr">
        <is>
          <t>Jordan</t>
        </is>
      </c>
      <c r="H15" s="33" t="inlineStr">
        <is>
          <t>Social Behaviour</t>
        </is>
      </c>
      <c r="I15" s="33" t="inlineStr">
        <is>
          <t>https://ascentialcdn.filespin.io/api/v1/conversion/26f992b0fc0e4479b962853921264524</t>
        </is>
      </c>
      <c r="J15" s="33" t="inlineStr">
        <is>
          <t>vimeo:1093833076</t>
        </is>
      </c>
      <c r="L15" s="33" t="inlineStr">
        <is>
          <t>https://www.lovethework.com/work/entries/notes-on-notes-739979</t>
        </is>
      </c>
    </row>
    <row r="16">
      <c r="A16" s="33" t="n">
        <v>15</v>
      </c>
      <c r="B16" s="33" t="inlineStr">
        <is>
          <t>Silver</t>
        </is>
      </c>
      <c r="C16" s="33" t="inlineStr">
        <is>
          <t>PUBLIC TRANSPORT</t>
        </is>
      </c>
      <c r="D16" s="33" t="inlineStr">
        <is>
          <t>KITKAT</t>
        </is>
      </c>
      <c r="E16" s="33" t="inlineStr">
        <is>
          <t>KITKAT</t>
        </is>
      </c>
      <c r="F16" s="33" t="inlineStr">
        <is>
          <t>VML</t>
        </is>
      </c>
      <c r="G16" s="33" t="inlineStr">
        <is>
          <t>Czech Republic</t>
        </is>
      </c>
      <c r="H16" s="33" t="inlineStr">
        <is>
          <t>Consumer Goods</t>
        </is>
      </c>
      <c r="I16" s="33" t="inlineStr">
        <is>
          <t>https://ascentialcdn.filespin.io/api/v1/conversion/5faffc268ac047f7a20b5bf0e2fb5e1a</t>
        </is>
      </c>
      <c r="J16" s="33" t="inlineStr">
        <is>
          <t>ByGNQ3wEbEY</t>
        </is>
      </c>
      <c r="K16" s="33" t="inlineStr">
        <is>
          <t>kitkat-consumer-goods</t>
        </is>
      </c>
      <c r="L16" s="33" t="inlineStr">
        <is>
          <t>https://www.lovethework.com/work/entries/public-transport-760550</t>
        </is>
      </c>
    </row>
    <row r="17">
      <c r="A17" s="33" t="n">
        <v>16</v>
      </c>
      <c r="B17" s="33" t="inlineStr">
        <is>
          <t>Silver</t>
        </is>
      </c>
      <c r="C17" s="33" t="inlineStr">
        <is>
          <t>STREET</t>
        </is>
      </c>
      <c r="D17" s="33" t="inlineStr">
        <is>
          <t>KITKAT</t>
        </is>
      </c>
      <c r="E17" s="33" t="inlineStr">
        <is>
          <t>KITKAT</t>
        </is>
      </c>
      <c r="F17" s="33" t="inlineStr">
        <is>
          <t>VML</t>
        </is>
      </c>
      <c r="G17" s="33" t="inlineStr">
        <is>
          <t>Czech Republic</t>
        </is>
      </c>
      <c r="H17" s="33" t="inlineStr">
        <is>
          <t>Consumer Goods</t>
        </is>
      </c>
      <c r="I17" s="33" t="inlineStr">
        <is>
          <t>https://ascentialcdn.filespin.io/api/v1/conversion/1d6b4cb3e726479c8a6b03da24a5d79e</t>
        </is>
      </c>
      <c r="J17" s="33" t="inlineStr">
        <is>
          <t>ByGNQ3wEbEY</t>
        </is>
      </c>
      <c r="K17" s="33" t="inlineStr">
        <is>
          <t>kitkat-consumer-goods</t>
        </is>
      </c>
      <c r="L17" s="33" t="inlineStr">
        <is>
          <t>https://www.lovethework.com/work/entries/street-760556</t>
        </is>
      </c>
    </row>
    <row r="18">
      <c r="A18" s="33" t="n">
        <v>17</v>
      </c>
      <c r="B18" s="33" t="inlineStr">
        <is>
          <t>Silver</t>
        </is>
      </c>
      <c r="C18" s="33" t="inlineStr">
        <is>
          <t>CROWD</t>
        </is>
      </c>
      <c r="D18" s="33" t="inlineStr">
        <is>
          <t>KITKAT</t>
        </is>
      </c>
      <c r="E18" s="33" t="inlineStr">
        <is>
          <t>KITKAT</t>
        </is>
      </c>
      <c r="F18" s="33" t="inlineStr">
        <is>
          <t>VML</t>
        </is>
      </c>
      <c r="G18" s="33" t="inlineStr">
        <is>
          <t>Czech Republic</t>
        </is>
      </c>
      <c r="H18" s="33" t="inlineStr">
        <is>
          <t>Consumer Goods</t>
        </is>
      </c>
      <c r="I18" s="33" t="inlineStr">
        <is>
          <t>https://ascentialcdn.filespin.io/api/v1/conversion/f6a6e5cb949d4b8fa071221329aa94bf</t>
        </is>
      </c>
      <c r="J18" s="33" t="inlineStr">
        <is>
          <t>ByGNQ3wEbEY</t>
        </is>
      </c>
      <c r="K18" s="33" t="inlineStr">
        <is>
          <t>kitkat-consumer-goods</t>
        </is>
      </c>
      <c r="L18" s="33" t="inlineStr">
        <is>
          <t>https://www.lovethework.com/work/entries/crowd-760545</t>
        </is>
      </c>
    </row>
    <row r="19">
      <c r="A19" s="33" t="n">
        <v>18</v>
      </c>
      <c r="B19" s="33" t="inlineStr">
        <is>
          <t>Silver</t>
        </is>
      </c>
      <c r="C19" s="33" t="inlineStr">
        <is>
          <t>GAME DAY</t>
        </is>
      </c>
      <c r="D19" s="33" t="inlineStr">
        <is>
          <t>STELLA ARTOIS</t>
        </is>
      </c>
      <c r="E19" s="33" t="inlineStr">
        <is>
          <t>STELLA ARTOIS</t>
        </is>
      </c>
      <c r="F19" s="33" t="inlineStr">
        <is>
          <t>OGILVY</t>
        </is>
      </c>
      <c r="G19" s="33" t="inlineStr">
        <is>
          <t>United States</t>
        </is>
      </c>
      <c r="H19" s="33" t="inlineStr">
        <is>
          <t>Consumer Goods</t>
        </is>
      </c>
      <c r="I19" s="33" t="inlineStr">
        <is>
          <t>https://ascentialcdn.filespin.io/api/v1/conversion/7bfaee649e4b417698823553cddf194e</t>
        </is>
      </c>
      <c r="J19" s="33" t="inlineStr">
        <is>
          <t>HLbAbQdJTtQ</t>
        </is>
      </c>
      <c r="K19" s="33" t="inlineStr">
        <is>
          <t>stella-artois-occasions</t>
        </is>
      </c>
      <c r="L19" s="33" t="inlineStr">
        <is>
          <t>https://www.lovethework.com/work/entries/game-day-739606</t>
        </is>
      </c>
    </row>
    <row r="20">
      <c r="A20" s="33" t="n">
        <v>19</v>
      </c>
      <c r="B20" s="33" t="inlineStr">
        <is>
          <t>Silver</t>
        </is>
      </c>
      <c r="C20" s="33" t="inlineStr">
        <is>
          <t>BIRTHDAY PARTY</t>
        </is>
      </c>
      <c r="D20" s="33" t="inlineStr">
        <is>
          <t>STELLA ARTOIS</t>
        </is>
      </c>
      <c r="E20" s="33" t="inlineStr">
        <is>
          <t>STELLA ARTOIS</t>
        </is>
      </c>
      <c r="F20" s="33" t="inlineStr">
        <is>
          <t>OGILVY</t>
        </is>
      </c>
      <c r="G20" s="33" t="inlineStr">
        <is>
          <t>United States</t>
        </is>
      </c>
      <c r="H20" s="33" t="inlineStr">
        <is>
          <t>Consumer Goods</t>
        </is>
      </c>
      <c r="I20" s="33" t="inlineStr">
        <is>
          <t>https://ascentialcdn.filespin.io/api/v1/conversion/7bfaee649e4b417698823553cddf194e</t>
        </is>
      </c>
      <c r="J20" s="33" t="inlineStr">
        <is>
          <t>kYb25YZDQ-E</t>
        </is>
      </c>
      <c r="K20" s="33" t="inlineStr">
        <is>
          <t>stella-artois-occasions</t>
        </is>
      </c>
      <c r="L20" s="33" t="inlineStr">
        <is>
          <t>https://www.lovethework.com/work/entries/birthday-party-739588</t>
        </is>
      </c>
    </row>
    <row r="21">
      <c r="A21" s="33" t="n">
        <v>20</v>
      </c>
      <c r="B21" s="33" t="inlineStr">
        <is>
          <t>Silver</t>
        </is>
      </c>
      <c r="C21" s="33" t="inlineStr">
        <is>
          <t>DINNER</t>
        </is>
      </c>
      <c r="D21" s="33" t="inlineStr">
        <is>
          <t>STELLA ARTOIS</t>
        </is>
      </c>
      <c r="E21" s="33" t="inlineStr">
        <is>
          <t>STELLA ARTOIS</t>
        </is>
      </c>
      <c r="F21" s="33" t="inlineStr">
        <is>
          <t>OGILVY</t>
        </is>
      </c>
      <c r="G21" s="33" t="inlineStr">
        <is>
          <t>United States</t>
        </is>
      </c>
      <c r="H21" s="33" t="inlineStr">
        <is>
          <t>Consumer Goods</t>
        </is>
      </c>
      <c r="I21" s="33" t="inlineStr">
        <is>
          <t>https://ascentialcdn.filespin.io/api/v1/conversion/7bfaee649e4b417698823553cddf194e</t>
        </is>
      </c>
      <c r="J21" s="33" t="inlineStr">
        <is>
          <t>bKyHQlIq-dQ</t>
        </is>
      </c>
      <c r="K21" s="33" t="inlineStr">
        <is>
          <t>stella-artois-occasions</t>
        </is>
      </c>
      <c r="L21" s="33" t="inlineStr">
        <is>
          <t>https://www.lovethework.com/work/entries/dinner-739600</t>
        </is>
      </c>
    </row>
    <row r="22">
      <c r="A22" s="33" t="n">
        <v>21</v>
      </c>
      <c r="B22" s="33" t="inlineStr">
        <is>
          <t>Silver</t>
        </is>
      </c>
      <c r="C22" s="33" t="inlineStr">
        <is>
          <t>BANANAS</t>
        </is>
      </c>
      <c r="D22" s="33" t="inlineStr">
        <is>
          <t>OREO</t>
        </is>
      </c>
      <c r="E22" s="33" t="inlineStr">
        <is>
          <t>OREO</t>
        </is>
      </c>
      <c r="F22" s="33" t="inlineStr">
        <is>
          <t>LEPUB BOGOTA</t>
        </is>
      </c>
      <c r="G22" s="33" t="inlineStr">
        <is>
          <t>Colombia</t>
        </is>
      </c>
      <c r="H22" s="33" t="inlineStr">
        <is>
          <t>Consumer Goods</t>
        </is>
      </c>
      <c r="I22" s="33" t="inlineStr">
        <is>
          <t>https://ascentialcdn.filespin.io/api/v1/conversion/2e8876adc7f74c79b691fdfab21733d3</t>
        </is>
      </c>
      <c r="J22" s="33" t="inlineStr">
        <is>
          <t>p_3AcLnU1A8</t>
        </is>
      </c>
      <c r="K22" s="33" t="inlineStr">
        <is>
          <t>oreo-consumer-goods</t>
        </is>
      </c>
      <c r="L22" s="33" t="inlineStr">
        <is>
          <t>https://www.lovethework.com/work/entries/bananas-764516</t>
        </is>
      </c>
    </row>
    <row r="23">
      <c r="A23" s="33" t="n">
        <v>22</v>
      </c>
      <c r="B23" s="33" t="inlineStr">
        <is>
          <t>Silver</t>
        </is>
      </c>
      <c r="C23" s="33" t="inlineStr">
        <is>
          <t>EGGS</t>
        </is>
      </c>
      <c r="D23" s="33" t="inlineStr">
        <is>
          <t>OREO</t>
        </is>
      </c>
      <c r="E23" s="33" t="inlineStr">
        <is>
          <t>OREO</t>
        </is>
      </c>
      <c r="F23" s="33" t="inlineStr">
        <is>
          <t>LEPUB BOGOTA</t>
        </is>
      </c>
      <c r="G23" s="33" t="inlineStr">
        <is>
          <t>Colombia</t>
        </is>
      </c>
      <c r="H23" s="33" t="inlineStr">
        <is>
          <t>Consumer Goods</t>
        </is>
      </c>
      <c r="I23" s="33" t="inlineStr">
        <is>
          <t>https://ascentialcdn.filespin.io/api/v1/conversion/bde69bf2e7be40499498d5c2b091ec54</t>
        </is>
      </c>
      <c r="J23" s="33" t="inlineStr">
        <is>
          <t>p_3AcLnU1A8</t>
        </is>
      </c>
      <c r="K23" s="33" t="inlineStr">
        <is>
          <t>oreo-consumer-goods</t>
        </is>
      </c>
      <c r="L23" s="33" t="inlineStr">
        <is>
          <t>https://www.lovethework.com/work/entries/eggs-764497</t>
        </is>
      </c>
    </row>
    <row r="24">
      <c r="A24" s="33" t="n">
        <v>23</v>
      </c>
      <c r="B24" s="33" t="inlineStr">
        <is>
          <t>Silver</t>
        </is>
      </c>
      <c r="C24" s="33" t="inlineStr">
        <is>
          <t>THE SHAKESPEARE BIC</t>
        </is>
      </c>
      <c r="D24" s="33" t="inlineStr">
        <is>
          <t>BIC</t>
        </is>
      </c>
      <c r="E24" s="33" t="inlineStr">
        <is>
          <t>BIC CRYSTAL PEN</t>
        </is>
      </c>
      <c r="F24" s="33" t="inlineStr">
        <is>
          <t>VML</t>
        </is>
      </c>
      <c r="G24" s="33" t="inlineStr">
        <is>
          <t>Brazil</t>
        </is>
      </c>
      <c r="H24" s="33" t="inlineStr">
        <is>
          <t>Innovative and adapted use of Print &amp; Publishing</t>
        </is>
      </c>
      <c r="I24" s="33" t="inlineStr">
        <is>
          <t>https://ascentialcdn.filespin.io/api/v1/conversion/3bc3455889f14af89ad13e749464c1f2</t>
        </is>
      </c>
      <c r="J24" s="33" t="inlineStr">
        <is>
          <t>5ngNVTeyi4g</t>
        </is>
      </c>
      <c r="L24" s="33" t="inlineStr">
        <is>
          <t>https://www.lovethework.com/work/entries/the-shakespeare-bic-740046</t>
        </is>
      </c>
    </row>
    <row r="25">
      <c r="A25" s="33" t="n">
        <v>24</v>
      </c>
      <c r="B25" s="33" t="inlineStr">
        <is>
          <t>Silver</t>
        </is>
      </c>
      <c r="C25" s="33" t="inlineStr">
        <is>
          <t>DUCK</t>
        </is>
      </c>
      <c r="D25" s="33" t="inlineStr">
        <is>
          <t>OREO</t>
        </is>
      </c>
      <c r="E25" s="33" t="inlineStr">
        <is>
          <t>OREO</t>
        </is>
      </c>
      <c r="F25" s="33" t="inlineStr">
        <is>
          <t>LEPUB BOGOTA</t>
        </is>
      </c>
      <c r="G25" s="33" t="inlineStr">
        <is>
          <t>Colombia</t>
        </is>
      </c>
      <c r="H25" s="33" t="inlineStr">
        <is>
          <t>Consumer Goods</t>
        </is>
      </c>
      <c r="I25" s="33" t="inlineStr">
        <is>
          <t>https://ascentialcdn.filespin.io/api/v1/conversion/2b000adce52c43929b343bdac9dd757a</t>
        </is>
      </c>
      <c r="J25" s="33" t="inlineStr">
        <is>
          <t>p_3AcLnU1A8</t>
        </is>
      </c>
      <c r="K25" s="33" t="inlineStr">
        <is>
          <t>oreo-consumer-goods</t>
        </is>
      </c>
      <c r="L25" s="33" t="inlineStr">
        <is>
          <t>https://www.lovethework.com/work/entries/duck-764523</t>
        </is>
      </c>
    </row>
    <row r="26">
      <c r="A26" s="33" t="n">
        <v>25</v>
      </c>
      <c r="B26" s="33" t="inlineStr">
        <is>
          <t>Silver</t>
        </is>
      </c>
      <c r="C26" s="33" t="inlineStr">
        <is>
          <t>CORONA ECLIPSE</t>
        </is>
      </c>
      <c r="D26" s="33" t="inlineStr">
        <is>
          <t>CORONA</t>
        </is>
      </c>
      <c r="E26" s="33" t="inlineStr">
        <is>
          <t>CORONA</t>
        </is>
      </c>
      <c r="F26" s="33" t="inlineStr">
        <is>
          <t>DAVID</t>
        </is>
      </c>
      <c r="G26" s="33" t="inlineStr">
        <is>
          <t>United States</t>
        </is>
      </c>
      <c r="H26" s="33" t="inlineStr">
        <is>
          <t>Social Behaviour</t>
        </is>
      </c>
      <c r="I26" s="33" t="inlineStr">
        <is>
          <t>https://ascentialcdn.filespin.io/api/v1/conversion/f853d90cf7e444e99add88e4dc3a069b</t>
        </is>
      </c>
      <c r="J26" s="33" t="inlineStr">
        <is>
          <t>ViJvHO9BxvU</t>
        </is>
      </c>
      <c r="L26" s="33" t="inlineStr">
        <is>
          <t>https://www.lovethework.com/work/entries/corona-eclipse-740137</t>
        </is>
      </c>
    </row>
    <row r="27">
      <c r="A27" s="33" t="n">
        <v>26</v>
      </c>
      <c r="B27" s="33" t="inlineStr">
        <is>
          <t>Bronze</t>
        </is>
      </c>
      <c r="C27" s="33" t="inlineStr">
        <is>
          <t>JORDAN 23</t>
        </is>
      </c>
      <c r="D27" s="33" t="inlineStr">
        <is>
          <t>NBA INDIA</t>
        </is>
      </c>
      <c r="E27" s="33" t="inlineStr">
        <is>
          <t>BASKETBALL</t>
        </is>
      </c>
      <c r="F27" s="33" t="inlineStr">
        <is>
          <t>LEO</t>
        </is>
      </c>
      <c r="G27" s="33" t="inlineStr">
        <is>
          <t>United Arab Emirates</t>
        </is>
      </c>
      <c r="H27" s="33" t="inlineStr">
        <is>
          <t>Travel, Leisure, Retail, Restaurants &amp; Fast-Food Chains</t>
        </is>
      </c>
      <c r="I27" s="33" t="inlineStr">
        <is>
          <t>https://ascentialcdn.filespin.io/api/v1/conversion/c5b031a5911b4850a76ea7fd56dbea94</t>
        </is>
      </c>
      <c r="J27" s="33" t="inlineStr">
        <is>
          <t>mp4:https://video.adsoftheworld.com/ibifauwq5kyl1e6ba8ooyoj4clnb.mp4</t>
        </is>
      </c>
      <c r="K27" s="33" t="inlineStr">
        <is>
          <t>nba-india-travel-leisure-retail-restaurants-fast-food-chains</t>
        </is>
      </c>
      <c r="L27" s="33" t="inlineStr">
        <is>
          <t>https://www.lovethework.com/work/entries/jordan-23-739924</t>
        </is>
      </c>
    </row>
    <row r="28">
      <c r="A28" s="33" t="n">
        <v>27</v>
      </c>
      <c r="B28" s="33" t="inlineStr">
        <is>
          <t>Bronze</t>
        </is>
      </c>
      <c r="C28" s="33" t="inlineStr">
        <is>
          <t>RUNNING</t>
        </is>
      </c>
      <c r="D28" s="33" t="inlineStr">
        <is>
          <t>DIRT IS GOOD</t>
        </is>
      </c>
      <c r="E28" s="33" t="inlineStr">
        <is>
          <t>PERSIL</t>
        </is>
      </c>
      <c r="F28" s="33" t="inlineStr">
        <is>
          <t>MULLENLOWE UK</t>
        </is>
      </c>
      <c r="G28" s="33" t="inlineStr">
        <is>
          <t>United Kingdom</t>
        </is>
      </c>
      <c r="H28" s="33" t="inlineStr">
        <is>
          <t>Consumer Goods</t>
        </is>
      </c>
      <c r="I28" s="33" t="inlineStr">
        <is>
          <t>https://ascentialcdn.filespin.io/api/v1/conversion/7f9c50afbfc4459aa7a6bc82ca0b9c86</t>
        </is>
      </c>
      <c r="J28" s="33" t="inlineStr">
        <is>
          <t>invT2-ON-k4</t>
        </is>
      </c>
      <c r="K28" s="33" t="inlineStr">
        <is>
          <t>dirt-is-good-consumer-goods</t>
        </is>
      </c>
      <c r="L28" s="33" t="inlineStr">
        <is>
          <t>https://www.lovethework.com/work/entries/running-739716</t>
        </is>
      </c>
    </row>
    <row r="29">
      <c r="A29" s="33" t="n">
        <v>28</v>
      </c>
      <c r="B29" s="33" t="inlineStr">
        <is>
          <t>Bronze</t>
        </is>
      </c>
      <c r="C29" s="33" t="inlineStr">
        <is>
          <t>WAVES</t>
        </is>
      </c>
      <c r="D29" s="33" t="inlineStr">
        <is>
          <t>CORNETTO</t>
        </is>
      </c>
      <c r="E29" s="33" t="inlineStr">
        <is>
          <t>CORNETTO ICE CREAM</t>
        </is>
      </c>
      <c r="F29" s="33" t="inlineStr">
        <is>
          <t>LOLA MULLENLOWE</t>
        </is>
      </c>
      <c r="G29" s="33" t="inlineStr">
        <is>
          <t>Spain</t>
        </is>
      </c>
      <c r="H29" s="33" t="inlineStr">
        <is>
          <t>Consumer Goods</t>
        </is>
      </c>
      <c r="I29" s="33" t="inlineStr">
        <is>
          <t>https://ascentialcdn.filespin.io/api/v1/conversion/35c567148f6e40e1a267849bde62ba92</t>
        </is>
      </c>
      <c r="J29" s="33" t="inlineStr">
        <is>
          <t>hWhvFLwHOlE</t>
        </is>
      </c>
      <c r="K29" s="33" t="inlineStr">
        <is>
          <t>cornetto-consumer-goods</t>
        </is>
      </c>
      <c r="L29" s="33" t="inlineStr">
        <is>
          <t>https://www.lovethework.com/work/entries/waves-758582</t>
        </is>
      </c>
    </row>
    <row r="30">
      <c r="A30" s="33" t="n">
        <v>29</v>
      </c>
      <c r="B30" s="33" t="inlineStr">
        <is>
          <t>Bronze</t>
        </is>
      </c>
      <c r="C30" s="33" t="inlineStr">
        <is>
          <t>HISTORY OUTNUMBERED</t>
        </is>
      </c>
      <c r="D30" s="33" t="inlineStr">
        <is>
          <t>HISTORY CHANNEL</t>
        </is>
      </c>
      <c r="E30" s="33" t="inlineStr">
        <is>
          <t>HISTORY CHANNEL</t>
        </is>
      </c>
      <c r="F30" s="33" t="inlineStr">
        <is>
          <t>DENTSU CREATIVE</t>
        </is>
      </c>
      <c r="G30" s="33" t="inlineStr">
        <is>
          <t>Portugal</t>
        </is>
      </c>
      <c r="H30" s="33" t="inlineStr">
        <is>
          <t>Corporate Purpose &amp; Social Responsibility</t>
        </is>
      </c>
      <c r="I30" s="33" t="inlineStr">
        <is>
          <t>https://ascentialcdn.filespin.io/api/v1/conversion/07c2f6587e874a9db8f1446fd7f9d520</t>
        </is>
      </c>
      <c r="J30" s="33" t="inlineStr">
        <is>
          <t>W29029BIbvY</t>
        </is>
      </c>
      <c r="L30" s="33" t="inlineStr">
        <is>
          <t>https://www.lovethework.com/work/entries/history-outnumbered-760429</t>
        </is>
      </c>
    </row>
    <row r="31">
      <c r="A31" s="33" t="n">
        <v>30</v>
      </c>
      <c r="B31" s="33" t="inlineStr">
        <is>
          <t>Bronze</t>
        </is>
      </c>
      <c r="C31" s="33" t="inlineStr">
        <is>
          <t>WINDSURF</t>
        </is>
      </c>
      <c r="D31" s="33" t="inlineStr">
        <is>
          <t>CORNETTO</t>
        </is>
      </c>
      <c r="E31" s="33" t="inlineStr">
        <is>
          <t>CORNETTO ICE CREAM</t>
        </is>
      </c>
      <c r="F31" s="33" t="inlineStr">
        <is>
          <t>LOLA MULLENLOWE</t>
        </is>
      </c>
      <c r="G31" s="33" t="inlineStr">
        <is>
          <t>Spain</t>
        </is>
      </c>
      <c r="H31" s="33" t="inlineStr">
        <is>
          <t>Consumer Goods</t>
        </is>
      </c>
      <c r="I31" s="33" t="inlineStr">
        <is>
          <t>https://ascentialcdn.filespin.io/api/v1/conversion/2f9ebcc7b9ec4ad9a4dcf79bd56fa88b</t>
        </is>
      </c>
      <c r="J31" s="33" t="inlineStr">
        <is>
          <t>hWhvFLwHOlE</t>
        </is>
      </c>
      <c r="K31" s="33" t="inlineStr">
        <is>
          <t>cornetto-consumer-goods</t>
        </is>
      </c>
      <c r="L31" s="33" t="inlineStr">
        <is>
          <t>https://www.lovethework.com/work/entries/windsurf-758599</t>
        </is>
      </c>
    </row>
    <row r="32">
      <c r="A32" s="33" t="n">
        <v>31</v>
      </c>
      <c r="B32" s="33" t="inlineStr">
        <is>
          <t>Bronze</t>
        </is>
      </c>
      <c r="C32" s="33" t="inlineStr">
        <is>
          <t>SHAQ 34</t>
        </is>
      </c>
      <c r="D32" s="33" t="inlineStr">
        <is>
          <t>NBA INDIA</t>
        </is>
      </c>
      <c r="E32" s="33" t="inlineStr">
        <is>
          <t>BASKETBALL</t>
        </is>
      </c>
      <c r="F32" s="33" t="inlineStr">
        <is>
          <t>LEO</t>
        </is>
      </c>
      <c r="G32" s="33" t="inlineStr">
        <is>
          <t>United Arab Emirates</t>
        </is>
      </c>
      <c r="H32" s="33" t="inlineStr">
        <is>
          <t>Travel, Leisure, Retail, Restaurants &amp; Fast-Food Chains</t>
        </is>
      </c>
      <c r="I32" s="33" t="inlineStr">
        <is>
          <t>https://ascentialcdn.filespin.io/api/v1/conversion/e7cc0c06262e42b19cab333197725351</t>
        </is>
      </c>
      <c r="J32" s="33" t="inlineStr">
        <is>
          <t>mp4:https://video.adsoftheworld.com/ibifauwq5kyl1e6ba8ooyoj4clnb.mp4</t>
        </is>
      </c>
      <c r="K32" s="33" t="inlineStr">
        <is>
          <t>nba-india-travel-leisure-retail-restaurants-fast-food-chains</t>
        </is>
      </c>
      <c r="L32" s="33" t="inlineStr">
        <is>
          <t>https://www.lovethework.com/work/entries/shaq-34-739934</t>
        </is>
      </c>
    </row>
    <row r="33">
      <c r="A33" s="33" t="n">
        <v>32</v>
      </c>
      <c r="B33" s="33" t="inlineStr">
        <is>
          <t>Bronze</t>
        </is>
      </c>
      <c r="C33" s="33" t="inlineStr">
        <is>
          <t>KICK BOXING</t>
        </is>
      </c>
      <c r="D33" s="33" t="inlineStr">
        <is>
          <t>DIRT IS GOOD</t>
        </is>
      </c>
      <c r="E33" s="33" t="inlineStr">
        <is>
          <t>PERSIL</t>
        </is>
      </c>
      <c r="F33" s="33" t="inlineStr">
        <is>
          <t>MULLENLOWE UK</t>
        </is>
      </c>
      <c r="G33" s="33" t="inlineStr">
        <is>
          <t>United Kingdom</t>
        </is>
      </c>
      <c r="H33" s="33" t="inlineStr">
        <is>
          <t>Consumer Goods</t>
        </is>
      </c>
      <c r="I33" s="33" t="inlineStr">
        <is>
          <t>https://ascentialcdn.filespin.io/api/v1/conversion/38843c3e975e4cdfb57d5df8c625382d</t>
        </is>
      </c>
      <c r="J33" s="33" t="inlineStr">
        <is>
          <t>invT2-ON-k4</t>
        </is>
      </c>
      <c r="K33" s="33" t="inlineStr">
        <is>
          <t>dirt-is-good-consumer-goods</t>
        </is>
      </c>
      <c r="L33" s="33" t="inlineStr">
        <is>
          <t>https://www.lovethework.com/work/entries/kick-boxing-739728</t>
        </is>
      </c>
    </row>
    <row r="34">
      <c r="A34" s="33" t="n">
        <v>33</v>
      </c>
      <c r="B34" s="33" t="inlineStr">
        <is>
          <t>Bronze</t>
        </is>
      </c>
      <c r="C34" s="33" t="inlineStr">
        <is>
          <t>LEBRON 6</t>
        </is>
      </c>
      <c r="D34" s="33" t="inlineStr">
        <is>
          <t>NBA INDIA</t>
        </is>
      </c>
      <c r="E34" s="33" t="inlineStr">
        <is>
          <t>BASKETBALL</t>
        </is>
      </c>
      <c r="F34" s="33" t="inlineStr">
        <is>
          <t>LEO</t>
        </is>
      </c>
      <c r="G34" s="33" t="inlineStr">
        <is>
          <t>United Arab Emirates</t>
        </is>
      </c>
      <c r="H34" s="33" t="inlineStr">
        <is>
          <t>Travel, Leisure, Retail, Restaurants &amp; Fast-Food Chains</t>
        </is>
      </c>
      <c r="I34" s="33" t="inlineStr">
        <is>
          <t>https://ascentialcdn.filespin.io/api/v1/conversion/c9a1239df73f4604809221939576d7f1</t>
        </is>
      </c>
      <c r="J34" s="33" t="inlineStr">
        <is>
          <t>mp4:https://video.adsoftheworld.com/ibifauwq5kyl1e6ba8ooyoj4clnb.mp4</t>
        </is>
      </c>
      <c r="K34" s="33" t="inlineStr">
        <is>
          <t>nba-india-travel-leisure-retail-restaurants-fast-food-chains</t>
        </is>
      </c>
      <c r="L34" s="33" t="inlineStr">
        <is>
          <t>https://www.lovethework.com/work/entries/lebron-6-739952</t>
        </is>
      </c>
    </row>
    <row r="35">
      <c r="A35" s="33" t="n">
        <v>34</v>
      </c>
      <c r="B35" s="33" t="inlineStr">
        <is>
          <t>Bronze</t>
        </is>
      </c>
      <c r="C35" s="33" t="inlineStr">
        <is>
          <t>FOUND IN TRANSLATION</t>
        </is>
      </c>
      <c r="D35" s="33" t="inlineStr">
        <is>
          <t>MEDALLA LIGHT</t>
        </is>
      </c>
      <c r="E35" s="33" t="inlineStr">
        <is>
          <t>MEDALLA LIGHT</t>
        </is>
      </c>
      <c r="F35" s="33" t="inlineStr">
        <is>
          <t>DDB LATINA PUERTO RICO</t>
        </is>
      </c>
      <c r="G35" s="33" t="inlineStr">
        <is>
          <t>Puerto Rico</t>
        </is>
      </c>
      <c r="H35" s="33" t="inlineStr">
        <is>
          <t>Cultural Engagement</t>
        </is>
      </c>
      <c r="I35" s="33" t="inlineStr">
        <is>
          <t>https://ascentialcdn.filespin.io/api/v1/conversion/e7509fe94193449ab6656099498b127b</t>
        </is>
      </c>
      <c r="J35" s="33" t="inlineStr">
        <is>
          <t>O_uAjIgBx2g</t>
        </is>
      </c>
      <c r="L35" s="33" t="inlineStr">
        <is>
          <t>https://www.lovethework.com/work/entries/found-in-translation-740061</t>
        </is>
      </c>
    </row>
    <row r="36">
      <c r="A36" s="33" t="n">
        <v>35</v>
      </c>
      <c r="B36" s="33" t="inlineStr">
        <is>
          <t>Bronze</t>
        </is>
      </c>
      <c r="C36" s="33" t="inlineStr">
        <is>
          <t>DIVER</t>
        </is>
      </c>
      <c r="D36" s="33" t="inlineStr">
        <is>
          <t>CORNETTO</t>
        </is>
      </c>
      <c r="E36" s="33" t="inlineStr">
        <is>
          <t>CORNETTO ICE CREAM</t>
        </is>
      </c>
      <c r="F36" s="33" t="inlineStr">
        <is>
          <t>LOLA MULLENLOWE</t>
        </is>
      </c>
      <c r="G36" s="33" t="inlineStr">
        <is>
          <t>Spain</t>
        </is>
      </c>
      <c r="H36" s="33" t="inlineStr">
        <is>
          <t>Consumer Goods</t>
        </is>
      </c>
      <c r="I36" s="33" t="inlineStr">
        <is>
          <t>https://ascentialcdn.filespin.io/api/v1/conversion/e42388f28bfb41c7ad9b20fe7d0d6982</t>
        </is>
      </c>
      <c r="J36" s="33" t="inlineStr">
        <is>
          <t>hWhvFLwHOlE</t>
        </is>
      </c>
      <c r="K36" s="33" t="inlineStr">
        <is>
          <t>cornetto-consumer-goods</t>
        </is>
      </c>
      <c r="L36" s="33" t="inlineStr">
        <is>
          <t>https://www.lovethework.com/work/entries/diver-758726</t>
        </is>
      </c>
    </row>
    <row r="37">
      <c r="A37" s="33" t="n">
        <v>36</v>
      </c>
      <c r="B37" s="33" t="inlineStr">
        <is>
          <t>Bronze</t>
        </is>
      </c>
      <c r="C37" s="33" t="inlineStr">
        <is>
          <t>EYE - SHOT ON FABER-CASTELL</t>
        </is>
      </c>
      <c r="D37" s="33" t="inlineStr">
        <is>
          <t>FABER CASTELL</t>
        </is>
      </c>
      <c r="E37" s="33" t="inlineStr">
        <is>
          <t>FABER-CASTELL</t>
        </is>
      </c>
      <c r="F37" s="33" t="inlineStr">
        <is>
          <t>DAVID</t>
        </is>
      </c>
      <c r="G37" s="33" t="inlineStr">
        <is>
          <t>Brazil</t>
        </is>
      </c>
      <c r="H37" s="33" t="inlineStr">
        <is>
          <t>Consumer Goods</t>
        </is>
      </c>
      <c r="I37" s="33" t="inlineStr">
        <is>
          <t>https://ascentialcdn.filespin.io/api/v1/conversion/13a4275fa0744f33abce7c940e31f041</t>
        </is>
      </c>
      <c r="J37" s="33" t="inlineStr">
        <is>
          <t>vimeo:946365669</t>
        </is>
      </c>
      <c r="K37" s="33" t="inlineStr">
        <is>
          <t>faber-castell-consumer-goods</t>
        </is>
      </c>
      <c r="L37" s="33" t="inlineStr">
        <is>
          <t>https://www.lovethework.com/work/entries/eye-shot-on-faber-castell-739620</t>
        </is>
      </c>
    </row>
    <row r="38">
      <c r="A38" s="33" t="n">
        <v>37</v>
      </c>
      <c r="B38" s="33" t="inlineStr">
        <is>
          <t>Bronze</t>
        </is>
      </c>
      <c r="C38" s="33" t="inlineStr">
        <is>
          <t>BOAT</t>
        </is>
      </c>
      <c r="D38" s="33" t="inlineStr">
        <is>
          <t>CORNETTO</t>
        </is>
      </c>
      <c r="E38" s="33" t="inlineStr">
        <is>
          <t>CORNETTO ICE CREAM</t>
        </is>
      </c>
      <c r="F38" s="33" t="inlineStr">
        <is>
          <t>LOLA MULLENLOWE</t>
        </is>
      </c>
      <c r="G38" s="33" t="inlineStr">
        <is>
          <t>Spain</t>
        </is>
      </c>
      <c r="H38" s="33" t="inlineStr">
        <is>
          <t>Consumer Goods</t>
        </is>
      </c>
      <c r="I38" s="33" t="inlineStr">
        <is>
          <t>https://ascentialcdn.filespin.io/api/v1/conversion/3a177c8b37754037a19ddf0d99c858db</t>
        </is>
      </c>
      <c r="J38" s="33" t="inlineStr">
        <is>
          <t>hWhvFLwHOlE</t>
        </is>
      </c>
      <c r="K38" s="33" t="inlineStr">
        <is>
          <t>cornetto-consumer-goods</t>
        </is>
      </c>
      <c r="L38" s="33" t="inlineStr">
        <is>
          <t>https://www.lovethework.com/work/entries/boat-758573</t>
        </is>
      </c>
    </row>
    <row r="39">
      <c r="A39" s="33" t="n">
        <v>38</v>
      </c>
      <c r="B39" s="33" t="inlineStr">
        <is>
          <t>Bronze</t>
        </is>
      </c>
      <c r="C39" s="33" t="inlineStr">
        <is>
          <t>LEMON - SHOT ON FABER-CASTELL</t>
        </is>
      </c>
      <c r="D39" s="33" t="inlineStr">
        <is>
          <t>FABER CASTELL</t>
        </is>
      </c>
      <c r="E39" s="33" t="inlineStr">
        <is>
          <t>FABER-CASTELL</t>
        </is>
      </c>
      <c r="F39" s="33" t="inlineStr">
        <is>
          <t>DAVID</t>
        </is>
      </c>
      <c r="G39" s="33" t="inlineStr">
        <is>
          <t>Brazil</t>
        </is>
      </c>
      <c r="H39" s="33" t="inlineStr">
        <is>
          <t>Consumer Goods</t>
        </is>
      </c>
      <c r="I39" s="33" t="inlineStr">
        <is>
          <t>https://ascentialcdn.filespin.io/api/v1/conversion/3a49c191a12941509feeea5c2f551a2b</t>
        </is>
      </c>
      <c r="J39" s="33" t="inlineStr">
        <is>
          <t>vimeo:946365669</t>
        </is>
      </c>
      <c r="K39" s="33" t="inlineStr">
        <is>
          <t>faber-castell-consumer-goods</t>
        </is>
      </c>
      <c r="L39" s="33" t="inlineStr">
        <is>
          <t>https://www.lovethework.com/work/entries/lemon-shot-on-faber-castell-739605</t>
        </is>
      </c>
    </row>
    <row r="40">
      <c r="A40" s="33" t="n">
        <v>39</v>
      </c>
      <c r="B40" s="33" t="inlineStr">
        <is>
          <t>Bronze</t>
        </is>
      </c>
      <c r="C40" s="33" t="inlineStr">
        <is>
          <t>SURFER</t>
        </is>
      </c>
      <c r="D40" s="33" t="inlineStr">
        <is>
          <t>CORNETTO</t>
        </is>
      </c>
      <c r="E40" s="33" t="inlineStr">
        <is>
          <t>CORNETTO ICE CREAM</t>
        </is>
      </c>
      <c r="F40" s="33" t="inlineStr">
        <is>
          <t>LOLA MULLENLOWE</t>
        </is>
      </c>
      <c r="G40" s="33" t="inlineStr">
        <is>
          <t>Spain</t>
        </is>
      </c>
      <c r="H40" s="33" t="inlineStr">
        <is>
          <t>Consumer Goods</t>
        </is>
      </c>
      <c r="I40" s="33" t="inlineStr">
        <is>
          <t>https://ascentialcdn.filespin.io/api/v1/conversion/9ceaf650a007496f90b6d5670786b4df</t>
        </is>
      </c>
      <c r="J40" s="33" t="inlineStr">
        <is>
          <t>hWhvFLwHOlE</t>
        </is>
      </c>
      <c r="K40" s="33" t="inlineStr">
        <is>
          <t>cornetto-consumer-goods</t>
        </is>
      </c>
      <c r="L40" s="33" t="inlineStr">
        <is>
          <t>https://www.lovethework.com/work/entries/surfer-758590</t>
        </is>
      </c>
    </row>
    <row r="41">
      <c r="A41" s="33" t="n">
        <v>40</v>
      </c>
      <c r="B41" s="33" t="inlineStr">
        <is>
          <t>Bronze</t>
        </is>
      </c>
      <c r="C41" s="33" t="inlineStr">
        <is>
          <t>KOBE 8</t>
        </is>
      </c>
      <c r="D41" s="33" t="inlineStr">
        <is>
          <t>NBA INDIA</t>
        </is>
      </c>
      <c r="E41" s="33" t="inlineStr">
        <is>
          <t>BASKETBALL</t>
        </is>
      </c>
      <c r="F41" s="33" t="inlineStr">
        <is>
          <t>LEO</t>
        </is>
      </c>
      <c r="G41" s="33" t="inlineStr">
        <is>
          <t>United Arab Emirates</t>
        </is>
      </c>
      <c r="H41" s="33" t="inlineStr">
        <is>
          <t>Travel, Leisure, Retail, Restaurants &amp; Fast-Food Chains</t>
        </is>
      </c>
      <c r="I41" s="33" t="inlineStr">
        <is>
          <t>https://ascentialcdn.filespin.io/api/v1/conversion/d693c1e769a741a4b475d5ec8a7e89a1</t>
        </is>
      </c>
      <c r="J41" s="33" t="inlineStr">
        <is>
          <t>mp4:https://video.adsoftheworld.com/ibifauwq5kyl1e6ba8ooyoj4clnb.mp4</t>
        </is>
      </c>
      <c r="K41" s="33" t="inlineStr">
        <is>
          <t>nba-india-travel-leisure-retail-restaurants-fast-food-chains</t>
        </is>
      </c>
      <c r="L41" s="33" t="inlineStr">
        <is>
          <t>https://www.lovethework.com/work/entries/kobe-8-739945</t>
        </is>
      </c>
    </row>
    <row r="42">
      <c r="A42" s="33" t="n">
        <v>41</v>
      </c>
      <c r="B42" s="33" t="inlineStr">
        <is>
          <t>Bronze</t>
        </is>
      </c>
      <c r="C42" s="33" t="inlineStr">
        <is>
          <t>SCHOLARSHIP IN BOOKS</t>
        </is>
      </c>
      <c r="D42" s="33" t="inlineStr">
        <is>
          <t>UNIASSELVI</t>
        </is>
      </c>
      <c r="E42" s="33" t="inlineStr">
        <is>
          <t>SCHOLARSHIPS</t>
        </is>
      </c>
      <c r="F42" s="33" t="inlineStr">
        <is>
          <t>BETC HAVAS</t>
        </is>
      </c>
      <c r="G42" s="33" t="inlineStr">
        <is>
          <t>Brazil</t>
        </is>
      </c>
      <c r="H42" s="33" t="inlineStr">
        <is>
          <t>Corporate Purpose &amp; Social Responsibility</t>
        </is>
      </c>
      <c r="I42" s="33" t="inlineStr">
        <is>
          <t>https://ascentialcdn.filespin.io/api/v1/conversion/9dcab7bc84b744cea2a588c2b63f30c2</t>
        </is>
      </c>
      <c r="J42" s="33" t="inlineStr">
        <is>
          <t>vimeo:1093833192</t>
        </is>
      </c>
      <c r="L42" s="33" t="inlineStr">
        <is>
          <t>https://www.lovethework.com/work/entries/scholarship-in-books-740104</t>
        </is>
      </c>
    </row>
    <row r="43">
      <c r="A43" s="33" t="n">
        <v>42</v>
      </c>
      <c r="B43" s="33" t="inlineStr">
        <is>
          <t>Bronze</t>
        </is>
      </c>
      <c r="C43" s="33" t="inlineStr">
        <is>
          <t>PUBIC SERVICE ANNOUNCEMENT</t>
        </is>
      </c>
      <c r="D43" s="33" t="inlineStr">
        <is>
          <t>KIEHL'S</t>
        </is>
      </c>
      <c r="E43" s="33" t="inlineStr">
        <is>
          <t>KIEHLâS DERMATOLOGIST BRANDâS INTIMATE CARE LINE-UP INCLUDING INGROWN HAIR &amp; TONE CORRECTIVE DROPS.</t>
        </is>
      </c>
      <c r="F43" s="33" t="inlineStr">
        <is>
          <t>MARCEL</t>
        </is>
      </c>
      <c r="G43" s="33" t="inlineStr">
        <is>
          <t>France</t>
        </is>
      </c>
      <c r="H43" s="33" t="inlineStr">
        <is>
          <t>Cultural Engagement</t>
        </is>
      </c>
      <c r="I43" s="33" t="inlineStr">
        <is>
          <t>digital-presentation-images/print-and-publishing-kiehls-public-service-announcement.webp</t>
        </is>
      </c>
      <c r="J43" s="33" t="inlineStr">
        <is>
          <t>HhChMlLE2QU</t>
        </is>
      </c>
      <c r="L43" s="33" t="inlineStr">
        <is>
          <t>https://www.lovethework.com/work/entries/pubic-service-announcement-760516</t>
        </is>
      </c>
    </row>
    <row r="44">
      <c r="A44" s="33" t="n">
        <v>43</v>
      </c>
      <c r="B44" s="33" t="inlineStr">
        <is>
          <t>Bronze</t>
        </is>
      </c>
      <c r="C44" s="33" t="inlineStr">
        <is>
          <t>COFFEE - SHOT ON FABER-CASTELL</t>
        </is>
      </c>
      <c r="D44" s="33" t="inlineStr">
        <is>
          <t>FABER CASTELL</t>
        </is>
      </c>
      <c r="E44" s="33" t="inlineStr">
        <is>
          <t>FABER-CASTELL</t>
        </is>
      </c>
      <c r="F44" s="33" t="inlineStr">
        <is>
          <t>DAVID</t>
        </is>
      </c>
      <c r="G44" s="33" t="inlineStr">
        <is>
          <t>Brazil</t>
        </is>
      </c>
      <c r="H44" s="33" t="inlineStr">
        <is>
          <t>Consumer Goods</t>
        </is>
      </c>
      <c r="I44" s="33" t="inlineStr">
        <is>
          <t>https://ascentialcdn.filespin.io/api/v1/conversion/2d1f419e936b4d0ea17e3840fa1b8a50</t>
        </is>
      </c>
      <c r="J44" s="33" t="inlineStr">
        <is>
          <t>vimeo:946365669</t>
        </is>
      </c>
      <c r="K44" s="33" t="inlineStr">
        <is>
          <t>faber-castell-consumer-goods</t>
        </is>
      </c>
      <c r="L44" s="33" t="inlineStr">
        <is>
          <t>https://www.lovethework.com/work/entries/coffee-shot-on-faber-castell-739612</t>
        </is>
      </c>
    </row>
    <row r="45">
      <c r="A45" s="33" t="n">
        <v>44</v>
      </c>
      <c r="B45" s="33" t="inlineStr">
        <is>
          <t>Bronze</t>
        </is>
      </c>
      <c r="C45" s="33" t="inlineStr">
        <is>
          <t>FOOTBALL</t>
        </is>
      </c>
      <c r="D45" s="33" t="inlineStr">
        <is>
          <t>DIRT IS GOOD</t>
        </is>
      </c>
      <c r="E45" s="33" t="inlineStr">
        <is>
          <t>PERSIL</t>
        </is>
      </c>
      <c r="F45" s="33" t="inlineStr">
        <is>
          <t>MULLENLOWE UK</t>
        </is>
      </c>
      <c r="G45" s="33" t="inlineStr">
        <is>
          <t>United Kingdom</t>
        </is>
      </c>
      <c r="H45" s="33" t="inlineStr">
        <is>
          <t>Consumer Goods</t>
        </is>
      </c>
      <c r="I45" s="33" t="inlineStr">
        <is>
          <t>https://ascentialcdn.filespin.io/api/v1/conversion/9d66925a6eb0418eb99f0354abd04b27</t>
        </is>
      </c>
      <c r="J45" s="33" t="inlineStr">
        <is>
          <t>invT2-ON-k4</t>
        </is>
      </c>
      <c r="K45" s="33" t="inlineStr">
        <is>
          <t>dirt-is-good-consumer-goods</t>
        </is>
      </c>
      <c r="L45" s="33" t="inlineStr">
        <is>
          <t>https://www.lovethework.com/work/entries/football-739709</t>
        </is>
      </c>
    </row>
    <row r="46">
      <c r="A46" s="33" t="n">
        <v>45</v>
      </c>
      <c r="B46" s="33" t="inlineStr">
        <is>
          <t>Bronze</t>
        </is>
      </c>
      <c r="C46" s="33" t="inlineStr">
        <is>
          <t>COUPON RAIN</t>
        </is>
      </c>
      <c r="D46" s="33" t="inlineStr">
        <is>
          <t>MERCADO LIVRE</t>
        </is>
      </c>
      <c r="E46" s="33" t="inlineStr">
        <is>
          <t>MERCADO LIVRE</t>
        </is>
      </c>
      <c r="F46" s="33" t="inlineStr">
        <is>
          <t>GUT</t>
        </is>
      </c>
      <c r="G46" s="33" t="inlineStr">
        <is>
          <t>Brazil</t>
        </is>
      </c>
      <c r="H46" s="33" t="inlineStr">
        <is>
          <t>Single-Market Campaign</t>
        </is>
      </c>
      <c r="I46" s="33" t="inlineStr">
        <is>
          <t>https://ascentialcdn.filespin.io/api/v1/conversion/36fd55aacbed488286697152f0a3eeb3</t>
        </is>
      </c>
      <c r="J46" s="33" t="inlineStr">
        <is>
          <t>vimeo:1093414319</t>
        </is>
      </c>
      <c r="L46" s="33" t="inlineStr">
        <is>
          <t>https://www.lovethework.com/work/entries/coupon-rain-760474</t>
        </is>
      </c>
    </row>
    <row r="47">
      <c r="A47" s="33" t="n">
        <v>46</v>
      </c>
      <c r="B47" s="33" t="inlineStr">
        <is>
          <t>Bronze</t>
        </is>
      </c>
      <c r="C47" s="33" t="inlineStr">
        <is>
          <t>THE FREEDOM EDITION</t>
        </is>
      </c>
      <c r="D47" s="33" t="inlineStr">
        <is>
          <t>SOCIETY</t>
        </is>
      </c>
      <c r="E47" s="33" t="inlineStr">
        <is>
          <t>SOCIETY</t>
        </is>
      </c>
      <c r="F47" s="33" t="inlineStr">
        <is>
          <t>BETC</t>
        </is>
      </c>
      <c r="G47" s="33" t="inlineStr">
        <is>
          <t>France</t>
        </is>
      </c>
      <c r="H47" s="33" t="inlineStr">
        <is>
          <t>Corporate Purpose &amp; Social Responsibility</t>
        </is>
      </c>
      <c r="I47" s="33" t="inlineStr">
        <is>
          <t>https://ascentialcdn.filespin.io/api/v1/conversion/e09e1f0a06fc44109db762800cac9584</t>
        </is>
      </c>
      <c r="J47" s="33" t="inlineStr">
        <is>
          <t>WK6ONFfbUvI</t>
        </is>
      </c>
      <c r="L47" s="33" t="inlineStr">
        <is>
          <t>https://www.lovethework.com/work/entries/the-freedom-edition-740070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VASELINE VERIFIED</t>
        </is>
      </c>
      <c r="D2" s="33" t="inlineStr">
        <is>
          <t>UNILEVER</t>
        </is>
      </c>
      <c r="E2" s="33" t="inlineStr">
        <is>
          <t>VASELINE</t>
        </is>
      </c>
      <c r="F2" s="33" t="inlineStr">
        <is>
          <t>OGILVY</t>
        </is>
      </c>
      <c r="G2" s="33" t="inlineStr">
        <is>
          <t>Singapore</t>
        </is>
      </c>
      <c r="H2" s="33" t="inlineStr">
        <is>
          <t>Community Building</t>
        </is>
      </c>
      <c r="I2" s="33" t="inlineStr">
        <is>
          <t>https://ascentialcdn.filespin.io/api/v1/conversion/faf0755b0d4e4594ad93cb75d6288e3d</t>
        </is>
      </c>
      <c r="J2" s="33" t="inlineStr">
        <is>
          <t>vimeo:1082798104</t>
        </is>
      </c>
      <c r="L2" s="33" t="inlineStr">
        <is>
          <t>https://www.lovethework.com/work/entries/vaseline-verified-742887</t>
        </is>
      </c>
    </row>
    <row r="3">
      <c r="A3" s="33" t="n">
        <v>2</v>
      </c>
      <c r="B3" s="33" t="inlineStr">
        <is>
          <t>Gold</t>
        </is>
      </c>
      <c r="C3" s="33" t="inlineStr">
        <is>
          <t>NAVY SUBREDDIT HUNT</t>
        </is>
      </c>
      <c r="D3" s="33" t="inlineStr">
        <is>
          <t>U.S. NAVY</t>
        </is>
      </c>
      <c r="E3" s="33" t="inlineStr">
        <is>
          <t>U.S. NAVY RECRUITMENT INITIATIVE</t>
        </is>
      </c>
      <c r="F3" s="33" t="inlineStr">
        <is>
          <t>VML</t>
        </is>
      </c>
      <c r="G3" s="33" t="inlineStr">
        <is>
          <t>United States</t>
        </is>
      </c>
      <c r="H3" s="33" t="inlineStr">
        <is>
          <t>Audience Targeting/Engagement Strategies</t>
        </is>
      </c>
      <c r="I3" s="33" t="inlineStr">
        <is>
          <t>https://ascentialcdn.filespin.io/api/v1/conversion/acedbde3eb964175b899c5e90a584d7a</t>
        </is>
      </c>
      <c r="J3" s="33" t="inlineStr">
        <is>
          <t>1qkvD-Vpqp4</t>
        </is>
      </c>
      <c r="L3" s="33" t="inlineStr">
        <is>
          <t>https://www.lovethework.com/work/entries/navy-subreddit-hunt-742520</t>
        </is>
      </c>
    </row>
    <row r="4">
      <c r="A4" s="33" t="n">
        <v>3</v>
      </c>
      <c r="B4" s="33" t="inlineStr">
        <is>
          <t>Gold</t>
        </is>
      </c>
      <c r="C4" s="33" t="inlineStr">
        <is>
          <t>RESALE</t>
        </is>
      </c>
      <c r="D4" s="33" t="inlineStr">
        <is>
          <t>BUDWEISER</t>
        </is>
      </c>
      <c r="E4" s="33" t="inlineStr">
        <is>
          <t>BEER</t>
        </is>
      </c>
      <c r="F4" s="33" t="inlineStr">
        <is>
          <t>AFRICA CREATIVE DDB</t>
        </is>
      </c>
      <c r="G4" s="33" t="inlineStr">
        <is>
          <t>Brazil</t>
        </is>
      </c>
      <c r="H4" s="33" t="inlineStr">
        <is>
          <t>Innovative Engagement of Community</t>
        </is>
      </c>
      <c r="I4" s="33" t="inlineStr">
        <is>
          <t>https://ascentialcdn.filespin.io/api/v1/conversion/abd9a65dba9c44ab8abe0ea46a3db71c</t>
        </is>
      </c>
      <c r="J4" s="33" t="inlineStr">
        <is>
          <t>vimeo:1079571158</t>
        </is>
      </c>
      <c r="K4" s="33" t="n"/>
      <c r="L4" s="33" t="inlineStr">
        <is>
          <t>https://www.lovethework.com/work/entries/resale-742723</t>
        </is>
      </c>
    </row>
    <row r="5">
      <c r="A5" s="33" t="n">
        <v>4</v>
      </c>
      <c r="B5" s="33" t="inlineStr">
        <is>
          <t>Gold</t>
        </is>
      </c>
      <c r="C5" s="33" t="inlineStr">
        <is>
          <t>U UP?</t>
        </is>
      </c>
      <c r="D5" s="33" t="inlineStr">
        <is>
          <t>IKEA</t>
        </is>
      </c>
      <c r="E5" s="33" t="inlineStr">
        <is>
          <t>IKEA</t>
        </is>
      </c>
      <c r="F5" s="33" t="inlineStr">
        <is>
          <t>RETHINK</t>
        </is>
      </c>
      <c r="G5" s="33" t="inlineStr">
        <is>
          <t>Canada</t>
        </is>
      </c>
      <c r="H5" s="33" t="inlineStr">
        <is>
          <t>Use of Humour</t>
        </is>
      </c>
      <c r="I5" s="33" t="inlineStr">
        <is>
          <t>https://ascentialcdn.filespin.io/api/v1/conversion/1d6f8cfcad1b47c9beaa5f403844ec8a</t>
        </is>
      </c>
      <c r="J5" s="33" t="inlineStr">
        <is>
          <t>VT02JDQuMxM</t>
        </is>
      </c>
      <c r="L5" s="33" t="inlineStr">
        <is>
          <t>https://www.lovethework.com/work/entries/u-up-743199</t>
        </is>
      </c>
    </row>
    <row r="6">
      <c r="A6" s="33" t="n">
        <v>5</v>
      </c>
      <c r="B6" s="33" t="inlineStr">
        <is>
          <t>Gold</t>
        </is>
      </c>
      <c r="C6" s="33" t="inlineStr">
        <is>
          <t>REDDITOR EDIT</t>
        </is>
      </c>
      <c r="D6" s="33" t="inlineStr">
        <is>
          <t>SKODA</t>
        </is>
      </c>
      <c r="E6" s="33" t="inlineStr">
        <is>
          <t>Å KODA OCTAVIA</t>
        </is>
      </c>
      <c r="F6" s="33" t="inlineStr">
        <is>
          <t>LEO</t>
        </is>
      </c>
      <c r="G6" s="33" t="inlineStr">
        <is>
          <t>United Kingdom</t>
        </is>
      </c>
      <c r="H6" s="33" t="inlineStr">
        <is>
          <t>Co-Creation &amp; User Generated Content</t>
        </is>
      </c>
      <c r="I6" s="33" t="inlineStr">
        <is>
          <t>https://ascentialcdn.filespin.io/api/v1/conversion/7581a597717542d6b5b354f2ffcb56a5</t>
        </is>
      </c>
      <c r="J6" s="33" t="inlineStr">
        <is>
          <t>KmLMtKsmwqA</t>
        </is>
      </c>
      <c r="L6" s="33" t="inlineStr">
        <is>
          <t>https://www.lovethework.com/work/entries/redditor-edit-743155</t>
        </is>
      </c>
    </row>
    <row r="7">
      <c r="A7" s="33" t="n">
        <v>6</v>
      </c>
      <c r="B7" s="33" t="inlineStr">
        <is>
          <t>Gold</t>
        </is>
      </c>
      <c r="C7" s="33" t="inlineStr">
        <is>
          <t>ERASE VALENTINE'S DAY</t>
        </is>
      </c>
      <c r="D7" s="33" t="inlineStr">
        <is>
          <t>MONDELEZ INTERNATIONAL</t>
        </is>
      </c>
      <c r="E7" s="33" t="inlineStr">
        <is>
          <t>CADBURY 5 STAR CHOCOLATE</t>
        </is>
      </c>
      <c r="F7" s="33" t="inlineStr">
        <is>
          <t>OGILVY</t>
        </is>
      </c>
      <c r="G7" s="33" t="inlineStr">
        <is>
          <t>India</t>
        </is>
      </c>
      <c r="H7" s="33" t="inlineStr">
        <is>
          <t>Use of Humour</t>
        </is>
      </c>
      <c r="I7" s="33" t="inlineStr">
        <is>
          <t>https://ascentialcdn.filespin.io/api/v1/conversion/a64caaaecf144955a62b435827fff0e3</t>
        </is>
      </c>
      <c r="J7" s="33" t="inlineStr">
        <is>
          <t>_9bU3wT71Ac</t>
        </is>
      </c>
      <c r="L7" s="33" t="inlineStr">
        <is>
          <t>https://www.lovethework.com/work/entries/erase-valentines-day-743287</t>
        </is>
      </c>
    </row>
    <row r="8">
      <c r="A8" s="33" t="n">
        <v>7</v>
      </c>
      <c r="B8" s="33" t="inlineStr">
        <is>
          <t>Gold</t>
        </is>
      </c>
      <c r="C8" s="33" t="inlineStr">
        <is>
          <t>OLYMPIC CURRY</t>
        </is>
      </c>
      <c r="D8" s="33" t="inlineStr">
        <is>
          <t>MCDONALD'S</t>
        </is>
      </c>
      <c r="E8" s="33" t="inlineStr">
        <is>
          <t>CURRY SAUCE</t>
        </is>
      </c>
      <c r="F8" s="33" t="inlineStr">
        <is>
          <t>DDB PARIS</t>
        </is>
      </c>
      <c r="G8" s="33" t="inlineStr">
        <is>
          <t>France</t>
        </is>
      </c>
      <c r="H8" s="33" t="inlineStr">
        <is>
          <t>Real-Time Response</t>
        </is>
      </c>
      <c r="I8" s="33" t="inlineStr">
        <is>
          <t>https://ascentialcdn.filespin.io/api/v1/conversion/b8993a8a561d47fe9b9f126b8fbb45ce</t>
        </is>
      </c>
      <c r="J8" s="33" t="inlineStr">
        <is>
          <t>tOs7DlcDX0U</t>
        </is>
      </c>
      <c r="L8" s="33" t="inlineStr">
        <is>
          <t>https://www.lovethework.com/work/entries/olympic-curry-742518</t>
        </is>
      </c>
    </row>
    <row r="9">
      <c r="A9" s="33" t="n">
        <v>8</v>
      </c>
      <c r="B9" s="33" t="inlineStr">
        <is>
          <t>Gold</t>
        </is>
      </c>
      <c r="C9" s="33" t="inlineStr">
        <is>
          <t>NUTTER BUTTER, YOU GOOD?</t>
        </is>
      </c>
      <c r="D9" s="33" t="inlineStr">
        <is>
          <t>NUTTER BUTTER</t>
        </is>
      </c>
      <c r="E9" s="33" t="inlineStr">
        <is>
          <t>NUTTER BUTTER COOKIE</t>
        </is>
      </c>
      <c r="F9" s="33" t="inlineStr">
        <is>
          <t>DENTSU CREATIVE</t>
        </is>
      </c>
      <c r="G9" s="33" t="inlineStr">
        <is>
          <t>United States</t>
        </is>
      </c>
      <c r="H9" s="33" t="inlineStr">
        <is>
          <t>Breakthrough on a Budget</t>
        </is>
      </c>
      <c r="I9" s="33" t="inlineStr">
        <is>
          <t>https://ascentialcdn.filespin.io/api/v1/conversion/6876d84d5b5142e19c9d97302718d0f2</t>
        </is>
      </c>
      <c r="J9" s="33" t="inlineStr">
        <is>
          <t>AzhCsGOqfyg</t>
        </is>
      </c>
      <c r="L9" s="33" t="inlineStr">
        <is>
          <t>https://www.lovethework.com/work/entries/nutter-butter-you-good-743552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ONE SECOND ADS</t>
        </is>
      </c>
      <c r="D10" s="33" t="inlineStr">
        <is>
          <t>BUDWEISER</t>
        </is>
      </c>
      <c r="E10" s="33" t="inlineStr">
        <is>
          <t>BEER</t>
        </is>
      </c>
      <c r="F10" s="33" t="inlineStr">
        <is>
          <t>AFRICA CREATIVE DDB</t>
        </is>
      </c>
      <c r="G10" s="33" t="inlineStr">
        <is>
          <t>Brazil</t>
        </is>
      </c>
      <c r="H10" s="33" t="inlineStr">
        <is>
          <t>Content Placement</t>
        </is>
      </c>
      <c r="I10" s="33" t="inlineStr">
        <is>
          <t>digital-presentation-images/social-and-creator-budweiser-one-second-ads.webp</t>
        </is>
      </c>
      <c r="J10" s="33" t="inlineStr">
        <is>
          <t>d-mtDQXtR6I</t>
        </is>
      </c>
      <c r="K10" s="33" t="inlineStr">
        <is>
          <t>budweiser-one-second-ads</t>
        </is>
      </c>
      <c r="L10" s="33" t="inlineStr">
        <is>
          <t>https://www.lovethework.com/work/entries/one-second-ads-759513</t>
        </is>
      </c>
    </row>
    <row r="11">
      <c r="A11" s="33" t="n">
        <v>10</v>
      </c>
      <c r="B11" s="33" t="inlineStr">
        <is>
          <t>Silver</t>
        </is>
      </c>
      <c r="C11" s="33" t="inlineStr">
        <is>
          <t>THE DEATH OF DUO</t>
        </is>
      </c>
      <c r="D11" s="33" t="inlineStr">
        <is>
          <t>DUOLINGO</t>
        </is>
      </c>
      <c r="E11" s="33" t="inlineStr">
        <is>
          <t>DUOLINGO</t>
        </is>
      </c>
      <c r="F11" s="33" t="inlineStr">
        <is>
          <t>DUOLINGO</t>
        </is>
      </c>
      <c r="G11" s="33" t="inlineStr">
        <is>
          <t>United States</t>
        </is>
      </c>
      <c r="H11" s="33" t="inlineStr">
        <is>
          <t>Community Management</t>
        </is>
      </c>
      <c r="I11" s="33" t="inlineStr">
        <is>
          <t>https://ascentialcdn.filespin.io/api/v1/conversion/f4109c89080c4d6b8170e479b78d5160</t>
        </is>
      </c>
      <c r="J11" s="33" t="inlineStr">
        <is>
          <t>vimeo:1094581252</t>
        </is>
      </c>
      <c r="L11" s="33" t="inlineStr">
        <is>
          <t>https://www.lovethework.com/work/entries/the-death-of-duo-742331</t>
        </is>
      </c>
    </row>
    <row r="12">
      <c r="A12" s="33" t="n">
        <v>11</v>
      </c>
      <c r="B12" s="33" t="inlineStr">
        <is>
          <t>Silver</t>
        </is>
      </c>
      <c r="C12" s="33" t="inlineStr">
        <is>
          <t>GULF OF MEXICO (BAR)</t>
        </is>
      </c>
      <c r="D12" s="33" t="inlineStr">
        <is>
          <t>TECATE</t>
        </is>
      </c>
      <c r="E12" s="33" t="inlineStr">
        <is>
          <t>TECATE LIGHT</t>
        </is>
      </c>
      <c r="F12" s="33" t="inlineStr">
        <is>
          <t>LEPUB</t>
        </is>
      </c>
      <c r="G12" s="33" t="inlineStr">
        <is>
          <t>Mexico</t>
        </is>
      </c>
      <c r="H12" s="33" t="inlineStr">
        <is>
          <t>Market Disruption</t>
        </is>
      </c>
      <c r="I12" s="33" t="inlineStr">
        <is>
          <t>https://ascentialcdn.filespin.io/api/v1/conversion/afa88aa8421b41a18c68b9863bb6926c</t>
        </is>
      </c>
      <c r="J12" s="33" t="inlineStr">
        <is>
          <t>vimeo:1092263623</t>
        </is>
      </c>
      <c r="L12" s="33" t="inlineStr">
        <is>
          <t>https://www.lovethework.com/work/entries/gulf-of-mexico-bar-743548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REDDITOR EDIT</t>
        </is>
      </c>
      <c r="D13" s="33" t="inlineStr">
        <is>
          <t>SKODA</t>
        </is>
      </c>
      <c r="E13" s="33" t="inlineStr">
        <is>
          <t>Å KODA OCTAVIA</t>
        </is>
      </c>
      <c r="F13" s="33" t="inlineStr">
        <is>
          <t>LEO</t>
        </is>
      </c>
      <c r="G13" s="33" t="inlineStr">
        <is>
          <t>United Kingdom</t>
        </is>
      </c>
      <c r="H13" s="33" t="inlineStr">
        <is>
          <t>Audience Targeting/Engagement Strategies</t>
        </is>
      </c>
      <c r="I13" s="33" t="inlineStr">
        <is>
          <t>https://ascentialcdn.filespin.io/api/v1/conversion/7581a597717542d6b5b354f2ffcb56a5</t>
        </is>
      </c>
      <c r="J13" s="33" t="inlineStr">
        <is>
          <t>KmLMtKsmwqA</t>
        </is>
      </c>
      <c r="L13" s="33" t="inlineStr">
        <is>
          <t>https://www.lovethework.com/work/entries/redditor-edit-742379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FIZZOOKA</t>
        </is>
      </c>
      <c r="D14" s="33" t="inlineStr">
        <is>
          <t>PERFETTI VAN MELLE</t>
        </is>
      </c>
      <c r="E14" s="33" t="inlineStr">
        <is>
          <t>MENTOS</t>
        </is>
      </c>
      <c r="F14" s="33" t="inlineStr">
        <is>
          <t>BBH</t>
        </is>
      </c>
      <c r="G14" s="33" t="inlineStr">
        <is>
          <t>United Kingdom</t>
        </is>
      </c>
      <c r="H14" s="33" t="inlineStr">
        <is>
          <t>Creator Collaboration</t>
        </is>
      </c>
      <c r="I14" s="33" t="inlineStr">
        <is>
          <t>https://ascentialcdn.filespin.io/api/v1/conversion/f5ffbe1532054f85b7f9f9b7fba1f1ee</t>
        </is>
      </c>
      <c r="J14" s="33" t="inlineStr">
        <is>
          <t>TgjfKovV888</t>
        </is>
      </c>
      <c r="L14" s="33" t="inlineStr">
        <is>
          <t>https://www.lovethework.com/work/entries/fizzooka-742654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SEVERANCE S2 - INTEGRATED CAMPAIGN</t>
        </is>
      </c>
      <c r="D15" s="33" t="inlineStr">
        <is>
          <t>APPLE</t>
        </is>
      </c>
      <c r="E15" s="33" t="inlineStr">
        <is>
          <t>ORIGINAL SERIES ON APPLE TV+</t>
        </is>
      </c>
      <c r="F15" s="33" t="inlineStr">
        <is>
          <t>APPLE</t>
        </is>
      </c>
      <c r="G15" s="33" t="inlineStr">
        <is>
          <t>United States</t>
        </is>
      </c>
      <c r="H15" s="33" t="inlineStr">
        <is>
          <t>Multi-Platform Social Campaign</t>
        </is>
      </c>
      <c r="I15" s="33" t="inlineStr">
        <is>
          <t>https://ascentialcdn.filespin.io/api/v1/conversion/c0034932e80d4cb1aa654cc85c066b7e</t>
        </is>
      </c>
      <c r="J15" s="33" t="inlineStr">
        <is>
          <t>QPJtgjoqtdw</t>
        </is>
      </c>
      <c r="L15" s="33" t="inlineStr">
        <is>
          <t>https://www.lovethework.com/work/entries/severance-s2-integrated-campaign-743040</t>
        </is>
      </c>
    </row>
    <row r="16">
      <c r="A16" s="33" t="n">
        <v>15</v>
      </c>
      <c r="B16" s="33" t="inlineStr">
        <is>
          <t>Silver</t>
        </is>
      </c>
      <c r="C16" s="33" t="inlineStr">
        <is>
          <t>TIDE COLLATERAL STAIN STORIES</t>
        </is>
      </c>
      <c r="D16" s="33" t="inlineStr">
        <is>
          <t>TIDE</t>
        </is>
      </c>
      <c r="E16" s="33" t="inlineStr">
        <is>
          <t>TIDE OXI BOOST</t>
        </is>
      </c>
      <c r="F16" s="33" t="inlineStr">
        <is>
          <t>SAATCHI &amp; SAATCHI</t>
        </is>
      </c>
      <c r="G16" s="33" t="inlineStr">
        <is>
          <t>United States</t>
        </is>
      </c>
      <c r="H16" s="33" t="inlineStr">
        <is>
          <t>Brand Storytelling</t>
        </is>
      </c>
      <c r="I16" s="33" t="inlineStr">
        <is>
          <t>https://ascentialcdn.filespin.io/api/v1/conversion/2e880efa163040b884c55c34c5aa79f9</t>
        </is>
      </c>
      <c r="J16" s="33" t="inlineStr">
        <is>
          <t>vimeo:1078053795</t>
        </is>
      </c>
      <c r="L16" s="33" t="inlineStr">
        <is>
          <t>https://www.lovethework.com/work/entries/tide-collateral-stain-stories-742510</t>
        </is>
      </c>
    </row>
    <row r="17">
      <c r="A17" s="33" t="n">
        <v>16</v>
      </c>
      <c r="B17" s="33" t="inlineStr">
        <is>
          <t>Silver</t>
        </is>
      </c>
      <c r="C17" s="33" t="inlineStr">
        <is>
          <t>RETRO INFLUENCERS</t>
        </is>
      </c>
      <c r="D17" s="33" t="inlineStr">
        <is>
          <t>SKOL</t>
        </is>
      </c>
      <c r="E17" s="33" t="inlineStr">
        <is>
          <t>SKOL</t>
        </is>
      </c>
      <c r="F17" s="33" t="inlineStr">
        <is>
          <t>GUT</t>
        </is>
      </c>
      <c r="G17" s="33" t="inlineStr">
        <is>
          <t>Brazil</t>
        </is>
      </c>
      <c r="H17" s="33" t="inlineStr">
        <is>
          <t>Co-Creation &amp; User Generated Content</t>
        </is>
      </c>
      <c r="I17" s="33" t="inlineStr">
        <is>
          <t>https://ascentialcdn.filespin.io/api/v1/conversion/16704911a39145c09f1ae466143b410d</t>
        </is>
      </c>
      <c r="J17" s="33" t="inlineStr">
        <is>
          <t>FKLnmbWukt0</t>
        </is>
      </c>
      <c r="L17" s="33" t="inlineStr">
        <is>
          <t>https://www.lovethework.com/work/entries/retro-influencers-743091</t>
        </is>
      </c>
    </row>
    <row r="18">
      <c r="A18" s="33" t="n">
        <v>17</v>
      </c>
      <c r="B18" s="33" t="inlineStr">
        <is>
          <t>Silver</t>
        </is>
      </c>
      <c r="C18" s="33" t="inlineStr">
        <is>
          <t>LAY'S BAR CRAWL</t>
        </is>
      </c>
      <c r="D18" s="33" t="inlineStr">
        <is>
          <t>LAY'S</t>
        </is>
      </c>
      <c r="E18" s="33" t="inlineStr">
        <is>
          <t>LAY'S</t>
        </is>
      </c>
      <c r="F18" s="33" t="inlineStr">
        <is>
          <t>SLAP GLOBAL</t>
        </is>
      </c>
      <c r="G18" s="33" t="inlineStr">
        <is>
          <t>Argentina</t>
        </is>
      </c>
      <c r="H18" s="33" t="inlineStr">
        <is>
          <t>Multi-Platform Social Campaign</t>
        </is>
      </c>
      <c r="I18" s="33" t="inlineStr">
        <is>
          <t>https://ascentialcdn.filespin.io/api/v1/conversion/cc887f9119c440728c26ede9e95b1ad2</t>
        </is>
      </c>
      <c r="J18" s="33" t="inlineStr">
        <is>
          <t>HHZjLH4UCS0</t>
        </is>
      </c>
      <c r="L18" s="33" t="inlineStr">
        <is>
          <t>https://www.lovethework.com/work/entries/lays-bar-crawl-743116</t>
        </is>
      </c>
    </row>
    <row r="19">
      <c r="A19" s="33" t="n">
        <v>18</v>
      </c>
      <c r="B19" s="33" t="inlineStr">
        <is>
          <t>Silver</t>
        </is>
      </c>
      <c r="C19" s="33" t="inlineStr">
        <is>
          <t>NAME THIS OREO</t>
        </is>
      </c>
      <c r="D19" s="33" t="inlineStr">
        <is>
          <t>OREO</t>
        </is>
      </c>
      <c r="E19" s="33" t="inlineStr">
        <is>
          <t>OREO</t>
        </is>
      </c>
      <c r="F19" s="33" t="inlineStr">
        <is>
          <t>VML</t>
        </is>
      </c>
      <c r="G19" s="33" t="inlineStr">
        <is>
          <t>United States</t>
        </is>
      </c>
      <c r="H19" s="33" t="inlineStr">
        <is>
          <t>Creator Collaboration</t>
        </is>
      </c>
      <c r="I19" s="33" t="inlineStr">
        <is>
          <t>digital-presentation-images/social-and-creator-oreo-name-this-oreo.webp</t>
        </is>
      </c>
      <c r="J19" s="33" t="inlineStr">
        <is>
          <t>vimeo:1078732737</t>
        </is>
      </c>
      <c r="L19" s="33" t="inlineStr">
        <is>
          <t>https://www.lovethework.com/work/entries/name-this-oreo-765219</t>
        </is>
      </c>
    </row>
    <row r="20">
      <c r="A20" s="33" t="n">
        <v>19</v>
      </c>
      <c r="B20" s="33" t="inlineStr">
        <is>
          <t>Silver</t>
        </is>
      </c>
      <c r="C20" s="33" t="inlineStr">
        <is>
          <t>NAME THIS OREO</t>
        </is>
      </c>
      <c r="D20" s="33" t="inlineStr">
        <is>
          <t>OREO</t>
        </is>
      </c>
      <c r="E20" s="33" t="inlineStr">
        <is>
          <t>OREO</t>
        </is>
      </c>
      <c r="F20" s="33" t="inlineStr">
        <is>
          <t>VML</t>
        </is>
      </c>
      <c r="G20" s="33" t="inlineStr">
        <is>
          <t>United States</t>
        </is>
      </c>
      <c r="H20" s="33" t="inlineStr">
        <is>
          <t>Social Listening &amp; Insight</t>
        </is>
      </c>
      <c r="I20" s="33" t="inlineStr">
        <is>
          <t>digital-presentation-images/social-and-creator-oreo-name-this-oreo.webp</t>
        </is>
      </c>
      <c r="J20" s="33" t="inlineStr">
        <is>
          <t>vimeo:1078732737</t>
        </is>
      </c>
      <c r="L20" s="33" t="inlineStr">
        <is>
          <t>https://www.lovethework.com/work/entries/name-this-oreo-765219</t>
        </is>
      </c>
    </row>
    <row r="21">
      <c r="A21" s="33" t="n">
        <v>20</v>
      </c>
      <c r="B21" s="33" t="inlineStr">
        <is>
          <t>Silver</t>
        </is>
      </c>
      <c r="C21" s="33" t="inlineStr">
        <is>
          <t>CALL OF DISCOUNTS</t>
        </is>
      </c>
      <c r="D21" s="33" t="inlineStr">
        <is>
          <t>MERCADO LIVRE</t>
        </is>
      </c>
      <c r="E21" s="33" t="inlineStr">
        <is>
          <t>MERCADO LIVRE</t>
        </is>
      </c>
      <c r="F21" s="33" t="inlineStr">
        <is>
          <t>GUT</t>
        </is>
      </c>
      <c r="G21" s="33" t="inlineStr">
        <is>
          <t>Brazil</t>
        </is>
      </c>
      <c r="H21" s="33" t="inlineStr">
        <is>
          <t>Content Placement</t>
        </is>
      </c>
      <c r="I21" s="33" t="inlineStr">
        <is>
          <t>https://ascentialcdn.filespin.io/api/v1/conversion/fffcddb9a87d448bbc386fd70d215d5e</t>
        </is>
      </c>
      <c r="J21" s="33" t="inlineStr">
        <is>
          <t>vimeo:1093409251</t>
        </is>
      </c>
      <c r="L21" s="33" t="inlineStr">
        <is>
          <t>https://www.lovethework.com/work/entries/call-of-discounts-742896</t>
        </is>
      </c>
    </row>
    <row r="22">
      <c r="A22" s="33" t="n">
        <v>21</v>
      </c>
      <c r="B22" s="33" t="inlineStr">
        <is>
          <t>Silver</t>
        </is>
      </c>
      <c r="C22" s="33" t="inlineStr">
        <is>
          <t>VASELINE VERIFIED</t>
        </is>
      </c>
      <c r="D22" s="33" t="inlineStr">
        <is>
          <t>UNILEVER</t>
        </is>
      </c>
      <c r="E22" s="33" t="inlineStr">
        <is>
          <t>VASELINE</t>
        </is>
      </c>
      <c r="F22" s="33" t="inlineStr">
        <is>
          <t>OGILVY</t>
        </is>
      </c>
      <c r="G22" s="33" t="inlineStr">
        <is>
          <t>Singapore</t>
        </is>
      </c>
      <c r="H22" s="33" t="inlineStr">
        <is>
          <t>Healthcare</t>
        </is>
      </c>
      <c r="I22" s="33" t="inlineStr">
        <is>
          <t>https://ascentialcdn.filespin.io/api/v1/conversion/faf0755b0d4e4594ad93cb75d6288e3d</t>
        </is>
      </c>
      <c r="J22" s="33" t="inlineStr">
        <is>
          <t>vimeo:1082798104</t>
        </is>
      </c>
      <c r="L22" s="33" t="inlineStr">
        <is>
          <t>https://www.lovethework.com/work/entries/vaseline-verified-742181</t>
        </is>
      </c>
    </row>
    <row r="23">
      <c r="A23" s="33" t="n">
        <v>22</v>
      </c>
      <c r="B23" s="33" t="inlineStr">
        <is>
          <t>Silver</t>
        </is>
      </c>
      <c r="C23" s="33" t="inlineStr">
        <is>
          <t>THE ORDINARY LIFE HEARING TEST</t>
        </is>
      </c>
      <c r="D23" s="33" t="inlineStr">
        <is>
          <t>THE FOUNDATION FOR THE DEAF</t>
        </is>
      </c>
      <c r="E23" s="33" t="inlineStr">
        <is>
          <t>THE FOUNDATION FOR THE DEAF</t>
        </is>
      </c>
      <c r="F23" s="33" t="inlineStr">
        <is>
          <t>CJ WORX</t>
        </is>
      </c>
      <c r="G23" s="33" t="inlineStr">
        <is>
          <t>Thailand</t>
        </is>
      </c>
      <c r="H23" s="33" t="inlineStr">
        <is>
          <t>Content Placement</t>
        </is>
      </c>
      <c r="I23" s="33" t="inlineStr">
        <is>
          <t>digital-presentation-images/social-and-creator-the-foundation-for-the-deaf-the-ordinary-life-hearing-test.webp</t>
        </is>
      </c>
      <c r="J23" s="33" t="inlineStr">
        <is>
          <t>-FHyIakCLE4</t>
        </is>
      </c>
      <c r="L23" s="33" t="inlineStr">
        <is>
          <t>https://www.lovethework.com/work/entries/the-ordinary-life-hearing-test-742956</t>
        </is>
      </c>
    </row>
    <row r="24">
      <c r="A24" s="33" t="n">
        <v>23</v>
      </c>
      <c r="B24" s="33" t="inlineStr">
        <is>
          <t>Silver</t>
        </is>
      </c>
      <c r="C24" s="33" t="inlineStr">
        <is>
          <t>LEARN KOREAN OR ELSE</t>
        </is>
      </c>
      <c r="D24" s="33" t="inlineStr">
        <is>
          <t>DUOLINGO | NETFLIX</t>
        </is>
      </c>
      <c r="E24" s="33" t="inlineStr">
        <is>
          <t>DUOLINGO | NETFLIX</t>
        </is>
      </c>
      <c r="F24" s="33" t="inlineStr">
        <is>
          <t>DUOLINGO</t>
        </is>
      </c>
      <c r="G24" s="33" t="inlineStr">
        <is>
          <t>United States</t>
        </is>
      </c>
      <c r="H24" s="33" t="inlineStr">
        <is>
          <t>Sponsorship &amp; Brand Partnership</t>
        </is>
      </c>
      <c r="I24" s="33" t="inlineStr">
        <is>
          <t>https://ascentialcdn.filespin.io/api/v1/conversion/e3dd4e261f53452d8b3606a823b3c38e</t>
        </is>
      </c>
      <c r="J24" s="33" t="inlineStr">
        <is>
          <t>vimeo:1043774871</t>
        </is>
      </c>
      <c r="L24" s="33" t="inlineStr">
        <is>
          <t>https://www.lovethework.com/work/entries/learn-korean-or-else-743038</t>
        </is>
      </c>
    </row>
    <row r="25">
      <c r="A25" s="33" t="n">
        <v>24</v>
      </c>
      <c r="B25" s="33" t="inlineStr">
        <is>
          <t>Silver</t>
        </is>
      </c>
      <c r="C25" s="33" t="inlineStr">
        <is>
          <t>DISS-MAS</t>
        </is>
      </c>
      <c r="D25" s="33" t="inlineStr">
        <is>
          <t>MGA ENTERTAINMENT</t>
        </is>
      </c>
      <c r="E25" s="33" t="inlineStr">
        <is>
          <t>BRATZ, LITTLE TIKES, MINIVERSE, L.O.L. SURPRISE!, RAINBOW HIGH, YUMMILAND, BABY BORN, PIXEL PETZ, GROSSMOS, CARTUNED, FINDERS CREEPERS</t>
        </is>
      </c>
      <c r="F25" s="33" t="inlineStr">
        <is>
          <t>VIRTUE WORLDWIDE</t>
        </is>
      </c>
      <c r="G25" s="33" t="inlineStr">
        <is>
          <t>United States</t>
        </is>
      </c>
      <c r="H25" s="33" t="inlineStr">
        <is>
          <t>Creator Collaboration</t>
        </is>
      </c>
      <c r="I25" s="33" t="inlineStr">
        <is>
          <t>https://ascentialcdn.filespin.io/api/v1/conversion/86defc97414f43e0a94ca2bff0946f93</t>
        </is>
      </c>
      <c r="J25" s="33" t="inlineStr">
        <is>
          <t>eGNI9Rlv65s</t>
        </is>
      </c>
      <c r="L25" s="33" t="inlineStr">
        <is>
          <t>https://www.lovethework.com/work/entries/diss-mas-742726</t>
        </is>
      </c>
    </row>
    <row r="26">
      <c r="A26" s="33" t="n">
        <v>25</v>
      </c>
      <c r="B26" s="33" t="inlineStr">
        <is>
          <t>Bronze</t>
        </is>
      </c>
      <c r="C26" s="33" t="inlineStr">
        <is>
          <t>PEDIGREE CARAMELO</t>
        </is>
      </c>
      <c r="D26" s="33" t="inlineStr">
        <is>
          <t>PEDIGREE</t>
        </is>
      </c>
      <c r="E26" s="33" t="inlineStr">
        <is>
          <t>PEDIGREE</t>
        </is>
      </c>
      <c r="F26" s="33" t="inlineStr">
        <is>
          <t>ALMAPBBDO</t>
        </is>
      </c>
      <c r="G26" s="33" t="inlineStr">
        <is>
          <t>Brazil</t>
        </is>
      </c>
      <c r="H26" s="33" t="inlineStr">
        <is>
          <t>Corporate Purpose &amp; Social Responsibility</t>
        </is>
      </c>
      <c r="I26" s="33" t="inlineStr">
        <is>
          <t>https://ascentialcdn.filespin.io/api/v1/conversion/9a3e971b881d4a4ca39d80b57dd71382</t>
        </is>
      </c>
      <c r="J26" s="33" t="inlineStr">
        <is>
          <t>prMM0H9psRs</t>
        </is>
      </c>
      <c r="L26" s="33" t="inlineStr">
        <is>
          <t>https://www.lovethework.com/work/entries/pedigree-caramelo-760896</t>
        </is>
      </c>
    </row>
    <row r="27">
      <c r="A27" s="33" t="n">
        <v>26</v>
      </c>
      <c r="B27" s="33" t="inlineStr">
        <is>
          <t>Bronze</t>
        </is>
      </c>
      <c r="C27" s="33" t="inlineStr">
        <is>
          <t>UNDELETED</t>
        </is>
      </c>
      <c r="D27" s="33" t="inlineStr">
        <is>
          <t>DOVE</t>
        </is>
      </c>
      <c r="E27" s="33" t="inlineStr">
        <is>
          <t>DEODORANT</t>
        </is>
      </c>
      <c r="F27" s="33" t="inlineStr">
        <is>
          <t>VML</t>
        </is>
      </c>
      <c r="G27" s="33" t="inlineStr">
        <is>
          <t>Argentina</t>
        </is>
      </c>
      <c r="H27" s="33" t="inlineStr">
        <is>
          <t>Corporate Purpose &amp; Social Responsibility</t>
        </is>
      </c>
      <c r="I27" s="33" t="inlineStr">
        <is>
          <t>https://ascentialcdn.filespin.io/api/v1/conversion/70f6c404ba5843648150004783102991</t>
        </is>
      </c>
      <c r="J27" s="33" t="inlineStr">
        <is>
          <t>2V3ZDb5kow0</t>
        </is>
      </c>
      <c r="L27" s="33" t="inlineStr">
        <is>
          <t>https://www.lovethework.com/work/entries/undeleted-743391</t>
        </is>
      </c>
    </row>
    <row r="28">
      <c r="A28" s="33" t="n">
        <v>27</v>
      </c>
      <c r="B28" s="33" t="inlineStr">
        <is>
          <t>Bronze</t>
        </is>
      </c>
      <c r="C28" s="33" t="inlineStr">
        <is>
          <t>SOMEDAY</t>
        </is>
      </c>
      <c r="D28" s="33" t="inlineStr">
        <is>
          <t>APPLE</t>
        </is>
      </c>
      <c r="E28" s="33" t="inlineStr">
        <is>
          <t>AIRPODS</t>
        </is>
      </c>
      <c r="F28" s="33" t="inlineStr">
        <is>
          <t>TBWA\MEDIA ARTS LAB</t>
        </is>
      </c>
      <c r="G28" s="33" t="inlineStr">
        <is>
          <t>United States</t>
        </is>
      </c>
      <c r="H28" s="33" t="inlineStr">
        <is>
          <t>Social Film</t>
        </is>
      </c>
      <c r="I28" s="33" t="inlineStr">
        <is>
          <t>https://ascentialcdn.filespin.io/api/v1/conversion/475e966b12d5487d962412c02cc3eba4</t>
        </is>
      </c>
      <c r="J28" s="33" t="inlineStr">
        <is>
          <t>LO4wamMlCKQ</t>
        </is>
      </c>
      <c r="L28" s="33" t="inlineStr">
        <is>
          <t>https://www.lovethework.com/work/entries/someday-743009</t>
        </is>
      </c>
    </row>
    <row r="29">
      <c r="A29" s="33" t="n">
        <v>28</v>
      </c>
      <c r="B29" s="33" t="inlineStr">
        <is>
          <t>Bronze</t>
        </is>
      </c>
      <c r="C29" s="33" t="inlineStr">
        <is>
          <t>FOUR SEASONS BABY</t>
        </is>
      </c>
      <c r="D29" s="33" t="inlineStr">
        <is>
          <t>FOUR SEASONS HOTELS &amp; RESORTS</t>
        </is>
      </c>
      <c r="E29" s="33" t="inlineStr">
        <is>
          <t>SOCIAL CAMPAIGN</t>
        </is>
      </c>
      <c r="F29" s="33" t="inlineStr">
        <is>
          <t>WE ARE SOCIAL</t>
        </is>
      </c>
      <c r="G29" s="33" t="inlineStr">
        <is>
          <t>Canada</t>
        </is>
      </c>
      <c r="H29" s="33" t="inlineStr">
        <is>
          <t>Real-Time Response</t>
        </is>
      </c>
      <c r="I29" s="33" t="inlineStr">
        <is>
          <t>https://ascentialcdn.filespin.io/api/v1/conversion/b5a740dfdc0d4568a12c4e6ce327e1a1</t>
        </is>
      </c>
      <c r="J29" s="33" t="inlineStr">
        <is>
          <t>vimeo:1058771553</t>
        </is>
      </c>
      <c r="L29" s="33" t="inlineStr">
        <is>
          <t>https://www.lovethework.com/work/entries/four-seasons-baby-742458</t>
        </is>
      </c>
    </row>
    <row r="30">
      <c r="A30" s="33" t="n">
        <v>29</v>
      </c>
      <c r="B30" s="33" t="inlineStr">
        <is>
          <t>Bronze</t>
        </is>
      </c>
      <c r="C30" s="33" t="inlineStr">
        <is>
          <t>ABRACADABRA: FROM FAN TO FEATURED</t>
        </is>
      </c>
      <c r="D30" s="33" t="inlineStr">
        <is>
          <t>MASTERCARD</t>
        </is>
      </c>
      <c r="E30" s="33" t="inlineStr">
        <is>
          <t>MASTERCARD</t>
        </is>
      </c>
      <c r="F30" s="33" t="inlineStr">
        <is>
          <t>McCANN XBC</t>
        </is>
      </c>
      <c r="G30" s="33" t="inlineStr">
        <is>
          <t>United States</t>
        </is>
      </c>
      <c r="H30" s="33" t="inlineStr">
        <is>
          <t>Sponsorship &amp; Brand Partnership</t>
        </is>
      </c>
      <c r="I30" s="33" t="inlineStr">
        <is>
          <t>https://ascentialcdn.filespin.io/api/v1/conversion/2c42f51097e14b1c9252656b853fc08f</t>
        </is>
      </c>
      <c r="J30" s="33" t="inlineStr">
        <is>
          <t>vimeo:1093143827</t>
        </is>
      </c>
      <c r="L30" s="33" t="inlineStr">
        <is>
          <t>https://www.lovethework.com/work/entries/abracadabra-from-fan-to-featured-759424</t>
        </is>
      </c>
    </row>
    <row r="31">
      <c r="A31" s="33" t="n">
        <v>30</v>
      </c>
      <c r="B31" s="33" t="inlineStr">
        <is>
          <t>Bronze</t>
        </is>
      </c>
      <c r="C31" s="33" t="inlineStr">
        <is>
          <t>THE DEATH OF DUO</t>
        </is>
      </c>
      <c r="D31" s="33" t="inlineStr">
        <is>
          <t>DUOLINGO</t>
        </is>
      </c>
      <c r="E31" s="33" t="inlineStr">
        <is>
          <t>DUOLINGO</t>
        </is>
      </c>
      <c r="F31" s="33" t="inlineStr">
        <is>
          <t>DUOLINGO</t>
        </is>
      </c>
      <c r="G31" s="33" t="inlineStr">
        <is>
          <t>United States</t>
        </is>
      </c>
      <c r="H31" s="33" t="inlineStr">
        <is>
          <t>Brand Storytelling</t>
        </is>
      </c>
      <c r="I31" s="33" t="inlineStr">
        <is>
          <t>https://ascentialcdn.filespin.io/api/v1/conversion/f4109c89080c4d6b8170e479b78d5160</t>
        </is>
      </c>
      <c r="J31" s="33" t="inlineStr">
        <is>
          <t>vimeo:1094581252</t>
        </is>
      </c>
      <c r="L31" s="33" t="inlineStr">
        <is>
          <t>https://www.lovethework.com/work/entries/the-death-of-duo-742370</t>
        </is>
      </c>
    </row>
    <row r="32">
      <c r="A32" s="33" t="n">
        <v>31</v>
      </c>
      <c r="B32" s="33" t="inlineStr">
        <is>
          <t>Bronze</t>
        </is>
      </c>
      <c r="C32" s="33" t="inlineStr">
        <is>
          <t>5-STAR THEATER WITH ADAM DRIVER</t>
        </is>
      </c>
      <c r="D32" s="33" t="inlineStr">
        <is>
          <t>AMAZON</t>
        </is>
      </c>
      <c r="E32" s="33" t="inlineStr">
        <is>
          <t>AMAZON</t>
        </is>
      </c>
      <c r="F32" s="33" t="inlineStr">
        <is>
          <t>AMAZON XCM</t>
        </is>
      </c>
      <c r="G32" s="33" t="inlineStr">
        <is>
          <t>United States</t>
        </is>
      </c>
      <c r="H32" s="33" t="inlineStr">
        <is>
          <t>Social Film Series</t>
        </is>
      </c>
      <c r="I32" s="33" t="inlineStr">
        <is>
          <t>https://ascentialcdn.filespin.io/api/v1/conversion/63359301abaf4173a6021398ff077c93</t>
        </is>
      </c>
      <c r="J32" s="33" t="inlineStr">
        <is>
          <t>mp4:https://d2z00kf51ll94q.cloudfront.net//archive/2025/media/OS25_BS029M_0.mp4</t>
        </is>
      </c>
      <c r="L32" s="33" t="inlineStr">
        <is>
          <t>https://www.lovethework.com/work/entries/5-star-theater-with-adam-driver-743003</t>
        </is>
      </c>
    </row>
    <row r="33">
      <c r="A33" s="33" t="n">
        <v>32</v>
      </c>
      <c r="B33" s="33" t="inlineStr">
        <is>
          <t>Bronze</t>
        </is>
      </c>
      <c r="C33" s="33" t="inlineStr">
        <is>
          <t>OREO EMPIRE</t>
        </is>
      </c>
      <c r="D33" s="33" t="inlineStr">
        <is>
          <t>OREO</t>
        </is>
      </c>
      <c r="E33" s="33" t="inlineStr">
        <is>
          <t>OREO COOKIES</t>
        </is>
      </c>
      <c r="F33" s="33" t="inlineStr">
        <is>
          <t>DENTSU CREATIVE</t>
        </is>
      </c>
      <c r="G33" s="33" t="inlineStr">
        <is>
          <t>United States</t>
        </is>
      </c>
      <c r="H33" s="33" t="inlineStr">
        <is>
          <t>Brand Storytelling</t>
        </is>
      </c>
      <c r="I33" s="33" t="inlineStr">
        <is>
          <t>https://ascentialcdn.filespin.io/api/v1/conversion/f2978f9255da42889e454a19c0f9f5ea</t>
        </is>
      </c>
      <c r="J33" s="33" t="inlineStr">
        <is>
          <t>JxtVzPFRTGw</t>
        </is>
      </c>
      <c r="L33" s="33" t="inlineStr">
        <is>
          <t>https://www.lovethework.com/work/entries/oreo-empire-742460</t>
        </is>
      </c>
    </row>
    <row r="34">
      <c r="A34" s="33" t="n">
        <v>33</v>
      </c>
      <c r="B34" s="33" t="inlineStr">
        <is>
          <t>Bronze</t>
        </is>
      </c>
      <c r="C34" s="33" t="inlineStr">
        <is>
          <t>TRASH TALK CODES</t>
        </is>
      </c>
      <c r="D34" s="33" t="inlineStr">
        <is>
          <t>BRAHMA</t>
        </is>
      </c>
      <c r="E34" s="33" t="inlineStr">
        <is>
          <t>BEER</t>
        </is>
      </c>
      <c r="F34" s="33" t="inlineStr">
        <is>
          <t>AFRICA CREATIVE DDB</t>
        </is>
      </c>
      <c r="G34" s="33" t="inlineStr">
        <is>
          <t>Brazil</t>
        </is>
      </c>
      <c r="H34" s="33" t="inlineStr">
        <is>
          <t>Innovative Engagement of Community</t>
        </is>
      </c>
      <c r="I34" s="33" t="inlineStr">
        <is>
          <t>https://ascentialcdn.filespin.io/api/v1/conversion/bcf3f7bdfec54845a73773b5e7abc7db</t>
        </is>
      </c>
      <c r="J34" s="33" t="inlineStr">
        <is>
          <t>vimeo:1090489924</t>
        </is>
      </c>
      <c r="L34" s="33" t="inlineStr">
        <is>
          <t>https://www.lovethework.com/work/entries/trash-talk-codes-742731</t>
        </is>
      </c>
    </row>
    <row r="35">
      <c r="A35" s="33" t="n">
        <v>34</v>
      </c>
      <c r="B35" s="33" t="inlineStr">
        <is>
          <t>Bronze</t>
        </is>
      </c>
      <c r="C35" s="33" t="inlineStr">
        <is>
          <t>TIDE COLLATERAL STAIN STORIES</t>
        </is>
      </c>
      <c r="D35" s="33" t="inlineStr">
        <is>
          <t>TIDE</t>
        </is>
      </c>
      <c r="E35" s="33" t="inlineStr">
        <is>
          <t>TIDE OXI BOOST</t>
        </is>
      </c>
      <c r="F35" s="33" t="inlineStr">
        <is>
          <t>SAATCHI &amp; SAATCHI</t>
        </is>
      </c>
      <c r="G35" s="33" t="inlineStr">
        <is>
          <t>United States</t>
        </is>
      </c>
      <c r="H35" s="33" t="inlineStr">
        <is>
          <t>Content Placement</t>
        </is>
      </c>
      <c r="I35" s="33" t="inlineStr">
        <is>
          <t>https://ascentialcdn.filespin.io/api/v1/conversion/510865a52f65499f83e95097f9458b0c</t>
        </is>
      </c>
      <c r="J35" s="33" t="inlineStr">
        <is>
          <t>vimeo:1078053795</t>
        </is>
      </c>
      <c r="L35" s="33" t="inlineStr">
        <is>
          <t>https://www.lovethework.com/work/entries/tide-collateral-stain-stories-742796</t>
        </is>
      </c>
    </row>
    <row r="36">
      <c r="A36" s="33" t="n">
        <v>35</v>
      </c>
      <c r="B36" s="33" t="inlineStr">
        <is>
          <t>Bronze</t>
        </is>
      </c>
      <c r="C36" s="33" t="inlineStr">
        <is>
          <t>LIDLIZE</t>
        </is>
      </c>
      <c r="D36" s="33" t="inlineStr">
        <is>
          <t>LIDL</t>
        </is>
      </c>
      <c r="E36" s="33" t="inlineStr">
        <is>
          <t>RETAIL</t>
        </is>
      </c>
      <c r="F36" s="33" t="inlineStr">
        <is>
          <t>MARCEL</t>
        </is>
      </c>
      <c r="G36" s="33" t="inlineStr">
        <is>
          <t>France</t>
        </is>
      </c>
      <c r="H36" s="33" t="inlineStr">
        <is>
          <t>Co-Creation &amp; User Generated Content</t>
        </is>
      </c>
      <c r="I36" s="33" t="inlineStr">
        <is>
          <t>https://ascentialcdn.filespin.io/api/v1/conversion/f979928ea0a14ad7a4df5b301de95a0e</t>
        </is>
      </c>
      <c r="J36" s="33" t="inlineStr">
        <is>
          <t>mba6sPCSX_8</t>
        </is>
      </c>
      <c r="L36" s="33" t="inlineStr">
        <is>
          <t>https://www.lovethework.com/work/entries/lidlize-760659</t>
        </is>
      </c>
    </row>
    <row r="37">
      <c r="A37" s="33" t="n">
        <v>36</v>
      </c>
      <c r="B37" s="33" t="inlineStr">
        <is>
          <t>Bronze</t>
        </is>
      </c>
      <c r="C37" s="33" t="inlineStr">
        <is>
          <t>HARMONISER</t>
        </is>
      </c>
      <c r="D37" s="33" t="inlineStr">
        <is>
          <t>TWIX</t>
        </is>
      </c>
      <c r="E37" s="33" t="inlineStr">
        <is>
          <t>TWIX</t>
        </is>
      </c>
      <c r="F37" s="33" t="inlineStr">
        <is>
          <t>adam&amp;eveDDB</t>
        </is>
      </c>
      <c r="G37" s="33" t="inlineStr">
        <is>
          <t>United Kingdom</t>
        </is>
      </c>
      <c r="H37" s="33" t="inlineStr">
        <is>
          <t>Co-Creation &amp; User Generated Content</t>
        </is>
      </c>
      <c r="I37" s="33" t="inlineStr">
        <is>
          <t>https://ascentialcdn.filespin.io/api/v1/conversion/bd69a0303076425391bbc54c35136f07</t>
        </is>
      </c>
      <c r="J37" s="33" t="inlineStr">
        <is>
          <t>OFY3DkMtpEk</t>
        </is>
      </c>
      <c r="L37" s="33" t="inlineStr">
        <is>
          <t>https://www.lovethework.com/work/entries/harmoniser-743035</t>
        </is>
      </c>
    </row>
    <row r="38">
      <c r="A38" s="33" t="n">
        <v>37</v>
      </c>
      <c r="B38" s="33" t="inlineStr">
        <is>
          <t>Bronze</t>
        </is>
      </c>
      <c r="C38" s="33" t="inlineStr">
        <is>
          <t>TANTRUM GIRL</t>
        </is>
      </c>
      <c r="D38" s="33" t="inlineStr">
        <is>
          <t>TOBLERONE</t>
        </is>
      </c>
      <c r="E38" s="33" t="inlineStr">
        <is>
          <t>TOBLERONE CHOCOLATE</t>
        </is>
      </c>
      <c r="F38" s="33" t="inlineStr">
        <is>
          <t>LEPUB</t>
        </is>
      </c>
      <c r="G38" s="33" t="inlineStr">
        <is>
          <t>Italy</t>
        </is>
      </c>
      <c r="H38" s="33" t="inlineStr">
        <is>
          <t>Brand Storytelling</t>
        </is>
      </c>
      <c r="I38" s="33" t="inlineStr">
        <is>
          <t>digital-presentation-images/social-and-creator-toblerone-tantrum-girl.webp</t>
        </is>
      </c>
      <c r="J38" s="33" t="inlineStr">
        <is>
          <t>vimeo:1182426776</t>
        </is>
      </c>
      <c r="L38" s="33" t="inlineStr">
        <is>
          <t>https://www.lovethework.com/work/entries/tantrum-girl-742550</t>
        </is>
      </c>
    </row>
    <row r="39">
      <c r="A39" s="33" t="n">
        <v>38</v>
      </c>
      <c r="B39" s="33" t="inlineStr">
        <is>
          <t>Bronze</t>
        </is>
      </c>
      <c r="C39" s="33" t="inlineStr">
        <is>
          <t>OLYMPIC CURRY</t>
        </is>
      </c>
      <c r="D39" s="33" t="inlineStr">
        <is>
          <t>MCDONALD'S</t>
        </is>
      </c>
      <c r="E39" s="33" t="inlineStr">
        <is>
          <t>CURRY SAUCE</t>
        </is>
      </c>
      <c r="F39" s="33" t="inlineStr">
        <is>
          <t>DDB PARIS</t>
        </is>
      </c>
      <c r="G39" s="33" t="inlineStr">
        <is>
          <t>France</t>
        </is>
      </c>
      <c r="H39" s="33" t="inlineStr">
        <is>
          <t>Organic Reach &amp; Influence</t>
        </is>
      </c>
      <c r="I39" s="33" t="inlineStr">
        <is>
          <t>https://ascentialcdn.filespin.io/api/v1/conversion/b8993a8a561d47fe9b9f126b8fbb45ce</t>
        </is>
      </c>
      <c r="J39" s="33" t="inlineStr">
        <is>
          <t>tOs7DlcDX0U</t>
        </is>
      </c>
      <c r="L39" s="33" t="inlineStr">
        <is>
          <t>https://www.lovethework.com/work/entries/olympic-curry-742643</t>
        </is>
      </c>
    </row>
    <row r="40">
      <c r="A40" s="33" t="n">
        <v>39</v>
      </c>
      <c r="B40" s="33" t="inlineStr">
        <is>
          <t>Bronze</t>
        </is>
      </c>
      <c r="C40" s="33" t="inlineStr">
        <is>
          <t>FEELIN PLANTY GOOD</t>
        </is>
      </c>
      <c r="D40" s="33" t="inlineStr">
        <is>
          <t>SILK</t>
        </is>
      </c>
      <c r="E40" s="33" t="inlineStr">
        <is>
          <t>SILK VANILLA ALMOND MILK</t>
        </is>
      </c>
      <c r="F40" s="33" t="inlineStr">
        <is>
          <t>HAVAS</t>
        </is>
      </c>
      <c r="G40" s="33" t="inlineStr">
        <is>
          <t>United States</t>
        </is>
      </c>
      <c r="H40" s="33" t="inlineStr">
        <is>
          <t>Excellence in Craft</t>
        </is>
      </c>
      <c r="I40" s="33" t="inlineStr">
        <is>
          <t>https://ascentialcdn.filespin.io/api/v1/conversion/6a5dda0a534843feb5db80efbb5a5b2c</t>
        </is>
      </c>
      <c r="J40" s="33" t="inlineStr">
        <is>
          <t>vimeo:1176491607</t>
        </is>
      </c>
      <c r="L40" s="33" t="inlineStr">
        <is>
          <t>https://www.lovethework.com/work/entries/feelin-planty-good-742838</t>
        </is>
      </c>
    </row>
    <row r="41">
      <c r="A41" s="33" t="n">
        <v>40</v>
      </c>
      <c r="B41" s="33" t="inlineStr">
        <is>
          <t>Bronze</t>
        </is>
      </c>
      <c r="C41" s="33" t="inlineStr">
        <is>
          <t>LETTING OUR GEN-Z STAFF WRITE THE MARKETING SCRIPT</t>
        </is>
      </c>
      <c r="D41" s="33" t="inlineStr">
        <is>
          <t>CURRYS / PC WORLD</t>
        </is>
      </c>
      <c r="E41" s="33" t="inlineStr">
        <is>
          <t>NINJA, HENRY HOOVER</t>
        </is>
      </c>
      <c r="F41" s="33" t="inlineStr">
        <is>
          <t>Fabric Social</t>
        </is>
      </c>
      <c r="G41" s="33" t="inlineStr">
        <is>
          <t>United Kingdom</t>
        </is>
      </c>
      <c r="H41" s="33" t="inlineStr">
        <is>
          <t>Organic Reach &amp; Influence</t>
        </is>
      </c>
      <c r="I41" s="33" t="inlineStr">
        <is>
          <t>https://ascentialcdn.filespin.io/api/v1/conversion/1c6ea8a8d83c40ee81aad876ed744e8a</t>
        </is>
      </c>
      <c r="J41" s="33" t="inlineStr">
        <is>
          <t>vimeo:1094578702</t>
        </is>
      </c>
      <c r="L41" s="33" t="inlineStr">
        <is>
          <t>https://www.lovethework.com/work/entries/letting-our-gen-z-staff-write-the-marketing-script-742712</t>
        </is>
      </c>
    </row>
    <row r="42">
      <c r="A42" s="33" t="n">
        <v>41</v>
      </c>
      <c r="B42" s="33" t="inlineStr">
        <is>
          <t>Bronze</t>
        </is>
      </c>
      <c r="C42" s="33" t="inlineStr">
        <is>
          <t>250 REASONS NOT TO BUY THE MERCEDES-AMG PURESPEED</t>
        </is>
      </c>
      <c r="D42" s="33" t="inlineStr">
        <is>
          <t>MERCEDES BENZ</t>
        </is>
      </c>
      <c r="E42" s="33" t="inlineStr">
        <is>
          <t>MERCEDES-AMG</t>
        </is>
      </c>
      <c r="F42" s="33" t="inlineStr">
        <is>
          <t>TEAM X</t>
        </is>
      </c>
      <c r="G42" s="33" t="inlineStr">
        <is>
          <t>Germany</t>
        </is>
      </c>
      <c r="H42" s="33" t="inlineStr">
        <is>
          <t>Multi-Platform Social Campaign</t>
        </is>
      </c>
      <c r="I42" s="33" t="inlineStr">
        <is>
          <t>https://ascentialcdn.filespin.io/api/v1/conversion/f757f3845e604e6482123c99fa943337</t>
        </is>
      </c>
      <c r="J42" s="33" t="inlineStr">
        <is>
          <t>vimeo:1094331871</t>
        </is>
      </c>
      <c r="L42" s="33" t="inlineStr">
        <is>
          <t>https://www.lovethework.com/work/entries/250-reasons-not-to-buy-the-mercedes-amg-purespeed-743080</t>
        </is>
      </c>
    </row>
    <row r="43">
      <c r="A43" s="33" t="n">
        <v>42</v>
      </c>
      <c r="B43" s="33" t="inlineStr">
        <is>
          <t>Bronze</t>
        </is>
      </c>
      <c r="C43" s="33" t="inlineStr">
        <is>
          <t>SNICKERS AI</t>
        </is>
      </c>
      <c r="D43" s="33" t="inlineStr">
        <is>
          <t>SNICKERS</t>
        </is>
      </c>
      <c r="E43" s="33" t="inlineStr">
        <is>
          <t>SNICKERS</t>
        </is>
      </c>
      <c r="F43" s="33" t="inlineStr">
        <is>
          <t>T&amp;PM</t>
        </is>
      </c>
      <c r="G43" s="33" t="inlineStr">
        <is>
          <t>United Kingdom</t>
        </is>
      </c>
      <c r="H43" s="33" t="inlineStr">
        <is>
          <t>Co-Creation &amp; User Generated Content</t>
        </is>
      </c>
      <c r="I43" s="33" t="inlineStr">
        <is>
          <t>https://ascentialcdn.filespin.io/api/v1/conversion/86bcac60e3f648c7881b028c2d9d2273</t>
        </is>
      </c>
      <c r="J43" s="33" t="inlineStr">
        <is>
          <t>VlRy84v2mXw</t>
        </is>
      </c>
      <c r="L43" s="33" t="inlineStr">
        <is>
          <t>https://www.lovethework.com/work/entries/snickers-ai-743048</t>
        </is>
      </c>
    </row>
    <row r="44">
      <c r="A44" s="33" t="n">
        <v>43</v>
      </c>
      <c r="B44" s="33" t="inlineStr">
        <is>
          <t>Bronze</t>
        </is>
      </c>
      <c r="C44" s="33" t="inlineStr">
        <is>
          <t>ONE SECOND ADS</t>
        </is>
      </c>
      <c r="D44" s="33" t="inlineStr">
        <is>
          <t>BUDWEISER</t>
        </is>
      </c>
      <c r="E44" s="33" t="inlineStr">
        <is>
          <t>BEER</t>
        </is>
      </c>
      <c r="F44" s="33" t="inlineStr">
        <is>
          <t>AFRICA CREATIVE DDB</t>
        </is>
      </c>
      <c r="G44" s="33" t="inlineStr">
        <is>
          <t>Brazil</t>
        </is>
      </c>
      <c r="H44" s="33" t="inlineStr">
        <is>
          <t>Innovative Engagement of Community</t>
        </is>
      </c>
      <c r="I44" s="33" t="inlineStr">
        <is>
          <t>digital-presentation-images/social-and-creator-budweiser-one-second-ads.webp</t>
        </is>
      </c>
      <c r="J44" s="33" t="inlineStr">
        <is>
          <t>d-mtDQXtR6I</t>
        </is>
      </c>
      <c r="K44" s="33" t="inlineStr">
        <is>
          <t>budweiser-one-second-ads</t>
        </is>
      </c>
      <c r="L44" s="33" t="inlineStr">
        <is>
          <t>https://www.lovethework.com/work/entries/one-second-ads-759545</t>
        </is>
      </c>
    </row>
    <row r="45">
      <c r="A45" s="33" t="n">
        <v>44</v>
      </c>
      <c r="B45" s="33" t="inlineStr">
        <is>
          <t>Bronze</t>
        </is>
      </c>
      <c r="C45" s="33" t="inlineStr">
        <is>
          <t>CAMDEN STOUT - HONEST REVIEWS</t>
        </is>
      </c>
      <c r="D45" s="33" t="inlineStr">
        <is>
          <t>CAMDEN TOWN BREWERY</t>
        </is>
      </c>
      <c r="E45" s="33" t="inlineStr">
        <is>
          <t>CAMDEN STOUT</t>
        </is>
      </c>
      <c r="F45" s="33" t="inlineStr">
        <is>
          <t>ABINBEV</t>
        </is>
      </c>
      <c r="G45" s="33" t="inlineStr">
        <is>
          <t>Belgium</t>
        </is>
      </c>
      <c r="H45" s="33" t="inlineStr">
        <is>
          <t>Audience Targeting/Engagement Strategies</t>
        </is>
      </c>
      <c r="I45" s="33" t="inlineStr">
        <is>
          <t>https://ascentialcdn.filespin.io/api/v1/conversion/02e1b78a1ce94d84bee44bf8a707550e</t>
        </is>
      </c>
      <c r="J45" s="33" t="inlineStr">
        <is>
          <t>vimeo:1077904091</t>
        </is>
      </c>
      <c r="L45" s="33" t="inlineStr">
        <is>
          <t>https://www.lovethework.com/work/entries/camden-stout-honest-reviews-742275</t>
        </is>
      </c>
    </row>
    <row r="46">
      <c r="A46" s="33" t="n">
        <v>45</v>
      </c>
      <c r="B46" s="33" t="inlineStr">
        <is>
          <t>Bronze</t>
        </is>
      </c>
      <c r="C46" s="33" t="inlineStr">
        <is>
          <t>U UP?</t>
        </is>
      </c>
      <c r="D46" s="33" t="inlineStr">
        <is>
          <t>IKEA</t>
        </is>
      </c>
      <c r="E46" s="33" t="inlineStr">
        <is>
          <t>IKEA</t>
        </is>
      </c>
      <c r="F46" s="33" t="inlineStr">
        <is>
          <t>RETHINK</t>
        </is>
      </c>
      <c r="G46" s="33" t="inlineStr">
        <is>
          <t>Canada</t>
        </is>
      </c>
      <c r="H46" s="33" t="inlineStr">
        <is>
          <t>Breakthrough on a Budget</t>
        </is>
      </c>
      <c r="I46" s="33" t="inlineStr">
        <is>
          <t>https://ascentialcdn.filespin.io/api/v1/conversion/1d6f8cfcad1b47c9beaa5f403844ec8a</t>
        </is>
      </c>
      <c r="J46" s="33" t="inlineStr">
        <is>
          <t>VT02JDQuMxM</t>
        </is>
      </c>
      <c r="L46" s="33" t="inlineStr">
        <is>
          <t>https://www.lovethework.com/work/entries/u-up-743427</t>
        </is>
      </c>
    </row>
    <row r="47">
      <c r="A47" s="33" t="n">
        <v>46</v>
      </c>
      <c r="B47" s="33" t="inlineStr">
        <is>
          <t>Bronze</t>
        </is>
      </c>
      <c r="C47" s="33" t="inlineStr">
        <is>
          <t>BURGER TO KING</t>
        </is>
      </c>
      <c r="D47" s="33" t="inlineStr">
        <is>
          <t>BURGER KING, HAPPINESS</t>
        </is>
      </c>
      <c r="E47" s="33" t="inlineStr">
        <is>
          <t>BURGER KING</t>
        </is>
      </c>
      <c r="F47" s="33" t="inlineStr">
        <is>
          <t>AN FCB ALLIANCE</t>
        </is>
      </c>
      <c r="G47" s="33" t="inlineStr">
        <is>
          <t>Belgium</t>
        </is>
      </c>
      <c r="H47" s="33" t="inlineStr">
        <is>
          <t>Innovative Engagement of Community</t>
        </is>
      </c>
      <c r="I47" s="33" t="inlineStr">
        <is>
          <t>https://ascentialcdn.filespin.io/api/v1/conversion/9c71f6e2352b428784f91e8247db714e</t>
        </is>
      </c>
      <c r="J47" s="33" t="inlineStr">
        <is>
          <t>RQVaoU4CGRk</t>
        </is>
      </c>
      <c r="L47" s="33" t="inlineStr">
        <is>
          <t>https://www.lovethework.com/work/entries/burger-to-king-760741</t>
        </is>
      </c>
    </row>
    <row r="48">
      <c r="A48" s="33" t="n">
        <v>47</v>
      </c>
      <c r="B48" s="33" t="inlineStr">
        <is>
          <t>Bronze</t>
        </is>
      </c>
      <c r="C48" s="33" t="inlineStr">
        <is>
          <t>THE FLIPPER</t>
        </is>
      </c>
      <c r="D48" s="33" t="inlineStr">
        <is>
          <t>HEINEKEN</t>
        </is>
      </c>
      <c r="E48" s="33" t="inlineStr">
        <is>
          <t>HEINEKEN</t>
        </is>
      </c>
      <c r="F48" s="33" t="inlineStr">
        <is>
          <t>LEPUB</t>
        </is>
      </c>
      <c r="G48" s="33" t="inlineStr">
        <is>
          <t>Netherlands</t>
        </is>
      </c>
      <c r="H48" s="33" t="inlineStr">
        <is>
          <t>Creator Collaboration</t>
        </is>
      </c>
      <c r="I48" s="33" t="inlineStr">
        <is>
          <t>https://ascentialcdn.filespin.io/api/v1/conversion/5e630b6d1a8d43d494544038884723b7</t>
        </is>
      </c>
      <c r="J48" s="33" t="inlineStr">
        <is>
          <t>vimeo:1083152151</t>
        </is>
      </c>
      <c r="L48" s="33" t="inlineStr">
        <is>
          <t>https://www.lovethework.com/work/entries/the-flipper-760602</t>
        </is>
      </c>
    </row>
    <row r="49">
      <c r="A49" s="33" t="n">
        <v>48</v>
      </c>
      <c r="B49" s="33" t="inlineStr">
        <is>
          <t>Bronze</t>
        </is>
      </c>
      <c r="C49" s="33" t="inlineStr">
        <is>
          <t>TRACKING BAD BUNNY</t>
        </is>
      </c>
      <c r="D49" s="33" t="inlineStr">
        <is>
          <t>RIMAS MUSIC</t>
        </is>
      </c>
      <c r="E49" s="33" t="inlineStr">
        <is>
          <t>BAD BUNNY</t>
        </is>
      </c>
      <c r="F49" s="33" t="inlineStr">
        <is>
          <t>DDB LATINA PUERTO RICO</t>
        </is>
      </c>
      <c r="G49" s="33" t="inlineStr">
        <is>
          <t>Puerto Rico</t>
        </is>
      </c>
      <c r="H49" s="33" t="inlineStr">
        <is>
          <t>Cultural Engagement</t>
        </is>
      </c>
      <c r="I49" s="33" t="inlineStr">
        <is>
          <t>https://ascentialcdn.filespin.io/api/v1/conversion/12a3c9e0c6e948eeaa5543a2fedda2c2</t>
        </is>
      </c>
      <c r="J49" s="33" t="inlineStr">
        <is>
          <t>hPLaT_JT9Zw</t>
        </is>
      </c>
      <c r="L49" s="33" t="inlineStr">
        <is>
          <t>https://www.lovethework.com/work/entries/tracking-bad-bunny-759002</t>
        </is>
      </c>
    </row>
    <row r="50">
      <c r="A50" s="33" t="n">
        <v>49</v>
      </c>
      <c r="B50" s="33" t="inlineStr">
        <is>
          <t>Bronze</t>
        </is>
      </c>
      <c r="C50" s="33" t="inlineStr">
        <is>
          <t>THE BLACK DOG(S)</t>
        </is>
      </c>
      <c r="D50" s="33" t="inlineStr">
        <is>
          <t>SECONDE CHANCE</t>
        </is>
      </c>
      <c r="E50" s="33" t="inlineStr">
        <is>
          <t>SECONDE CHANCE</t>
        </is>
      </c>
      <c r="F50" s="33" t="inlineStr">
        <is>
          <t>BETC</t>
        </is>
      </c>
      <c r="G50" s="33" t="inlineStr">
        <is>
          <t>France</t>
        </is>
      </c>
      <c r="H50" s="33" t="inlineStr">
        <is>
          <t>Breakthrough on a Budget</t>
        </is>
      </c>
      <c r="I50" s="33" t="inlineStr">
        <is>
          <t>https://ascentialcdn.filespin.io/api/v1/conversion/30aec1c3378c43f3845d46d7e83d4bf5</t>
        </is>
      </c>
      <c r="J50" s="33" t="inlineStr">
        <is>
          <t>eh7nvB91vaM</t>
        </is>
      </c>
      <c r="L50" s="33" t="inlineStr">
        <is>
          <t>https://www.lovethework.com/work/entries/the-black-dogs-743512</t>
        </is>
      </c>
    </row>
    <row r="51">
      <c r="A51" s="33" t="n">
        <v>50</v>
      </c>
      <c r="B51" s="33" t="inlineStr">
        <is>
          <t>Bronze</t>
        </is>
      </c>
      <c r="C51" s="33" t="inlineStr">
        <is>
          <t>BASSI VS MEN'S FACEWASH</t>
        </is>
      </c>
      <c r="D51" s="33" t="inlineStr">
        <is>
          <t>GARNIER L'OREAL</t>
        </is>
      </c>
      <c r="E51" s="33" t="inlineStr">
        <is>
          <t>FACEWASH</t>
        </is>
      </c>
      <c r="F51" s="33" t="inlineStr">
        <is>
          <t>BBH INDIA</t>
        </is>
      </c>
      <c r="G51" s="33" t="inlineStr">
        <is>
          <t>India</t>
        </is>
      </c>
      <c r="H51" s="33" t="inlineStr">
        <is>
          <t>Use of Humour</t>
        </is>
      </c>
      <c r="I51" s="33" t="inlineStr">
        <is>
          <t>https://ascentialcdn.filespin.io/api/v1/conversion/f324b2259303465985c6298914501fea</t>
        </is>
      </c>
      <c r="J51" s="33" t="inlineStr">
        <is>
          <t>vimeo:1084518468</t>
        </is>
      </c>
      <c r="L51" s="33" t="inlineStr">
        <is>
          <t>https://www.lovethework.com/work/entries/bassi-vs-mens-facewash-743479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AXA - THREE WORDS</t>
        </is>
      </c>
      <c r="D2" s="33" t="inlineStr">
        <is>
          <t>AXA</t>
        </is>
      </c>
      <c r="E2" s="33" t="inlineStr">
        <is>
          <t>INSURANCE</t>
        </is>
      </c>
      <c r="F2" s="33" t="inlineStr">
        <is>
          <t>PUBLICIS CONSEIL</t>
        </is>
      </c>
      <c r="G2" s="33" t="inlineStr">
        <is>
          <t>France</t>
        </is>
      </c>
      <c r="H2" s="33" t="inlineStr">
        <is>
          <t>Market Disruption</t>
        </is>
      </c>
      <c r="I2" s="33" t="inlineStr">
        <is>
          <t>https://ascentialcdn.filespin.io/api/v1/conversion/e1a85ff134e545c7b049791151432028</t>
        </is>
      </c>
      <c r="J2" s="33" t="inlineStr">
        <is>
          <t>pY-03zuV7mE</t>
        </is>
      </c>
      <c r="L2" s="33" t="inlineStr">
        <is>
          <t>https://www.lovethework.com/work/entries/axa-three-words-744768</t>
        </is>
      </c>
    </row>
    <row r="3">
      <c r="A3" s="33" t="n">
        <v>2</v>
      </c>
      <c r="B3" s="33" t="inlineStr">
        <is>
          <t>Gold</t>
        </is>
      </c>
      <c r="C3" s="33" t="inlineStr">
        <is>
          <t>COUPON RAIN</t>
        </is>
      </c>
      <c r="D3" s="33" t="inlineStr">
        <is>
          <t>MERCADO LIVRE</t>
        </is>
      </c>
      <c r="E3" s="33" t="inlineStr">
        <is>
          <t>MERCADO LIVRE</t>
        </is>
      </c>
      <c r="F3" s="33" t="inlineStr">
        <is>
          <t>GUT</t>
        </is>
      </c>
      <c r="G3" s="33" t="inlineStr">
        <is>
          <t>Brazil</t>
        </is>
      </c>
      <c r="H3" s="33" t="inlineStr">
        <is>
          <t>Travel, Leisure, Retail, Restaurants &amp; Fast-Food Chains</t>
        </is>
      </c>
      <c r="I3" s="33" t="inlineStr">
        <is>
          <t>https://ascentialcdn.filespin.io/api/v1/conversion/b99de0a05bc54707b1426d24706b518b</t>
        </is>
      </c>
      <c r="J3" s="33" t="inlineStr">
        <is>
          <t>vimeo:1093414319</t>
        </is>
      </c>
      <c r="L3" s="33" t="inlineStr">
        <is>
          <t>https://www.lovethework.com/work/entries/coupon-rain-758980</t>
        </is>
      </c>
    </row>
    <row r="4">
      <c r="A4" s="33" t="n">
        <v>3</v>
      </c>
      <c r="B4" s="33" t="inlineStr">
        <is>
          <t>Gold</t>
        </is>
      </c>
      <c r="C4" s="33" t="inlineStr">
        <is>
          <t>U UP?</t>
        </is>
      </c>
      <c r="D4" s="33" t="inlineStr">
        <is>
          <t>IKEA</t>
        </is>
      </c>
      <c r="E4" s="33" t="inlineStr">
        <is>
          <t>IKEA</t>
        </is>
      </c>
      <c r="F4" s="33" t="inlineStr">
        <is>
          <t>RETHINK</t>
        </is>
      </c>
      <c r="G4" s="33" t="inlineStr">
        <is>
          <t>Canada</t>
        </is>
      </c>
      <c r="H4" s="33" t="inlineStr">
        <is>
          <t>Breakthrough on a Budget</t>
        </is>
      </c>
      <c r="I4" s="33" t="inlineStr">
        <is>
          <t>https://ascentialcdn.filespin.io/api/v1/conversion/1d6f8cfcad1b47c9beaa5f403844ec8a</t>
        </is>
      </c>
      <c r="J4" s="33" t="inlineStr">
        <is>
          <t>VT02JDQuMxM</t>
        </is>
      </c>
      <c r="L4" s="33" t="inlineStr">
        <is>
          <t>https://www.lovethework.com/work/entries/u-up-744634</t>
        </is>
      </c>
    </row>
    <row r="5">
      <c r="A5" s="33" t="n">
        <v>4</v>
      </c>
      <c r="B5" s="33" t="inlineStr">
        <is>
          <t>Gold</t>
        </is>
      </c>
      <c r="C5" s="33" t="inlineStr">
        <is>
          <t>PRICE PACKS</t>
        </is>
      </c>
      <c r="D5" s="33" t="inlineStr">
        <is>
          <t>PENNY</t>
        </is>
      </c>
      <c r="E5" s="33" t="inlineStr">
        <is>
          <t>FOOD/NON-FOOD</t>
        </is>
      </c>
      <c r="F5" s="33" t="inlineStr">
        <is>
          <t>SERVICEPLAN GERMANY</t>
        </is>
      </c>
      <c r="G5" s="33" t="inlineStr">
        <is>
          <t>Germany</t>
        </is>
      </c>
      <c r="H5" s="33" t="inlineStr">
        <is>
          <t>Experience Design</t>
        </is>
      </c>
      <c r="I5" s="33" t="inlineStr">
        <is>
          <t>https://ascentialcdn.filespin.io/api/v1/conversion/67b6df2a0fe64deeb274c91d50040c54</t>
        </is>
      </c>
      <c r="J5" s="33" t="inlineStr">
        <is>
          <t>wXx6z3mDnVc</t>
        </is>
      </c>
      <c r="L5" s="33" t="inlineStr">
        <is>
          <t>https://www.lovethework.com/work/entries/price-packs-744245</t>
        </is>
      </c>
    </row>
    <row r="6">
      <c r="A6" s="33" t="n">
        <v>5</v>
      </c>
      <c r="B6" s="33" t="inlineStr">
        <is>
          <t>Gold</t>
        </is>
      </c>
      <c r="C6" s="33" t="inlineStr">
        <is>
          <t>FOOTBALL IS FOR FOOD</t>
        </is>
      </c>
      <c r="D6" s="33" t="inlineStr">
        <is>
          <t>UBER EATS</t>
        </is>
      </c>
      <c r="E6" s="33" t="inlineStr">
        <is>
          <t>UBER EATS</t>
        </is>
      </c>
      <c r="F6" s="33" t="inlineStr">
        <is>
          <t>SPECIAL</t>
        </is>
      </c>
      <c r="G6" s="33" t="inlineStr">
        <is>
          <t>United States</t>
        </is>
      </c>
      <c r="H6" s="33" t="inlineStr">
        <is>
          <t>Use of Humour</t>
        </is>
      </c>
      <c r="I6" s="33" t="inlineStr">
        <is>
          <t>https://ascentialcdn.filespin.io/api/v1/conversion/bdc3e17665e54318a6a9b4e6705f40a7</t>
        </is>
      </c>
      <c r="J6" s="33" t="inlineStr">
        <is>
          <t>Mi_cxUyqH4Q</t>
        </is>
      </c>
      <c r="L6" s="33" t="inlineStr">
        <is>
          <t>https://www.lovethework.com/work/entries/football-is-for-food-744614</t>
        </is>
      </c>
    </row>
    <row r="7">
      <c r="A7" s="33" t="n">
        <v>6</v>
      </c>
      <c r="B7" s="33" t="inlineStr">
        <is>
          <t>Gold</t>
        </is>
      </c>
      <c r="C7" s="33" t="inlineStr">
        <is>
          <t>LIDLIZE</t>
        </is>
      </c>
      <c r="D7" s="33" t="inlineStr">
        <is>
          <t>LIDL</t>
        </is>
      </c>
      <c r="E7" s="33" t="inlineStr">
        <is>
          <t>RETAIL</t>
        </is>
      </c>
      <c r="F7" s="33" t="inlineStr">
        <is>
          <t>MARCEL</t>
        </is>
      </c>
      <c r="G7" s="33" t="inlineStr">
        <is>
          <t>France</t>
        </is>
      </c>
      <c r="H7" s="33" t="inlineStr">
        <is>
          <t>Travel, Leisure, Retail, Restaurants &amp; Fast-Food Chains</t>
        </is>
      </c>
      <c r="I7" s="33" t="inlineStr">
        <is>
          <t>https://ascentialcdn.filespin.io/api/v1/conversion/f979928ea0a14ad7a4df5b301de95a0e</t>
        </is>
      </c>
      <c r="J7" s="33" t="inlineStr">
        <is>
          <t>mba6sPCSX_8</t>
        </is>
      </c>
      <c r="L7" s="33" t="inlineStr">
        <is>
          <t>https://www.lovethework.com/work/entries/lidlize-760060</t>
        </is>
      </c>
    </row>
    <row r="8">
      <c r="A8" s="33" t="n">
        <v>7</v>
      </c>
      <c r="B8" s="33" t="inlineStr">
        <is>
          <t>Gold</t>
        </is>
      </c>
      <c r="C8" s="33" t="inlineStr">
        <is>
          <t>PRIZE ON THE BONE</t>
        </is>
      </c>
      <c r="D8" s="33" t="inlineStr">
        <is>
          <t>KFC</t>
        </is>
      </c>
      <c r="E8" s="33" t="inlineStr">
        <is>
          <t>KFC ICE-CREAM</t>
        </is>
      </c>
      <c r="F8" s="33" t="inlineStr">
        <is>
          <t>DM9</t>
        </is>
      </c>
      <c r="G8" s="33" t="inlineStr">
        <is>
          <t>Brazil</t>
        </is>
      </c>
      <c r="H8" s="33" t="inlineStr">
        <is>
          <t>Launch/Relaunch</t>
        </is>
      </c>
      <c r="I8" s="33" t="inlineStr">
        <is>
          <t>https://ascentialcdn.filespin.io/api/v1/conversion/32ef7021bdbd4c4392fa51fb240d45e6</t>
        </is>
      </c>
      <c r="J8" s="33" t="inlineStr">
        <is>
          <t>h4Kl5THlsYw</t>
        </is>
      </c>
      <c r="L8" s="33" t="inlineStr">
        <is>
          <t>https://www.lovethework.com/work/entries/prize-on-the-bone-744551</t>
        </is>
      </c>
    </row>
    <row r="9">
      <c r="A9" s="33" t="n">
        <v>8</v>
      </c>
      <c r="B9" s="33" t="inlineStr">
        <is>
          <t>Gold</t>
        </is>
      </c>
      <c r="C9" s="33" t="inlineStr">
        <is>
          <t>LUCKY YATRA</t>
        </is>
      </c>
      <c r="D9" s="33" t="inlineStr">
        <is>
          <t>INDIAN RAILWAYS</t>
        </is>
      </c>
      <c r="E9" s="33" t="inlineStr">
        <is>
          <t>RAILWAY SERVICE</t>
        </is>
      </c>
      <c r="F9" s="33" t="inlineStr">
        <is>
          <t>FCB INDIA</t>
        </is>
      </c>
      <c r="G9" s="33" t="inlineStr">
        <is>
          <t>India</t>
        </is>
      </c>
      <c r="H9" s="33" t="inlineStr">
        <is>
          <t>Local Brand</t>
        </is>
      </c>
      <c r="I9" s="33" t="inlineStr">
        <is>
          <t>https://ascentialcdn.filespin.io/api/v1/conversion/baed08eef7b94a6cabcd62dedb653704</t>
        </is>
      </c>
      <c r="J9" s="33" t="inlineStr">
        <is>
          <t>19fzAvuFq0I</t>
        </is>
      </c>
      <c r="L9" s="33" t="inlineStr">
        <is>
          <t>https://www.lovethework.com/work/entries/lucky-yatra-744460</t>
        </is>
      </c>
    </row>
    <row r="10">
      <c r="A10" s="33" t="n">
        <v>9</v>
      </c>
      <c r="B10" s="33" t="inlineStr">
        <is>
          <t>Gold</t>
        </is>
      </c>
      <c r="C10" s="33" t="inlineStr">
        <is>
          <t>IKEA HIDDEN TAGS</t>
        </is>
      </c>
      <c r="D10" s="33" t="inlineStr">
        <is>
          <t>IKEA</t>
        </is>
      </c>
      <c r="E10" s="33" t="inlineStr">
        <is>
          <t>IKEA</t>
        </is>
      </c>
      <c r="F10" s="33" t="inlineStr">
        <is>
          <t>UZINA</t>
        </is>
      </c>
      <c r="G10" s="33" t="inlineStr">
        <is>
          <t>Portugal</t>
        </is>
      </c>
      <c r="H10" s="33" t="inlineStr">
        <is>
          <t>Small-Scale Media</t>
        </is>
      </c>
      <c r="I10" s="33" t="inlineStr">
        <is>
          <t>https://ascentialcdn.filespin.io/api/v1/conversion/237ade5924eb407898bf58d19f58a52a</t>
        </is>
      </c>
      <c r="J10" s="33" t="inlineStr">
        <is>
          <t>oKWkHqlt7yA</t>
        </is>
      </c>
      <c r="L10" s="33" t="inlineStr">
        <is>
          <t>https://www.lovethework.com/work/entries/ikea-hidden-tags-743744</t>
        </is>
      </c>
    </row>
    <row r="11">
      <c r="A11" s="33" t="n">
        <v>10</v>
      </c>
      <c r="B11" s="33" t="inlineStr">
        <is>
          <t>Gold</t>
        </is>
      </c>
      <c r="C11" s="33" t="inlineStr">
        <is>
          <t>POTTY-TUNITIES</t>
        </is>
      </c>
      <c r="D11" s="33" t="inlineStr">
        <is>
          <t>ANGEL SOFT</t>
        </is>
      </c>
      <c r="E11" s="33" t="inlineStr">
        <is>
          <t>ANGEL SOFT TOILET PAPER</t>
        </is>
      </c>
      <c r="F11" s="33" t="inlineStr">
        <is>
          <t>GREY</t>
        </is>
      </c>
      <c r="G11" s="33" t="inlineStr">
        <is>
          <t>United States</t>
        </is>
      </c>
      <c r="H11" s="33" t="inlineStr">
        <is>
          <t>Use of Broadcast</t>
        </is>
      </c>
      <c r="I11" s="33" t="inlineStr">
        <is>
          <t>https://ascentialcdn.filespin.io/api/v1/conversion/d1fbeead5aeb4909a43f4920061be696</t>
        </is>
      </c>
      <c r="J11" s="33" t="inlineStr">
        <is>
          <t>eAh8JA18QJA</t>
        </is>
      </c>
      <c r="L11" s="33" t="inlineStr">
        <is>
          <t>https://www.lovethework.com/work/entries/potty-tunities-743937</t>
        </is>
      </c>
    </row>
    <row r="12">
      <c r="A12" s="33" t="n">
        <v>11</v>
      </c>
      <c r="B12" s="33" t="inlineStr">
        <is>
          <t>Gold</t>
        </is>
      </c>
      <c r="C12" s="33" t="inlineStr">
        <is>
          <t>PRESERVED PROMOS</t>
        </is>
      </c>
      <c r="D12" s="33" t="inlineStr">
        <is>
          <t>ZIPLOC</t>
        </is>
      </c>
      <c r="E12" s="33" t="inlineStr">
        <is>
          <t>ZIPLOC</t>
        </is>
      </c>
      <c r="F12" s="33" t="inlineStr">
        <is>
          <t>VML</t>
        </is>
      </c>
      <c r="G12" s="33" t="inlineStr">
        <is>
          <t>United States</t>
        </is>
      </c>
      <c r="H12" s="33" t="inlineStr">
        <is>
          <t>Use of Real-Time Data</t>
        </is>
      </c>
      <c r="I12" s="33" t="inlineStr">
        <is>
          <t>https://ascentialcdn.filespin.io/api/v1/conversion/8223f25b769b40e3b665c4ec19e2e12c</t>
        </is>
      </c>
      <c r="J12" s="33" t="inlineStr">
        <is>
          <t>F9CTRsV3N7k</t>
        </is>
      </c>
      <c r="L12" s="33" t="inlineStr">
        <is>
          <t>https://www.lovethework.com/work/entries/preserved-promos-744127</t>
        </is>
      </c>
    </row>
    <row r="13">
      <c r="A13" s="33" t="n">
        <v>12</v>
      </c>
      <c r="B13" s="33" t="inlineStr">
        <is>
          <t>Silver</t>
        </is>
      </c>
      <c r="C13" s="33" t="inlineStr">
        <is>
          <t>BREASTMILK MONEY</t>
        </is>
      </c>
      <c r="D13" s="33" t="inlineStr">
        <is>
          <t>HERCONOMY</t>
        </is>
      </c>
      <c r="E13" s="33" t="inlineStr">
        <is>
          <t>HERCONOMY</t>
        </is>
      </c>
      <c r="F13" s="33" t="inlineStr">
        <is>
          <t>SERVICEPLAN GERMANY</t>
        </is>
      </c>
      <c r="G13" s="33" t="inlineStr">
        <is>
          <t>Germany</t>
        </is>
      </c>
      <c r="H13" s="33" t="inlineStr">
        <is>
          <t>Cultural Engagement</t>
        </is>
      </c>
      <c r="I13" s="33" t="inlineStr">
        <is>
          <t>https://ascentialcdn.filespin.io/api/v1/conversion/73ea0e639f6747c68cf8460abe2f02bb</t>
        </is>
      </c>
      <c r="J13" s="33" t="inlineStr">
        <is>
          <t>vimeo:1094309200</t>
        </is>
      </c>
      <c r="L13" s="33" t="inlineStr">
        <is>
          <t>https://www.lovethework.com/work/entries/breastmilk-money-744959</t>
        </is>
      </c>
    </row>
    <row r="14">
      <c r="A14" s="33" t="n">
        <v>13</v>
      </c>
      <c r="B14" s="33" t="inlineStr">
        <is>
          <t>Silver</t>
        </is>
      </c>
      <c r="C14" s="33" t="inlineStr">
        <is>
          <t>NIGHT SIGNALS</t>
        </is>
      </c>
      <c r="D14" s="33" t="inlineStr">
        <is>
          <t>CHEVROLET DOMINICAN REPUBLIC</t>
        </is>
      </c>
      <c r="E14" s="33" t="inlineStr">
        <is>
          <t>CHEVROLET</t>
        </is>
      </c>
      <c r="F14" s="33" t="inlineStr">
        <is>
          <t>OGILVY DOMINICAN REPUBLIC</t>
        </is>
      </c>
      <c r="G14" s="33" t="inlineStr">
        <is>
          <t>Dominican Republic</t>
        </is>
      </c>
      <c r="H14" s="33" t="inlineStr">
        <is>
          <t>Use of Print/Outdoor</t>
        </is>
      </c>
      <c r="I14" s="33" t="inlineStr">
        <is>
          <t>https://ascentialcdn.filespin.io/api/v1/conversion/08a2258d5d1348b1bc8f6014ff0c6655</t>
        </is>
      </c>
      <c r="J14" s="33" t="inlineStr">
        <is>
          <t>XVCXMuUU9s8</t>
        </is>
      </c>
      <c r="L14" s="33" t="inlineStr">
        <is>
          <t>https://www.lovethework.com/work/entries/night-signals-743947</t>
        </is>
      </c>
    </row>
    <row r="15">
      <c r="A15" s="33" t="n">
        <v>14</v>
      </c>
      <c r="B15" s="33" t="inlineStr">
        <is>
          <t>Silver</t>
        </is>
      </c>
      <c r="C15" s="33" t="inlineStr">
        <is>
          <t>FOLLOWERS STORE</t>
        </is>
      </c>
      <c r="D15" s="33" t="inlineStr">
        <is>
          <t>NEW BALANCE</t>
        </is>
      </c>
      <c r="E15" s="33" t="inlineStr">
        <is>
          <t>NEW BALANCE</t>
        </is>
      </c>
      <c r="F15" s="33" t="inlineStr">
        <is>
          <t>LEPUB</t>
        </is>
      </c>
      <c r="G15" s="33" t="inlineStr">
        <is>
          <t>Brazil</t>
        </is>
      </c>
      <c r="H15" s="33" t="inlineStr">
        <is>
          <t>Data-Driven Targeting</t>
        </is>
      </c>
      <c r="I15" s="33" t="inlineStr">
        <is>
          <t>https://ascentialcdn.filespin.io/api/v1/conversion/3d0a357fb9de4393918aaa93dcff4033</t>
        </is>
      </c>
      <c r="J15" s="33" t="inlineStr">
        <is>
          <t>vimeo:1090614137</t>
        </is>
      </c>
      <c r="L15" s="33" t="inlineStr">
        <is>
          <t>https://www.lovethework.com/work/entries/followers-store-744039</t>
        </is>
      </c>
    </row>
    <row r="16">
      <c r="A16" s="33" t="n">
        <v>15</v>
      </c>
      <c r="B16" s="33" t="inlineStr">
        <is>
          <t>Silver</t>
        </is>
      </c>
      <c r="C16" s="33" t="inlineStr">
        <is>
          <t>GULF OF MEXICO (BAR)</t>
        </is>
      </c>
      <c r="D16" s="33" t="inlineStr">
        <is>
          <t>TECATE</t>
        </is>
      </c>
      <c r="E16" s="33" t="inlineStr">
        <is>
          <t>TECATE LIGHT</t>
        </is>
      </c>
      <c r="F16" s="33" t="inlineStr">
        <is>
          <t>LEPUB</t>
        </is>
      </c>
      <c r="G16" s="33" t="inlineStr">
        <is>
          <t>Mexico</t>
        </is>
      </c>
      <c r="H16" s="33" t="inlineStr">
        <is>
          <t>Local Brand</t>
        </is>
      </c>
      <c r="I16" s="33" t="inlineStr">
        <is>
          <t>https://ascentialcdn.filespin.io/api/v1/conversion/afa88aa8421b41a18c68b9863bb6926c</t>
        </is>
      </c>
      <c r="J16" s="33" t="inlineStr">
        <is>
          <t>vimeo:1092263623</t>
        </is>
      </c>
      <c r="L16" s="33" t="inlineStr">
        <is>
          <t>https://www.lovethework.com/work/entries/gulf-of-mexico-bar-744515</t>
        </is>
      </c>
    </row>
    <row r="17">
      <c r="A17" s="33" t="n">
        <v>16</v>
      </c>
      <c r="B17" s="33" t="inlineStr">
        <is>
          <t>Silver</t>
        </is>
      </c>
      <c r="C17" s="33" t="inlineStr">
        <is>
          <t>CERTIFIED TOASTERS</t>
        </is>
      </c>
      <c r="D17" s="33" t="inlineStr">
        <is>
          <t>GOODMAN FIELDER BAKING</t>
        </is>
      </c>
      <c r="E17" s="33" t="inlineStr">
        <is>
          <t>VOGEL'S</t>
        </is>
      </c>
      <c r="F17" s="33" t="inlineStr">
        <is>
          <t>DDB NEW ZEALAND</t>
        </is>
      </c>
      <c r="G17" s="33" t="inlineStr">
        <is>
          <t>New Zealand</t>
        </is>
      </c>
      <c r="H17" s="33" t="inlineStr">
        <is>
          <t>Small-Scale Media</t>
        </is>
      </c>
      <c r="I17" s="33" t="inlineStr">
        <is>
          <t>https://ascentialcdn.filespin.io/api/v1/conversion/c87256cd1a8e4e888796294b8fb32d99</t>
        </is>
      </c>
      <c r="J17" s="33" t="inlineStr">
        <is>
          <t>S_gE7H2X8zw</t>
        </is>
      </c>
      <c r="L17" s="33" t="inlineStr">
        <is>
          <t>https://www.lovethework.com/work/entries/certified-toasters-743878</t>
        </is>
      </c>
    </row>
    <row r="18">
      <c r="A18" s="33" t="n">
        <v>17</v>
      </c>
      <c r="B18" s="33" t="inlineStr">
        <is>
          <t>Silver</t>
        </is>
      </c>
      <c r="C18" s="33" t="inlineStr">
        <is>
          <t>VASELINE VERIFIED</t>
        </is>
      </c>
      <c r="D18" s="33" t="inlineStr">
        <is>
          <t>UNILEVER</t>
        </is>
      </c>
      <c r="E18" s="33" t="inlineStr">
        <is>
          <t>VASELINE</t>
        </is>
      </c>
      <c r="F18" s="33" t="inlineStr">
        <is>
          <t>OGILVY</t>
        </is>
      </c>
      <c r="G18" s="33" t="inlineStr">
        <is>
          <t>Singapore</t>
        </is>
      </c>
      <c r="H18" s="33" t="inlineStr">
        <is>
          <t>Co-Creation &amp; User-Generated Content</t>
        </is>
      </c>
      <c r="I18" s="33" t="inlineStr">
        <is>
          <t>https://ascentialcdn.filespin.io/api/v1/conversion/faf0755b0d4e4594ad93cb75d6288e3d</t>
        </is>
      </c>
      <c r="J18" s="33" t="inlineStr">
        <is>
          <t>vimeo:1082798104</t>
        </is>
      </c>
      <c r="L18" s="33" t="inlineStr">
        <is>
          <t>https://www.lovethework.com/work/entries/vaseline-verified-744266</t>
        </is>
      </c>
    </row>
    <row r="19">
      <c r="A19" s="33" t="n">
        <v>18</v>
      </c>
      <c r="B19" s="33" t="inlineStr">
        <is>
          <t>Silver</t>
        </is>
      </c>
      <c r="C19" s="33" t="inlineStr">
        <is>
          <t>RESALE</t>
        </is>
      </c>
      <c r="D19" s="33" t="inlineStr">
        <is>
          <t>BUDWEISER</t>
        </is>
      </c>
      <c r="E19" s="33" t="inlineStr">
        <is>
          <t>BEER</t>
        </is>
      </c>
      <c r="F19" s="33" t="inlineStr">
        <is>
          <t>AFRICA CREATIVE DDB</t>
        </is>
      </c>
      <c r="G19" s="33" t="inlineStr">
        <is>
          <t>Brazil</t>
        </is>
      </c>
      <c r="H19" s="33" t="inlineStr">
        <is>
          <t>Data-Driven Targeting</t>
        </is>
      </c>
      <c r="I19" s="33" t="inlineStr">
        <is>
          <t>https://ascentialcdn.filespin.io/api/v1/conversion/abd9a65dba9c44ab8abe0ea46a3db71c</t>
        </is>
      </c>
      <c r="J19" s="33" t="inlineStr">
        <is>
          <t>vimeo:1079571158</t>
        </is>
      </c>
      <c r="L19" s="33" t="inlineStr">
        <is>
          <t>https://www.lovethework.com/work/entries/resale-743971</t>
        </is>
      </c>
    </row>
    <row r="20">
      <c r="A20" s="33" t="n">
        <v>19</v>
      </c>
      <c r="B20" s="33" t="inlineStr">
        <is>
          <t>Silver</t>
        </is>
      </c>
      <c r="C20" s="33" t="inlineStr">
        <is>
          <t>U UP?</t>
        </is>
      </c>
      <c r="D20" s="33" t="inlineStr">
        <is>
          <t>IKEA</t>
        </is>
      </c>
      <c r="E20" s="33" t="inlineStr">
        <is>
          <t>IKEA</t>
        </is>
      </c>
      <c r="F20" s="33" t="inlineStr">
        <is>
          <t>RETHINK</t>
        </is>
      </c>
      <c r="G20" s="33" t="inlineStr">
        <is>
          <t>Canada</t>
        </is>
      </c>
      <c r="H20" s="33" t="inlineStr">
        <is>
          <t>Use of Social Platforms</t>
        </is>
      </c>
      <c r="I20" s="33" t="inlineStr">
        <is>
          <t>https://ascentialcdn.filespin.io/api/v1/conversion/1d6f8cfcad1b47c9beaa5f403844ec8a</t>
        </is>
      </c>
      <c r="J20" s="33" t="inlineStr">
        <is>
          <t>VT02JDQuMxM</t>
        </is>
      </c>
      <c r="L20" s="33" t="inlineStr">
        <is>
          <t>https://www.lovethework.com/work/entries/u-up-744249</t>
        </is>
      </c>
    </row>
    <row r="21">
      <c r="A21" s="33" t="n">
        <v>20</v>
      </c>
      <c r="B21" s="33" t="inlineStr">
        <is>
          <t>Silver</t>
        </is>
      </c>
      <c r="C21" s="33" t="inlineStr">
        <is>
          <t>SAD KAMA-CHAN</t>
        </is>
      </c>
      <c r="D21" s="33" t="inlineStr">
        <is>
          <t>B&amp;Q</t>
        </is>
      </c>
      <c r="E21" s="33" t="inlineStr">
        <is>
          <t>BAR B Q PLAZA</t>
        </is>
      </c>
      <c r="F21" s="33" t="inlineStr">
        <is>
          <t>GREY THAILAND</t>
        </is>
      </c>
      <c r="G21" s="33" t="inlineStr">
        <is>
          <t>Thailand</t>
        </is>
      </c>
      <c r="H21" s="33" t="inlineStr">
        <is>
          <t>Small-Scale Media</t>
        </is>
      </c>
      <c r="I21" s="33" t="inlineStr">
        <is>
          <t>https://ascentialcdn.filespin.io/api/v1/conversion/b1a090f7c816487f8dcee01d4c656df9</t>
        </is>
      </c>
      <c r="J21" s="33" t="inlineStr">
        <is>
          <t>h7MYlQFAKMg</t>
        </is>
      </c>
      <c r="L21" s="33" t="inlineStr">
        <is>
          <t>https://www.lovethework.com/work/entries/sad-kama-chan-743836</t>
        </is>
      </c>
    </row>
    <row r="22">
      <c r="A22" s="33" t="n">
        <v>21</v>
      </c>
      <c r="B22" s="33" t="inlineStr">
        <is>
          <t>Silver</t>
        </is>
      </c>
      <c r="C22" s="33" t="inlineStr">
        <is>
          <t>IKEA HIDDEN TAGS</t>
        </is>
      </c>
      <c r="D22" s="33" t="inlineStr">
        <is>
          <t>IKEA</t>
        </is>
      </c>
      <c r="E22" s="33" t="inlineStr">
        <is>
          <t>IKEA</t>
        </is>
      </c>
      <c r="F22" s="33" t="inlineStr">
        <is>
          <t>UZINA</t>
        </is>
      </c>
      <c r="G22" s="33" t="inlineStr">
        <is>
          <t>Portugal</t>
        </is>
      </c>
      <c r="H22" s="33" t="inlineStr">
        <is>
          <t>Consumer Goods</t>
        </is>
      </c>
      <c r="I22" s="33" t="inlineStr">
        <is>
          <t>https://ascentialcdn.filespin.io/api/v1/conversion/237ade5924eb407898bf58d19f58a52a</t>
        </is>
      </c>
      <c r="J22" s="33" t="inlineStr">
        <is>
          <t>oKWkHqlt7yA</t>
        </is>
      </c>
      <c r="L22" s="33" t="inlineStr">
        <is>
          <t>https://www.lovethework.com/work/entries/ikea-hidden-tags-743546</t>
        </is>
      </c>
    </row>
    <row r="23">
      <c r="A23" s="33" t="n">
        <v>22</v>
      </c>
      <c r="B23" s="33" t="inlineStr">
        <is>
          <t>Silver</t>
        </is>
      </c>
      <c r="C23" s="33" t="inlineStr">
        <is>
          <t>BURGER TO KING</t>
        </is>
      </c>
      <c r="D23" s="33" t="inlineStr">
        <is>
          <t>BURGER KING, HAPPINESS</t>
        </is>
      </c>
      <c r="E23" s="33" t="inlineStr">
        <is>
          <t>BURGER KING</t>
        </is>
      </c>
      <c r="F23" s="33" t="inlineStr">
        <is>
          <t>AN FCB ALLIANCE</t>
        </is>
      </c>
      <c r="G23" s="33" t="inlineStr">
        <is>
          <t>Belgium</t>
        </is>
      </c>
      <c r="H23" s="33" t="inlineStr">
        <is>
          <t>Gaming</t>
        </is>
      </c>
      <c r="I23" s="33" t="inlineStr">
        <is>
          <t>https://ascentialcdn.filespin.io/api/v1/conversion/5edeb9f0501f4dc799bf63efd749c2e3</t>
        </is>
      </c>
      <c r="J23" s="33" t="inlineStr">
        <is>
          <t>RQVaoU4CGRk</t>
        </is>
      </c>
      <c r="L23" s="33" t="inlineStr">
        <is>
          <t>https://www.lovethework.com/work/entries/burger-to-king-760824</t>
        </is>
      </c>
    </row>
    <row r="24">
      <c r="A24" s="33" t="n">
        <v>23</v>
      </c>
      <c r="B24" s="33" t="inlineStr">
        <is>
          <t>Silver</t>
        </is>
      </c>
      <c r="C24" s="33" t="inlineStr">
        <is>
          <t>PEDIGREE CARAMELO</t>
        </is>
      </c>
      <c r="D24" s="33" t="inlineStr">
        <is>
          <t>PEDIGREE</t>
        </is>
      </c>
      <c r="E24" s="33" t="inlineStr">
        <is>
          <t>PEDIGREE</t>
        </is>
      </c>
      <c r="F24" s="33" t="inlineStr">
        <is>
          <t>ALMAPBBDO</t>
        </is>
      </c>
      <c r="G24" s="33" t="inlineStr">
        <is>
          <t>Brazil</t>
        </is>
      </c>
      <c r="H24" s="33" t="inlineStr">
        <is>
          <t>Corporate Purpose &amp; Social Responsibility</t>
        </is>
      </c>
      <c r="I24" s="33" t="inlineStr">
        <is>
          <t>https://ascentialcdn.filespin.io/api/v1/conversion/d6016650d2a74669ae91f981af5a00f2</t>
        </is>
      </c>
      <c r="J24" s="33" t="inlineStr">
        <is>
          <t>prMM0H9psRs</t>
        </is>
      </c>
      <c r="L24" s="33" t="inlineStr">
        <is>
          <t>https://www.lovethework.com/work/entries/pedigree-caramelo-760080</t>
        </is>
      </c>
    </row>
    <row r="25">
      <c r="A25" s="33" t="n">
        <v>24</v>
      </c>
      <c r="B25" s="33" t="inlineStr">
        <is>
          <t>Silver</t>
        </is>
      </c>
      <c r="C25" s="33" t="inlineStr">
        <is>
          <t>OREO SQUARE COOKIE</t>
        </is>
      </c>
      <c r="D25" s="33" t="inlineStr">
        <is>
          <t>MONDELEZ INTERNATIONAL</t>
        </is>
      </c>
      <c r="E25" s="33" t="inlineStr">
        <is>
          <t>OREO</t>
        </is>
      </c>
      <c r="F25" s="33" t="inlineStr">
        <is>
          <t>SAATCHI &amp; SAATCHI</t>
        </is>
      </c>
      <c r="G25" s="33" t="inlineStr">
        <is>
          <t>Germany</t>
        </is>
      </c>
      <c r="H25" s="33" t="inlineStr">
        <is>
          <t>Launch/Relaunch</t>
        </is>
      </c>
      <c r="I25" s="33" t="inlineStr">
        <is>
          <t>https://ascentialcdn.filespin.io/api/v1/conversion/76013060c8dd4eaab1a92bf04d89af79</t>
        </is>
      </c>
      <c r="J25" s="33" t="inlineStr">
        <is>
          <t>vimeo:1068186645</t>
        </is>
      </c>
      <c r="L25" s="33" t="inlineStr">
        <is>
          <t>https://www.lovethework.com/work/entries/oreo-square-cookie-744485</t>
        </is>
      </c>
    </row>
    <row r="26">
      <c r="A26" s="33" t="n">
        <v>25</v>
      </c>
      <c r="B26" s="33" t="inlineStr">
        <is>
          <t>Silver</t>
        </is>
      </c>
      <c r="C26" s="33" t="inlineStr">
        <is>
          <t>AXA - THREE WORDS</t>
        </is>
      </c>
      <c r="D26" s="33" t="inlineStr">
        <is>
          <t>AXA</t>
        </is>
      </c>
      <c r="E26" s="33" t="inlineStr">
        <is>
          <t>INSURANCE</t>
        </is>
      </c>
      <c r="F26" s="33" t="inlineStr">
        <is>
          <t>PUBLICIS CONSEIL</t>
        </is>
      </c>
      <c r="G26" s="33" t="inlineStr">
        <is>
          <t>France</t>
        </is>
      </c>
      <c r="H26" s="33" t="inlineStr">
        <is>
          <t>Corporate Purpose &amp; Social Responsibility</t>
        </is>
      </c>
      <c r="I26" s="33" t="inlineStr">
        <is>
          <t>https://ascentialcdn.filespin.io/api/v1/conversion/e1a85ff134e545c7b049791151432028</t>
        </is>
      </c>
      <c r="J26" s="33" t="inlineStr">
        <is>
          <t>pY-03zuV7mE</t>
        </is>
      </c>
      <c r="L26" s="33" t="inlineStr">
        <is>
          <t>https://www.lovethework.com/work/entries/axa-three-words-744864</t>
        </is>
      </c>
    </row>
    <row r="27">
      <c r="A27" s="33" t="n">
        <v>26</v>
      </c>
      <c r="B27" s="33" t="inlineStr">
        <is>
          <t>Silver</t>
        </is>
      </c>
      <c r="C27" s="33" t="inlineStr">
        <is>
          <t>POTTY-TUNITIES</t>
        </is>
      </c>
      <c r="D27" s="33" t="inlineStr">
        <is>
          <t>ANGEL SOFT</t>
        </is>
      </c>
      <c r="E27" s="33" t="inlineStr">
        <is>
          <t>ANGEL SOFT TOILET PAPER</t>
        </is>
      </c>
      <c r="F27" s="33" t="inlineStr">
        <is>
          <t>GREY</t>
        </is>
      </c>
      <c r="G27" s="33" t="inlineStr">
        <is>
          <t>United States</t>
        </is>
      </c>
      <c r="H27" s="33" t="inlineStr">
        <is>
          <t>Consumer Goods</t>
        </is>
      </c>
      <c r="I27" s="33" t="inlineStr">
        <is>
          <t>https://ascentialcdn.filespin.io/api/v1/conversion/d1fbeead5aeb4909a43f4920061be696</t>
        </is>
      </c>
      <c r="J27" s="33" t="inlineStr">
        <is>
          <t>eAh8JA18QJA</t>
        </is>
      </c>
      <c r="L27" s="33" t="inlineStr">
        <is>
          <t>https://www.lovethework.com/work/entries/potty-tunities-743534</t>
        </is>
      </c>
    </row>
    <row r="28">
      <c r="A28" s="33" t="n">
        <v>27</v>
      </c>
      <c r="B28" s="33" t="inlineStr">
        <is>
          <t>Silver</t>
        </is>
      </c>
      <c r="C28" s="33" t="inlineStr">
        <is>
          <t>ONE SECOND ADS</t>
        </is>
      </c>
      <c r="D28" s="33" t="inlineStr">
        <is>
          <t>BUDWEISER</t>
        </is>
      </c>
      <c r="E28" s="33" t="inlineStr">
        <is>
          <t>BEER</t>
        </is>
      </c>
      <c r="F28" s="33" t="inlineStr">
        <is>
          <t>AFRICA CREATIVE DDB</t>
        </is>
      </c>
      <c r="G28" s="33" t="inlineStr">
        <is>
          <t>Brazil</t>
        </is>
      </c>
      <c r="H28" s="33" t="inlineStr">
        <is>
          <t>Use of Social Platforms</t>
        </is>
      </c>
      <c r="I28" s="33" t="inlineStr">
        <is>
          <t>digital-presentation-images/direct-budweiser-one-second-ads.webp</t>
        </is>
      </c>
      <c r="J28" s="33" t="inlineStr">
        <is>
          <t>d-mtDQXtR6I</t>
        </is>
      </c>
      <c r="L28" s="33" t="inlineStr">
        <is>
          <t>https://www.lovethework.com/work/entries/one-second-ads-744331</t>
        </is>
      </c>
    </row>
    <row r="29">
      <c r="A29" s="33" t="n">
        <v>28</v>
      </c>
      <c r="B29" s="33" t="inlineStr">
        <is>
          <t>Silver</t>
        </is>
      </c>
      <c r="C29" s="33" t="inlineStr">
        <is>
          <t>PUBLIC MONEY ATM</t>
        </is>
      </c>
      <c r="D29" s="33" t="inlineStr">
        <is>
          <t>MASTERCARD</t>
        </is>
      </c>
      <c r="E29" s="33" t="inlineStr">
        <is>
          <t>MASTERCARD</t>
        </is>
      </c>
      <c r="F29" s="33" t="inlineStr">
        <is>
          <t>McCANN POLAND</t>
        </is>
      </c>
      <c r="G29" s="33" t="inlineStr">
        <is>
          <t>Poland</t>
        </is>
      </c>
      <c r="H29" s="33" t="inlineStr">
        <is>
          <t>Large-Scale Media</t>
        </is>
      </c>
      <c r="I29" s="33" t="inlineStr">
        <is>
          <t>https://ascentialcdn.filespin.io/api/v1/conversion/faa00cc4c0b94e1ea53f6e9be2461987</t>
        </is>
      </c>
      <c r="J29" s="33" t="inlineStr">
        <is>
          <t>vimeo:1083554049</t>
        </is>
      </c>
      <c r="L29" s="33" t="inlineStr">
        <is>
          <t>https://www.lovethework.com/work/entries/public-money-atm-760086</t>
        </is>
      </c>
    </row>
    <row r="30">
      <c r="A30" s="33" t="n">
        <v>29</v>
      </c>
      <c r="B30" s="33" t="inlineStr">
        <is>
          <t>Silver</t>
        </is>
      </c>
      <c r="C30" s="33" t="inlineStr">
        <is>
          <t>WENDY'S FROSTY FIX</t>
        </is>
      </c>
      <c r="D30" s="33" t="inlineStr">
        <is>
          <t>WENDY'S</t>
        </is>
      </c>
      <c r="E30" s="33" t="inlineStr">
        <is>
          <t>FAST FOOD RESTAURANT  / QSR</t>
        </is>
      </c>
      <c r="F30" s="33" t="inlineStr">
        <is>
          <t>VML</t>
        </is>
      </c>
      <c r="G30" s="33" t="inlineStr">
        <is>
          <t>United States</t>
        </is>
      </c>
      <c r="H30" s="33" t="inlineStr">
        <is>
          <t>Data-Driven Targeting</t>
        </is>
      </c>
      <c r="I30" s="33" t="inlineStr">
        <is>
          <t>https://ascentialcdn.filespin.io/api/v1/conversion/06391abc3c3345f286721abc9e8d250a</t>
        </is>
      </c>
      <c r="J30" s="33" t="inlineStr">
        <is>
          <t>OuOHjLcXtvA</t>
        </is>
      </c>
      <c r="L30" s="33" t="inlineStr">
        <is>
          <t>https://www.lovethework.com/work/entries/wendys-frosty-fix-744137</t>
        </is>
      </c>
    </row>
    <row r="31">
      <c r="A31" s="33" t="n">
        <v>30</v>
      </c>
      <c r="B31" s="33" t="inlineStr">
        <is>
          <t>Silver</t>
        </is>
      </c>
      <c r="C31" s="33" t="inlineStr">
        <is>
          <t>PRESERVED PROMOS</t>
        </is>
      </c>
      <c r="D31" s="33" t="inlineStr">
        <is>
          <t>ZIPLOC</t>
        </is>
      </c>
      <c r="E31" s="33" t="inlineStr">
        <is>
          <t>ZIPLOC</t>
        </is>
      </c>
      <c r="F31" s="33" t="inlineStr">
        <is>
          <t>VML</t>
        </is>
      </c>
      <c r="G31" s="33" t="inlineStr">
        <is>
          <t>United States</t>
        </is>
      </c>
      <c r="H31" s="33" t="inlineStr">
        <is>
          <t>Market Disruption</t>
        </is>
      </c>
      <c r="I31" s="33" t="inlineStr">
        <is>
          <t>https://ascentialcdn.filespin.io/api/v1/conversion/8223f25b769b40e3b665c4ec19e2e12c</t>
        </is>
      </c>
      <c r="J31" s="33" t="inlineStr">
        <is>
          <t>F9CTRsV3N7k</t>
        </is>
      </c>
      <c r="L31" s="33" t="inlineStr">
        <is>
          <t>https://www.lovethework.com/work/entries/preserved-promos-744907</t>
        </is>
      </c>
    </row>
    <row r="32">
      <c r="A32" s="33" t="n">
        <v>31</v>
      </c>
      <c r="B32" s="33" t="inlineStr">
        <is>
          <t>Silver</t>
        </is>
      </c>
      <c r="C32" s="33" t="inlineStr">
        <is>
          <t>PRIZE ON THE BONE</t>
        </is>
      </c>
      <c r="D32" s="33" t="inlineStr">
        <is>
          <t>KFC</t>
        </is>
      </c>
      <c r="E32" s="33" t="inlineStr">
        <is>
          <t>KFC ICE-CREAM</t>
        </is>
      </c>
      <c r="F32" s="33" t="inlineStr">
        <is>
          <t>DM9</t>
        </is>
      </c>
      <c r="G32" s="33" t="inlineStr">
        <is>
          <t>Brazil</t>
        </is>
      </c>
      <c r="H32" s="33" t="inlineStr">
        <is>
          <t>Small-Scale Media</t>
        </is>
      </c>
      <c r="I32" s="33" t="inlineStr">
        <is>
          <t>https://ascentialcdn.filespin.io/api/v1/conversion/32ef7021bdbd4c4392fa51fb240d45e6</t>
        </is>
      </c>
      <c r="J32" s="33" t="inlineStr">
        <is>
          <t>h4Kl5THlsYw</t>
        </is>
      </c>
      <c r="L32" s="33" t="inlineStr">
        <is>
          <t>https://www.lovethework.com/work/entries/prize-on-the-bone-743661</t>
        </is>
      </c>
    </row>
    <row r="33">
      <c r="A33" s="33" t="n">
        <v>32</v>
      </c>
      <c r="B33" s="33" t="inlineStr">
        <is>
          <t>Bronze</t>
        </is>
      </c>
      <c r="C33" s="33" t="inlineStr">
        <is>
          <t>COUPON RAIN</t>
        </is>
      </c>
      <c r="D33" s="33" t="inlineStr">
        <is>
          <t>MERCADO LIVRE</t>
        </is>
      </c>
      <c r="E33" s="33" t="inlineStr">
        <is>
          <t>MERCADO LIVRE</t>
        </is>
      </c>
      <c r="F33" s="33" t="inlineStr">
        <is>
          <t>GUT</t>
        </is>
      </c>
      <c r="G33" s="33" t="inlineStr">
        <is>
          <t>Brazil</t>
        </is>
      </c>
      <c r="H33" s="33" t="inlineStr">
        <is>
          <t>Use of Print/Outdoor</t>
        </is>
      </c>
      <c r="I33" s="33" t="inlineStr">
        <is>
          <t>https://ascentialcdn.filespin.io/api/v1/conversion/a490647b563240a68a61883a7362c54b</t>
        </is>
      </c>
      <c r="J33" s="33" t="inlineStr">
        <is>
          <t>vimeo:1093414319</t>
        </is>
      </c>
      <c r="L33" s="33" t="inlineStr">
        <is>
          <t>https://www.lovethework.com/work/entries/coupon-rain-759033</t>
        </is>
      </c>
    </row>
    <row r="34">
      <c r="A34" s="33" t="n">
        <v>33</v>
      </c>
      <c r="B34" s="33" t="inlineStr">
        <is>
          <t>Bronze</t>
        </is>
      </c>
      <c r="C34" s="33" t="inlineStr">
        <is>
          <t>LIFE DONOR CARD</t>
        </is>
      </c>
      <c r="D34" s="33" t="inlineStr">
        <is>
          <t>MASTERCARD</t>
        </is>
      </c>
      <c r="E34" s="33" t="inlineStr">
        <is>
          <t>LIFE DONOR FEATURE</t>
        </is>
      </c>
      <c r="F34" s="33" t="inlineStr">
        <is>
          <t>MRM GERMANY</t>
        </is>
      </c>
      <c r="G34" s="33" t="inlineStr">
        <is>
          <t>Germany</t>
        </is>
      </c>
      <c r="H34" s="33" t="inlineStr">
        <is>
          <t>Consumer Services/Business to Business</t>
        </is>
      </c>
      <c r="I34" s="33" t="inlineStr">
        <is>
          <t>https://ascentialcdn.filespin.io/api/v1/conversion/5801ee4249af49b0aa23167f0d131de4</t>
        </is>
      </c>
      <c r="J34" s="33" t="inlineStr">
        <is>
          <t>pe-7cdkH2dA</t>
        </is>
      </c>
      <c r="L34" s="33" t="inlineStr">
        <is>
          <t>https://www.lovethework.com/work/entries/life-donor-card-759052</t>
        </is>
      </c>
    </row>
    <row r="35">
      <c r="A35" s="33" t="n">
        <v>34</v>
      </c>
      <c r="B35" s="33" t="inlineStr">
        <is>
          <t>Bronze</t>
        </is>
      </c>
      <c r="C35" s="33" t="inlineStr">
        <is>
          <t>AXA - THREE WORDS</t>
        </is>
      </c>
      <c r="D35" s="33" t="inlineStr">
        <is>
          <t>AXA</t>
        </is>
      </c>
      <c r="E35" s="33" t="inlineStr">
        <is>
          <t>INSURANCE</t>
        </is>
      </c>
      <c r="F35" s="33" t="inlineStr">
        <is>
          <t>PUBLICIS CONSEIL</t>
        </is>
      </c>
      <c r="G35" s="33" t="inlineStr">
        <is>
          <t>France</t>
        </is>
      </c>
      <c r="H35" s="33" t="inlineStr">
        <is>
          <t>Consumer Services/Business to Business</t>
        </is>
      </c>
      <c r="I35" s="33" t="inlineStr">
        <is>
          <t>https://ascentialcdn.filespin.io/api/v1/conversion/e1a85ff134e545c7b049791151432028</t>
        </is>
      </c>
      <c r="J35" s="33" t="inlineStr">
        <is>
          <t>pY-03zuV7mE</t>
        </is>
      </c>
      <c r="L35" s="33" t="inlineStr">
        <is>
          <t>https://www.lovethework.com/work/entries/axa-three-words-743592</t>
        </is>
      </c>
    </row>
    <row r="36">
      <c r="A36" s="33" t="n">
        <v>35</v>
      </c>
      <c r="B36" s="33" t="inlineStr">
        <is>
          <t>Bronze</t>
        </is>
      </c>
      <c r="C36" s="33" t="inlineStr">
        <is>
          <t>PRESERVED PROMOS</t>
        </is>
      </c>
      <c r="D36" s="33" t="inlineStr">
        <is>
          <t>ZIPLOC</t>
        </is>
      </c>
      <c r="E36" s="33" t="inlineStr">
        <is>
          <t>ZIPLOC</t>
        </is>
      </c>
      <c r="F36" s="33" t="inlineStr">
        <is>
          <t>VML</t>
        </is>
      </c>
      <c r="G36" s="33" t="inlineStr">
        <is>
          <t>United States</t>
        </is>
      </c>
      <c r="H36" s="33" t="inlineStr">
        <is>
          <t>Use of Mobile</t>
        </is>
      </c>
      <c r="I36" s="33" t="inlineStr">
        <is>
          <t>https://ascentialcdn.filespin.io/api/v1/conversion/8223f25b769b40e3b665c4ec19e2e12c</t>
        </is>
      </c>
      <c r="J36" s="33" t="inlineStr">
        <is>
          <t>F9CTRsV3N7k</t>
        </is>
      </c>
      <c r="L36" s="33" t="inlineStr">
        <is>
          <t>https://www.lovethework.com/work/entries/preserved-promos-744111</t>
        </is>
      </c>
    </row>
    <row r="37">
      <c r="A37" s="33" t="n">
        <v>36</v>
      </c>
      <c r="B37" s="33" t="inlineStr">
        <is>
          <t>Bronze</t>
        </is>
      </c>
      <c r="C37" s="33" t="inlineStr">
        <is>
          <t>PUB SUCCESSION</t>
        </is>
      </c>
      <c r="D37" s="33" t="inlineStr">
        <is>
          <t>HEINEKEN</t>
        </is>
      </c>
      <c r="E37" s="33" t="inlineStr">
        <is>
          <t>HEINEKEN</t>
        </is>
      </c>
      <c r="F37" s="33" t="inlineStr">
        <is>
          <t>LEPUB</t>
        </is>
      </c>
      <c r="G37" s="33" t="inlineStr">
        <is>
          <t>Italy</t>
        </is>
      </c>
      <c r="H37" s="33" t="inlineStr">
        <is>
          <t>Personalised Campaigns</t>
        </is>
      </c>
      <c r="I37" s="33" t="inlineStr">
        <is>
          <t>https://ascentialcdn.filespin.io/api/v1/conversion/a8d4e72bb1ce47508dcea8db73d16b01</t>
        </is>
      </c>
      <c r="J37" s="33" t="inlineStr">
        <is>
          <t>vimeo:1082873947</t>
        </is>
      </c>
      <c r="L37" s="33" t="inlineStr">
        <is>
          <t>https://www.lovethework.com/work/entries/pub-succession-744903</t>
        </is>
      </c>
    </row>
    <row r="38">
      <c r="A38" s="33" t="n">
        <v>37</v>
      </c>
      <c r="B38" s="33" t="inlineStr">
        <is>
          <t>Bronze</t>
        </is>
      </c>
      <c r="C38" s="33" t="inlineStr">
        <is>
          <t>THE FINAL EXAM</t>
        </is>
      </c>
      <c r="D38" s="33" t="inlineStr">
        <is>
          <t>CHANGE THE REF</t>
        </is>
      </c>
      <c r="E38" s="33" t="inlineStr">
        <is>
          <t>PRO BONO</t>
        </is>
      </c>
      <c r="F38" s="33" t="inlineStr">
        <is>
          <t>ENERGY BBDO</t>
        </is>
      </c>
      <c r="G38" s="33" t="inlineStr">
        <is>
          <t>United States</t>
        </is>
      </c>
      <c r="H38" s="33" t="inlineStr">
        <is>
          <t>Gaming</t>
        </is>
      </c>
      <c r="I38" s="33" t="inlineStr">
        <is>
          <t>https://ascentialcdn.filespin.io/api/v1/conversion/615e3a15eabf457d91d317468a12d825</t>
        </is>
      </c>
      <c r="J38" s="33" t="inlineStr">
        <is>
          <t>y8LkiSNPJUs</t>
        </is>
      </c>
      <c r="L38" s="33" t="inlineStr">
        <is>
          <t>https://www.lovethework.com/work/entries/the-final-exam-759400</t>
        </is>
      </c>
    </row>
    <row r="39">
      <c r="A39" s="33" t="n">
        <v>38</v>
      </c>
      <c r="B39" s="33" t="inlineStr">
        <is>
          <t>Bronze</t>
        </is>
      </c>
      <c r="C39" s="33" t="inlineStr">
        <is>
          <t>CHOOSE UBER</t>
        </is>
      </c>
      <c r="D39" s="33" t="inlineStr">
        <is>
          <t>HEETCH</t>
        </is>
      </c>
      <c r="E39" s="33" t="inlineStr">
        <is>
          <t>HEETCH</t>
        </is>
      </c>
      <c r="F39" s="33" t="inlineStr">
        <is>
          <t>BETC</t>
        </is>
      </c>
      <c r="G39" s="33" t="inlineStr">
        <is>
          <t>France</t>
        </is>
      </c>
      <c r="H39" s="33" t="inlineStr">
        <is>
          <t>Challenger Brand</t>
        </is>
      </c>
      <c r="I39" s="33" t="inlineStr">
        <is>
          <t>https://ascentialcdn.filespin.io/api/v1/conversion/fd2b448479ca41b7aa08b7d8a4bd8749</t>
        </is>
      </c>
      <c r="J39" s="33" t="inlineStr">
        <is>
          <t>l9rO0yGTLEM</t>
        </is>
      </c>
      <c r="L39" s="33" t="inlineStr">
        <is>
          <t>https://www.lovethework.com/work/entries/choose-uber-759506</t>
        </is>
      </c>
    </row>
    <row r="40">
      <c r="A40" s="33" t="n">
        <v>39</v>
      </c>
      <c r="B40" s="33" t="inlineStr">
        <is>
          <t>Bronze</t>
        </is>
      </c>
      <c r="C40" s="33" t="inlineStr">
        <is>
          <t>SAFE AT 3AM</t>
        </is>
      </c>
      <c r="D40" s="33" t="inlineStr">
        <is>
          <t>DUBAI TOURISM</t>
        </is>
      </c>
      <c r="E40" s="33" t="inlineStr">
        <is>
          <t>DUBAI</t>
        </is>
      </c>
      <c r="F40" s="33" t="inlineStr">
        <is>
          <t>VML</t>
        </is>
      </c>
      <c r="G40" s="33" t="inlineStr">
        <is>
          <t>United Arab Emirates</t>
        </is>
      </c>
      <c r="H40" s="33" t="inlineStr">
        <is>
          <t>Use of Mobile</t>
        </is>
      </c>
      <c r="I40" s="33" t="inlineStr">
        <is>
          <t>https://ascentialcdn.filespin.io/api/v1/conversion/f9376c25bb2b48bca81ace4fc05d635c</t>
        </is>
      </c>
      <c r="J40" s="33" t="inlineStr">
        <is>
          <t>ZJV0Hf5gD54</t>
        </is>
      </c>
      <c r="L40" s="33" t="inlineStr">
        <is>
          <t>https://www.lovethework.com/work/entries/safe-at-3am-759119</t>
        </is>
      </c>
    </row>
    <row r="41">
      <c r="A41" s="33" t="n">
        <v>40</v>
      </c>
      <c r="B41" s="33" t="inlineStr">
        <is>
          <t>Bronze</t>
        </is>
      </c>
      <c r="C41" s="33" t="inlineStr">
        <is>
          <t>FOOTBALL IS FOR FOOD</t>
        </is>
      </c>
      <c r="D41" s="33" t="inlineStr">
        <is>
          <t>UBER EATS</t>
        </is>
      </c>
      <c r="E41" s="33" t="inlineStr">
        <is>
          <t>UBER EATS</t>
        </is>
      </c>
      <c r="F41" s="33" t="inlineStr">
        <is>
          <t>SPECIAL</t>
        </is>
      </c>
      <c r="G41" s="33" t="inlineStr">
        <is>
          <t>United States</t>
        </is>
      </c>
      <c r="H41" s="33" t="inlineStr">
        <is>
          <t>Use of Broadcast</t>
        </is>
      </c>
      <c r="I41" s="33" t="inlineStr">
        <is>
          <t>https://ascentialcdn.filespin.io/api/v1/conversion/bdc3e17665e54318a6a9b4e6705f40a7</t>
        </is>
      </c>
      <c r="J41" s="33" t="inlineStr">
        <is>
          <t>Mi_cxUyqH4Q</t>
        </is>
      </c>
      <c r="L41" s="33" t="inlineStr">
        <is>
          <t>https://www.lovethework.com/work/entries/football-is-for-food-743865</t>
        </is>
      </c>
    </row>
    <row r="42">
      <c r="A42" s="33" t="n">
        <v>41</v>
      </c>
      <c r="B42" s="33" t="inlineStr">
        <is>
          <t>Bronze</t>
        </is>
      </c>
      <c r="C42" s="33" t="inlineStr">
        <is>
          <t>DRINKABLE ANTHEM</t>
        </is>
      </c>
      <c r="D42" s="33" t="inlineStr">
        <is>
          <t>SUPER BOCK</t>
        </is>
      </c>
      <c r="E42" s="33" t="inlineStr">
        <is>
          <t>SUPER BOCK BEER</t>
        </is>
      </c>
      <c r="F42" s="33" t="inlineStr">
        <is>
          <t>JUDAS</t>
        </is>
      </c>
      <c r="G42" s="33" t="inlineStr">
        <is>
          <t>Portugal</t>
        </is>
      </c>
      <c r="H42" s="33" t="inlineStr">
        <is>
          <t>Use of Broadcast</t>
        </is>
      </c>
      <c r="I42" s="33" t="inlineStr">
        <is>
          <t>https://ascentialcdn.filespin.io/api/v1/conversion/f2e0559daeee4ccda58f909ec08f9fbf</t>
        </is>
      </c>
      <c r="J42" s="33" t="inlineStr">
        <is>
          <t>vimeo:1085986719</t>
        </is>
      </c>
      <c r="L42" s="33" t="inlineStr">
        <is>
          <t>https://www.lovethework.com/work/entries/drinkable-anthem-743946</t>
        </is>
      </c>
    </row>
    <row r="43">
      <c r="A43" s="33" t="n">
        <v>42</v>
      </c>
      <c r="B43" s="33" t="inlineStr">
        <is>
          <t>Bronze</t>
        </is>
      </c>
      <c r="C43" s="33" t="inlineStr">
        <is>
          <t>MOST LIKELY TO</t>
        </is>
      </c>
      <c r="D43" s="33" t="inlineStr">
        <is>
          <t>DOVE</t>
        </is>
      </c>
      <c r="E43" s="33" t="inlineStr">
        <is>
          <t>DOVE BRAND</t>
        </is>
      </c>
      <c r="F43" s="33" t="inlineStr">
        <is>
          <t>OGILVY</t>
        </is>
      </c>
      <c r="G43" s="33" t="inlineStr">
        <is>
          <t>Canada</t>
        </is>
      </c>
      <c r="H43" s="33" t="inlineStr">
        <is>
          <t>Single-Market Campaign</t>
        </is>
      </c>
      <c r="I43" s="33" t="inlineStr">
        <is>
          <t>https://ascentialcdn.filespin.io/api/v1/conversion/7b86925f1349408ea7adba9c5a0176eb</t>
        </is>
      </c>
      <c r="J43" s="33" t="inlineStr">
        <is>
          <t>z68efvxyj3M</t>
        </is>
      </c>
      <c r="L43" s="33" t="inlineStr">
        <is>
          <t>https://www.lovethework.com/work/entries/most-likely-to-759537</t>
        </is>
      </c>
    </row>
    <row r="44">
      <c r="A44" s="33" t="n">
        <v>43</v>
      </c>
      <c r="B44" s="33" t="inlineStr">
        <is>
          <t>Bronze</t>
        </is>
      </c>
      <c r="C44" s="33" t="inlineStr">
        <is>
          <t>RE-COMMERCE ATACAMA</t>
        </is>
      </c>
      <c r="D44" s="33" t="inlineStr">
        <is>
          <t>VTEX</t>
        </is>
      </c>
      <c r="E44" s="33" t="inlineStr">
        <is>
          <t>RE-COMMERCE ATACAMA</t>
        </is>
      </c>
      <c r="F44" s="33" t="inlineStr">
        <is>
          <t>ARTPLAN</t>
        </is>
      </c>
      <c r="G44" s="33" t="inlineStr">
        <is>
          <t>Brazil</t>
        </is>
      </c>
      <c r="H44" s="33" t="inlineStr">
        <is>
          <t>Corporate Purpose &amp; Social Responsibility</t>
        </is>
      </c>
      <c r="I44" s="33" t="inlineStr">
        <is>
          <t>https://ascentialcdn.filespin.io/api/v1/conversion/4d03b091591e429f9ada2339d908dc54</t>
        </is>
      </c>
      <c r="J44" s="33" t="inlineStr">
        <is>
          <t>vimeo:1090194004</t>
        </is>
      </c>
      <c r="L44" s="33" t="inlineStr">
        <is>
          <t>https://www.lovethework.com/work/entries/re-commerce-atacama-744934</t>
        </is>
      </c>
    </row>
    <row r="45">
      <c r="A45" s="33" t="n">
        <v>44</v>
      </c>
      <c r="B45" s="33" t="inlineStr">
        <is>
          <t>Bronze</t>
        </is>
      </c>
      <c r="C45" s="33" t="inlineStr">
        <is>
          <t>SIX BACK</t>
        </is>
      </c>
      <c r="D45" s="33" t="inlineStr">
        <is>
          <t>VICTORIA</t>
        </is>
      </c>
      <c r="E45" s="33" t="inlineStr">
        <is>
          <t>VICTORIA</t>
        </is>
      </c>
      <c r="F45" s="33" t="inlineStr">
        <is>
          <t>GUT</t>
        </is>
      </c>
      <c r="G45" s="33" t="inlineStr">
        <is>
          <t>Mexico</t>
        </is>
      </c>
      <c r="H45" s="33" t="inlineStr">
        <is>
          <t>Small-Scale Media</t>
        </is>
      </c>
      <c r="I45" s="33" t="inlineStr">
        <is>
          <t>https://ascentialcdn.filespin.io/api/v1/conversion/b2fe6fe084884aab927d3e0312b40622</t>
        </is>
      </c>
      <c r="J45" s="33" t="inlineStr">
        <is>
          <t>xbkAvvh64IA</t>
        </is>
      </c>
      <c r="L45" s="33" t="inlineStr">
        <is>
          <t>https://www.lovethework.com/work/entries/six-back-760070</t>
        </is>
      </c>
    </row>
    <row r="46">
      <c r="A46" s="33" t="n">
        <v>45</v>
      </c>
      <c r="B46" s="33" t="inlineStr">
        <is>
          <t>Bronze</t>
        </is>
      </c>
      <c r="C46" s="33" t="inlineStr">
        <is>
          <t>01. THE INTERRUPTED GOAL</t>
        </is>
      </c>
      <c r="D46" s="33" t="inlineStr">
        <is>
          <t>FIAT GROUP</t>
        </is>
      </c>
      <c r="E46" s="33" t="inlineStr">
        <is>
          <t>FIAT HYBRID</t>
        </is>
      </c>
      <c r="F46" s="33" t="inlineStr">
        <is>
          <t>LEO BRAZIL</t>
        </is>
      </c>
      <c r="G46" s="33" t="inlineStr">
        <is>
          <t>Brazil</t>
        </is>
      </c>
      <c r="H46" s="33" t="inlineStr">
        <is>
          <t>Use of Broadcast</t>
        </is>
      </c>
      <c r="I46" s="33" t="inlineStr">
        <is>
          <t>https://ascentialcdn.filespin.io/api/v1/conversion/dfca319f7ffa4d2c80fe786b30e35c40</t>
        </is>
      </c>
      <c r="J46" s="33" t="inlineStr">
        <is>
          <t>vimeo:1082274260</t>
        </is>
      </c>
      <c r="L46" s="33" t="inlineStr">
        <is>
          <t>https://www.lovethework.com/work/entries/01-the-interrupted-goal-743899</t>
        </is>
      </c>
    </row>
    <row r="47">
      <c r="A47" s="33" t="n">
        <v>46</v>
      </c>
      <c r="B47" s="33" t="inlineStr">
        <is>
          <t>Bronze</t>
        </is>
      </c>
      <c r="C47" s="33" t="inlineStr">
        <is>
          <t>INK OF DEMOCRACY</t>
        </is>
      </c>
      <c r="D47" s="33" t="inlineStr">
        <is>
          <t>TIMES OF INDIA GROUP</t>
        </is>
      </c>
      <c r="E47" s="33" t="inlineStr">
        <is>
          <t>ELECTION APPEAL</t>
        </is>
      </c>
      <c r="F47" s="33" t="inlineStr">
        <is>
          <t>HAVAS</t>
        </is>
      </c>
      <c r="G47" s="33" t="inlineStr">
        <is>
          <t>India</t>
        </is>
      </c>
      <c r="H47" s="33" t="inlineStr">
        <is>
          <t>Social Behaviour</t>
        </is>
      </c>
      <c r="I47" s="33" t="inlineStr">
        <is>
          <t>digital-presentation-images/direct-times-of-india-group-ink-of-democracy.webp</t>
        </is>
      </c>
      <c r="J47" s="33" t="inlineStr">
        <is>
          <t>Y04IsSy9fCI</t>
        </is>
      </c>
      <c r="L47" s="33" t="inlineStr">
        <is>
          <t>https://www.lovethework.com/work/entries/ink-of-democracy-744669</t>
        </is>
      </c>
    </row>
    <row r="48">
      <c r="A48" s="33" t="n">
        <v>47</v>
      </c>
      <c r="B48" s="33" t="inlineStr">
        <is>
          <t>Bronze</t>
        </is>
      </c>
      <c r="C48" s="33" t="inlineStr">
        <is>
          <t>W1NG COD3S</t>
        </is>
      </c>
      <c r="D48" s="33" t="inlineStr">
        <is>
          <t>VOLARIS AIRLINES</t>
        </is>
      </c>
      <c r="E48" s="33" t="inlineStr">
        <is>
          <t>VOLARIS AIRLINES</t>
        </is>
      </c>
      <c r="F48" s="33" t="inlineStr">
        <is>
          <t>HAVAS HOY</t>
        </is>
      </c>
      <c r="G48" s="33" t="inlineStr">
        <is>
          <t>Mexico</t>
        </is>
      </c>
      <c r="H48" s="33" t="inlineStr">
        <is>
          <t>Breakthrough on a Budget</t>
        </is>
      </c>
      <c r="I48" s="33" t="inlineStr">
        <is>
          <t>https://ascentialcdn.filespin.io/api/v1/conversion/1294d1380c13485bb6bc73f942b57f75</t>
        </is>
      </c>
      <c r="J48" s="33" t="inlineStr">
        <is>
          <t>qsxzsAbHowQ</t>
        </is>
      </c>
      <c r="L48" s="33" t="inlineStr">
        <is>
          <t>https://www.lovethework.com/work/entries/w1ng-cod3s-744593</t>
        </is>
      </c>
    </row>
    <row r="49">
      <c r="A49" s="33" t="n">
        <v>48</v>
      </c>
      <c r="B49" s="33" t="inlineStr">
        <is>
          <t>Bronze</t>
        </is>
      </c>
      <c r="C49" s="33" t="inlineStr">
        <is>
          <t>LIDLIZE</t>
        </is>
      </c>
      <c r="D49" s="33" t="inlineStr">
        <is>
          <t>LIDL</t>
        </is>
      </c>
      <c r="E49" s="33" t="inlineStr">
        <is>
          <t>RETAIL</t>
        </is>
      </c>
      <c r="F49" s="33" t="inlineStr">
        <is>
          <t>MARCEL</t>
        </is>
      </c>
      <c r="G49" s="33" t="inlineStr">
        <is>
          <t>France</t>
        </is>
      </c>
      <c r="H49" s="33" t="inlineStr">
        <is>
          <t>New Realities &amp; Emerging Tech</t>
        </is>
      </c>
      <c r="I49" s="33" t="inlineStr">
        <is>
          <t>https://ascentialcdn.filespin.io/api/v1/conversion/f979928ea0a14ad7a4df5b301de95a0e</t>
        </is>
      </c>
      <c r="J49" s="33" t="inlineStr">
        <is>
          <t>mba6sPCSX_8</t>
        </is>
      </c>
      <c r="L49" s="33" t="inlineStr">
        <is>
          <t>https://www.lovethework.com/work/entries/lidlize-760120</t>
        </is>
      </c>
    </row>
    <row r="50">
      <c r="A50" s="33" t="n">
        <v>49</v>
      </c>
      <c r="B50" s="33" t="inlineStr">
        <is>
          <t>Bronze</t>
        </is>
      </c>
      <c r="C50" s="33" t="inlineStr">
        <is>
          <t>SUPPORTBELT</t>
        </is>
      </c>
      <c r="D50" s="33" t="inlineStr">
        <is>
          <t>FORD</t>
        </is>
      </c>
      <c r="E50" s="33" t="inlineStr">
        <is>
          <t>FORD SUPPORTBELT</t>
        </is>
      </c>
      <c r="F50" s="33" t="inlineStr">
        <is>
          <t>VML</t>
        </is>
      </c>
      <c r="G50" s="33" t="inlineStr">
        <is>
          <t>United States</t>
        </is>
      </c>
      <c r="H50" s="33" t="inlineStr">
        <is>
          <t>Automotive</t>
        </is>
      </c>
      <c r="I50" s="33" t="inlineStr">
        <is>
          <t>https://ascentialcdn.filespin.io/api/v1/conversion/325a5a7b867c43a7a400829c3a94a862</t>
        </is>
      </c>
      <c r="J50" s="33" t="inlineStr">
        <is>
          <t>BU0WI3A9bKQ</t>
        </is>
      </c>
      <c r="L50" s="33" t="inlineStr">
        <is>
          <t>https://www.lovethework.com/work/entries/supportbelt-743599</t>
        </is>
      </c>
    </row>
    <row r="51">
      <c r="A51" s="33" t="n">
        <v>50</v>
      </c>
      <c r="B51" s="33" t="inlineStr">
        <is>
          <t>Bronze</t>
        </is>
      </c>
      <c r="C51" s="33" t="inlineStr">
        <is>
          <t>OLYMPIC CURRY</t>
        </is>
      </c>
      <c r="D51" s="33" t="inlineStr">
        <is>
          <t>MCDONALD'S</t>
        </is>
      </c>
      <c r="E51" s="33" t="inlineStr">
        <is>
          <t>CURRY SAUCE</t>
        </is>
      </c>
      <c r="F51" s="33" t="inlineStr">
        <is>
          <t>DDB PARIS</t>
        </is>
      </c>
      <c r="G51" s="33" t="inlineStr">
        <is>
          <t>France</t>
        </is>
      </c>
      <c r="H51" s="33" t="inlineStr">
        <is>
          <t>Real-Time Response</t>
        </is>
      </c>
      <c r="I51" s="33" t="inlineStr">
        <is>
          <t>https://ascentialcdn.filespin.io/api/v1/conversion/b8993a8a561d47fe9b9f126b8fbb45ce</t>
        </is>
      </c>
      <c r="J51" s="33" t="inlineStr">
        <is>
          <t>tOs7DlcDX0U</t>
        </is>
      </c>
      <c r="L51" s="33" t="inlineStr">
        <is>
          <t>https://www.lovethework.com/work/entries/olympic-curry-744223</t>
        </is>
      </c>
    </row>
    <row r="52">
      <c r="A52" s="33" t="n">
        <v>51</v>
      </c>
      <c r="B52" s="33" t="inlineStr">
        <is>
          <t>Bronze</t>
        </is>
      </c>
      <c r="C52" s="33" t="inlineStr">
        <is>
          <t>DANCING WASHERS</t>
        </is>
      </c>
      <c r="D52" s="33" t="inlineStr">
        <is>
          <t>WHIRLPOOL</t>
        </is>
      </c>
      <c r="E52" s="33" t="inlineStr">
        <is>
          <t>WHIRLPOOL</t>
        </is>
      </c>
      <c r="F52" s="33" t="inlineStr">
        <is>
          <t>VML</t>
        </is>
      </c>
      <c r="G52" s="33" t="inlineStr">
        <is>
          <t>Mexico</t>
        </is>
      </c>
      <c r="H52" s="33" t="inlineStr">
        <is>
          <t>Consumer Goods</t>
        </is>
      </c>
      <c r="I52" s="33" t="inlineStr">
        <is>
          <t>https://ascentialcdn.filespin.io/api/v1/conversion/84f374748a0c44bbb252faac921d51a3</t>
        </is>
      </c>
      <c r="J52" s="33" t="inlineStr">
        <is>
          <t>y1x9FxIUVMs</t>
        </is>
      </c>
      <c r="L52" s="33" t="inlineStr">
        <is>
          <t>https://www.lovethework.com/work/entries/dancing-washers-760796</t>
        </is>
      </c>
    </row>
    <row r="53">
      <c r="A53" s="33" t="n">
        <v>52</v>
      </c>
      <c r="B53" s="33" t="inlineStr">
        <is>
          <t>Bronze</t>
        </is>
      </c>
      <c r="C53" s="33" t="inlineStr">
        <is>
          <t>NAME THIS OREO</t>
        </is>
      </c>
      <c r="D53" s="33" t="inlineStr">
        <is>
          <t>OREO</t>
        </is>
      </c>
      <c r="E53" s="33" t="inlineStr">
        <is>
          <t>OREO</t>
        </is>
      </c>
      <c r="F53" s="33" t="inlineStr">
        <is>
          <t>VML</t>
        </is>
      </c>
      <c r="G53" s="33" t="inlineStr">
        <is>
          <t>United States</t>
        </is>
      </c>
      <c r="H53" s="33" t="inlineStr">
        <is>
          <t>Use of Mobile</t>
        </is>
      </c>
      <c r="I53" s="33" t="inlineStr">
        <is>
          <t>digital-presentation-images/direct-oreo-name-this-oreo.webp</t>
        </is>
      </c>
      <c r="J53" s="33" t="inlineStr">
        <is>
          <t>vimeo:1078732737</t>
        </is>
      </c>
      <c r="L53" s="33" t="inlineStr">
        <is>
          <t>https://www.lovethework.com/work/entries/name-this-oreo-765252</t>
        </is>
      </c>
    </row>
    <row r="54">
      <c r="A54" s="33" t="n">
        <v>53</v>
      </c>
      <c r="B54" s="33" t="inlineStr">
        <is>
          <t>Bronze</t>
        </is>
      </c>
      <c r="C54" s="33" t="inlineStr">
        <is>
          <t>ANTENAGUILA</t>
        </is>
      </c>
      <c r="D54" s="33" t="inlineStr">
        <is>
          <t>AGUILA</t>
        </is>
      </c>
      <c r="E54" s="33" t="inlineStr">
        <is>
          <t>AGUILA</t>
        </is>
      </c>
      <c r="F54" s="33" t="inlineStr">
        <is>
          <t>DAVID</t>
        </is>
      </c>
      <c r="G54" s="33" t="inlineStr">
        <is>
          <t>Argentina</t>
        </is>
      </c>
      <c r="H54" s="33" t="inlineStr">
        <is>
          <t>Single-Market Campaign</t>
        </is>
      </c>
      <c r="I54" s="33" t="inlineStr">
        <is>
          <t>https://ascentialcdn.filespin.io/api/v1/conversion/2fe29fade1f74fc5a8b09a7cd9bc4b80</t>
        </is>
      </c>
      <c r="J54" s="33" t="inlineStr">
        <is>
          <t>ydC7JlDo0z8</t>
        </is>
      </c>
      <c r="L54" s="33" t="inlineStr">
        <is>
          <t>https://www.lovethework.com/work/entries/antenaguila-744463</t>
        </is>
      </c>
    </row>
    <row r="55">
      <c r="A55" s="33" t="n">
        <v>54</v>
      </c>
      <c r="B55" s="33" t="inlineStr">
        <is>
          <t>Bronze</t>
        </is>
      </c>
      <c r="C55" s="33" t="inlineStr">
        <is>
          <t>PUB SUCCESSION</t>
        </is>
      </c>
      <c r="D55" s="33" t="inlineStr">
        <is>
          <t>HEINEKEN</t>
        </is>
      </c>
      <c r="E55" s="33" t="inlineStr">
        <is>
          <t>HEINEKEN</t>
        </is>
      </c>
      <c r="F55" s="33" t="inlineStr">
        <is>
          <t>LEPUB</t>
        </is>
      </c>
      <c r="G55" s="33" t="inlineStr">
        <is>
          <t>Italy</t>
        </is>
      </c>
      <c r="H55" s="33" t="inlineStr">
        <is>
          <t>Cultural Engagement</t>
        </is>
      </c>
      <c r="I55" s="33" t="inlineStr">
        <is>
          <t>https://ascentialcdn.filespin.io/api/v1/conversion/a8d4e72bb1ce47508dcea8db73d16b01</t>
        </is>
      </c>
      <c r="J55" s="33" t="inlineStr">
        <is>
          <t>vimeo:1082873947</t>
        </is>
      </c>
      <c r="L55" s="33" t="inlineStr">
        <is>
          <t>https://www.lovethework.com/work/entries/pub-succession-744903</t>
        </is>
      </c>
    </row>
    <row r="56">
      <c r="A56" s="33" t="n">
        <v>55</v>
      </c>
      <c r="B56" s="33" t="inlineStr">
        <is>
          <t>Bronze</t>
        </is>
      </c>
      <c r="C56" s="33" t="inlineStr">
        <is>
          <t>PRICE PACKS</t>
        </is>
      </c>
      <c r="D56" s="33" t="inlineStr">
        <is>
          <t>PENNY</t>
        </is>
      </c>
      <c r="E56" s="33" t="inlineStr">
        <is>
          <t>FOOD/NON-FOOD</t>
        </is>
      </c>
      <c r="F56" s="33" t="inlineStr">
        <is>
          <t>SERVICEPLAN GERMANY</t>
        </is>
      </c>
      <c r="G56" s="33" t="inlineStr">
        <is>
          <t>Germany</t>
        </is>
      </c>
      <c r="H56" s="33" t="inlineStr">
        <is>
          <t>Launch/Relaunch</t>
        </is>
      </c>
      <c r="I56" s="33" t="inlineStr">
        <is>
          <t>https://ascentialcdn.filespin.io/api/v1/conversion/67b6df2a0fe64deeb274c91d50040c54</t>
        </is>
      </c>
      <c r="J56" s="33" t="inlineStr">
        <is>
          <t>wXx6z3mDnVc</t>
        </is>
      </c>
      <c r="L56" s="33" t="inlineStr">
        <is>
          <t>https://www.lovethework.com/work/entries/price-packs-744455</t>
        </is>
      </c>
    </row>
    <row r="57">
      <c r="A57" s="33" t="n">
        <v>56</v>
      </c>
      <c r="B57" s="33" t="inlineStr">
        <is>
          <t>Bronze</t>
        </is>
      </c>
      <c r="C57" s="33" t="inlineStr">
        <is>
          <t>OMNILIVERY</t>
        </is>
      </c>
      <c r="D57" s="33" t="inlineStr">
        <is>
          <t>OMNI</t>
        </is>
      </c>
      <c r="E57" s="33" t="inlineStr">
        <is>
          <t>MOBILITY SYSTEM FOR WHEELCHAIR</t>
        </is>
      </c>
      <c r="F57" s="33" t="inlineStr">
        <is>
          <t>SAATCHI &amp; SAATCHI FRANCE</t>
        </is>
      </c>
      <c r="G57" s="33" t="inlineStr">
        <is>
          <t>France</t>
        </is>
      </c>
      <c r="H57" s="33" t="inlineStr">
        <is>
          <t>Large-Scale Media</t>
        </is>
      </c>
      <c r="I57" s="33" t="inlineStr">
        <is>
          <t>https://ascentialcdn.filespin.io/api/v1/conversion/38cbe1a6ee444db186b748c9da630bdc</t>
        </is>
      </c>
      <c r="J57" s="33" t="inlineStr">
        <is>
          <t>vimeo:1158377325</t>
        </is>
      </c>
      <c r="L57" s="33" t="inlineStr">
        <is>
          <t>https://www.lovethework.com/work/entries/omnilivery-743884</t>
        </is>
      </c>
    </row>
    <row r="58">
      <c r="A58" s="33" t="n">
        <v>57</v>
      </c>
      <c r="B58" s="33" t="inlineStr">
        <is>
          <t>Bronze</t>
        </is>
      </c>
      <c r="C58" s="33" t="inlineStr">
        <is>
          <t>RETURNING CREATIVITY</t>
        </is>
      </c>
      <c r="D58" s="33" t="inlineStr">
        <is>
          <t>CRAYOLA</t>
        </is>
      </c>
      <c r="E58" s="33" t="inlineStr">
        <is>
          <t>CRAYOLA CRAYONS</t>
        </is>
      </c>
      <c r="F58" s="33" t="inlineStr">
        <is>
          <t>DENTSU CREATIVE</t>
        </is>
      </c>
      <c r="G58" s="33" t="inlineStr">
        <is>
          <t>United States</t>
        </is>
      </c>
      <c r="H58" s="33" t="inlineStr">
        <is>
          <t>Use of Print/Outdoor</t>
        </is>
      </c>
      <c r="I58" s="33" t="inlineStr">
        <is>
          <t>https://ascentialcdn.filespin.io/api/v1/conversion/13424edec35d460b97b34cd5a9346311</t>
        </is>
      </c>
      <c r="J58" s="33" t="inlineStr">
        <is>
          <t>p8IHkizfvVE</t>
        </is>
      </c>
      <c r="L58" s="33" t="inlineStr">
        <is>
          <t>https://www.lovethework.com/work/entries/returning-creativity-743883</t>
        </is>
      </c>
    </row>
    <row r="59">
      <c r="A59" s="33" t="n">
        <v>58</v>
      </c>
      <c r="B59" s="33" t="inlineStr">
        <is>
          <t>Bronze</t>
        </is>
      </c>
      <c r="C59" s="33" t="inlineStr">
        <is>
          <t>HAALAND PAYBACK TIME</t>
        </is>
      </c>
      <c r="D59" s="33" t="inlineStr">
        <is>
          <t>CLASH OF CLANS</t>
        </is>
      </c>
      <c r="E59" s="33" t="inlineStr">
        <is>
          <t>CLASH OF CLANS</t>
        </is>
      </c>
      <c r="F59" s="33" t="inlineStr">
        <is>
          <t>DAVID</t>
        </is>
      </c>
      <c r="G59" s="33" t="inlineStr">
        <is>
          <t>United States</t>
        </is>
      </c>
      <c r="H59" s="33" t="inlineStr">
        <is>
          <t>Gaming</t>
        </is>
      </c>
      <c r="I59" s="33" t="inlineStr">
        <is>
          <t>https://ascentialcdn.filespin.io/api/v1/conversion/e56e744cd3594eceb82733246e9035b2</t>
        </is>
      </c>
      <c r="J59" s="33" t="inlineStr">
        <is>
          <t>TcQ--NtSQ9s</t>
        </is>
      </c>
      <c r="L59" s="33" t="inlineStr">
        <is>
          <t>https://www.lovethework.com/work/entries/haaland-payback-time-744101</t>
        </is>
      </c>
    </row>
    <row r="60">
      <c r="A60" s="33" t="n">
        <v>59</v>
      </c>
      <c r="B60" s="33" t="inlineStr">
        <is>
          <t>Bronze</t>
        </is>
      </c>
      <c r="C60" s="33" t="inlineStr">
        <is>
          <t>DAISY VS SCAMMERS</t>
        </is>
      </c>
      <c r="D60" s="33" t="inlineStr">
        <is>
          <t>O2</t>
        </is>
      </c>
      <c r="E60" s="33" t="inlineStr">
        <is>
          <t>DAISY VS SCAMMERS</t>
        </is>
      </c>
      <c r="F60" s="33" t="inlineStr">
        <is>
          <t>VCCP</t>
        </is>
      </c>
      <c r="G60" s="33" t="inlineStr">
        <is>
          <t>United Kingdom</t>
        </is>
      </c>
      <c r="H60" s="33" t="inlineStr">
        <is>
          <t>New Realities &amp; Emerging Tech</t>
        </is>
      </c>
      <c r="I60" s="33" t="inlineStr">
        <is>
          <t>https://ascentialcdn.filespin.io/api/v1/conversion/1e451eb4b5bc4d44a6946bac225c6e96</t>
        </is>
      </c>
      <c r="J60" s="33" t="inlineStr">
        <is>
          <t>tnfhe_XMg7U</t>
        </is>
      </c>
      <c r="L60" s="33" t="inlineStr">
        <is>
          <t>https://www.lovethework.com/work/entries/daisy-vs-scammers-744081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Titanium Grand Prix</t>
        </is>
      </c>
      <c r="C2" s="33" t="inlineStr">
        <is>
          <t>AXA - THREE WORDS</t>
        </is>
      </c>
      <c r="D2" s="33" t="inlineStr">
        <is>
          <t>AXA</t>
        </is>
      </c>
      <c r="E2" s="33" t="inlineStr">
        <is>
          <t>INSURANCE</t>
        </is>
      </c>
      <c r="F2" s="33" t="inlineStr">
        <is>
          <t>PUBLICIS CONSEIL</t>
        </is>
      </c>
      <c r="G2" s="33" t="inlineStr">
        <is>
          <t>France</t>
        </is>
      </c>
      <c r="H2" s="33" t="inlineStr">
        <is>
          <t>Titanium</t>
        </is>
      </c>
      <c r="I2" s="33" t="inlineStr">
        <is>
          <t>https://ascentialcdn.filespin.io/api/v1/conversion/e1a85ff134e545c7b049791151432028</t>
        </is>
      </c>
      <c r="J2" s="33" t="inlineStr">
        <is>
          <t>pY-03zuV7mE</t>
        </is>
      </c>
      <c r="L2" s="33" t="inlineStr">
        <is>
          <t>https://www.lovethework.com/work/entries/axa-three-words-748384</t>
        </is>
      </c>
    </row>
    <row r="3">
      <c r="A3" s="33" t="n">
        <v>2</v>
      </c>
      <c r="B3" s="33" t="inlineStr">
        <is>
          <t>Titanium</t>
        </is>
      </c>
      <c r="C3" s="33" t="inlineStr">
        <is>
          <t>PEDIGREE CARAMELO</t>
        </is>
      </c>
      <c r="D3" s="33" t="inlineStr">
        <is>
          <t>PEDIGREE</t>
        </is>
      </c>
      <c r="E3" s="33" t="inlineStr">
        <is>
          <t>PEDIGREE</t>
        </is>
      </c>
      <c r="F3" s="33" t="inlineStr">
        <is>
          <t>ALMAPBBDO</t>
        </is>
      </c>
      <c r="G3" s="33" t="inlineStr">
        <is>
          <t>Brazil</t>
        </is>
      </c>
      <c r="H3" s="33" t="inlineStr">
        <is>
          <t>Titanium</t>
        </is>
      </c>
      <c r="I3" s="33" t="inlineStr">
        <is>
          <t>https://ascentialcdn.filespin.io/api/v1/conversion/61f3c230a91e417397304be1d6a0ef2d</t>
        </is>
      </c>
      <c r="J3" s="33" t="inlineStr">
        <is>
          <t>prMM0H9psRs</t>
        </is>
      </c>
      <c r="L3" s="33" t="inlineStr">
        <is>
          <t>https://www.lovethework.com/work/entries/pedigree-caramelo-758945</t>
        </is>
      </c>
    </row>
    <row r="4">
      <c r="A4" s="33" t="n">
        <v>3</v>
      </c>
      <c r="B4" s="33" t="inlineStr">
        <is>
          <t>Titanium</t>
        </is>
      </c>
      <c r="C4" s="33" t="inlineStr">
        <is>
          <t>VASELINE VERIFIED</t>
        </is>
      </c>
      <c r="D4" s="33" t="inlineStr">
        <is>
          <t>UNILEVER</t>
        </is>
      </c>
      <c r="E4" s="33" t="inlineStr">
        <is>
          <t>VASELINE</t>
        </is>
      </c>
      <c r="F4" s="33" t="inlineStr">
        <is>
          <t>OGILVY</t>
        </is>
      </c>
      <c r="G4" s="33" t="inlineStr">
        <is>
          <t>Singapore</t>
        </is>
      </c>
      <c r="H4" s="33" t="inlineStr">
        <is>
          <t>Titanium</t>
        </is>
      </c>
      <c r="I4" s="33" t="inlineStr">
        <is>
          <t>https://ascentialcdn.filespin.io/api/v1/conversion/faf0755b0d4e4594ad93cb75d6288e3d</t>
        </is>
      </c>
      <c r="J4" s="33" t="inlineStr">
        <is>
          <t>vimeo:1082798104</t>
        </is>
      </c>
      <c r="L4" s="33" t="inlineStr">
        <is>
          <t>https://www.lovethework.com/work/entries/vaseline-verified-758815</t>
        </is>
      </c>
    </row>
    <row r="5">
      <c r="A5" s="33" t="n">
        <v>4</v>
      </c>
      <c r="B5" s="33" t="inlineStr">
        <is>
          <t>Titanium</t>
        </is>
      </c>
      <c r="C5" s="33" t="inlineStr">
        <is>
          <t>CAPTION WITH INTENTION</t>
        </is>
      </c>
      <c r="D5" s="33" t="inlineStr">
        <is>
          <t>ACADEMY OF MOTION PICTURE ARTS &amp; SCIENCES - RAKISH - CHICAGO HEARING SOCIETY</t>
        </is>
      </c>
      <c r="E5" s="33" t="inlineStr">
        <is>
          <t>CLOSED CAPTIONING</t>
        </is>
      </c>
      <c r="F5" s="33" t="inlineStr">
        <is>
          <t>FCB CHICAGO</t>
        </is>
      </c>
      <c r="G5" s="33" t="inlineStr">
        <is>
          <t>United States</t>
        </is>
      </c>
      <c r="H5" s="33" t="inlineStr">
        <is>
          <t>Titanium</t>
        </is>
      </c>
      <c r="I5" s="33" t="inlineStr">
        <is>
          <t>https://ascentialcdn.filespin.io/api/v1/conversion/ec33dea7945841b0a0833542b60f5b36</t>
        </is>
      </c>
      <c r="J5" s="33" t="inlineStr">
        <is>
          <t>F48khKZhKHM</t>
        </is>
      </c>
      <c r="L5" s="33" t="inlineStr">
        <is>
          <t>https://www.lovethework.com/work/entries/caption-with-intention-748572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CAPTION WITH INTENTION</t>
        </is>
      </c>
      <c r="D2" s="33" t="inlineStr">
        <is>
          <t>ACADEMY OF MOTION PICTURE ARTS &amp; SCIENCES - RAKISH - CHICAGO HEARING SOCIETY</t>
        </is>
      </c>
      <c r="E2" s="33" t="inlineStr">
        <is>
          <t>CLOSED CAPTIONING</t>
        </is>
      </c>
      <c r="F2" s="33" t="inlineStr">
        <is>
          <t>FCB CHICAGO</t>
        </is>
      </c>
      <c r="G2" s="33" t="inlineStr">
        <is>
          <t>United States</t>
        </is>
      </c>
      <c r="H2" s="33" t="inlineStr">
        <is>
          <t>UX &amp; Journey Design</t>
        </is>
      </c>
      <c r="I2" s="33" t="inlineStr">
        <is>
          <t>https://ascentialcdn.filespin.io/api/v1/conversion/3a8020f6426f40968730b5a8c68a0b35</t>
        </is>
      </c>
      <c r="J2" s="33" t="inlineStr">
        <is>
          <t>F48khKZhKHM</t>
        </is>
      </c>
      <c r="L2" s="33" t="inlineStr">
        <is>
          <t>https://www.lovethework.com/work/entries/caption-with-intention-754389</t>
        </is>
      </c>
    </row>
    <row r="3">
      <c r="A3" s="33" t="n">
        <v>2</v>
      </c>
      <c r="B3" s="33" t="inlineStr">
        <is>
          <t>Gold</t>
        </is>
      </c>
      <c r="C3" s="33" t="inlineStr">
        <is>
          <t>TREE CORRESPONDENTS</t>
        </is>
      </c>
      <c r="D3" s="33" t="inlineStr">
        <is>
          <t>HYUNDAI</t>
        </is>
      </c>
      <c r="E3" s="33" t="inlineStr">
        <is>
          <t>HYUNDAI IONIQ FOREST</t>
        </is>
      </c>
      <c r="F3" s="33" t="inlineStr">
        <is>
          <t>FCB NEW YORK</t>
        </is>
      </c>
      <c r="G3" s="33" t="inlineStr">
        <is>
          <t>United States</t>
        </is>
      </c>
      <c r="H3" s="33" t="inlineStr">
        <is>
          <t>Data Storytelling</t>
        </is>
      </c>
      <c r="I3" s="33" t="inlineStr">
        <is>
          <t>https://ascentialcdn.filespin.io/api/v1/conversion/82542e7381744bb783bb6c60f2929b2c</t>
        </is>
      </c>
      <c r="J3" s="33" t="inlineStr">
        <is>
          <t>vimeo:1092193263</t>
        </is>
      </c>
      <c r="L3" s="33" t="inlineStr">
        <is>
          <t>https://www.lovethework.com/work/entries/tree-correspondents-762045</t>
        </is>
      </c>
    </row>
    <row r="4">
      <c r="A4" s="33" t="n">
        <v>3</v>
      </c>
      <c r="B4" s="33" t="inlineStr">
        <is>
          <t>Gold</t>
        </is>
      </c>
      <c r="C4" s="33" t="inlineStr">
        <is>
          <t>CAPTION WITH INTENTION</t>
        </is>
      </c>
      <c r="D4" s="33" t="inlineStr">
        <is>
          <t>ACADEMY OF MOTION PICTURE ARTS &amp; SCIENCES - RAKISH - CHICAGO HEARING SOCIETY</t>
        </is>
      </c>
      <c r="E4" s="33" t="inlineStr">
        <is>
          <t>CLOSED CAPTIONING</t>
        </is>
      </c>
      <c r="F4" s="33" t="inlineStr">
        <is>
          <t>FCB CHICAGO</t>
        </is>
      </c>
      <c r="G4" s="33" t="inlineStr">
        <is>
          <t>United States</t>
        </is>
      </c>
      <c r="H4" s="33" t="inlineStr">
        <is>
          <t>Innovative Use of Technology</t>
        </is>
      </c>
      <c r="I4" s="33" t="inlineStr">
        <is>
          <t>https://ascentialcdn.filespin.io/api/v1/conversion/6e437af497a34d6bbc71738a2b9c581b</t>
        </is>
      </c>
      <c r="J4" s="33" t="inlineStr">
        <is>
          <t>F48khKZhKHM</t>
        </is>
      </c>
      <c r="L4" s="33" t="inlineStr">
        <is>
          <t>https://www.lovethework.com/work/entries/caption-with-intention-754831</t>
        </is>
      </c>
    </row>
    <row r="5">
      <c r="A5" s="33" t="n">
        <v>4</v>
      </c>
      <c r="B5" s="33" t="inlineStr">
        <is>
          <t>Gold</t>
        </is>
      </c>
      <c r="C5" s="33" t="inlineStr">
        <is>
          <t>TREE CORRESPONDENTS</t>
        </is>
      </c>
      <c r="D5" s="33" t="inlineStr">
        <is>
          <t>HYUNDAI</t>
        </is>
      </c>
      <c r="E5" s="33" t="inlineStr">
        <is>
          <t>HYUNDAI IONIQ FOREST</t>
        </is>
      </c>
      <c r="F5" s="33" t="inlineStr">
        <is>
          <t>FCB NEW YORK</t>
        </is>
      </c>
      <c r="G5" s="33" t="inlineStr">
        <is>
          <t>United States</t>
        </is>
      </c>
      <c r="H5" s="33" t="inlineStr">
        <is>
          <t>Curation of Data</t>
        </is>
      </c>
      <c r="I5" s="33" t="inlineStr">
        <is>
          <t>https://ascentialcdn.filespin.io/api/v1/conversion/82542e7381744bb783bb6c60f2929b2c</t>
        </is>
      </c>
      <c r="J5" s="33" t="inlineStr">
        <is>
          <t>vimeo:1092193263</t>
        </is>
      </c>
      <c r="L5" s="33" t="inlineStr">
        <is>
          <t>https://www.lovethework.com/work/entries/tree-correspondents-762045</t>
        </is>
      </c>
    </row>
    <row r="6">
      <c r="A6" s="33" t="n">
        <v>5</v>
      </c>
      <c r="B6" s="33" t="inlineStr">
        <is>
          <t>Silver</t>
        </is>
      </c>
      <c r="C6" s="33" t="inlineStr">
        <is>
          <t>THE SHADED ROUTE</t>
        </is>
      </c>
      <c r="D6" s="33" t="inlineStr">
        <is>
          <t>HUNGERSTATION</t>
        </is>
      </c>
      <c r="E6" s="33" t="inlineStr">
        <is>
          <t>HUNGERSTATION DELIVERY APP</t>
        </is>
      </c>
      <c r="F6" s="33" t="inlineStr">
        <is>
          <t>VML</t>
        </is>
      </c>
      <c r="G6" s="33" t="inlineStr">
        <is>
          <t>Saudi Arabia</t>
        </is>
      </c>
      <c r="H6" s="33" t="inlineStr">
        <is>
          <t>Real-Time Usage &amp; Targeting</t>
        </is>
      </c>
      <c r="I6" s="33" t="inlineStr">
        <is>
          <t>https://ascentialcdn.filespin.io/api/v1/conversion/a5387631458b48648c6dba4b21efb3d0</t>
        </is>
      </c>
      <c r="J6" s="33" t="inlineStr">
        <is>
          <t>5cGxg-wRzsE</t>
        </is>
      </c>
      <c r="L6" s="33" t="inlineStr">
        <is>
          <t>https://www.lovethework.com/work/entries/the-shaded-route-754725</t>
        </is>
      </c>
    </row>
    <row r="7">
      <c r="A7" s="33" t="n">
        <v>6</v>
      </c>
      <c r="B7" s="33" t="inlineStr">
        <is>
          <t>Silver</t>
        </is>
      </c>
      <c r="C7" s="33" t="inlineStr">
        <is>
          <t>TREE CORRESPONDENTS</t>
        </is>
      </c>
      <c r="D7" s="33" t="inlineStr">
        <is>
          <t>HYUNDAI</t>
        </is>
      </c>
      <c r="E7" s="33" t="inlineStr">
        <is>
          <t>HYUNDAI IONIQ FOREST</t>
        </is>
      </c>
      <c r="F7" s="33" t="inlineStr">
        <is>
          <t>FCB NEW YORK</t>
        </is>
      </c>
      <c r="G7" s="33" t="inlineStr">
        <is>
          <t>United States</t>
        </is>
      </c>
      <c r="H7" s="33" t="inlineStr">
        <is>
          <t>Technological Achievement in Digital Craft</t>
        </is>
      </c>
      <c r="I7" s="33" t="inlineStr">
        <is>
          <t>https://ascentialcdn.filespin.io/api/v1/conversion/82542e7381744bb783bb6c60f2929b2c</t>
        </is>
      </c>
      <c r="J7" s="33" t="inlineStr">
        <is>
          <t>vimeo:1092193263</t>
        </is>
      </c>
      <c r="L7" s="33" t="inlineStr">
        <is>
          <t>https://www.lovethework.com/work/entries/tree-correspondents-762150</t>
        </is>
      </c>
    </row>
    <row r="8">
      <c r="A8" s="33" t="n">
        <v>7</v>
      </c>
      <c r="B8" s="33" t="inlineStr">
        <is>
          <t>Silver</t>
        </is>
      </c>
      <c r="C8" s="33" t="inlineStr">
        <is>
          <t>IN HOT WATER</t>
        </is>
      </c>
      <c r="D8" s="33" t="inlineStr">
        <is>
          <t>WORLD WILDLIFE FUND (WWF)</t>
        </is>
      </c>
      <c r="E8" s="33" t="inlineStr">
        <is>
          <t>WWF</t>
        </is>
      </c>
      <c r="F8" s="33" t="inlineStr">
        <is>
          <t>NOMINT</t>
        </is>
      </c>
      <c r="G8" s="33" t="inlineStr">
        <is>
          <t>United Kingdom</t>
        </is>
      </c>
      <c r="H8" s="33" t="inlineStr">
        <is>
          <t>Motion Graphics Design &amp; Animation</t>
        </is>
      </c>
      <c r="I8" s="33" t="inlineStr">
        <is>
          <t>https://ascentialcdn.filespin.io/api/v1/conversion/f2ca9488d23e45d5b432ce4a6c2e8f08</t>
        </is>
      </c>
      <c r="J8" s="33" t="inlineStr">
        <is>
          <t>vimeo:1028875237</t>
        </is>
      </c>
      <c r="L8" s="33" t="inlineStr">
        <is>
          <t>https://www.lovethework.com/work/entries/in-hot-water-754526</t>
        </is>
      </c>
    </row>
    <row r="9">
      <c r="A9" s="33" t="n">
        <v>8</v>
      </c>
      <c r="B9" s="33" t="inlineStr">
        <is>
          <t>Silver</t>
        </is>
      </c>
      <c r="C9" s="33" t="inlineStr">
        <is>
          <t>SALTANAT LIGHT</t>
        </is>
      </c>
      <c r="D9" s="33" t="inlineStr">
        <is>
          <t>CITIX</t>
        </is>
      </c>
      <c r="E9" s="33" t="inlineStr">
        <is>
          <t>CITIX</t>
        </is>
      </c>
      <c r="F9" s="33" t="inlineStr">
        <is>
          <t>GFORCE</t>
        </is>
      </c>
      <c r="G9" s="33" t="inlineStr">
        <is>
          <t>Kazakhstan</t>
        </is>
      </c>
      <c r="H9" s="33" t="inlineStr">
        <is>
          <t>Real-Time Contextual Content</t>
        </is>
      </c>
      <c r="I9" s="33" t="inlineStr">
        <is>
          <t>https://ascentialcdn.filespin.io/api/v1/conversion/68f2c53ebcea42bd9ab7b58852b5aa95</t>
        </is>
      </c>
      <c r="J9" s="33" t="inlineStr">
        <is>
          <t>POZJDa6y23g</t>
        </is>
      </c>
      <c r="L9" s="33" t="inlineStr">
        <is>
          <t>https://www.lovethework.com/work/entries/saltanat-light-764174</t>
        </is>
      </c>
    </row>
    <row r="10">
      <c r="A10" s="33" t="n">
        <v>9</v>
      </c>
      <c r="B10" s="33" t="inlineStr">
        <is>
          <t>Silver</t>
        </is>
      </c>
      <c r="C10" s="33" t="inlineStr">
        <is>
          <t>DAISY VS SCAMMERS</t>
        </is>
      </c>
      <c r="D10" s="33" t="inlineStr">
        <is>
          <t>O2</t>
        </is>
      </c>
      <c r="E10" s="33" t="inlineStr">
        <is>
          <t>DAISY VS SCAMMERS</t>
        </is>
      </c>
      <c r="F10" s="33" t="inlineStr">
        <is>
          <t>VCCP</t>
        </is>
      </c>
      <c r="G10" s="33" t="inlineStr">
        <is>
          <t>United Kingdom</t>
        </is>
      </c>
      <c r="H10" s="33" t="inlineStr">
        <is>
          <t>Innovative Use of Technology</t>
        </is>
      </c>
      <c r="I10" s="33" t="inlineStr">
        <is>
          <t>https://ascentialcdn.filespin.io/api/v1/conversion/2d7855910ffa41a78e83fffe11540c7b</t>
        </is>
      </c>
      <c r="J10" s="33" t="inlineStr">
        <is>
          <t>tnfhe_XMg7U</t>
        </is>
      </c>
      <c r="L10" s="33" t="inlineStr">
        <is>
          <t>https://www.lovethework.com/work/entries/daisy-vs-scammers-754726</t>
        </is>
      </c>
    </row>
    <row r="11">
      <c r="A11" s="33" t="n">
        <v>10</v>
      </c>
      <c r="B11" s="33" t="inlineStr">
        <is>
          <t>Bronze</t>
        </is>
      </c>
      <c r="C11" s="33" t="inlineStr">
        <is>
          <t>ALLEVIA POLLEN PASSPORT</t>
        </is>
      </c>
      <c r="D11" s="33" t="inlineStr">
        <is>
          <t>Opella-Allegra</t>
        </is>
      </c>
      <c r="E11" s="33" t="inlineStr">
        <is>
          <t>ALLEGRA</t>
        </is>
      </c>
      <c r="F11" s="33" t="inlineStr">
        <is>
          <t>MRM WORLDWIDE</t>
        </is>
      </c>
      <c r="G11" s="33" t="inlineStr">
        <is>
          <t>Spain</t>
        </is>
      </c>
      <c r="H11" s="33" t="inlineStr">
        <is>
          <t>Data Visualisation</t>
        </is>
      </c>
      <c r="I11" s="33" t="inlineStr">
        <is>
          <t>https://ascentialcdn.filespin.io/api/v1/conversion/5bdbab28251f44eda6fdb7d90fe1a6eb</t>
        </is>
      </c>
      <c r="J11" s="33" t="inlineStr">
        <is>
          <t>vimeo:1080313277</t>
        </is>
      </c>
      <c r="L11" s="33" t="inlineStr">
        <is>
          <t>https://www.lovethework.com/work/entries/allevia-pollen-passport-754613</t>
        </is>
      </c>
    </row>
    <row r="12">
      <c r="A12" s="33" t="n">
        <v>11</v>
      </c>
      <c r="B12" s="33" t="inlineStr">
        <is>
          <t>Bronze</t>
        </is>
      </c>
      <c r="C12" s="33" t="inlineStr">
        <is>
          <t>APPLE 100 BEST ALBUMS</t>
        </is>
      </c>
      <c r="D12" s="33" t="inlineStr">
        <is>
          <t>APPLE</t>
        </is>
      </c>
      <c r="E12" s="33" t="inlineStr">
        <is>
          <t>APPLE MUSIC</t>
        </is>
      </c>
      <c r="F12" s="33" t="inlineStr">
        <is>
          <t>TBWA\MEDIA ARTS LAB</t>
        </is>
      </c>
      <c r="G12" s="33" t="inlineStr">
        <is>
          <t>United States</t>
        </is>
      </c>
      <c r="H12" s="33" t="inlineStr">
        <is>
          <t>Digital Illustration &amp; Image Design</t>
        </is>
      </c>
      <c r="I12" s="33" t="inlineStr">
        <is>
          <t>https://ascentialcdn.filespin.io/api/v1/conversion/c56cee379a1249b9912bbe50964ff0d2</t>
        </is>
      </c>
      <c r="J12" s="33" t="inlineStr">
        <is>
          <t>vimeo:1039756308</t>
        </is>
      </c>
      <c r="L12" s="33" t="inlineStr">
        <is>
          <t>https://www.lovethework.com/work/entries/apple-100-best-albums-754412</t>
        </is>
      </c>
    </row>
    <row r="13">
      <c r="A13" s="33" t="n">
        <v>12</v>
      </c>
      <c r="B13" s="33" t="inlineStr">
        <is>
          <t>Bronze</t>
        </is>
      </c>
      <c r="C13" s="33" t="inlineStr">
        <is>
          <t>THE ODYSSEY OF WILSON</t>
        </is>
      </c>
      <c r="D13" s="33" t="inlineStr">
        <is>
          <t>VIVO</t>
        </is>
      </c>
      <c r="E13" s="33" t="inlineStr">
        <is>
          <t>Telephone Company</t>
        </is>
      </c>
      <c r="F13" s="33" t="inlineStr">
        <is>
          <t>AFRICA CREATIVE DDB</t>
        </is>
      </c>
      <c r="G13" s="33" t="inlineStr">
        <is>
          <t>Brazil</t>
        </is>
      </c>
      <c r="H13" s="33" t="inlineStr">
        <is>
          <t>Data Storytelling</t>
        </is>
      </c>
      <c r="I13" s="33" t="inlineStr">
        <is>
          <t>https://ascentialcdn.filespin.io/api/v1/conversion/d824fa39d9d94210af54fc45e5e11735</t>
        </is>
      </c>
      <c r="J13" s="33" t="inlineStr">
        <is>
          <t>vimeo:1082349787</t>
        </is>
      </c>
      <c r="L13" s="33" t="inlineStr">
        <is>
          <t>https://www.lovethework.com/work/entries/the-odissey-of-wilson-754689</t>
        </is>
      </c>
    </row>
    <row r="14">
      <c r="A14" s="33" t="n">
        <v>13</v>
      </c>
      <c r="B14" s="33" t="inlineStr">
        <is>
          <t>Bronze</t>
        </is>
      </c>
      <c r="C14" s="33" t="inlineStr">
        <is>
          <t>BODY SWAP</t>
        </is>
      </c>
      <c r="D14" s="33" t="inlineStr">
        <is>
          <t>NETFLIX</t>
        </is>
      </c>
      <c r="E14" s="33" t="inlineStr">
        <is>
          <t>ONLINE GAME</t>
        </is>
      </c>
      <c r="F14" s="33" t="inlineStr">
        <is>
          <t>AKQA</t>
        </is>
      </c>
      <c r="G14" s="33" t="inlineStr">
        <is>
          <t>New Zealand</t>
        </is>
      </c>
      <c r="H14" s="33" t="inlineStr">
        <is>
          <t>Experience Design: Multi-Platform</t>
        </is>
      </c>
      <c r="I14" s="33" t="inlineStr">
        <is>
          <t>https://ascentialcdn.filespin.io/api/v1/conversion/898d378102884b909c675f8264248952</t>
        </is>
      </c>
      <c r="J14" s="33" t="inlineStr">
        <is>
          <t>vimeo:1088570858</t>
        </is>
      </c>
      <c r="L14" s="33" t="inlineStr">
        <is>
          <t>https://www.lovethework.com/work/entries/body-swap-758391</t>
        </is>
      </c>
    </row>
    <row r="15">
      <c r="A15" s="33" t="n">
        <v>14</v>
      </c>
      <c r="B15" s="33" t="inlineStr">
        <is>
          <t>Bronze</t>
        </is>
      </c>
      <c r="C15" s="33" t="inlineStr">
        <is>
          <t>THE FINAL EXAM</t>
        </is>
      </c>
      <c r="D15" s="33" t="inlineStr">
        <is>
          <t>CHANGE THE REF</t>
        </is>
      </c>
      <c r="E15" s="33" t="inlineStr">
        <is>
          <t>PRO BONO</t>
        </is>
      </c>
      <c r="F15" s="33" t="inlineStr">
        <is>
          <t>ENERGY BBDO</t>
        </is>
      </c>
      <c r="G15" s="33" t="inlineStr">
        <is>
          <t>United States</t>
        </is>
      </c>
      <c r="H15" s="33" t="inlineStr">
        <is>
          <t>Data Storytelling</t>
        </is>
      </c>
      <c r="I15" s="33" t="inlineStr">
        <is>
          <t>https://ascentialcdn.filespin.io/api/v1/conversion/f944731d441e4447a823753bb907d334</t>
        </is>
      </c>
      <c r="J15" s="33" t="inlineStr">
        <is>
          <t>y8LkiSNPJUs</t>
        </is>
      </c>
      <c r="L15" s="33" t="inlineStr">
        <is>
          <t>https://www.lovethework.com/work/entries/the-final-exam-762133</t>
        </is>
      </c>
    </row>
    <row r="16">
      <c r="A16" s="33" t="n">
        <v>15</v>
      </c>
      <c r="B16" s="33" t="inlineStr">
        <is>
          <t>Bronze</t>
        </is>
      </c>
      <c r="C16" s="33" t="inlineStr">
        <is>
          <t>KIA SOUNDSCAPES</t>
        </is>
      </c>
      <c r="D16" s="33" t="inlineStr">
        <is>
          <t>KIA EUROPE</t>
        </is>
      </c>
      <c r="E16" s="33" t="inlineStr">
        <is>
          <t>KIA EV9</t>
        </is>
      </c>
      <c r="F16" s="33" t="inlineStr">
        <is>
          <t>INNOCEAN BERLIN</t>
        </is>
      </c>
      <c r="G16" s="33" t="inlineStr">
        <is>
          <t>Germany</t>
        </is>
      </c>
      <c r="H16" s="33" t="inlineStr">
        <is>
          <t>Music/Sound Design</t>
        </is>
      </c>
      <c r="I16" s="33" t="inlineStr">
        <is>
          <t>https://ascentialcdn.filespin.io/api/v1/conversion/4483476cdcdf4250b70cf3ba56e70e55</t>
        </is>
      </c>
      <c r="J16" s="33" t="inlineStr">
        <is>
          <t>vimeo:1078212592</t>
        </is>
      </c>
      <c r="L16" s="33" t="inlineStr">
        <is>
          <t>https://www.lovethework.com/work/entries/kia-soundscapes-754384</t>
        </is>
      </c>
    </row>
    <row r="17">
      <c r="A17" s="33" t="n">
        <v>16</v>
      </c>
      <c r="B17" s="33" t="inlineStr">
        <is>
          <t>Bronze</t>
        </is>
      </c>
      <c r="C17" s="33" t="inlineStr">
        <is>
          <t>READ BETTER</t>
        </is>
      </c>
      <c r="D17" s="33" t="inlineStr">
        <is>
          <t>WATERSTONES</t>
        </is>
      </c>
      <c r="E17" s="33" t="inlineStr">
        <is>
          <t>BOOKS</t>
        </is>
      </c>
      <c r="F17" s="33" t="inlineStr">
        <is>
          <t>FP7 McCANN</t>
        </is>
      </c>
      <c r="G17" s="33" t="inlineStr">
        <is>
          <t>United Arab Emirates</t>
        </is>
      </c>
      <c r="H17" s="33" t="inlineStr">
        <is>
          <t>Data Storytelling</t>
        </is>
      </c>
      <c r="I17" s="33" t="inlineStr">
        <is>
          <t>https://ascentialcdn.filespin.io/api/v1/conversion/fdf308fea817428794e5b51cfe09d79e</t>
        </is>
      </c>
      <c r="J17" s="33" t="inlineStr">
        <is>
          <t>vimeo:1104424991</t>
        </is>
      </c>
      <c r="L17" s="33" t="inlineStr">
        <is>
          <t>https://www.lovethework.com/work/entries/read-better-762153</t>
        </is>
      </c>
    </row>
    <row r="18">
      <c r="A18" s="33" t="n">
        <v>17</v>
      </c>
      <c r="B18" s="33" t="inlineStr">
        <is>
          <t>Bronze</t>
        </is>
      </c>
      <c r="C18" s="33" t="inlineStr">
        <is>
          <t>INTERFACE OF HUMANITY POWERED BY NTT</t>
        </is>
      </c>
      <c r="D18" s="33" t="inlineStr">
        <is>
          <t>NTT HUMAN INFORMATICS LABORATORIES</t>
        </is>
      </c>
      <c r="E18" s="33" t="inlineStr">
        <is>
          <t>NTT HUMAN INFORMATICS LABORATORIES</t>
        </is>
      </c>
      <c r="F18" s="33" t="inlineStr">
        <is>
          <t>DENTSU INC.</t>
        </is>
      </c>
      <c r="G18" s="33" t="inlineStr">
        <is>
          <t>Japan</t>
        </is>
      </c>
      <c r="H18" s="33" t="inlineStr">
        <is>
          <t>UX &amp; Journey Design</t>
        </is>
      </c>
      <c r="I18" s="33" t="inlineStr">
        <is>
          <t>https://ascentialcdn.filespin.io/api/v1/conversion/15acf37ec83847ee82067e734a40a3de</t>
        </is>
      </c>
      <c r="J18" s="33" t="inlineStr">
        <is>
          <t>9Yv1aq_N-Ss</t>
        </is>
      </c>
      <c r="L18" s="33" t="inlineStr">
        <is>
          <t>https://www.lovethework.com/work/entries/interface-of-humanity-powered-by-ntt-754473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5" customWidth="1" style="34" min="1" max="1"/>
    <col width="14" customWidth="1" style="34" min="2" max="2"/>
    <col width="36" customWidth="1" style="34" min="3" max="3"/>
    <col width="32" customWidth="1" style="34" min="4" max="4"/>
    <col width="28" customWidth="1" style="34" min="5" max="5"/>
    <col width="30" customWidth="1" style="34" min="6" max="6"/>
    <col width="18" customWidth="1" style="34" min="7" max="7"/>
    <col width="38" customWidth="1" style="34" min="8" max="8"/>
    <col width="60" customWidth="1" style="34" min="9" max="9"/>
    <col width="20" customWidth="1" style="34" min="10" max="10"/>
    <col width="28" customWidth="1" style="34" min="11" max="11"/>
    <col hidden="1" width="60" customWidth="1" style="34" min="12" max="12"/>
  </cols>
  <sheetData>
    <row r="1">
      <c r="A1" s="110" t="inlineStr">
        <is>
          <t>#</t>
        </is>
      </c>
      <c r="B1" s="110" t="inlineStr">
        <is>
          <t>Tier</t>
        </is>
      </c>
      <c r="C1" s="110" t="inlineStr">
        <is>
          <t>Campaign</t>
        </is>
      </c>
      <c r="D1" s="110" t="inlineStr">
        <is>
          <t>Brand</t>
        </is>
      </c>
      <c r="E1" s="110" t="inlineStr">
        <is>
          <t>Product/Service</t>
        </is>
      </c>
      <c r="F1" s="110" t="inlineStr">
        <is>
          <t>Agency</t>
        </is>
      </c>
      <c r="G1" s="110" t="inlineStr">
        <is>
          <t>Country</t>
        </is>
      </c>
      <c r="H1" s="110" t="inlineStr">
        <is>
          <t>Subcategory</t>
        </is>
      </c>
      <c r="I1" s="110" t="inlineStr">
        <is>
          <t>Image URL</t>
        </is>
      </c>
      <c r="J1" s="110" t="inlineStr">
        <is>
          <t>YouTube ID</t>
        </is>
      </c>
      <c r="K1" s="110" t="inlineStr">
        <is>
          <t>Campaign Group</t>
        </is>
      </c>
      <c r="L1" s="110" t="inlineStr">
        <is>
          <t>Entry URL</t>
        </is>
      </c>
    </row>
    <row r="2">
      <c r="A2" s="33" t="n">
        <v>1</v>
      </c>
      <c r="B2" s="33" t="inlineStr">
        <is>
          <t>Grand Prix</t>
        </is>
      </c>
      <c r="C2" s="33" t="inlineStr">
        <is>
          <t>THE BEST PLACE IN THE WORLD TO HAVE HERPES</t>
        </is>
      </c>
      <c r="D2" s="33" t="inlineStr">
        <is>
          <t>NEW ZEALAND HERPES FOUNDATION</t>
        </is>
      </c>
      <c r="E2" s="33" t="inlineStr">
        <is>
          <t>NEW ZEALAND HERPES FOUNDATION</t>
        </is>
      </c>
      <c r="F2" s="33" t="inlineStr">
        <is>
          <t>FINCH</t>
        </is>
      </c>
      <c r="G2" s="33" t="inlineStr">
        <is>
          <t>Australia</t>
        </is>
      </c>
      <c r="H2" s="33" t="inlineStr">
        <is>
          <t>Lions Health Grand Prix for Good</t>
        </is>
      </c>
      <c r="I2" s="33" t="inlineStr">
        <is>
          <t>digital-presentation-images/lions-health-grand-prix-for-good-new-zealand-herpes-foundation-the-best-place-in-the-world-to-have-herpes.webp</t>
        </is>
      </c>
      <c r="J2" s="33" t="inlineStr">
        <is>
          <t>vimeo:1083074994</t>
        </is>
      </c>
      <c r="L2" s="33" t="inlineStr">
        <is>
          <t>https://www.lovethework.com/work/entries/the-best-place-in-the-world-to-have-herpes-767496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2026-04-02T04:55:11Z</dcterms:created>
  <dcterms:modified xmlns:dcterms="http://purl.org/dc/terms/" xmlns:xsi="http://www.w3.org/2001/XMLSchema-instance" xsi:type="dcterms:W3CDTF">2026-05-08T21:26:39Z</dcterms:modified>
  <cp:revision>0</cp:revision>
</cp:coreProperties>
</file>