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ummary" sheetId="1" state="visible" r:id="rId1"/>
    <sheet xmlns:r="http://schemas.openxmlformats.org/officeDocument/2006/relationships" name="Creative Brand" sheetId="2" state="visible" r:id="rId2"/>
    <sheet xmlns:r="http://schemas.openxmlformats.org/officeDocument/2006/relationships" name="Audio &amp; Radio" sheetId="3" state="visible" r:id="rId3"/>
    <sheet xmlns:r="http://schemas.openxmlformats.org/officeDocument/2006/relationships" name="Film" sheetId="4" state="visible" r:id="rId4"/>
    <sheet xmlns:r="http://schemas.openxmlformats.org/officeDocument/2006/relationships" name="Outdoor" sheetId="5" state="visible" r:id="rId5"/>
    <sheet xmlns:r="http://schemas.openxmlformats.org/officeDocument/2006/relationships" name="Print &amp; Publishing" sheetId="6" state="visible" r:id="rId6"/>
    <sheet xmlns:r="http://schemas.openxmlformats.org/officeDocument/2006/relationships" name="Design" sheetId="7" state="visible" r:id="rId7"/>
    <sheet xmlns:r="http://schemas.openxmlformats.org/officeDocument/2006/relationships" name="Digital Craft" sheetId="8" state="visible" r:id="rId8"/>
    <sheet xmlns:r="http://schemas.openxmlformats.org/officeDocument/2006/relationships" name="Film Craft" sheetId="9" state="visible" r:id="rId9"/>
    <sheet xmlns:r="http://schemas.openxmlformats.org/officeDocument/2006/relationships" name="Industry Craft" sheetId="10" state="visible" r:id="rId10"/>
    <sheet xmlns:r="http://schemas.openxmlformats.org/officeDocument/2006/relationships" name="Creative B2B" sheetId="11" state="visible" r:id="rId11"/>
    <sheet xmlns:r="http://schemas.openxmlformats.org/officeDocument/2006/relationships" name="Creative Data" sheetId="12" state="visible" r:id="rId12"/>
    <sheet xmlns:r="http://schemas.openxmlformats.org/officeDocument/2006/relationships" name="Direct" sheetId="13" state="visible" r:id="rId13"/>
    <sheet xmlns:r="http://schemas.openxmlformats.org/officeDocument/2006/relationships" name="Media" sheetId="14" state="visible" r:id="rId14"/>
    <sheet xmlns:r="http://schemas.openxmlformats.org/officeDocument/2006/relationships" name="PR" sheetId="15" state="visible" r:id="rId15"/>
    <sheet xmlns:r="http://schemas.openxmlformats.org/officeDocument/2006/relationships" name="Social &amp; Creator" sheetId="16" state="visible" r:id="rId16"/>
    <sheet xmlns:r="http://schemas.openxmlformats.org/officeDocument/2006/relationships" name="Entertainment" sheetId="17" state="visible" r:id="rId17"/>
    <sheet xmlns:r="http://schemas.openxmlformats.org/officeDocument/2006/relationships" name="Entertainment Lions for Gaming" sheetId="18" state="visible" r:id="rId18"/>
    <sheet xmlns:r="http://schemas.openxmlformats.org/officeDocument/2006/relationships" name="Entertainment Lions for Music" sheetId="19" state="visible" r:id="rId19"/>
    <sheet xmlns:r="http://schemas.openxmlformats.org/officeDocument/2006/relationships" name="Entertainment Lions for Sport" sheetId="20" state="visible" r:id="rId20"/>
    <sheet xmlns:r="http://schemas.openxmlformats.org/officeDocument/2006/relationships" name="Brand Experience &amp; Activation" sheetId="21" state="visible" r:id="rId21"/>
    <sheet xmlns:r="http://schemas.openxmlformats.org/officeDocument/2006/relationships" name="Creative Bus. Transformation" sheetId="22" state="visible" r:id="rId22"/>
    <sheet xmlns:r="http://schemas.openxmlformats.org/officeDocument/2006/relationships" name="Creative Commerce" sheetId="23" state="visible" r:id="rId23"/>
    <sheet xmlns:r="http://schemas.openxmlformats.org/officeDocument/2006/relationships" name="Innovation" sheetId="24" state="visible" r:id="rId24"/>
    <sheet xmlns:r="http://schemas.openxmlformats.org/officeDocument/2006/relationships" name="Luxury" sheetId="25" state="visible" r:id="rId25"/>
    <sheet xmlns:r="http://schemas.openxmlformats.org/officeDocument/2006/relationships" name="Glass - The Lion for Change" sheetId="26" state="visible" r:id="rId26"/>
    <sheet xmlns:r="http://schemas.openxmlformats.org/officeDocument/2006/relationships" name="Grand Prix for Good" sheetId="27" state="visible" r:id="rId27"/>
    <sheet xmlns:r="http://schemas.openxmlformats.org/officeDocument/2006/relationships" name="Sustainable Development Goals" sheetId="28" state="visible" r:id="rId28"/>
    <sheet xmlns:r="http://schemas.openxmlformats.org/officeDocument/2006/relationships" name="Health &amp; Wellness" sheetId="29" state="visible" r:id="rId29"/>
    <sheet xmlns:r="http://schemas.openxmlformats.org/officeDocument/2006/relationships" name="Health Grand Prix for Good" sheetId="30" state="visible" r:id="rId30"/>
    <sheet xmlns:r="http://schemas.openxmlformats.org/officeDocument/2006/relationships" name="Pharma" sheetId="31" state="visible" r:id="rId31"/>
    <sheet xmlns:r="http://schemas.openxmlformats.org/officeDocument/2006/relationships" name="Creative Effectiveness" sheetId="32" state="visible" r:id="rId32"/>
    <sheet xmlns:r="http://schemas.openxmlformats.org/officeDocument/2006/relationships" name="Creative Strategy" sheetId="33" state="visible" r:id="rId33"/>
    <sheet xmlns:r="http://schemas.openxmlformats.org/officeDocument/2006/relationships" name="Titanium" sheetId="34" state="visible" r:id="rId34"/>
  </sheets>
  <definedNames>
    <definedName name="_xlnm._FilterDatabase" localSheetId="2" hidden="1">'Audio &amp; Radio'!$A$1:$N$28</definedName>
    <definedName name="_xlnm._FilterDatabase" localSheetId="3" hidden="1">'Film'!$A$1:$N$53</definedName>
    <definedName name="_xlnm._FilterDatabase" localSheetId="4" hidden="1">'Outdoor'!$A$1:$N$78</definedName>
    <definedName name="_xlnm._FilterDatabase" localSheetId="5" hidden="1">'Print &amp; Publishing'!$A$1:$N$47</definedName>
    <definedName name="_xlnm._FilterDatabase" localSheetId="6" hidden="1">'Design'!$A$1:$N$32</definedName>
    <definedName name="_xlnm._FilterDatabase" localSheetId="7" hidden="1">'Digital Craft'!$A$1:$N$18</definedName>
    <definedName name="_xlnm._FilterDatabase" localSheetId="8" hidden="1">'Film Craft'!$A$1:$N$50</definedName>
    <definedName name="_xlnm._FilterDatabase" localSheetId="9" hidden="1">'Industry Craft'!$A$1:$N$31</definedName>
    <definedName name="_xlnm._FilterDatabase" localSheetId="10" hidden="1">'Creative B2B'!$A$1:$N$14</definedName>
    <definedName name="_xlnm._FilterDatabase" localSheetId="11" hidden="1">'Creative Data'!$A$1:$N$18</definedName>
    <definedName name="_xlnm._FilterDatabase" localSheetId="12" hidden="1">'Direct'!$A$1:$N$60</definedName>
    <definedName name="_xlnm._FilterDatabase" localSheetId="13" hidden="1">'Media'!$A$1:$N$67</definedName>
    <definedName name="_xlnm._FilterDatabase" localSheetId="14" hidden="1">'PR'!$A$1:$N$45</definedName>
    <definedName name="_xlnm._FilterDatabase" localSheetId="15" hidden="1">'Social &amp; Creator'!$A$1:$N$51</definedName>
    <definedName name="_xlnm._FilterDatabase" localSheetId="16" hidden="1">'Entertainment'!$A$1:$N$23</definedName>
    <definedName name="_xlnm._FilterDatabase" localSheetId="17" hidden="1">'Entertainment Lions for Gaming'!$A$1:$N$12</definedName>
    <definedName name="_xlnm._FilterDatabase" localSheetId="18" hidden="1">'Entertainment Lions for Music'!$A$1:$N$17</definedName>
    <definedName name="_xlnm._FilterDatabase" localSheetId="19" hidden="1">'Entertainment Lions for Sport'!$A$1:$N$27</definedName>
    <definedName name="_xlnm._FilterDatabase" localSheetId="20" hidden="1">'Brand Experience &amp; Activation'!$A$1:$N$68</definedName>
    <definedName name="_xlnm._FilterDatabase" localSheetId="21" hidden="1">'Creative Bus. Transformation'!$A$1:$N$8</definedName>
    <definedName name="_xlnm._FilterDatabase" localSheetId="22" hidden="1">'Creative Commerce'!$A$1:$N$21</definedName>
    <definedName name="_xlnm._FilterDatabase" localSheetId="23" hidden="1">'Innovation'!$A$1:$N$8</definedName>
    <definedName name="_xlnm._FilterDatabase" localSheetId="24" hidden="1">'Luxury'!$A$1:$N$8</definedName>
    <definedName name="_xlnm._FilterDatabase" localSheetId="25" hidden="1">'Glass - The Lion for Change'!$A$1:$N$9</definedName>
    <definedName name="_xlnm._FilterDatabase" localSheetId="26" hidden="1">'Grand Prix for Good'!$A$1:$N$2</definedName>
    <definedName name="_xlnm._FilterDatabase" localSheetId="27" hidden="1">'Sustainable Development Goals'!$A$1:$N$17</definedName>
    <definedName name="_xlnm._FilterDatabase" localSheetId="28" hidden="1">'Health &amp; Wellness'!$A$1:$N$34</definedName>
    <definedName name="_xlnm._FilterDatabase" localSheetId="29" hidden="1">'Health Grand Prix for Good'!$A$1:$N$2</definedName>
    <definedName name="_xlnm._FilterDatabase" localSheetId="30" hidden="1">'Pharma'!$A$1:$N$10</definedName>
    <definedName name="_xlnm._FilterDatabase" localSheetId="31" hidden="1">'Creative Effectiveness'!$A$1:$N$18</definedName>
    <definedName name="_xlnm._FilterDatabase" localSheetId="32" hidden="1">'Creative Strategy'!$A$1:$N$29</definedName>
    <definedName name="_xlnm._FilterDatabase" localSheetId="33" hidden="1">'Titanium'!$A$1:$N$5</definedName>
  </definedNames>
  <calcPr calcId="124519" fullCalcOnLoad="1" refMode="A1" iterate="0" iterateCount="100" iterateDelta="0.0001"/>
</workbook>
</file>

<file path=xl/styles.xml><?xml version="1.0" encoding="utf-8"?>
<styleSheet xmlns="http://schemas.openxmlformats.org/spreadsheetml/2006/main">
  <numFmts count="0"/>
  <fonts count="35">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000000"/>
      <sz val="10"/>
    </font>
    <font>
      <name val="Arial"/>
      <charset val="1"/>
      <family val="0"/>
      <b val="1"/>
      <sz val="10"/>
    </font>
    <font>
      <name val="Arial"/>
      <charset val="1"/>
      <family val="0"/>
      <color rgb="FF0563C1"/>
      <sz val="10"/>
      <u val="single"/>
    </font>
    <font>
      <name val="Arial"/>
      <charset val="1"/>
      <family val="0"/>
      <b val="1"/>
      <sz val="11"/>
    </font>
    <font>
      <name val="Arial"/>
      <charset val="1"/>
      <family val="0"/>
      <b val="1"/>
      <color rgb="FFFFFFFF"/>
      <sz val="10"/>
    </font>
    <font>
      <name val="Arial"/>
      <b val="1"/>
      <color rgb="00FFFFFF"/>
      <sz val="10"/>
    </font>
    <font>
      <name val="Arial"/>
      <sz val="10"/>
    </font>
    <font>
      <name val="Arial"/>
      <b val="1"/>
      <sz val="10"/>
    </font>
    <font>
      <name val="Arial"/>
      <b val="1"/>
      <sz val="11"/>
    </font>
    <font>
      <name val="Arial"/>
      <b val="1"/>
      <color rgb="FFFFFFFF"/>
      <sz val="11"/>
    </font>
    <font>
      <name val="Arial"/>
      <b val="1"/>
      <color rgb="FFFFFFFF"/>
      <sz val="10"/>
    </font>
    <font>
      <b val="1"/>
      <color rgb="00FFFFFF"/>
      <sz val="10"/>
    </font>
    <font>
      <b val="1"/>
      <color rgb="00000000"/>
      <sz val="10"/>
    </font>
    <font>
      <sz val="10"/>
    </font>
    <font>
      <b val="1"/>
      <sz val="10"/>
    </font>
    <font>
      <color rgb="000563C1"/>
      <sz val="10"/>
    </font>
    <font>
      <b val="1"/>
      <color rgb="FFFFFFFF"/>
      <sz val="10"/>
    </font>
    <font>
      <b val="1"/>
      <color rgb="FF000000"/>
      <sz val="10"/>
    </font>
    <font>
      <color rgb="FF0563C1"/>
      <sz val="10"/>
    </font>
    <font>
      <name val="Calibri"/>
      <b val="1"/>
      <color rgb="00FFFFFF"/>
      <sz val="11"/>
    </font>
    <font>
      <name val="Calibri"/>
      <sz val="11"/>
    </font>
    <font>
      <name val="Calibri"/>
      <b val="1"/>
      <sz val="11"/>
    </font>
    <font>
      <b val="1"/>
      <color rgb="00FFFFFF"/>
    </font>
    <font>
      <b val="1"/>
    </font>
    <font>
      <b val="1"/>
      <color rgb="001A1A2E"/>
      <sz val="16"/>
    </font>
    <font>
      <i val="1"/>
      <color rgb="00808080"/>
      <sz val="9"/>
    </font>
    <font>
      <b val="1"/>
      <color rgb="001A1A2E"/>
      <sz val="12"/>
    </font>
    <font>
      <color rgb="001155CC"/>
      <u val="single"/>
    </font>
    <font/>
  </fonts>
  <fills count="28">
    <fill>
      <patternFill/>
    </fill>
    <fill>
      <patternFill patternType="gray125"/>
    </fill>
    <fill>
      <patternFill patternType="solid">
        <fgColor rgb="FF1A1A2E"/>
        <bgColor rgb="FF333300"/>
      </patternFill>
    </fill>
    <fill>
      <patternFill patternType="solid">
        <fgColor rgb="FFFFD700"/>
        <bgColor rgb="FFFFFF00"/>
      </patternFill>
    </fill>
    <fill>
      <patternFill patternType="solid">
        <fgColor rgb="FFFFF3CD"/>
        <bgColor rgb="FFF5E6D3"/>
      </patternFill>
    </fill>
    <fill>
      <patternFill patternType="solid">
        <fgColor rgb="FFE8E8E8"/>
        <bgColor rgb="FFF5E6D3"/>
      </patternFill>
    </fill>
    <fill>
      <patternFill patternType="solid">
        <fgColor rgb="FFF5E6D3"/>
        <bgColor rgb="FFE8E8E8"/>
      </patternFill>
    </fill>
    <fill>
      <patternFill patternType="solid">
        <fgColor rgb="001A1A2E"/>
      </patternFill>
    </fill>
    <fill>
      <patternFill patternType="solid">
        <fgColor rgb="00FFF3CD"/>
      </patternFill>
    </fill>
    <fill>
      <patternFill patternType="solid">
        <fgColor rgb="00F5E6D3"/>
      </patternFill>
    </fill>
    <fill>
      <patternFill patternType="solid">
        <fgColor rgb="00FFD700"/>
      </patternFill>
    </fill>
    <fill>
      <patternFill patternType="solid">
        <fgColor rgb="00E8E8E8"/>
      </patternFill>
    </fill>
    <fill>
      <patternFill patternType="solid">
        <fgColor rgb="FF1A1A2E"/>
      </patternFill>
    </fill>
    <fill>
      <patternFill patternType="solid">
        <fgColor rgb="FFFFD700"/>
      </patternFill>
    </fill>
    <fill>
      <patternFill patternType="solid">
        <fgColor rgb="FFFFF3CD"/>
      </patternFill>
    </fill>
    <fill>
      <patternFill patternType="solid">
        <fgColor rgb="FFE8E8E8"/>
      </patternFill>
    </fill>
    <fill>
      <patternFill patternType="solid">
        <fgColor rgb="FFF5E6D3"/>
      </patternFill>
    </fill>
    <fill>
      <patternFill patternType="solid">
        <fgColor rgb="001A1A2E"/>
        <bgColor rgb="001A1A2E"/>
      </patternFill>
    </fill>
    <fill>
      <patternFill patternType="solid">
        <fgColor rgb="FF1A1A2E"/>
        <bgColor rgb="FF1A1A2E"/>
      </patternFill>
    </fill>
    <fill>
      <patternFill patternType="solid">
        <fgColor rgb="00F1C40F"/>
      </patternFill>
    </fill>
    <fill>
      <patternFill patternType="solid">
        <fgColor rgb="00FCF3CF"/>
      </patternFill>
    </fill>
    <fill>
      <patternFill patternType="solid">
        <fgColor rgb="00EAECEE"/>
      </patternFill>
    </fill>
    <fill>
      <patternFill patternType="solid">
        <fgColor rgb="00F6DDCC"/>
      </patternFill>
    </fill>
    <fill>
      <patternFill patternType="solid">
        <fgColor rgb="00D5DBDB"/>
      </patternFill>
    </fill>
    <fill>
      <patternFill patternType="solid">
        <fgColor rgb="00FCF3CF"/>
        <bgColor rgb="00FCF3CF"/>
      </patternFill>
    </fill>
    <fill>
      <patternFill patternType="solid">
        <fgColor rgb="00EAECEE"/>
        <bgColor rgb="00EAECEE"/>
      </patternFill>
    </fill>
    <fill>
      <patternFill patternType="solid">
        <fgColor rgb="00F6DDCC"/>
        <bgColor rgb="00F6DDCC"/>
      </patternFill>
    </fill>
    <fill>
      <patternFill patternType="solid">
        <fgColor rgb="00F1C40F"/>
        <bgColor rgb="00F1C40F"/>
      </patternFill>
    </fill>
  </fills>
  <borders count="3">
    <border>
      <left/>
      <right/>
      <top/>
      <bottom/>
      <diagonal/>
    </border>
    <border>
      <left style="thin">
        <color rgb="FFD0D0D0"/>
      </left>
      <right style="thin">
        <color rgb="FFD0D0D0"/>
      </right>
      <top style="thin">
        <color rgb="FFD0D0D0"/>
      </top>
      <bottom style="thin">
        <color rgb="FFD0D0D0"/>
      </bottom>
      <diagonal/>
    </border>
    <border>
      <left style="thin">
        <color rgb="00D0D0D8"/>
      </left>
      <right style="thin">
        <color rgb="00D0D0D8"/>
      </right>
      <top style="thin">
        <color rgb="00D0D0D8"/>
      </top>
      <bottom style="thin">
        <color rgb="00D0D0D8"/>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81">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center" vertical="center"/>
    </xf>
    <xf numFmtId="0" fontId="5" fillId="0" borderId="1" applyAlignment="1" pivotButton="0" quotePrefix="0" xfId="0">
      <alignment horizontal="center" vertical="bottom"/>
    </xf>
    <xf numFmtId="0" fontId="6" fillId="3" borderId="1" applyAlignment="1" pivotButton="0" quotePrefix="0" xfId="0">
      <alignment horizontal="center" vertical="bottom"/>
    </xf>
    <xf numFmtId="0" fontId="7" fillId="0" borderId="1" applyAlignment="1" pivotButton="0" quotePrefix="0" xfId="0">
      <alignment horizontal="general" vertical="center" wrapText="1"/>
    </xf>
    <xf numFmtId="0" fontId="5" fillId="0" borderId="1" applyAlignment="1" pivotButton="0" quotePrefix="0" xfId="0">
      <alignment horizontal="general" vertical="center" wrapText="1"/>
    </xf>
    <xf numFmtId="0" fontId="8" fillId="0" borderId="1" applyAlignment="1" pivotButton="0" quotePrefix="0" xfId="0">
      <alignment horizontal="general" vertical="center" wrapText="1"/>
    </xf>
    <xf numFmtId="0" fontId="5" fillId="4" borderId="1" applyAlignment="1" pivotButton="0" quotePrefix="0" xfId="0">
      <alignment horizontal="center" vertical="bottom"/>
    </xf>
    <xf numFmtId="0" fontId="5" fillId="5" borderId="1" applyAlignment="1" pivotButton="0" quotePrefix="0" xfId="0">
      <alignment horizontal="center" vertical="bottom"/>
    </xf>
    <xf numFmtId="0" fontId="5" fillId="6" borderId="1" applyAlignment="1" pivotButton="0" quotePrefix="0" xfId="0">
      <alignment horizontal="center" vertical="bottom"/>
    </xf>
    <xf numFmtId="0" fontId="9" fillId="0" borderId="0" applyAlignment="1" pivotButton="0" quotePrefix="0" xfId="0">
      <alignment horizontal="general" vertical="bottom"/>
    </xf>
    <xf numFmtId="0" fontId="10" fillId="2" borderId="0" applyAlignment="1" pivotButton="0" quotePrefix="0" xfId="0">
      <alignment horizontal="left" vertical="bottom"/>
    </xf>
    <xf numFmtId="0" fontId="5" fillId="3" borderId="0" applyAlignment="1" pivotButton="0" quotePrefix="0" xfId="0">
      <alignment horizontal="general" vertical="bottom"/>
    </xf>
    <xf numFmtId="0" fontId="5" fillId="0" borderId="0" applyAlignment="1" pivotButton="0" quotePrefix="0" xfId="0">
      <alignment horizontal="general" vertical="bottom"/>
    </xf>
    <xf numFmtId="0" fontId="5" fillId="4" borderId="0" applyAlignment="1" pivotButton="0" quotePrefix="0" xfId="0">
      <alignment horizontal="general" vertical="bottom"/>
    </xf>
    <xf numFmtId="0" fontId="5" fillId="5" borderId="0" applyAlignment="1" pivotButton="0" quotePrefix="0" xfId="0">
      <alignment horizontal="general" vertical="bottom"/>
    </xf>
    <xf numFmtId="0" fontId="5" fillId="6" borderId="0" applyAlignment="1" pivotButton="0" quotePrefix="0" xfId="0">
      <alignment horizontal="general" vertical="bottom"/>
    </xf>
    <xf numFmtId="0" fontId="7" fillId="0" borderId="0" applyAlignment="1" pivotButton="0" quotePrefix="0" xfId="0">
      <alignment horizontal="general" vertical="bottom"/>
    </xf>
    <xf numFmtId="0" fontId="9" fillId="0" borderId="0" applyAlignment="1" pivotButton="0" quotePrefix="0" xfId="0">
      <alignment horizontal="general" vertical="bottom"/>
    </xf>
    <xf numFmtId="0" fontId="5" fillId="3" borderId="0" applyAlignment="1" pivotButton="0" quotePrefix="0" xfId="0">
      <alignment horizontal="general" vertical="bottom"/>
    </xf>
    <xf numFmtId="0" fontId="5" fillId="0" borderId="0" applyAlignment="1" pivotButton="0" quotePrefix="0" xfId="0">
      <alignment horizontal="general" vertical="bottom"/>
    </xf>
    <xf numFmtId="0" fontId="5" fillId="4" borderId="0" applyAlignment="1" pivotButton="0" quotePrefix="0" xfId="0">
      <alignment horizontal="general" vertical="bottom"/>
    </xf>
    <xf numFmtId="0" fontId="5" fillId="5" borderId="0" applyAlignment="1" pivotButton="0" quotePrefix="0" xfId="0">
      <alignment horizontal="general" vertical="bottom"/>
    </xf>
    <xf numFmtId="0" fontId="5" fillId="6" borderId="0" applyAlignment="1" pivotButton="0" quotePrefix="0" xfId="0">
      <alignment horizontal="general" vertical="bottom"/>
    </xf>
    <xf numFmtId="0" fontId="7" fillId="0" borderId="0" applyAlignment="1" pivotButton="0" quotePrefix="0" xfId="0">
      <alignment horizontal="general" vertical="bottom"/>
    </xf>
    <xf numFmtId="0" fontId="10" fillId="2" borderId="0" applyAlignment="1" pivotButton="0" quotePrefix="0" xfId="0">
      <alignment horizontal="left" vertical="center"/>
    </xf>
    <xf numFmtId="0" fontId="5" fillId="0" borderId="0" applyAlignment="1" pivotButton="0" quotePrefix="0" xfId="0">
      <alignment horizontal="left" vertical="center"/>
    </xf>
    <xf numFmtId="0" fontId="7" fillId="3" borderId="0" applyAlignment="1" pivotButton="0" quotePrefix="0" xfId="0">
      <alignment horizontal="left" vertical="center"/>
    </xf>
    <xf numFmtId="0" fontId="7" fillId="0" borderId="0" applyAlignment="1" pivotButton="0" quotePrefix="0" xfId="0">
      <alignment horizontal="left" vertical="center"/>
    </xf>
    <xf numFmtId="0" fontId="7" fillId="4" borderId="0" applyAlignment="1" pivotButton="0" quotePrefix="0" xfId="0">
      <alignment horizontal="left" vertical="center"/>
    </xf>
    <xf numFmtId="0" fontId="7" fillId="5" borderId="0" applyAlignment="1" pivotButton="0" quotePrefix="0" xfId="0">
      <alignment horizontal="left" vertical="center"/>
    </xf>
    <xf numFmtId="0" fontId="7" fillId="6" borderId="0" applyAlignment="1" pivotButton="0" quotePrefix="0" xfId="0">
      <alignment horizontal="left" vertical="center"/>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xf>
    <xf numFmtId="0" fontId="5" fillId="0" borderId="1" applyAlignment="1" pivotButton="0" quotePrefix="0" xfId="0">
      <alignment horizontal="center" vertical="bottom"/>
    </xf>
    <xf numFmtId="0" fontId="6" fillId="3" borderId="1" applyAlignment="1" pivotButton="0" quotePrefix="0" xfId="0">
      <alignment horizontal="center" vertical="bottom"/>
    </xf>
    <xf numFmtId="0" fontId="7" fillId="0" borderId="1" applyAlignment="1" pivotButton="0" quotePrefix="0" xfId="0">
      <alignment horizontal="general" vertical="center" wrapText="1"/>
    </xf>
    <xf numFmtId="0" fontId="5" fillId="0" borderId="1" applyAlignment="1" pivotButton="0" quotePrefix="0" xfId="0">
      <alignment horizontal="general" vertical="center" wrapText="1"/>
    </xf>
    <xf numFmtId="0" fontId="8" fillId="0" borderId="1" applyAlignment="1" pivotButton="0" quotePrefix="0" xfId="0">
      <alignment horizontal="general" vertical="center" wrapText="1"/>
    </xf>
    <xf numFmtId="0" fontId="5" fillId="4" borderId="1" applyAlignment="1" pivotButton="0" quotePrefix="0" xfId="0">
      <alignment horizontal="center" vertical="bottom"/>
    </xf>
    <xf numFmtId="0" fontId="5" fillId="5" borderId="1" applyAlignment="1" pivotButton="0" quotePrefix="0" xfId="0">
      <alignment horizontal="center" vertical="bottom"/>
    </xf>
    <xf numFmtId="0" fontId="5" fillId="6" borderId="1" applyAlignment="1" pivotButton="0" quotePrefix="0" xfId="0">
      <alignment horizontal="center" vertical="bottom"/>
    </xf>
    <xf numFmtId="0" fontId="9" fillId="0" borderId="0" applyAlignment="1" pivotButton="0" quotePrefix="0" xfId="0">
      <alignment horizontal="general" vertical="bottom"/>
    </xf>
    <xf numFmtId="0" fontId="10" fillId="2" borderId="0" applyAlignment="1" pivotButton="0" quotePrefix="0" xfId="0">
      <alignment horizontal="left" vertical="bottom"/>
    </xf>
    <xf numFmtId="0" fontId="5" fillId="3" borderId="0" applyAlignment="1" pivotButton="0" quotePrefix="0" xfId="0">
      <alignment horizontal="general" vertical="bottom"/>
    </xf>
    <xf numFmtId="0" fontId="5" fillId="0" borderId="0" applyAlignment="1" pivotButton="0" quotePrefix="0" xfId="0">
      <alignment horizontal="general" vertical="bottom"/>
    </xf>
    <xf numFmtId="0" fontId="5" fillId="4" borderId="0" applyAlignment="1" pivotButton="0" quotePrefix="0" xfId="0">
      <alignment horizontal="general" vertical="bottom"/>
    </xf>
    <xf numFmtId="0" fontId="5" fillId="5" borderId="0" applyAlignment="1" pivotButton="0" quotePrefix="0" xfId="0">
      <alignment horizontal="general" vertical="bottom"/>
    </xf>
    <xf numFmtId="0" fontId="5" fillId="6" borderId="0" applyAlignment="1" pivotButton="0" quotePrefix="0" xfId="0">
      <alignment horizontal="general" vertical="bottom"/>
    </xf>
    <xf numFmtId="0" fontId="7" fillId="0" borderId="0" applyAlignment="1" pivotButton="0" quotePrefix="0" xfId="0">
      <alignment horizontal="general" vertical="bottom"/>
    </xf>
    <xf numFmtId="0" fontId="10" fillId="2" borderId="0" applyAlignment="1" pivotButton="0" quotePrefix="0" xfId="0">
      <alignment horizontal="left" vertical="center"/>
    </xf>
    <xf numFmtId="0" fontId="5" fillId="0" borderId="0" applyAlignment="1" pivotButton="0" quotePrefix="0" xfId="0">
      <alignment horizontal="left" vertical="center"/>
    </xf>
    <xf numFmtId="0" fontId="7" fillId="3" borderId="0" applyAlignment="1" pivotButton="0" quotePrefix="0" xfId="0">
      <alignment horizontal="left" vertical="center"/>
    </xf>
    <xf numFmtId="0" fontId="7" fillId="0" borderId="0" applyAlignment="1" pivotButton="0" quotePrefix="0" xfId="0">
      <alignment horizontal="left" vertical="center"/>
    </xf>
    <xf numFmtId="0" fontId="7" fillId="4" borderId="0" applyAlignment="1" pivotButton="0" quotePrefix="0" xfId="0">
      <alignment horizontal="left" vertical="center"/>
    </xf>
    <xf numFmtId="0" fontId="7" fillId="5" borderId="0" applyAlignment="1" pivotButton="0" quotePrefix="0" xfId="0">
      <alignment horizontal="left" vertical="center"/>
    </xf>
    <xf numFmtId="0" fontId="7" fillId="6" borderId="0" applyAlignment="1" pivotButton="0" quotePrefix="0" xfId="0">
      <alignment horizontal="left" vertical="center"/>
    </xf>
    <xf numFmtId="0" fontId="14" fillId="0" borderId="0" pivotButton="0" quotePrefix="0" xfId="0"/>
    <xf numFmtId="0" fontId="11" fillId="7" borderId="0" applyAlignment="1" pivotButton="0" quotePrefix="0" xfId="0">
      <alignment horizontal="left"/>
    </xf>
    <xf numFmtId="0" fontId="12" fillId="10" borderId="0" pivotButton="0" quotePrefix="0" xfId="0"/>
    <xf numFmtId="0" fontId="12" fillId="0" borderId="0" pivotButton="0" quotePrefix="0" xfId="0"/>
    <xf numFmtId="0" fontId="12" fillId="8" borderId="0" pivotButton="0" quotePrefix="0" xfId="0"/>
    <xf numFmtId="0" fontId="12" fillId="11" borderId="0" pivotButton="0" quotePrefix="0" xfId="0"/>
    <xf numFmtId="0" fontId="12" fillId="9" borderId="0" pivotButton="0" quotePrefix="0" xfId="0"/>
    <xf numFmtId="0" fontId="13" fillId="0" borderId="0" pivotButton="0" quotePrefix="0" xfId="0"/>
    <xf numFmtId="0" fontId="11" fillId="7" borderId="0" applyAlignment="1" pivotButton="0" quotePrefix="0" xfId="0">
      <alignment horizontal="left" vertical="center"/>
    </xf>
    <xf numFmtId="0" fontId="12" fillId="0" borderId="0" applyAlignment="1" pivotButton="0" quotePrefix="0" xfId="0">
      <alignment horizontal="left" vertical="center"/>
    </xf>
    <xf numFmtId="0" fontId="13" fillId="8" borderId="0" applyAlignment="1" pivotButton="0" quotePrefix="0" xfId="0">
      <alignment horizontal="left" vertical="center"/>
    </xf>
    <xf numFmtId="0" fontId="13" fillId="0" borderId="0" applyAlignment="1" pivotButton="0" quotePrefix="0" xfId="0">
      <alignment horizontal="left" vertical="center"/>
    </xf>
    <xf numFmtId="0" fontId="13" fillId="9" borderId="0" applyAlignment="1" pivotButton="0" quotePrefix="0" xfId="0">
      <alignment horizontal="left" vertical="center"/>
    </xf>
    <xf numFmtId="0" fontId="13" fillId="10" borderId="0" applyAlignment="1" pivotButton="0" quotePrefix="0" xfId="0">
      <alignment horizontal="left" vertical="center"/>
    </xf>
    <xf numFmtId="0" fontId="13" fillId="11" borderId="0" applyAlignment="1" pivotButton="0" quotePrefix="0" xfId="0">
      <alignment horizontal="left" vertical="center"/>
    </xf>
    <xf numFmtId="0" fontId="15" fillId="12" borderId="0" applyAlignment="1" pivotButton="0" quotePrefix="0" xfId="0">
      <alignment horizontal="left" vertical="center"/>
    </xf>
    <xf numFmtId="0" fontId="16" fillId="12" borderId="0" applyAlignment="1" pivotButton="0" quotePrefix="0" xfId="0">
      <alignment horizontal="left" vertical="center"/>
    </xf>
    <xf numFmtId="0" fontId="17" fillId="7" borderId="0" applyAlignment="1" pivotButton="0" quotePrefix="0" xfId="0">
      <alignment horizontal="center" vertical="center"/>
    </xf>
    <xf numFmtId="0" fontId="19" fillId="0" borderId="0" applyAlignment="1" pivotButton="0" quotePrefix="0" xfId="0">
      <alignment horizontal="center" vertical="center"/>
    </xf>
    <xf numFmtId="0" fontId="18" fillId="10" borderId="0" applyAlignment="1" pivotButton="0" quotePrefix="0" xfId="0">
      <alignment horizontal="center" vertical="center"/>
    </xf>
    <xf numFmtId="0" fontId="20" fillId="0" borderId="0" applyAlignment="1" pivotButton="0" quotePrefix="0" xfId="0">
      <alignment vertical="top" wrapText="1"/>
    </xf>
    <xf numFmtId="0" fontId="19" fillId="0" borderId="0" applyAlignment="1" pivotButton="0" quotePrefix="0" xfId="0">
      <alignment vertical="top" wrapText="1"/>
    </xf>
    <xf numFmtId="0" fontId="21" fillId="0" borderId="0" applyAlignment="1" pivotButton="0" quotePrefix="0" xfId="0">
      <alignment vertical="top" wrapText="1"/>
    </xf>
    <xf numFmtId="0" fontId="18" fillId="8" borderId="0" applyAlignment="1" pivotButton="0" quotePrefix="0" xfId="0">
      <alignment horizontal="center" vertical="center"/>
    </xf>
    <xf numFmtId="0" fontId="18" fillId="11" borderId="0" applyAlignment="1" pivotButton="0" quotePrefix="0" xfId="0">
      <alignment horizontal="center" vertical="center"/>
    </xf>
    <xf numFmtId="0" fontId="18" fillId="9" borderId="0" applyAlignment="1" pivotButton="0" quotePrefix="0" xfId="0">
      <alignment horizontal="center" vertical="center"/>
    </xf>
    <xf numFmtId="0" fontId="22" fillId="12" borderId="0" applyAlignment="1" pivotButton="0" quotePrefix="0" xfId="0">
      <alignment horizontal="center" vertical="center"/>
    </xf>
    <xf numFmtId="0" fontId="23" fillId="13" borderId="0" applyAlignment="1" pivotButton="0" quotePrefix="0" xfId="0">
      <alignment horizontal="center" vertical="center" wrapText="1"/>
    </xf>
    <xf numFmtId="0" fontId="24" fillId="0" borderId="0" applyAlignment="1" pivotButton="0" quotePrefix="0" xfId="0">
      <alignment vertical="top" wrapText="1"/>
    </xf>
    <xf numFmtId="0" fontId="19" fillId="14" borderId="0" applyAlignment="1" pivotButton="0" quotePrefix="0" xfId="0">
      <alignment horizontal="center" vertical="center" wrapText="1"/>
    </xf>
    <xf numFmtId="0" fontId="19" fillId="15" borderId="0" applyAlignment="1" pivotButton="0" quotePrefix="0" xfId="0">
      <alignment horizontal="center" vertical="center" wrapText="1"/>
    </xf>
    <xf numFmtId="0" fontId="19" fillId="16" borderId="0" applyAlignment="1" pivotButton="0" quotePrefix="0" xfId="0">
      <alignment horizontal="center" vertical="center" wrapText="1"/>
    </xf>
    <xf numFmtId="0" fontId="25" fillId="7" borderId="0" applyAlignment="1" pivotButton="0" quotePrefix="0" xfId="0">
      <alignment horizontal="center" vertical="center"/>
    </xf>
    <xf numFmtId="0" fontId="26" fillId="0" borderId="0" applyAlignment="1" pivotButton="0" quotePrefix="0" xfId="0">
      <alignment vertical="center"/>
    </xf>
    <xf numFmtId="0" fontId="26" fillId="10" borderId="0" applyAlignment="1" pivotButton="0" quotePrefix="0" xfId="0">
      <alignment vertical="center"/>
    </xf>
    <xf numFmtId="0" fontId="27" fillId="0" borderId="0" applyAlignment="1" pivotButton="0" quotePrefix="0" xfId="0">
      <alignment vertical="center"/>
    </xf>
    <xf numFmtId="0" fontId="26" fillId="0" borderId="0" applyAlignment="1" pivotButton="0" quotePrefix="0" xfId="0">
      <alignment vertical="center" wrapText="1"/>
    </xf>
    <xf numFmtId="0" fontId="26" fillId="11" borderId="0" applyAlignment="1" pivotButton="0" quotePrefix="0" xfId="0">
      <alignment vertical="center"/>
    </xf>
    <xf numFmtId="0" fontId="26" fillId="9" borderId="0" applyAlignment="1" pivotButton="0" quotePrefix="0" xfId="0">
      <alignment vertical="center"/>
    </xf>
    <xf numFmtId="0" fontId="28" fillId="7" borderId="0" applyAlignment="1" pivotButton="0" quotePrefix="0" xfId="0">
      <alignment horizontal="center" vertical="center" wrapText="1"/>
    </xf>
    <xf numFmtId="0" fontId="0" fillId="0" borderId="0" applyAlignment="1" pivotButton="0" quotePrefix="0" xfId="0">
      <alignment vertical="center"/>
    </xf>
    <xf numFmtId="0" fontId="29" fillId="10" borderId="0" applyAlignment="1" pivotButton="0" quotePrefix="0" xfId="0">
      <alignment vertical="center"/>
    </xf>
    <xf numFmtId="0" fontId="29" fillId="0" borderId="0" applyAlignment="1" pivotButton="0" quotePrefix="0" xfId="0">
      <alignment vertical="center" wrapText="1"/>
    </xf>
    <xf numFmtId="0" fontId="0" fillId="0" borderId="0" applyAlignment="1" pivotButton="0" quotePrefix="0" xfId="0">
      <alignment vertical="center" wrapText="1"/>
    </xf>
    <xf numFmtId="0" fontId="29" fillId="11" borderId="0" applyAlignment="1" pivotButton="0" quotePrefix="0" xfId="0">
      <alignment vertical="center"/>
    </xf>
    <xf numFmtId="0" fontId="29" fillId="9" borderId="0" applyAlignment="1" pivotButton="0" quotePrefix="0" xfId="0">
      <alignment vertical="center"/>
    </xf>
    <xf numFmtId="0" fontId="28" fillId="7" borderId="0" applyAlignment="1" pivotButton="0" quotePrefix="0" xfId="0">
      <alignment horizontal="center" vertical="center"/>
    </xf>
    <xf numFmtId="0" fontId="29" fillId="10" borderId="0" applyAlignment="1" pivotButton="0" quotePrefix="0" xfId="0">
      <alignment horizontal="center"/>
    </xf>
    <xf numFmtId="0" fontId="29" fillId="0" borderId="0" pivotButton="0" quotePrefix="0" xfId="0"/>
    <xf numFmtId="0" fontId="29" fillId="11" borderId="0" applyAlignment="1" pivotButton="0" quotePrefix="0" xfId="0">
      <alignment horizontal="center"/>
    </xf>
    <xf numFmtId="0" fontId="29" fillId="9" borderId="0" applyAlignment="1" pivotButton="0" quotePrefix="0" xfId="0">
      <alignment horizontal="center"/>
    </xf>
    <xf numFmtId="0" fontId="28" fillId="17" borderId="0" applyAlignment="1" pivotButton="0" quotePrefix="0" xfId="0">
      <alignment horizontal="left" vertical="center"/>
    </xf>
    <xf numFmtId="0" fontId="4" fillId="2" borderId="0" applyAlignment="1" pivotButton="0" quotePrefix="0" xfId="0">
      <alignment horizontal="center" vertical="center"/>
    </xf>
    <xf numFmtId="0" fontId="15" fillId="18" borderId="0" applyAlignment="1" pivotButton="0" quotePrefix="0" xfId="0">
      <alignment horizontal="center" vertical="center" wrapText="1"/>
    </xf>
    <xf numFmtId="0" fontId="0" fillId="0" borderId="0" applyAlignment="1" pivotButton="0" quotePrefix="0" xfId="0">
      <alignment vertical="top" wrapText="1"/>
    </xf>
    <xf numFmtId="0" fontId="30" fillId="0" borderId="0" pivotButton="0" quotePrefix="0" xfId="0"/>
    <xf numFmtId="0" fontId="31" fillId="0" borderId="0" pivotButton="0" quotePrefix="0" xfId="0"/>
    <xf numFmtId="0" fontId="32" fillId="0" borderId="0" pivotButton="0" quotePrefix="0" xfId="0"/>
    <xf numFmtId="0" fontId="28" fillId="7" borderId="2" applyAlignment="1" pivotButton="0" quotePrefix="0" xfId="0">
      <alignment horizontal="center" vertical="center"/>
    </xf>
    <xf numFmtId="0" fontId="0" fillId="0" borderId="2" pivotButton="0" quotePrefix="0" xfId="0"/>
    <xf numFmtId="0" fontId="0" fillId="0" borderId="2" applyAlignment="1" pivotButton="0" quotePrefix="0" xfId="0">
      <alignment horizontal="center"/>
    </xf>
    <xf numFmtId="0" fontId="29" fillId="0" borderId="2" pivotButton="0" quotePrefix="0" xfId="0"/>
    <xf numFmtId="0" fontId="29" fillId="0" borderId="2" applyAlignment="1" pivotButton="0" quotePrefix="0" xfId="0">
      <alignment horizontal="center"/>
    </xf>
    <xf numFmtId="0" fontId="28" fillId="7" borderId="0" applyAlignment="1" pivotButton="0" quotePrefix="0" xfId="0">
      <alignment horizontal="left" vertical="center"/>
    </xf>
    <xf numFmtId="0" fontId="26" fillId="0" borderId="0" applyAlignment="1" pivotButton="0" quotePrefix="0" xfId="0">
      <alignment vertical="center"/>
    </xf>
    <xf numFmtId="0" fontId="26" fillId="19" borderId="0" applyAlignment="1" pivotButton="0" quotePrefix="0" xfId="0">
      <alignment vertical="center"/>
    </xf>
    <xf numFmtId="0" fontId="27" fillId="0" borderId="0" applyAlignment="1" pivotButton="0" quotePrefix="0" xfId="0">
      <alignment vertical="center"/>
    </xf>
    <xf numFmtId="0" fontId="26" fillId="0" borderId="0" applyAlignment="1" pivotButton="0" quotePrefix="0" xfId="0">
      <alignment vertical="top" wrapText="1"/>
    </xf>
    <xf numFmtId="0" fontId="0" fillId="0" borderId="0" applyAlignment="1" pivotButton="0" quotePrefix="0" xfId="0">
      <alignment vertical="center"/>
    </xf>
    <xf numFmtId="0" fontId="33" fillId="0" borderId="0" applyAlignment="1" pivotButton="0" quotePrefix="0" xfId="0">
      <alignment vertical="center"/>
    </xf>
    <xf numFmtId="0" fontId="26" fillId="20" borderId="0" applyAlignment="1" pivotButton="0" quotePrefix="0" xfId="0">
      <alignment vertical="center"/>
    </xf>
    <xf numFmtId="0" fontId="26" fillId="21" borderId="0" applyAlignment="1" pivotButton="0" quotePrefix="0" xfId="0">
      <alignment vertical="center"/>
    </xf>
    <xf numFmtId="0" fontId="26" fillId="22" borderId="0" applyAlignment="1" pivotButton="0" quotePrefix="0" xfId="0">
      <alignment vertical="center"/>
    </xf>
    <xf numFmtId="0" fontId="0" fillId="21" borderId="0" applyAlignment="1" pivotButton="0" quotePrefix="0" xfId="0">
      <alignment vertical="center"/>
    </xf>
    <xf numFmtId="0" fontId="0" fillId="22" borderId="0" applyAlignment="1" pivotButton="0" quotePrefix="0" xfId="0">
      <alignment vertical="center"/>
    </xf>
    <xf numFmtId="0" fontId="29" fillId="19" borderId="0" applyAlignment="1" pivotButton="0" quotePrefix="0" xfId="0">
      <alignment vertical="center"/>
    </xf>
    <xf numFmtId="0" fontId="29" fillId="0" borderId="0" applyAlignment="1" pivotButton="0" quotePrefix="0" xfId="0">
      <alignment vertical="center"/>
    </xf>
    <xf numFmtId="0" fontId="29" fillId="20" borderId="0" applyAlignment="1" pivotButton="0" quotePrefix="0" xfId="0">
      <alignment vertical="center"/>
    </xf>
    <xf numFmtId="0" fontId="29" fillId="21" borderId="0" applyAlignment="1" pivotButton="0" quotePrefix="0" xfId="0">
      <alignment vertical="center"/>
    </xf>
    <xf numFmtId="0" fontId="29" fillId="22" borderId="0" applyAlignment="1" pivotButton="0" quotePrefix="0" xfId="0">
      <alignment vertical="center"/>
    </xf>
    <xf numFmtId="0" fontId="0" fillId="19" borderId="0" applyAlignment="1" pivotButton="0" quotePrefix="0" xfId="0">
      <alignment vertical="center"/>
    </xf>
    <xf numFmtId="0" fontId="0" fillId="20" borderId="0" applyAlignment="1" pivotButton="0" quotePrefix="0" xfId="0">
      <alignment vertical="center"/>
    </xf>
    <xf numFmtId="0" fontId="19" fillId="0" borderId="0" applyAlignment="1" pivotButton="0" quotePrefix="0" xfId="0">
      <alignment vertical="center"/>
    </xf>
    <xf numFmtId="0" fontId="23" fillId="19" borderId="0" applyAlignment="1" pivotButton="0" quotePrefix="0" xfId="0">
      <alignment vertical="center"/>
    </xf>
    <xf numFmtId="0" fontId="20" fillId="0" borderId="0" applyAlignment="1" pivotButton="0" quotePrefix="0" xfId="0">
      <alignment vertical="center"/>
    </xf>
    <xf numFmtId="0" fontId="19" fillId="20" borderId="0" applyAlignment="1" pivotButton="0" quotePrefix="0" xfId="0">
      <alignment vertical="center"/>
    </xf>
    <xf numFmtId="0" fontId="19" fillId="21" borderId="0" applyAlignment="1" pivotButton="0" quotePrefix="0" xfId="0">
      <alignment vertical="center"/>
    </xf>
    <xf numFmtId="0" fontId="19" fillId="22" borderId="0" applyAlignment="1" pivotButton="0" quotePrefix="0" xfId="0">
      <alignment vertical="center"/>
    </xf>
    <xf numFmtId="0" fontId="24" fillId="0" borderId="0" applyAlignment="1" pivotButton="0" quotePrefix="0" xfId="0">
      <alignment vertical="center"/>
    </xf>
    <xf numFmtId="0" fontId="28" fillId="7" borderId="1" applyAlignment="1" pivotButton="0" quotePrefix="0" xfId="0">
      <alignment horizontal="left" vertical="center"/>
    </xf>
    <xf numFmtId="0" fontId="5" fillId="0" borderId="1" applyAlignment="1" pivotButton="0" quotePrefix="0" xfId="0">
      <alignment vertical="center"/>
    </xf>
    <xf numFmtId="0" fontId="6" fillId="19" borderId="1" applyAlignment="1" pivotButton="0" quotePrefix="0" xfId="0">
      <alignment vertical="center"/>
    </xf>
    <xf numFmtId="0" fontId="7" fillId="0" borderId="1" applyAlignment="1" pivotButton="0" quotePrefix="0" xfId="0">
      <alignment vertical="center"/>
    </xf>
    <xf numFmtId="0" fontId="5" fillId="0" borderId="1" applyAlignment="1" pivotButton="0" quotePrefix="0" xfId="0">
      <alignment vertical="top" wrapText="1"/>
    </xf>
    <xf numFmtId="0" fontId="33" fillId="0" borderId="1" applyAlignment="1" pivotButton="0" quotePrefix="0" xfId="0">
      <alignment vertical="center"/>
    </xf>
    <xf numFmtId="0" fontId="5" fillId="20" borderId="1" applyAlignment="1" pivotButton="0" quotePrefix="0" xfId="0">
      <alignment vertical="center"/>
    </xf>
    <xf numFmtId="0" fontId="5" fillId="21" borderId="1" applyAlignment="1" pivotButton="0" quotePrefix="0" xfId="0">
      <alignment vertical="center"/>
    </xf>
    <xf numFmtId="0" fontId="8" fillId="0" borderId="1" applyAlignment="1" pivotButton="0" quotePrefix="0" xfId="0">
      <alignment vertical="center"/>
    </xf>
    <xf numFmtId="0" fontId="5" fillId="22" borderId="1" applyAlignment="1" pivotButton="0" quotePrefix="0" xfId="0">
      <alignment vertical="center"/>
    </xf>
    <xf numFmtId="0" fontId="0" fillId="23" borderId="0" applyAlignment="1" pivotButton="0" quotePrefix="0" xfId="0">
      <alignment vertical="center"/>
    </xf>
    <xf numFmtId="0" fontId="29" fillId="10" borderId="0" pivotButton="0" quotePrefix="0" xfId="0"/>
    <xf numFmtId="0" fontId="0" fillId="19" borderId="0" pivotButton="0" quotePrefix="0" xfId="0"/>
    <xf numFmtId="0" fontId="0" fillId="20" borderId="0" pivotButton="0" quotePrefix="0" xfId="0"/>
    <xf numFmtId="0" fontId="0" fillId="21" borderId="0" pivotButton="0" quotePrefix="0" xfId="0"/>
    <xf numFmtId="0" fontId="0" fillId="22" borderId="0" pivotButton="0" quotePrefix="0" xfId="0"/>
    <xf numFmtId="0" fontId="0" fillId="24" borderId="0" pivotButton="0" quotePrefix="0" xfId="0"/>
    <xf numFmtId="0" fontId="0" fillId="25" borderId="0" pivotButton="0" quotePrefix="0" xfId="0"/>
    <xf numFmtId="0" fontId="0" fillId="26" borderId="0" pivotButton="0" quotePrefix="0" xfId="0"/>
    <xf numFmtId="0" fontId="0" fillId="27" borderId="0" pivotButton="0" quotePrefix="0" xfId="0"/>
    <xf numFmtId="0" fontId="29" fillId="19" borderId="0" pivotButton="0" quotePrefix="0" xfId="0"/>
    <xf numFmtId="0" fontId="34" fillId="20" borderId="0" pivotButton="0" quotePrefix="0" xfId="0"/>
    <xf numFmtId="0" fontId="34" fillId="21" borderId="0" pivotButton="0" quotePrefix="0" xfId="0"/>
    <xf numFmtId="0" fontId="34" fillId="22" borderId="0" pivotButton="0" quotePrefix="0" xfId="0"/>
    <xf numFmtId="0" fontId="29" fillId="20" borderId="0" pivotButton="0" quotePrefix="0" xfId="0"/>
    <xf numFmtId="0" fontId="29" fillId="21" borderId="0" pivotButton="0" quotePrefix="0" xfId="0"/>
    <xf numFmtId="0" fontId="29" fillId="22" borderId="0" pivotButton="0" quotePrefix="0" xfId="0"/>
    <xf numFmtId="0" fontId="7" fillId="0" borderId="0" pivotButton="0" quotePrefix="0" xfId="0"/>
    <xf numFmtId="0" fontId="26" fillId="0" borderId="0" applyAlignment="1" pivotButton="0" quotePrefix="0" xfId="0">
      <alignment vertical="top"/>
    </xf>
    <xf numFmtId="0" fontId="26" fillId="19" borderId="0" applyAlignment="1" pivotButton="0" quotePrefix="0" xfId="0">
      <alignment vertical="top"/>
    </xf>
    <xf numFmtId="0" fontId="26" fillId="20" borderId="0" applyAlignment="1" pivotButton="0" quotePrefix="0" xfId="0">
      <alignment vertical="top"/>
    </xf>
    <xf numFmtId="0" fontId="26" fillId="21" borderId="0" applyAlignment="1" pivotButton="0" quotePrefix="0" xfId="0">
      <alignment vertical="top"/>
    </xf>
    <xf numFmtId="0" fontId="26" fillId="22" borderId="0" applyAlignment="1" pivotButton="0" quotePrefix="0" xfId="0">
      <alignment vertical="top"/>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9">
    <dxf>
      <fill>
        <patternFill patternType="solid">
          <fgColor rgb="FF1A1A2E"/>
          <bgColor rgb="FF000000"/>
        </patternFill>
      </fill>
    </dxf>
    <dxf>
      <fill>
        <patternFill patternType="solid">
          <bgColor rgb="FF000000"/>
        </patternFill>
      </fill>
    </dxf>
    <dxf>
      <fill>
        <patternFill patternType="solid">
          <fgColor rgb="FFFFFFFF"/>
          <bgColor rgb="FF000000"/>
        </patternFill>
      </fill>
    </dxf>
    <dxf>
      <fill>
        <patternFill patternType="solid">
          <fgColor rgb="FFE8E8E8"/>
          <bgColor rgb="FF000000"/>
        </patternFill>
      </fill>
    </dxf>
    <dxf>
      <fill>
        <patternFill patternType="solid">
          <fgColor rgb="FFF5E6D3"/>
          <bgColor rgb="FF000000"/>
        </patternFill>
      </fill>
    </dxf>
    <dxf>
      <fill>
        <patternFill patternType="solid">
          <fgColor rgb="FFFFD700"/>
          <bgColor rgb="FF000000"/>
        </patternFill>
      </fill>
    </dxf>
    <dxf>
      <fill>
        <patternFill patternType="solid">
          <fgColor rgb="FFFFF3CD"/>
          <bgColor rgb="FF000000"/>
        </patternFill>
      </fill>
    </dxf>
    <dxf>
      <fill>
        <patternFill patternType="solid">
          <fgColor rgb="FF000000"/>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3CD"/>
      <rgbColor rgb="FFE8E8E8"/>
      <rgbColor rgb="FF660066"/>
      <rgbColor rgb="FFFF8080"/>
      <rgbColor rgb="FF0563C1"/>
      <rgbColor rgb="FFD0D0D0"/>
      <rgbColor rgb="FF000080"/>
      <rgbColor rgb="FFFF00FF"/>
      <rgbColor rgb="FFFFFF00"/>
      <rgbColor rgb="FF00FFFF"/>
      <rgbColor rgb="FF800080"/>
      <rgbColor rgb="FF800000"/>
      <rgbColor rgb="FF008080"/>
      <rgbColor rgb="FF0000FF"/>
      <rgbColor rgb="FF00CCFF"/>
      <rgbColor rgb="FFCCFFFF"/>
      <rgbColor rgb="FFCCFFCC"/>
      <rgbColor rgb="FFF5E6D3"/>
      <rgbColor rgb="FF99CCFF"/>
      <rgbColor rgb="FFFF99CC"/>
      <rgbColor rgb="FFCC99FF"/>
      <rgbColor rgb="FFFFCC99"/>
      <rgbColor rgb="FF3366FF"/>
      <rgbColor rgb="FF33CCCC"/>
      <rgbColor rgb="FF99CC00"/>
      <rgbColor rgb="FFFFD700"/>
      <rgbColor rgb="FFFF9900"/>
      <rgbColor rgb="FFFF6600"/>
      <rgbColor rgb="FF666699"/>
      <rgbColor rgb="FF969696"/>
      <rgbColor rgb="FF003366"/>
      <rgbColor rgb="FF339966"/>
      <rgbColor rgb="FF003300"/>
      <rgbColor rgb="FF333300"/>
      <rgbColor rgb="FF993300"/>
      <rgbColor rgb="FF993366"/>
      <rgbColor rgb="FF333399"/>
      <rgbColor rgb="FF1A1A2E"/>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Relationships xmlns="http://schemas.openxmlformats.org/package/2006/relationships"><Relationship Type="http://schemas.openxmlformats.org/officeDocument/2006/relationships/hyperlink" Target="https://www.lovethework.com/work/entries/one-second-ads-741948" TargetMode="External" Id="rId1"/><Relationship Type="http://schemas.openxmlformats.org/officeDocument/2006/relationships/hyperlink" Target="https://www.lovethework.com/work/entries/name-this-oreo-741853" TargetMode="External" Id="rId2"/><Relationship Type="http://schemas.openxmlformats.org/officeDocument/2006/relationships/hyperlink" Target="https://www.lovethework.com/work/entries/one-second-ads-741888" TargetMode="External" Id="rId3"/><Relationship Type="http://schemas.openxmlformats.org/officeDocument/2006/relationships/hyperlink" Target="https://www.lovethework.com/work/entries/the-second-release-742149" TargetMode="External" Id="rId4"/><Relationship Type="http://schemas.openxmlformats.org/officeDocument/2006/relationships/hyperlink" Target="https://www.lovethework.com/work/entries/name-this-oreo-741778" TargetMode="External" Id="rId5"/><Relationship Type="http://schemas.openxmlformats.org/officeDocument/2006/relationships/hyperlink" Target="https://www.lovethework.com/work/entries/fishermen-storytellers-764514" TargetMode="External" Id="rId6"/><Relationship Type="http://schemas.openxmlformats.org/officeDocument/2006/relationships/hyperlink" Target="https://ascentialcdn.filespin.io/api/v1/storyboard/846afe3e468240929823119e42cf3b99/storyboard_000008.jpg" TargetMode="External" Id="rId7"/><Relationship Type="http://schemas.openxmlformats.org/officeDocument/2006/relationships/hyperlink" Target="https://www.lovethework.com/work/entries/1-high-energy-intern-762404" TargetMode="External" Id="rId8"/><Relationship Type="http://schemas.openxmlformats.org/officeDocument/2006/relationships/hyperlink" Target="https://www.lovethework.com/work/entries/chill-enough-762433" TargetMode="External" Id="rId9"/><Relationship Type="http://schemas.openxmlformats.org/officeDocument/2006/relationships/hyperlink" Target="https://www.lovethework.com/work/entries/burger-to-king-763482" TargetMode="External" Id="rId10"/><Relationship Type="http://schemas.openxmlformats.org/officeDocument/2006/relationships/hyperlink" Target="https://www.lovethework.com/work/entries/the-second-release-742142" TargetMode="External" Id="rId11"/><Relationship Type="http://schemas.openxmlformats.org/officeDocument/2006/relationships/hyperlink" Target="https://ascentialcdn.filespin.io/api/v1/conversion/2c4c0601d34e42cf931304cf072f6fa8" TargetMode="External" Id="rId12"/><Relationship Type="http://schemas.openxmlformats.org/officeDocument/2006/relationships/hyperlink" Target="https://www.lovethework.com/work/entries/from-hurt-to-hit-742107" TargetMode="External" Id="rId13"/><Relationship Type="http://schemas.openxmlformats.org/officeDocument/2006/relationships/hyperlink" Target="https://ascentialcdn.filespin.io/api/v1/conversion/a6ac5c5dd4fc4487966ae01ac52f95ff" TargetMode="External" Id="rId14"/><Relationship Type="http://schemas.openxmlformats.org/officeDocument/2006/relationships/hyperlink" Target="https://www.lovethework.com/work/entries/me-feat-me-742031" TargetMode="External" Id="rId15"/><Relationship Type="http://schemas.openxmlformats.org/officeDocument/2006/relationships/hyperlink" Target="https://ascentialcdn.filespin.io/api/v1/conversion/4e75651ba0a54a7fbba80de2e2684670" TargetMode="External" Id="rId16"/><Relationship Type="http://schemas.openxmlformats.org/officeDocument/2006/relationships/hyperlink" Target="https://www.lovethework.com/work/entries/the-future-fan-stage-741957" TargetMode="External" Id="rId17"/><Relationship Type="http://schemas.openxmlformats.org/officeDocument/2006/relationships/hyperlink" Target="https://www.lovethework.com/work/entries/roobadge-741761" TargetMode="External" Id="rId18"/><Relationship Type="http://schemas.openxmlformats.org/officeDocument/2006/relationships/hyperlink" Target="https://www.lovethework.com/work/entries/the-sound-of-divorce-764375" TargetMode="External" Id="rId19"/><Relationship Type="http://schemas.openxmlformats.org/officeDocument/2006/relationships/hyperlink" Target="https://www.lovethework.com/work/entries/megan-thee-741954" TargetMode="External" Id="rId20"/><Relationship Type="http://schemas.openxmlformats.org/officeDocument/2006/relationships/hyperlink" Target="https://ascentialcdn.filespin.io/api/v1/conversion/a6ac5c5dd4fc4487966ae01ac52f95ff" TargetMode="External" Id="rId21"/><Relationship Type="http://schemas.openxmlformats.org/officeDocument/2006/relationships/hyperlink" Target="https://www.lovethework.com/work/entries/me-feat-me-741958" TargetMode="External" Id="rId22"/><Relationship Type="http://schemas.openxmlformats.org/officeDocument/2006/relationships/hyperlink" Target="https://ascentialcdn.filespin.io/api/v1/storyboard/0bca684772274dd9a6e2c0c6cd401876/storyboard_000008.jpg" TargetMode="External" Id="rId23"/><Relationship Type="http://schemas.openxmlformats.org/officeDocument/2006/relationships/hyperlink" Target="https://www.lovethework.com/work/entries/whats-gucci-741935" TargetMode="External" Id="rId24"/><Relationship Type="http://schemas.openxmlformats.org/officeDocument/2006/relationships/hyperlink" Target="https://www.lovethework.com/work/entries/harmoniser-742056" TargetMode="External" Id="rId25"/><Relationship Type="http://schemas.openxmlformats.org/officeDocument/2006/relationships/hyperlink" Target="https://ascentialcdn.filespin.io/api/v1/conversion/0b397234b3d74a5aa798ad871042c23c" TargetMode="External" Id="rId26"/><Relationship Type="http://schemas.openxmlformats.org/officeDocument/2006/relationships/hyperlink" Target="https://www.lovethework.com/work/entries/football-lover-fm-741973" TargetMode="External" Id="rId27"/><Relationship Type="http://schemas.openxmlformats.org/officeDocument/2006/relationships/hyperlink" Target="https://www.lovethework.com/work/entries/sounds-right-759882" TargetMode="External" Id="rId28"/><Relationship Type="http://schemas.openxmlformats.org/officeDocument/2006/relationships/hyperlink" Target="https://ascentialcdn.filespin.io/api/v1/storyboard/846afe3e468240929823119e42cf3b99/storyboard_000008.jpg" TargetMode="External" Id="rId29"/><Relationship Type="http://schemas.openxmlformats.org/officeDocument/2006/relationships/hyperlink" Target="https://ascentialcdn.filespin.io/api/v1/storyboard/846afe3e468240929823119e42cf3b99/storyboard_000008.jpg" TargetMode="External" Id="rId30"/><Relationship Type="http://schemas.openxmlformats.org/officeDocument/2006/relationships/hyperlink" Target="https://ascentialcdn.filespin.io/api/v1/storyboard/0bca684772274dd9a6e2c0c6cd401876/storyboard_000008.jpg" TargetMode="External" Id="rId31"/><Relationship Type="http://schemas.openxmlformats.org/officeDocument/2006/relationships/hyperlink" Target="https://ascentialcdn.filespin.io/api/v1/storyboard/0bca684772274dd9a6e2c0c6cd401876/storyboard_000008.jpg" TargetMode="External" Id="rId32"/><Relationship Type="http://schemas.openxmlformats.org/officeDocument/2006/relationships/hyperlink" Target="https://ascentialcdn.filespin.io/api/v1/conversion/6d4d0b7e5bcc4ec58a29958dcba0a0c2" TargetMode="External" Id="rId33"/><Relationship Type="http://schemas.openxmlformats.org/officeDocument/2006/relationships/hyperlink" Target="https://www.lovethework.com/work/entries/coqu-alarmed-780472" TargetMode="External" Id="rId34"/><Relationship Type="http://schemas.openxmlformats.org/officeDocument/2006/relationships/hyperlink" Target="https://ascentialcdn.filespin.io/api/v1/conversion/29d5e6beff5343f4a75840aacad3165f" TargetMode="External" Id="rId35"/><Relationship Type="http://schemas.openxmlformats.org/officeDocument/2006/relationships/hyperlink" Target="https://www.lovethework.com/work/entries/sleep-talk-reviews-780352" TargetMode="External" Id="rId36"/><Relationship Type="http://schemas.openxmlformats.org/officeDocument/2006/relationships/hyperlink" Target="https://ascentialcdn.filespin.io/api/v1/conversion/5b453c1cca9944e59a8d6df49dabd9f2" TargetMode="External" Id="rId37"/><Relationship Type="http://schemas.openxmlformats.org/officeDocument/2006/relationships/hyperlink" Target="https://www.lovethework.com/work/entries/searching-for-birds-on-wires-780318" TargetMode="External" Id="rId38"/><Relationship Type="http://schemas.openxmlformats.org/officeDocument/2006/relationships/hyperlink" Target="https://ascentialcdn.filespin.io/api/v1/conversion/e5b4c80d95974dff83d0dba8bc80f740" TargetMode="External" Id="rId39"/><Relationship Type="http://schemas.openxmlformats.org/officeDocument/2006/relationships/hyperlink" Target="https://www.lovethework.com/work/entries/a-mothers-commentary-780310" TargetMode="External" Id="rId40"/><Relationship Type="http://schemas.openxmlformats.org/officeDocument/2006/relationships/hyperlink" Target="https://ascentialcdn.filespin.io/api/v1/conversion/c8ed916715884400910e742f565dc00e" TargetMode="External" Id="rId41"/><Relationship Type="http://schemas.openxmlformats.org/officeDocument/2006/relationships/hyperlink" Target="https://www.lovethework.com/work/entries/the-unofficial-official-sound-of-f1-774255" TargetMode="External" Id="rId42"/><Relationship Type="http://schemas.openxmlformats.org/officeDocument/2006/relationships/hyperlink" Target="https://ascentialcdn.filespin.io/api/v1/conversion/325cbd01df444a49a6a09ac2bc5dd3fa" TargetMode="External" Id="rId43"/><Relationship Type="http://schemas.openxmlformats.org/officeDocument/2006/relationships/hyperlink" Target="https://www.lovethework.com/work/entries/could-have-been-a-heineken-780519" TargetMode="External" Id="rId44"/><Relationship Type="http://schemas.openxmlformats.org/officeDocument/2006/relationships/hyperlink" Target="https://ascentialcdn.filespin.io/api/v1/conversion/7b5cd9b3d33e45f7a2d41fc540a4f415" TargetMode="External" Id="rId45"/><Relationship Type="http://schemas.openxmlformats.org/officeDocument/2006/relationships/hyperlink" Target="https://www.lovethework.com/work/entries/doorbell-ads-780499" TargetMode="External" Id="rId46"/><Relationship Type="http://schemas.openxmlformats.org/officeDocument/2006/relationships/hyperlink" Target="https://www.brandinginasia.com/wp-content/uploads/2026/05/Yangzhou-Qiao-Bei-Musical-Suite_board-copy.webp" TargetMode="External" Id="rId47"/><Relationship Type="http://schemas.openxmlformats.org/officeDocument/2006/relationships/hyperlink" Target="https://www.lovethework.com/work/entries/the-yangzhou-qiao-bei-musical-suite-778657" TargetMode="External" Id="rId48"/><Relationship Type="http://schemas.openxmlformats.org/officeDocument/2006/relationships/hyperlink" Target="https://ascentialcdn.filespin.io/api/v1/storyboard/c7cf1f5ea3f34025b77681df2859e5bc/storyboard_000008.jpg" TargetMode="External" Id="rId49"/><Relationship Type="http://schemas.openxmlformats.org/officeDocument/2006/relationships/hyperlink" Target="https://www.lovethework.com/work/entries/played-by-humans-774278" TargetMode="External" Id="rId50"/><Relationship Type="http://schemas.openxmlformats.org/officeDocument/2006/relationships/hyperlink" Target="https://ascentialcdn.filespin.io/api/v1/storyboard/3e5b42d9dfa54b8da6f479b1e9630e4e/storyboard_000008.jpg" TargetMode="External" Id="rId51"/><Relationship Type="http://schemas.openxmlformats.org/officeDocument/2006/relationships/hyperlink" Target="https://www.lovethework.com/work/entries/healing-era-780405" TargetMode="External" Id="rId52"/><Relationship Type="http://schemas.openxmlformats.org/officeDocument/2006/relationships/hyperlink" Target="https://ascentialcdn.filespin.io/api/v1/storyboard/3ea2629528df4e4a87566afecb98c392/storyboard_000008.jpg" TargetMode="External" Id="rId53"/><Relationship Type="http://schemas.openxmlformats.org/officeDocument/2006/relationships/hyperlink" Target="https://www.lovethework.com/work/entries/the-hustle-780321" TargetMode="External" Id="rId54"/><Relationship Type="http://schemas.openxmlformats.org/officeDocument/2006/relationships/hyperlink" Target="https://ascentialcdn.filespin.io/api/v1/storyboard/fdf7d8da65e240369ca734caac94542b/storyboard_000008.jpg" TargetMode="External" Id="rId55"/><Relationship Type="http://schemas.openxmlformats.org/officeDocument/2006/relationships/hyperlink" Target="https://www.lovethework.com/work/entries/delulu-is-the-solulu-780328" TargetMode="External" Id="rId56"/><Relationship Type="http://schemas.openxmlformats.org/officeDocument/2006/relationships/hyperlink" Target="https://ascentialcdn.filespin.io/api/v1/storyboard/9e9b35e75d7140d1978a2f2ce351cf91/storyboard_000008.jpg" TargetMode="External" Id="rId57"/><Relationship Type="http://schemas.openxmlformats.org/officeDocument/2006/relationships/hyperlink" Target="https://www.lovethework.com/work/entries/beat-cancer-off-780427" TargetMode="External" Id="rId58"/><Relationship Type="http://schemas.openxmlformats.org/officeDocument/2006/relationships/hyperlink" Target="https://ascentialcdn.filespin.io/api/v1/conversion/c52453f70e304026beb89abb000c4d0d" TargetMode="External" Id="rId59"/><Relationship Type="http://schemas.openxmlformats.org/officeDocument/2006/relationships/hyperlink" Target="https://www.lovethework.com/work/entries/ads-in-my-phone-call-780461" TargetMode="External" Id="rId60"/><Relationship Type="http://schemas.openxmlformats.org/officeDocument/2006/relationships/hyperlink" Target="https://ascentialcdn.filespin.io/api/v1/conversion/3bd16cb8bf3e4457931fa9fb0f229dc5" TargetMode="External" Id="rId61"/><Relationship Type="http://schemas.openxmlformats.org/officeDocument/2006/relationships/hyperlink" Target="https://www.lovethework.com/work/entries/duobell-780466" TargetMode="External" Id="rId62"/><Relationship Type="http://schemas.openxmlformats.org/officeDocument/2006/relationships/hyperlink" Target="https://ascentialcdn.filespin.io/api/v1/conversion/990b23397ce3487eb4552d486704f17b" TargetMode="External" Id="rId63"/><Relationship Type="http://schemas.openxmlformats.org/officeDocument/2006/relationships/hyperlink" Target="https://www.lovethework.com/work/entries/voice-of-food-780503" TargetMode="External" Id="rId64"/><Relationship Type="http://schemas.openxmlformats.org/officeDocument/2006/relationships/hyperlink" Target="https://ascentialcdn.filespin.io/api/v1/conversion/f4c9dafd39714b8c96da0d7dd9e055ea" TargetMode="External" Id="rId65"/><Relationship Type="http://schemas.openxmlformats.org/officeDocument/2006/relationships/hyperlink" Target="https://www.lovethework.com/work/entries/bedtime-donations-780400" TargetMode="External" Id="rId66"/></Relationships>
</file>

<file path=xl/worksheets/_rels/sheet4.xml.rels><Relationships xmlns="http://schemas.openxmlformats.org/package/2006/relationships"><Relationship Type="http://schemas.openxmlformats.org/officeDocument/2006/relationships/hyperlink" Target="https://www.lovethework.com/work/entries/paris-paralympics-2024-considering-what-738686" TargetMode="External" Id="rId1"/><Relationship Type="http://schemas.openxmlformats.org/officeDocument/2006/relationships/hyperlink" Target="https://www.lovethework.com/work/entries/the-final-copy-of-ilon-specht-739568" TargetMode="External" Id="rId2"/><Relationship Type="http://schemas.openxmlformats.org/officeDocument/2006/relationships/hyperlink" Target="https://www.lovethework.com/work/entries/find-your-friends-738592" TargetMode="External" Id="rId3"/><Relationship Type="http://schemas.openxmlformats.org/officeDocument/2006/relationships/hyperlink" Target="https://www.lovethework.com/work/entries/never-just-a-period-738863" TargetMode="External" Id="rId4"/><Relationship Type="http://schemas.openxmlformats.org/officeDocument/2006/relationships/hyperlink" Target="https://ascentialcdn.filespin.io/api/v1/storyboard/880f481b580e4ddbb51427137d8c2233/storyboard_000008.jpg" TargetMode="External" Id="rId5"/><Relationship Type="http://schemas.openxmlformats.org/officeDocument/2006/relationships/hyperlink" Target="https://www.lovethework.com/work/entries/let-there-be-cake-759113" TargetMode="External" Id="rId6"/><Relationship Type="http://schemas.openxmlformats.org/officeDocument/2006/relationships/hyperlink" Target="https://www.lovethework.com/work/entries/the-last-birthday-739026" TargetMode="External" Id="rId7"/><Relationship Type="http://schemas.openxmlformats.org/officeDocument/2006/relationships/hyperlink" Target="https://www.lovethework.com/work/entries/telstra-better-on-a-better-network-739331" TargetMode="External" Id="rId8"/><Relationship Type="http://schemas.openxmlformats.org/officeDocument/2006/relationships/hyperlink" Target="https://www.lovethework.com/work/entries/the-best-place-in-the-world-to-have-herpes-739431" TargetMode="External" Id="rId9"/><Relationship Type="http://schemas.openxmlformats.org/officeDocument/2006/relationships/hyperlink" Target="https://www.lovethework.com/work/entries/brian-cox-goes-to-college-739411" TargetMode="External" Id="rId10"/><Relationship Type="http://schemas.openxmlformats.org/officeDocument/2006/relationships/hyperlink" Target="https://www.lovethework.com/work/entries/group-therapy-739424" TargetMode="External" Id="rId11"/><Relationship Type="http://schemas.openxmlformats.org/officeDocument/2006/relationships/hyperlink" Target="https://www.lovethework.com/work/entries/flock-738495" TargetMode="External" Id="rId12"/><Relationship Type="http://schemas.openxmlformats.org/officeDocument/2006/relationships/hyperlink" Target="https://www.lovethework.com/work/entries/jordan-cant-ban-greatness-738501" TargetMode="External" Id="rId13"/><Relationship Type="http://schemas.openxmlformats.org/officeDocument/2006/relationships/hyperlink" Target="https://www.lovethework.com/work/entries/winning-isnt-for-everyone-738402" TargetMode="External" Id="rId14"/><Relationship Type="http://schemas.openxmlformats.org/officeDocument/2006/relationships/hyperlink" Target="https://ascentialcdn.filespin.io/api/v1/storyboard/9b40129018d74d94bf27680ed70fddbf/storyboard_000008.jpg" TargetMode="External" Id="rId15"/><Relationship Type="http://schemas.openxmlformats.org/officeDocument/2006/relationships/hyperlink" Target="https://www.lovethework.com/work/entries/snitch-760290" TargetMode="External" Id="rId16"/><Relationship Type="http://schemas.openxmlformats.org/officeDocument/2006/relationships/hyperlink" Target="https://www.lovethework.com/work/entries/a-tale-as-old-as-websites-738642" TargetMode="External" Id="rId17"/><Relationship Type="http://schemas.openxmlformats.org/officeDocument/2006/relationships/hyperlink" Target="https://ascentialcdn.filespin.io/api/v1/storyboard/2775467c7cd54c3d9baa72e25671a229/storyboard_000008.jpg" TargetMode="External" Id="rId18"/><Relationship Type="http://schemas.openxmlformats.org/officeDocument/2006/relationships/hyperlink" Target="https://www.lovethework.com/work/entries/warren-738574" TargetMode="External" Id="rId19"/><Relationship Type="http://schemas.openxmlformats.org/officeDocument/2006/relationships/hyperlink" Target="https://www.lovethework.com/work/entries/100-years-of-meisterstck-montblanc-x-wes-anderson-738682" TargetMode="External" Id="rId20"/><Relationship Type="http://schemas.openxmlformats.org/officeDocument/2006/relationships/hyperlink" Target="https://ascentialcdn.filespin.io/api/v1/storyboard/b0649b3b520e450ca4b8d80fb3fb66ca/storyboard_000008.jpg" TargetMode="External" Id="rId21"/><Relationship Type="http://schemas.openxmlformats.org/officeDocument/2006/relationships/hyperlink" Target="https://www.lovethework.com/work/entries/is-it-even-a-city-738902" TargetMode="External" Id="rId22"/><Relationship Type="http://schemas.openxmlformats.org/officeDocument/2006/relationships/hyperlink" Target="https://www.lovethework.com/work/entries/the-shooting-759301" TargetMode="External" Id="rId23"/><Relationship Type="http://schemas.openxmlformats.org/officeDocument/2006/relationships/hyperlink" Target="https://ascentialcdn.filespin.io/api/v1/storyboard/e88276602e7e4dcc875c78f16cb77a65/storyboard_000008.jpg" TargetMode="External" Id="rId24"/><Relationship Type="http://schemas.openxmlformats.org/officeDocument/2006/relationships/hyperlink" Target="https://www.lovethework.com/work/entries/everything-covered-100-years-of-the-new-yorker-760528" TargetMode="External" Id="rId25"/><Relationship Type="http://schemas.openxmlformats.org/officeDocument/2006/relationships/hyperlink" Target="https://www.lovethework.com/work/entries/the-count-738967" TargetMode="External" Id="rId26"/><Relationship Type="http://schemas.openxmlformats.org/officeDocument/2006/relationships/hyperlink" Target="https://www.lovethework.com/work/entries/the-comments-section-739054" TargetMode="External" Id="rId27"/><Relationship Type="http://schemas.openxmlformats.org/officeDocument/2006/relationships/hyperlink" Target="https://www.lovethework.com/work/entries/someday-739091" TargetMode="External" Id="rId28"/><Relationship Type="http://schemas.openxmlformats.org/officeDocument/2006/relationships/hyperlink" Target="https://www.lovethework.com/work/entries/night-fishing-739123" TargetMode="External" Id="rId29"/><Relationship Type="http://schemas.openxmlformats.org/officeDocument/2006/relationships/hyperlink" Target="https://www.lovethework.com/work/entries/love-captured-739069" TargetMode="External" Id="rId30"/><Relationship Type="http://schemas.openxmlformats.org/officeDocument/2006/relationships/hyperlink" Target="https://www.lovethework.com/work/entries/so-win-738552" TargetMode="External" Id="rId31"/><Relationship Type="http://schemas.openxmlformats.org/officeDocument/2006/relationships/hyperlink" Target="https://ascentialcdn.filespin.io/api/v1/storyboard/21b5a87a37054403bf6297def115d30e/storyboard_000008.jpg" TargetMode="External" Id="rId32"/><Relationship Type="http://schemas.openxmlformats.org/officeDocument/2006/relationships/hyperlink" Target="https://www.lovethework.com/work/entries/go-further-738542" TargetMode="External" Id="rId33"/><Relationship Type="http://schemas.openxmlformats.org/officeDocument/2006/relationships/hyperlink" Target="https://ascentialcdn.filespin.io/api/v1/storyboard/e82a1b3a62ff4635b7d927f608411604/storyboard_000008.jpg" TargetMode="External" Id="rId34"/><Relationship Type="http://schemas.openxmlformats.org/officeDocument/2006/relationships/hyperlink" Target="https://www.lovethework.com/work/entries/century-of-cravings-738462" TargetMode="External" Id="rId35"/><Relationship Type="http://schemas.openxmlformats.org/officeDocument/2006/relationships/hyperlink" Target="https://www.lovethework.com/work/entries/obsession-738673" TargetMode="External" Id="rId36"/><Relationship Type="http://schemas.openxmlformats.org/officeDocument/2006/relationships/hyperlink" Target="https://www.lovethework.com/work/entries/together-is-for-christmas-738755" TargetMode="External" Id="rId37"/><Relationship Type="http://schemas.openxmlformats.org/officeDocument/2006/relationships/hyperlink" Target="https://www.lovethework.com/work/entries/orange-the-greatest-run-738603" TargetMode="External" Id="rId38"/><Relationship Type="http://schemas.openxmlformats.org/officeDocument/2006/relationships/hyperlink" Target="https://ascentialcdn.filespin.io/api/v1/storyboard/1912e691abfe4b2ea4037335ca76487c/storyboard_000008.jpg" TargetMode="External" Id="rId39"/><Relationship Type="http://schemas.openxmlformats.org/officeDocument/2006/relationships/hyperlink" Target="https://www.lovethework.com/work/entries/the-ugliest-sweater-764667" TargetMode="External" Id="rId40"/><Relationship Type="http://schemas.openxmlformats.org/officeDocument/2006/relationships/hyperlink" Target="https://ascentialcdn.filespin.io/api/v1/storyboard/cee60b478e9e4b1cbf40f1225c244475/storyboard_000008.jpg" TargetMode="External" Id="rId41"/><Relationship Type="http://schemas.openxmlformats.org/officeDocument/2006/relationships/hyperlink" Target="https://www.lovethework.com/work/entries/dog-738683" TargetMode="External" Id="rId42"/><Relationship Type="http://schemas.openxmlformats.org/officeDocument/2006/relationships/hyperlink" Target="https://www.lovethework.com/work/entries/call-me-when-you-need-me-738636" TargetMode="External" Id="rId43"/><Relationship Type="http://schemas.openxmlformats.org/officeDocument/2006/relationships/hyperlink" Target="https://www.lovethework.com/work/entries/invisible-stain-738669" TargetMode="External" Id="rId44"/><Relationship Type="http://schemas.openxmlformats.org/officeDocument/2006/relationships/hyperlink" Target="https://ascentialcdn.filespin.io/api/v1/storyboard/9fa88b83d0b8433088c04fb2f6724d65/storyboard_000008.jpg" TargetMode="External" Id="rId45"/><Relationship Type="http://schemas.openxmlformats.org/officeDocument/2006/relationships/hyperlink" Target="https://www.lovethework.com/work/entries/cats-lose-their-cool-dj-cat-738942" TargetMode="External" Id="rId46"/><Relationship Type="http://schemas.openxmlformats.org/officeDocument/2006/relationships/hyperlink" Target="https://www.lovethework.com/work/entries/lynx-with-catnip-738842" TargetMode="External" Id="rId47"/><Relationship Type="http://schemas.openxmlformats.org/officeDocument/2006/relationships/hyperlink" Target="https://ascentialcdn.filespin.io/api/v1/storyboard/5ed8965efd35470096adab00a480bd1c/storyboard_000008.jpg" TargetMode="External" Id="rId48"/><Relationship Type="http://schemas.openxmlformats.org/officeDocument/2006/relationships/hyperlink" Target="https://www.lovethework.com/work/entries/the-reinfall-738770" TargetMode="External" Id="rId49"/><Relationship Type="http://schemas.openxmlformats.org/officeDocument/2006/relationships/hyperlink" Target="https://www.lovethework.com/work/entries/irmela-vs-nazis-739076" TargetMode="External" Id="rId50"/><Relationship Type="http://schemas.openxmlformats.org/officeDocument/2006/relationships/hyperlink" Target="https://ascentialcdn.filespin.io/api/v1/storyboard/e26b3466ac96451cb63011afdbc16dc4/storyboard_000008.jpg" TargetMode="External" Id="rId51"/><Relationship Type="http://schemas.openxmlformats.org/officeDocument/2006/relationships/hyperlink" Target="https://www.lovethework.com/work/entries/you-have-what-it-takes-738975" TargetMode="External" Id="rId52"/><Relationship Type="http://schemas.openxmlformats.org/officeDocument/2006/relationships/hyperlink" Target="https://www.lovethework.com/work/entries/submerged-765078" TargetMode="External" Id="rId53"/><Relationship Type="http://schemas.openxmlformats.org/officeDocument/2006/relationships/hyperlink" Target="https://www.lovethework.com/work/entries/gambol-dare-to-step-758622" TargetMode="External" Id="rId54"/><Relationship Type="http://schemas.openxmlformats.org/officeDocument/2006/relationships/hyperlink" Target="https://ascentialcdn.filespin.io/api/v1/storyboard/9ec1161c272f499ea887c4236fda3363/storyboard_000008.jpg" TargetMode="External" Id="rId55"/><Relationship Type="http://schemas.openxmlformats.org/officeDocument/2006/relationships/hyperlink" Target="https://www.lovethework.com/work/entries/steal-739321" TargetMode="External" Id="rId56"/><Relationship Type="http://schemas.openxmlformats.org/officeDocument/2006/relationships/hyperlink" Target="https://www.lovethework.com/work/entries/miracle-739313" TargetMode="External" Id="rId57"/><Relationship Type="http://schemas.openxmlformats.org/officeDocument/2006/relationships/hyperlink" Target="https://www.lovethework.com/work/entries/hey-jude-739186" TargetMode="External" Id="rId58"/><Relationship Type="http://schemas.openxmlformats.org/officeDocument/2006/relationships/hyperlink" Target="https://www.lovethework.com/work/entries/fer-739197" TargetMode="External" Id="rId59"/><Relationship Type="http://schemas.openxmlformats.org/officeDocument/2006/relationships/hyperlink" Target="https://www.lovethework.com/work/entries/18-months-739267" TargetMode="External" Id="rId60"/><Relationship Type="http://schemas.openxmlformats.org/officeDocument/2006/relationships/hyperlink" Target="https://ascentialcdn.filespin.io/api/v1/conversion/fdf308fea817428794e5b51cfe09d79e" TargetMode="External" Id="rId61"/><Relationship Type="http://schemas.openxmlformats.org/officeDocument/2006/relationships/hyperlink" Target="https://www.lovethework.com/work/entries/read-better-762379" TargetMode="External" Id="rId62"/><Relationship Type="http://schemas.openxmlformats.org/officeDocument/2006/relationships/hyperlink" Target="https://www.lovethework.com/work/entries/telstra-better-on-a-better-network-739394" TargetMode="External" Id="rId63"/><Relationship Type="http://schemas.openxmlformats.org/officeDocument/2006/relationships/hyperlink" Target="https://ascentialcdn.filespin.io/api/v1/conversion/d7137ce2bd54485cbcd0f8ed8ef89240" TargetMode="External" Id="rId64"/><Relationship Type="http://schemas.openxmlformats.org/officeDocument/2006/relationships/hyperlink" Target="https://www.lovethework.com/work/entries/squad-up-739443" TargetMode="External" Id="rId65"/><Relationship Type="http://schemas.openxmlformats.org/officeDocument/2006/relationships/hyperlink" Target="https://www.lovethework.com/work/entries/paris-paralympics-2024-considering-what-739501" TargetMode="External" Id="rId66"/><Relationship Type="http://schemas.openxmlformats.org/officeDocument/2006/relationships/hyperlink" Target="https://www.lovethework.com/work/entries/skin-739661" TargetMode="External" Id="rId67"/></Relationships>
</file>

<file path=xl/worksheets/_rels/sheet5.xml.rels><Relationships xmlns="http://schemas.openxmlformats.org/package/2006/relationships"><Relationship Type="http://schemas.openxmlformats.org/officeDocument/2006/relationships/hyperlink" Target="https://ascentialcdn.filespin.io/api/v1/conversion/6dc8ee87b55d449f88c8f8a0868b533a" TargetMode="External" Id="rId1"/><Relationship Type="http://schemas.openxmlformats.org/officeDocument/2006/relationships/hyperlink" Target="https://www.lovethework.com/work/entries/crowd-740225" TargetMode="External" Id="rId2"/><Relationship Type="http://schemas.openxmlformats.org/officeDocument/2006/relationships/hyperlink" Target="https://ascentialcdn.filespin.io/api/v1/conversion/9b1fc196d863402282277d81f4bdf031" TargetMode="External" Id="rId3"/><Relationship Type="http://schemas.openxmlformats.org/officeDocument/2006/relationships/hyperlink" Target="https://www.lovethework.com/work/entries/public-transport-758659" TargetMode="External" Id="rId4"/><Relationship Type="http://schemas.openxmlformats.org/officeDocument/2006/relationships/hyperlink" Target="https://ascentialcdn.filespin.io/api/v1/conversion/ad97fbb0d50649118006eac4d5a902a7" TargetMode="External" Id="rId5"/><Relationship Type="http://schemas.openxmlformats.org/officeDocument/2006/relationships/hyperlink" Target="https://www.lovethework.com/work/entries/street-758667" TargetMode="External" Id="rId6"/><Relationship Type="http://schemas.openxmlformats.org/officeDocument/2006/relationships/hyperlink" Target="https://ascentialcdn.filespin.io/api/v1/conversion/60aa1888e5b6444381b060dc1801de84" TargetMode="External" Id="rId7"/><Relationship Type="http://schemas.openxmlformats.org/officeDocument/2006/relationships/hyperlink" Target="https://www.lovethework.com/work/entries/olympic-games-opening-ceremony-paris-2024-740923" TargetMode="External" Id="rId8"/><Relationship Type="http://schemas.openxmlformats.org/officeDocument/2006/relationships/hyperlink" Target="https://ascentialcdn.filespin.io/api/v1/conversion/bc046e548975443980453424bc30515a" TargetMode="External" Id="rId9"/><Relationship Type="http://schemas.openxmlformats.org/officeDocument/2006/relationships/hyperlink" Target="https://www.lovethework.com/work/entries/the-sip-of-sanctuary-740333" TargetMode="External" Id="rId10"/><Relationship Type="http://schemas.openxmlformats.org/officeDocument/2006/relationships/hyperlink" Target="https://ascentialcdn.filespin.io/api/v1/conversion/a33c9462c05d4330895b056745b6a602" TargetMode="External" Id="rId11"/><Relationship Type="http://schemas.openxmlformats.org/officeDocument/2006/relationships/hyperlink" Target="https://www.lovethework.com/work/entries/protector-of-the-chalice-740342" TargetMode="External" Id="rId12"/><Relationship Type="http://schemas.openxmlformats.org/officeDocument/2006/relationships/hyperlink" Target="https://ascentialcdn.filespin.io/api/v1/conversion/882ea591b6fa40b29a529180b71afa65" TargetMode="External" Id="rId13"/><Relationship Type="http://schemas.openxmlformats.org/officeDocument/2006/relationships/hyperlink" Target="https://www.lovethework.com/work/entries/happiness-within-chaos-740351" TargetMode="External" Id="rId14"/><Relationship Type="http://schemas.openxmlformats.org/officeDocument/2006/relationships/hyperlink" Target="https://ascentialcdn.filespin.io/api/v1/conversion/9e7a10af468b4293bb13624b6ac695d7" TargetMode="External" Id="rId15"/><Relationship Type="http://schemas.openxmlformats.org/officeDocument/2006/relationships/hyperlink" Target="https://www.lovethework.com/work/entries/fries-740416" TargetMode="External" Id="rId16"/><Relationship Type="http://schemas.openxmlformats.org/officeDocument/2006/relationships/hyperlink" Target="https://ascentialcdn.filespin.io/api/v1/conversion/98502860304b486096f96cbacf35f7ac" TargetMode="External" Id="rId17"/><Relationship Type="http://schemas.openxmlformats.org/officeDocument/2006/relationships/hyperlink" Target="https://www.lovethework.com/work/entries/chips-740534" TargetMode="External" Id="rId18"/><Relationship Type="http://schemas.openxmlformats.org/officeDocument/2006/relationships/hyperlink" Target="https://ascentialcdn.filespin.io/api/v1/conversion/19b79ceaf445400d88e358d61316e067" TargetMode="External" Id="rId19"/><Relationship Type="http://schemas.openxmlformats.org/officeDocument/2006/relationships/hyperlink" Target="https://www.lovethework.com/work/entries/toast-740549" TargetMode="External" Id="rId20"/><Relationship Type="http://schemas.openxmlformats.org/officeDocument/2006/relationships/hyperlink" Target="https://ascentialcdn.filespin.io/api/v1/conversion/a4189a00c22b49558f6796c1b0fdf90c" TargetMode="External" Id="rId21"/><Relationship Type="http://schemas.openxmlformats.org/officeDocument/2006/relationships/hyperlink" Target="https://www.lovethework.com/work/entries/scratch-sniff-740665" TargetMode="External" Id="rId22"/><Relationship Type="http://schemas.openxmlformats.org/officeDocument/2006/relationships/hyperlink" Target="https://ascentialcdn.filespin.io/api/v1/conversion/b9b1ac806434448cb6648aa308f263db" TargetMode="External" Id="rId23"/><Relationship Type="http://schemas.openxmlformats.org/officeDocument/2006/relationships/hyperlink" Target="https://www.lovethework.com/work/entries/shades-of-red-740785" TargetMode="External" Id="rId24"/><Relationship Type="http://schemas.openxmlformats.org/officeDocument/2006/relationships/hyperlink" Target="https://ascentialcdn.filespin.io/api/v1/conversion/238b3e3f0aab4c3fa9adf2b23d50eab3" TargetMode="External" Id="rId25"/><Relationship Type="http://schemas.openxmlformats.org/officeDocument/2006/relationships/hyperlink" Target="https://www.lovethework.com/work/entries/missed-birthdays-740958" TargetMode="External" Id="rId26"/><Relationship Type="http://schemas.openxmlformats.org/officeDocument/2006/relationships/hyperlink" Target="https://ascentialcdn.filespin.io/api/v1/conversion/8c433c0437494277a7cb3b8c1148b82c" TargetMode="External" Id="rId27"/><Relationship Type="http://schemas.openxmlformats.org/officeDocument/2006/relationships/hyperlink" Target="https://www.lovethework.com/work/entries/tracking-bad-bunny-759229" TargetMode="External" Id="rId28"/><Relationship Type="http://schemas.openxmlformats.org/officeDocument/2006/relationships/hyperlink" Target="https://ascentialcdn.filespin.io/api/v1/conversion/afa88aa8421b41a18c68b9863bb6926c" TargetMode="External" Id="rId29"/><Relationship Type="http://schemas.openxmlformats.org/officeDocument/2006/relationships/hyperlink" Target="https://www.lovethework.com/work/entries/gulf-of-mexico-bar-741350" TargetMode="External" Id="rId30"/><Relationship Type="http://schemas.openxmlformats.org/officeDocument/2006/relationships/hyperlink" Target="https://ascentialcdn.filespin.io/api/v1/conversion/67b6df2a0fe64deeb274c91d50040c54" TargetMode="External" Id="rId31"/><Relationship Type="http://schemas.openxmlformats.org/officeDocument/2006/relationships/hyperlink" Target="https://www.lovethework.com/work/entries/price-packs-741243" TargetMode="External" Id="rId32"/><Relationship Type="http://schemas.openxmlformats.org/officeDocument/2006/relationships/hyperlink" Target="https://ascentialcdn.filespin.io/api/v1/conversion/7771593e59654e55b2c0654f5d61ec8e" TargetMode="External" Id="rId33"/><Relationship Type="http://schemas.openxmlformats.org/officeDocument/2006/relationships/hyperlink" Target="https://www.lovethework.com/work/entries/lucky-yatra-741463" TargetMode="External" Id="rId34"/><Relationship Type="http://schemas.openxmlformats.org/officeDocument/2006/relationships/hyperlink" Target="https://ascentialcdn.filespin.io/api/v1/conversion/2f9ebcc7b9ec4ad9a4dcf79bd56fa88b" TargetMode="External" Id="rId35"/><Relationship Type="http://schemas.openxmlformats.org/officeDocument/2006/relationships/hyperlink" Target="https://www.lovethework.com/work/entries/windsurf-740535" TargetMode="External" Id="rId36"/><Relationship Type="http://schemas.openxmlformats.org/officeDocument/2006/relationships/hyperlink" Target="https://ascentialcdn.filespin.io/api/v1/conversion/9ceaf650a007496f90b6d5670786b4df" TargetMode="External" Id="rId37"/><Relationship Type="http://schemas.openxmlformats.org/officeDocument/2006/relationships/hyperlink" Target="https://www.lovethework.com/work/entries/surfer-740546" TargetMode="External" Id="rId38"/><Relationship Type="http://schemas.openxmlformats.org/officeDocument/2006/relationships/hyperlink" Target="https://ascentialcdn.filespin.io/api/v1/conversion/35c567148f6e40e1a267849bde62ba92" TargetMode="External" Id="rId39"/><Relationship Type="http://schemas.openxmlformats.org/officeDocument/2006/relationships/hyperlink" Target="https://www.lovethework.com/work/entries/waves-740554" TargetMode="External" Id="rId40"/><Relationship Type="http://schemas.openxmlformats.org/officeDocument/2006/relationships/hyperlink" Target="https://ascentialcdn.filespin.io/api/v1/conversion/3a177c8b37754037a19ddf0d99c858db" TargetMode="External" Id="rId41"/><Relationship Type="http://schemas.openxmlformats.org/officeDocument/2006/relationships/hyperlink" Target="https://www.lovethework.com/work/entries/boat-740365" TargetMode="External" Id="rId42"/><Relationship Type="http://schemas.openxmlformats.org/officeDocument/2006/relationships/hyperlink" Target="https://www.lovethework.com/work/entries/bundles-of-joy-ooh2-740450" TargetMode="External" Id="rId43"/><Relationship Type="http://schemas.openxmlformats.org/officeDocument/2006/relationships/hyperlink" Target="https://www.lovethework.com/work/entries/bundles-of-joy-ooh1-740460" TargetMode="External" Id="rId44"/><Relationship Type="http://schemas.openxmlformats.org/officeDocument/2006/relationships/hyperlink" Target="https://www.lovethework.com/work/entries/bundles-of-joy-ooh4-740466" TargetMode="External" Id="rId45"/><Relationship Type="http://schemas.openxmlformats.org/officeDocument/2006/relationships/hyperlink" Target="https://www.lovethework.com/work/entries/bundles-of-joy-ooh3-762361" TargetMode="External" Id="rId46"/><Relationship Type="http://schemas.openxmlformats.org/officeDocument/2006/relationships/hyperlink" Target="https://ascentialcdn.filespin.io/api/v1/conversion/7c797fcbd4784d318b810a3e30777a8a" TargetMode="External" Id="rId47"/><Relationship Type="http://schemas.openxmlformats.org/officeDocument/2006/relationships/hyperlink" Target="https://www.lovethework.com/work/entries/til-i-died-740701" TargetMode="External" Id="rId48"/><Relationship Type="http://schemas.openxmlformats.org/officeDocument/2006/relationships/hyperlink" Target="https://ascentialcdn.filespin.io/api/v1/conversion/5c6b7faa74e6455a830e3ef1f22b78d7" TargetMode="External" Id="rId49"/><Relationship Type="http://schemas.openxmlformats.org/officeDocument/2006/relationships/hyperlink" Target="https://www.lovethework.com/work/entries/winter-takes-on-colors-740759" TargetMode="External" Id="rId50"/><Relationship Type="http://schemas.openxmlformats.org/officeDocument/2006/relationships/hyperlink" Target="https://ascentialcdn.filespin.io/api/v1/conversion/08a2258d5d1348b1bc8f6014ff0c6655" TargetMode="External" Id="rId51"/><Relationship Type="http://schemas.openxmlformats.org/officeDocument/2006/relationships/hyperlink" Target="https://www.lovethework.com/work/entries/night-signals-741104" TargetMode="External" Id="rId52"/><Relationship Type="http://schemas.openxmlformats.org/officeDocument/2006/relationships/hyperlink" Target="https://ascentialcdn.filespin.io/api/v1/conversion/7e353b967fd64b6692fd97647bd4fbd2" TargetMode="External" Id="rId53"/><Relationship Type="http://schemas.openxmlformats.org/officeDocument/2006/relationships/hyperlink" Target="https://www.lovethework.com/work/entries/speed-coupons-741121" TargetMode="External" Id="rId54"/><Relationship Type="http://schemas.openxmlformats.org/officeDocument/2006/relationships/hyperlink" Target="https://ascentialcdn.filespin.io/api/v1/conversion/652b705dcecc4cb7a72c76e4e22c80e5" TargetMode="External" Id="rId55"/><Relationship Type="http://schemas.openxmlformats.org/officeDocument/2006/relationships/hyperlink" Target="https://www.lovethework.com/work/entries/sun-reserve-741012" TargetMode="External" Id="rId56"/><Relationship Type="http://schemas.openxmlformats.org/officeDocument/2006/relationships/hyperlink" Target="https://ascentialcdn.filespin.io/api/v1/conversion/a41ca6a9e9454bb585e089d1abcf0187" TargetMode="External" Id="rId57"/><Relationship Type="http://schemas.openxmlformats.org/officeDocument/2006/relationships/hyperlink" Target="https://www.lovethework.com/work/entries/the-philharmonic-prints-741191" TargetMode="External" Id="rId58"/><Relationship Type="http://schemas.openxmlformats.org/officeDocument/2006/relationships/hyperlink" Target="https://ascentialcdn.filespin.io/api/v1/conversion/f23ad7b894c14298b819130d99bc560f" TargetMode="External" Id="rId59"/><Relationship Type="http://schemas.openxmlformats.org/officeDocument/2006/relationships/hyperlink" Target="https://www.lovethework.com/work/entries/see-them-for-real-741246" TargetMode="External" Id="rId60"/><Relationship Type="http://schemas.openxmlformats.org/officeDocument/2006/relationships/hyperlink" Target="https://ascentialcdn.filespin.io/api/v1/conversion/51f7223ae6f6484caace1b6d0e8df74c" TargetMode="External" Id="rId61"/><Relationship Type="http://schemas.openxmlformats.org/officeDocument/2006/relationships/hyperlink" Target="https://www.lovethework.com/work/entries/bumpboards-741287" TargetMode="External" Id="rId62"/><Relationship Type="http://schemas.openxmlformats.org/officeDocument/2006/relationships/hyperlink" Target="https://www.lovethework.com/work/entries/balikbayan-magic-philippine-oriental-food-market-741455" TargetMode="External" Id="rId63"/><Relationship Type="http://schemas.openxmlformats.org/officeDocument/2006/relationships/hyperlink" Target="https://ascentialcdn.filespin.io/api/v1/conversion/e4e51d450eb8458dab81e55d80f5d56b" TargetMode="External" Id="rId64"/><Relationship Type="http://schemas.openxmlformats.org/officeDocument/2006/relationships/hyperlink" Target="https://www.lovethework.com/work/entries/meet-me-at-the-coke-sign-741472" TargetMode="External" Id="rId65"/><Relationship Type="http://schemas.openxmlformats.org/officeDocument/2006/relationships/hyperlink" Target="https://ascentialcdn.filespin.io/api/v1/conversion/716b17d07a0d40d2b7b2a29d2ae9e171" TargetMode="External" Id="rId66"/><Relationship Type="http://schemas.openxmlformats.org/officeDocument/2006/relationships/hyperlink" Target="https://www.lovethework.com/work/entries/nature-shapes-britannia-741532" TargetMode="External" Id="rId67"/><Relationship Type="http://schemas.openxmlformats.org/officeDocument/2006/relationships/hyperlink" Target="https://ascentialcdn.filespin.io/api/v1/conversion/cb9c8fa9b4464dc6bdc84535bb7991d5" TargetMode="External" Id="rId68"/><Relationship Type="http://schemas.openxmlformats.org/officeDocument/2006/relationships/hyperlink" Target="https://www.lovethework.com/work/entries/too-yumm-to-cheer-741592" TargetMode="External" Id="rId69"/><Relationship Type="http://schemas.openxmlformats.org/officeDocument/2006/relationships/hyperlink" Target="https://ascentialcdn.filespin.io/api/v1/conversion/0ee92655171346d888a62ac1b5baeb96" TargetMode="External" Id="rId70"/><Relationship Type="http://schemas.openxmlformats.org/officeDocument/2006/relationships/hyperlink" Target="https://www.lovethework.com/work/entries/estibadores-741560" TargetMode="External" Id="rId71"/><Relationship Type="http://schemas.openxmlformats.org/officeDocument/2006/relationships/hyperlink" Target="https://ascentialcdn.filespin.io/api/v1/conversion/dd37db0fdabf4182b51ade62463b79e2" TargetMode="External" Id="rId72"/><Relationship Type="http://schemas.openxmlformats.org/officeDocument/2006/relationships/hyperlink" Target="https://www.lovethework.com/work/entries/still-open-741731" TargetMode="External" Id="rId73"/><Relationship Type="http://schemas.openxmlformats.org/officeDocument/2006/relationships/hyperlink" Target="https://ascentialcdn.filespin.io/api/v1/conversion/60aa1888e5b6444381b060dc1801de84" TargetMode="External" Id="rId74"/><Relationship Type="http://schemas.openxmlformats.org/officeDocument/2006/relationships/hyperlink" Target="https://www.lovethework.com/work/entries/olympic-games-opening-ceremony-paris-2024-741644" TargetMode="External" Id="rId75"/><Relationship Type="http://schemas.openxmlformats.org/officeDocument/2006/relationships/hyperlink" Target="https://ascentialcdn.filespin.io/api/v1/conversion/aa75461755994abb9341413d542beaa8" TargetMode="External" Id="rId76"/><Relationship Type="http://schemas.openxmlformats.org/officeDocument/2006/relationships/hyperlink" Target="https://www.lovethework.com/work/entries/found-in-translation-741695" TargetMode="External" Id="rId77"/><Relationship Type="http://schemas.openxmlformats.org/officeDocument/2006/relationships/hyperlink" Target="https://ascentialcdn.filespin.io/api/v1/conversion/a8d4e72bb1ce47508dcea8db73d16b01" TargetMode="External" Id="rId78"/><Relationship Type="http://schemas.openxmlformats.org/officeDocument/2006/relationships/hyperlink" Target="https://www.lovethework.com/work/entries/pub-succession-741618" TargetMode="External" Id="rId79"/><Relationship Type="http://schemas.openxmlformats.org/officeDocument/2006/relationships/hyperlink" Target="https://ascentialcdn.filespin.io/api/v1/conversion/44405bf6f33b4e919c5b283211199392" TargetMode="External" Id="rId80"/><Relationship Type="http://schemas.openxmlformats.org/officeDocument/2006/relationships/hyperlink" Target="https://www.lovethework.com/work/entries/the-shining-740263" TargetMode="External" Id="rId81"/><Relationship Type="http://schemas.openxmlformats.org/officeDocument/2006/relationships/hyperlink" Target="https://ascentialcdn.filespin.io/api/v1/conversion/476f91b3c4024d889f9c5a3071d2af7f" TargetMode="External" Id="rId82"/><Relationship Type="http://schemas.openxmlformats.org/officeDocument/2006/relationships/hyperlink" Target="https://www.lovethework.com/work/entries/mimis-red-740318" TargetMode="External" Id="rId83"/><Relationship Type="http://schemas.openxmlformats.org/officeDocument/2006/relationships/hyperlink" Target="https://ascentialcdn.filespin.io/api/v1/conversion/9d778b6a2550440b9a1b11e17c7ad280" TargetMode="External" Id="rId84"/><Relationship Type="http://schemas.openxmlformats.org/officeDocument/2006/relationships/hyperlink" Target="https://www.lovethework.com/work/entries/prados-red-740326" TargetMode="External" Id="rId85"/><Relationship Type="http://schemas.openxmlformats.org/officeDocument/2006/relationships/hyperlink" Target="https://ascentialcdn.filespin.io/api/v1/conversion/cc0c84dd54874fdea4173e4874a381c3" TargetMode="External" Id="rId86"/><Relationship Type="http://schemas.openxmlformats.org/officeDocument/2006/relationships/hyperlink" Target="https://www.lovethework.com/work/entries/el-campos-red-740334" TargetMode="External" Id="rId87"/><Relationship Type="http://schemas.openxmlformats.org/officeDocument/2006/relationships/hyperlink" Target="https://ascentialcdn.filespin.io/api/v1/conversion/77eb12aacaf340e1b7d9e79c99556281" TargetMode="External" Id="rId88"/><Relationship Type="http://schemas.openxmlformats.org/officeDocument/2006/relationships/hyperlink" Target="https://www.lovethework.com/work/entries/corona-eclipse-uruguay-740235" TargetMode="External" Id="rId89"/><Relationship Type="http://schemas.openxmlformats.org/officeDocument/2006/relationships/hyperlink" Target="https://ascentialcdn.filespin.io/api/v1/conversion/923c26278b3042ac83d908e11d20b46c" TargetMode="External" Id="rId90"/><Relationship Type="http://schemas.openxmlformats.org/officeDocument/2006/relationships/hyperlink" Target="https://www.lovethework.com/work/entries/corona-eclipse-argentina-1-740248" TargetMode="External" Id="rId91"/><Relationship Type="http://schemas.openxmlformats.org/officeDocument/2006/relationships/hyperlink" Target="https://ascentialcdn.filespin.io/api/v1/conversion/7a260b4ceb6f4f7c998edf6aa5b09344" TargetMode="External" Id="rId92"/><Relationship Type="http://schemas.openxmlformats.org/officeDocument/2006/relationships/hyperlink" Target="https://www.lovethework.com/work/entries/corona-eclipse-argentina-2-740260" TargetMode="External" Id="rId93"/><Relationship Type="http://schemas.openxmlformats.org/officeDocument/2006/relationships/hyperlink" Target="https://ascentialcdn.filespin.io/api/v1/conversion/27ff97121fa2498480c1c23ae148604d" TargetMode="External" Id="rId94"/><Relationship Type="http://schemas.openxmlformats.org/officeDocument/2006/relationships/hyperlink" Target="https://www.lovethework.com/work/entries/price-packs-chips-740364" TargetMode="External" Id="rId95"/><Relationship Type="http://schemas.openxmlformats.org/officeDocument/2006/relationships/hyperlink" Target="https://ascentialcdn.filespin.io/api/v1/conversion/c3069b2a659a442aaabf5389719b9fa6" TargetMode="External" Id="rId96"/><Relationship Type="http://schemas.openxmlformats.org/officeDocument/2006/relationships/hyperlink" Target="https://www.lovethework.com/work/entries/price-packs-oatmeal-740376" TargetMode="External" Id="rId97"/><Relationship Type="http://schemas.openxmlformats.org/officeDocument/2006/relationships/hyperlink" Target="https://ascentialcdn.filespin.io/api/v1/conversion/0f62d161bf704e03bcece90e78e11d29" TargetMode="External" Id="rId98"/><Relationship Type="http://schemas.openxmlformats.org/officeDocument/2006/relationships/hyperlink" Target="https://www.lovethework.com/work/entries/price-packs-toast-740385" TargetMode="External" Id="rId99"/><Relationship Type="http://schemas.openxmlformats.org/officeDocument/2006/relationships/hyperlink" Target="https://ascentialcdn.filespin.io/api/v1/conversion/bc046e548975443980453424bc30515a" TargetMode="External" Id="rId100"/><Relationship Type="http://schemas.openxmlformats.org/officeDocument/2006/relationships/hyperlink" Target="https://www.lovethework.com/work/entries/the-sip-of-sanctuary-740553" TargetMode="External" Id="rId101"/><Relationship Type="http://schemas.openxmlformats.org/officeDocument/2006/relationships/hyperlink" Target="https://ascentialcdn.filespin.io/api/v1/conversion/882ea591b6fa40b29a529180b71afa65" TargetMode="External" Id="rId102"/><Relationship Type="http://schemas.openxmlformats.org/officeDocument/2006/relationships/hyperlink" Target="https://www.lovethework.com/work/entries/happiness-within-chaos-740366" TargetMode="External" Id="rId103"/><Relationship Type="http://schemas.openxmlformats.org/officeDocument/2006/relationships/hyperlink" Target="https://ascentialcdn.filespin.io/api/v1/conversion/a33c9462c05d4330895b056745b6a602" TargetMode="External" Id="rId104"/><Relationship Type="http://schemas.openxmlformats.org/officeDocument/2006/relationships/hyperlink" Target="https://www.lovethework.com/work/entries/protector-of-the-chalice-740439" TargetMode="External" Id="rId105"/><Relationship Type="http://schemas.openxmlformats.org/officeDocument/2006/relationships/hyperlink" Target="https://ascentialcdn.filespin.io/api/v1/conversion/9e6eef6a84b640f9b2da45ad47d321c9" TargetMode="External" Id="rId106"/><Relationship Type="http://schemas.openxmlformats.org/officeDocument/2006/relationships/hyperlink" Target="https://www.lovethework.com/work/entries/likes-763469" TargetMode="External" Id="rId107"/><Relationship Type="http://schemas.openxmlformats.org/officeDocument/2006/relationships/hyperlink" Target="https://ascentialcdn.filespin.io/api/v1/conversion/848c6f5fe00a4cc2be171136fcd87b87" TargetMode="External" Id="rId108"/><Relationship Type="http://schemas.openxmlformats.org/officeDocument/2006/relationships/hyperlink" Target="https://www.lovethework.com/work/entries/marches-763480" TargetMode="External" Id="rId109"/><Relationship Type="http://schemas.openxmlformats.org/officeDocument/2006/relationships/hyperlink" Target="https://ascentialcdn.filespin.io/api/v1/conversion/2aba4c2194414c37b9cf328c0dcc193f" TargetMode="External" Id="rId110"/><Relationship Type="http://schemas.openxmlformats.org/officeDocument/2006/relationships/hyperlink" Target="https://www.lovethework.com/work/entries/crimes-763490" TargetMode="External" Id="rId111"/><Relationship Type="http://schemas.openxmlformats.org/officeDocument/2006/relationships/hyperlink" Target="https://ascentialcdn.filespin.io/api/v1/conversion/09dbff10bf5e4eaeae2d578fe9cc19b0" TargetMode="External" Id="rId112"/><Relationship Type="http://schemas.openxmlformats.org/officeDocument/2006/relationships/hyperlink" Target="https://www.lovethework.com/work/entries/signs-from-heaven-740708" TargetMode="External" Id="rId113"/><Relationship Type="http://schemas.openxmlformats.org/officeDocument/2006/relationships/hyperlink" Target="https://ascentialcdn.filespin.io/api/v1/conversion/102f0d648c284c6e98ed2de341d6a49d" TargetMode="External" Id="rId114"/><Relationship Type="http://schemas.openxmlformats.org/officeDocument/2006/relationships/hyperlink" Target="https://www.lovethework.com/work/entries/smile-20-740676" TargetMode="External" Id="rId115"/><Relationship Type="http://schemas.openxmlformats.org/officeDocument/2006/relationships/hyperlink" Target="https://ascentialcdn.filespin.io/api/v1/conversion/7aeda253bc4a4f4e8c659c64a4721596" TargetMode="External" Id="rId116"/><Relationship Type="http://schemas.openxmlformats.org/officeDocument/2006/relationships/hyperlink" Target="https://www.lovethework.com/work/entries/carrefoursa-ghost-town-740781" TargetMode="External" Id="rId117"/><Relationship Type="http://schemas.openxmlformats.org/officeDocument/2006/relationships/hyperlink" Target="https://ascentialcdn.filespin.io/api/v1/conversion/b79b43804eae486ea54374794321d26f" TargetMode="External" Id="rId118"/><Relationship Type="http://schemas.openxmlformats.org/officeDocument/2006/relationships/hyperlink" Target="https://www.lovethework.com/work/entries/chai-bansuri-the-tea-flute-740791" TargetMode="External" Id="rId119"/><Relationship Type="http://schemas.openxmlformats.org/officeDocument/2006/relationships/hyperlink" Target="https://ascentialcdn.filespin.io/api/v1/conversion/0e92a3c97dfe4f05b663ae448b0f27d4" TargetMode="External" Id="rId120"/><Relationship Type="http://schemas.openxmlformats.org/officeDocument/2006/relationships/hyperlink" Target="https://www.lovethework.com/work/entries/worst-childrens-library-740810" TargetMode="External" Id="rId121"/><Relationship Type="http://schemas.openxmlformats.org/officeDocument/2006/relationships/hyperlink" Target="https://ascentialcdn.filespin.io/api/v1/conversion/2f963ba6e5b3402fb58a7907daa78953" TargetMode="External" Id="rId122"/><Relationship Type="http://schemas.openxmlformats.org/officeDocument/2006/relationships/hyperlink" Target="https://www.lovethework.com/work/entries/mayo-exchange-740956" TargetMode="External" Id="rId123"/><Relationship Type="http://schemas.openxmlformats.org/officeDocument/2006/relationships/hyperlink" Target="https://ascentialcdn.filespin.io/api/v1/conversion/e14b84bfe13a475898db5ad4b54d8a97" TargetMode="External" Id="rId124"/><Relationship Type="http://schemas.openxmlformats.org/officeDocument/2006/relationships/hyperlink" Target="https://www.lovethework.com/work/entries/touchboards-discount-740763" TargetMode="External" Id="rId125"/><Relationship Type="http://schemas.openxmlformats.org/officeDocument/2006/relationships/hyperlink" Target="https://ascentialcdn.filespin.io/api/v1/conversion/3f6078e96a9a4e17acada7c2ad04d652" TargetMode="External" Id="rId126"/><Relationship Type="http://schemas.openxmlformats.org/officeDocument/2006/relationships/hyperlink" Target="https://www.lovethework.com/work/entries/followers-store-741098" TargetMode="External" Id="rId127"/><Relationship Type="http://schemas.openxmlformats.org/officeDocument/2006/relationships/hyperlink" Target="https://ascentialcdn.filespin.io/api/v1/conversion/cf238077a73e4204aff7e28913d98b1d" TargetMode="External" Id="rId128"/><Relationship Type="http://schemas.openxmlformats.org/officeDocument/2006/relationships/hyperlink" Target="https://www.lovethework.com/work/entries/lucky-yatra-741094" TargetMode="External" Id="rId129"/><Relationship Type="http://schemas.openxmlformats.org/officeDocument/2006/relationships/hyperlink" Target="https://ascentialcdn.filespin.io/api/v1/conversion/459dc31c901d4c3385f219939e6621a9" TargetMode="External" Id="rId130"/><Relationship Type="http://schemas.openxmlformats.org/officeDocument/2006/relationships/hyperlink" Target="https://www.lovethework.com/work/entries/hidden-message-741175" TargetMode="External" Id="rId131"/><Relationship Type="http://schemas.openxmlformats.org/officeDocument/2006/relationships/hyperlink" Target="https://ascentialcdn.filespin.io/api/v1/conversion/a5387631458b48648c6dba4b21efb3d0" TargetMode="External" Id="rId132"/><Relationship Type="http://schemas.openxmlformats.org/officeDocument/2006/relationships/hyperlink" Target="https://www.lovethework.com/work/entries/the-shaded-route-741203" TargetMode="External" Id="rId133"/><Relationship Type="http://schemas.openxmlformats.org/officeDocument/2006/relationships/hyperlink" Target="https://www.lovethework.com/work/entries/winning-isnt-comfortable-741524" TargetMode="External" Id="rId134"/><Relationship Type="http://schemas.openxmlformats.org/officeDocument/2006/relationships/hyperlink" Target="https://ascentialcdn.filespin.io/api/v1/conversion/591a046477ac42a3973af316aacb0ac5" TargetMode="External" Id="rId135"/><Relationship Type="http://schemas.openxmlformats.org/officeDocument/2006/relationships/hyperlink" Target="https://www.lovethework.com/work/entries/not-for-first-dates-741459" TargetMode="External" Id="rId136"/><Relationship Type="http://schemas.openxmlformats.org/officeDocument/2006/relationships/hyperlink" Target="https://ascentialcdn.filespin.io/api/v1/conversion/acd8d741c65343949410395ac1ef1341" TargetMode="External" Id="rId137"/><Relationship Type="http://schemas.openxmlformats.org/officeDocument/2006/relationships/hyperlink" Target="https://www.lovethework.com/work/entries/awkboards-741401" TargetMode="External" Id="rId138"/><Relationship Type="http://schemas.openxmlformats.org/officeDocument/2006/relationships/hyperlink" Target="https://ascentialcdn.filespin.io/api/v1/conversion/2e3e8abad74c4c44a8e303b53e1f6eea" TargetMode="External" Id="rId139"/><Relationship Type="http://schemas.openxmlformats.org/officeDocument/2006/relationships/hyperlink" Target="https://www.lovethework.com/work/entries/trollboards-741387" TargetMode="External" Id="rId140"/><Relationship Type="http://schemas.openxmlformats.org/officeDocument/2006/relationships/hyperlink" Target="https://ascentialcdn.filespin.io/api/v1/conversion/01a9990a2bf44119a25722e3b82f52aa" TargetMode="External" Id="rId141"/><Relationship Type="http://schemas.openxmlformats.org/officeDocument/2006/relationships/hyperlink" Target="https://www.lovethework.com/work/entries/save-us-from-the-usa-741701" TargetMode="External" Id="rId142"/><Relationship Type="http://schemas.openxmlformats.org/officeDocument/2006/relationships/hyperlink" Target="https://ascentialcdn.filespin.io/api/v1/conversion/50b54ec5009448c5b2d59e4b93bfd487" TargetMode="External" Id="rId143"/><Relationship Type="http://schemas.openxmlformats.org/officeDocument/2006/relationships/hyperlink" Target="https://www.lovethework.com/work/entries/see-my-name-741591" TargetMode="External" Id="rId144"/><Relationship Type="http://schemas.openxmlformats.org/officeDocument/2006/relationships/hyperlink" Target="https://ascentialcdn.filespin.io/api/v1/conversion/b018a310a849410db9cc6b9091ca2dcb" TargetMode="External" Id="rId145"/><Relationship Type="http://schemas.openxmlformats.org/officeDocument/2006/relationships/hyperlink" Target="https://www.lovethework.com/work/entries/vi-guardian-beads-741561" TargetMode="External" Id="rId146"/><Relationship Type="http://schemas.openxmlformats.org/officeDocument/2006/relationships/hyperlink" Target="https://ascentialcdn.filespin.io/api/v1/conversion/f9f2a8cb575c498084f110de98272a4a" TargetMode="External" Id="rId147"/><Relationship Type="http://schemas.openxmlformats.org/officeDocument/2006/relationships/hyperlink" Target="https://www.lovethework.com/work/entries/aeromexicanos-741588" TargetMode="External" Id="rId148"/><Relationship Type="http://schemas.openxmlformats.org/officeDocument/2006/relationships/hyperlink" Target="https://ascentialcdn.filespin.io/api/v1/conversion/9e69373c321b48e6b9ec6b8ecaf6f8f5" TargetMode="External" Id="rId149"/><Relationship Type="http://schemas.openxmlformats.org/officeDocument/2006/relationships/hyperlink" Target="https://www.lovethework.com/work/entries/coincidence-781082" TargetMode="External" Id="rId150"/><Relationship Type="http://schemas.openxmlformats.org/officeDocument/2006/relationships/hyperlink" Target="https://ascentialcdn.filespin.io/api/v1/conversion/ea36a01301bf4052b6ccc9e26281c6ef" TargetMode="External" Id="rId151"/><Relationship Type="http://schemas.openxmlformats.org/officeDocument/2006/relationships/hyperlink" Target="https://www.lovethework.com/work/entries/london-780664" TargetMode="External" Id="rId152"/><Relationship Type="http://schemas.openxmlformats.org/officeDocument/2006/relationships/hyperlink" Target="https://ascentialcdn.filespin.io/api/v1/conversion/360cc5c8d20648b197bc8bc13c6371ec" TargetMode="External" Id="rId153"/><Relationship Type="http://schemas.openxmlformats.org/officeDocument/2006/relationships/hyperlink" Target="https://www.lovethework.com/work/entries/marrakesh-773801" TargetMode="External" Id="rId154"/><Relationship Type="http://schemas.openxmlformats.org/officeDocument/2006/relationships/hyperlink" Target="https://ascentialcdn.filespin.io/api/v1/conversion/0718b5a0a0e847d29275452cbc3a3f24" TargetMode="External" Id="rId155"/><Relationship Type="http://schemas.openxmlformats.org/officeDocument/2006/relationships/hyperlink" Target="https://www.lovethework.com/work/entries/bahamas-773804" TargetMode="External" Id="rId156"/><Relationship Type="http://schemas.openxmlformats.org/officeDocument/2006/relationships/hyperlink" Target="https://ascentialcdn.filespin.io/api/v1/conversion/f20b6f66d22c4bedbf73b3c5f7eb8d34" TargetMode="External" Id="rId157"/><Relationship Type="http://schemas.openxmlformats.org/officeDocument/2006/relationships/hyperlink" Target="https://www.lovethework.com/work/entries/blizzard-as-usual-1-781812" TargetMode="External" Id="rId158"/><Relationship Type="http://schemas.openxmlformats.org/officeDocument/2006/relationships/hyperlink" Target="https://ascentialcdn.filespin.io/api/v1/conversion/2ef70d835b8742c3a3ddd0baafd338f9" TargetMode="External" Id="rId159"/><Relationship Type="http://schemas.openxmlformats.org/officeDocument/2006/relationships/hyperlink" Target="https://www.lovethework.com/work/entries/blizzard-as-usual-2-781813" TargetMode="External" Id="rId160"/><Relationship Type="http://schemas.openxmlformats.org/officeDocument/2006/relationships/hyperlink" Target="https://ascentialcdn.filespin.io/api/v1/conversion/9a3f8f3c2518439587bff77df6f2e6c1" TargetMode="External" Id="rId161"/><Relationship Type="http://schemas.openxmlformats.org/officeDocument/2006/relationships/hyperlink" Target="https://www.lovethework.com/work/entries/blizzard-as-usual-3-781814" TargetMode="External" Id="rId162"/><Relationship Type="http://schemas.openxmlformats.org/officeDocument/2006/relationships/hyperlink" Target="https://ascentialcdn.filespin.io/api/v1/conversion/0ae3f31aa29747fead886298ba298f4a" TargetMode="External" Id="rId163"/><Relationship Type="http://schemas.openxmlformats.org/officeDocument/2006/relationships/hyperlink" Target="https://www.lovethework.com/work/entries/listening-773895" TargetMode="External" Id="rId164"/><Relationship Type="http://schemas.openxmlformats.org/officeDocument/2006/relationships/hyperlink" Target="https://ascentialcdn.filespin.io/api/v1/conversion/d25487359a99417dae16fef5d80c7ed3" TargetMode="External" Id="rId165"/><Relationship Type="http://schemas.openxmlformats.org/officeDocument/2006/relationships/hyperlink" Target="https://www.lovethework.com/work/entries/strumming-773904" TargetMode="External" Id="rId166"/><Relationship Type="http://schemas.openxmlformats.org/officeDocument/2006/relationships/hyperlink" Target="https://ascentialcdn.filespin.io/api/v1/conversion/7781b13d20634ffbbd3f30fbd692d9cb" TargetMode="External" Id="rId167"/><Relationship Type="http://schemas.openxmlformats.org/officeDocument/2006/relationships/hyperlink" Target="https://www.lovethework.com/work/entries/reading-773910" TargetMode="External" Id="rId168"/><Relationship Type="http://schemas.openxmlformats.org/officeDocument/2006/relationships/hyperlink" Target="https://ascentialcdn.filespin.io/api/v1/conversion/09bc532278ac434382b29be611fcfbcd" TargetMode="External" Id="rId169"/><Relationship Type="http://schemas.openxmlformats.org/officeDocument/2006/relationships/hyperlink" Target="https://www.lovethework.com/work/entries/daydreaming-773916" TargetMode="External" Id="rId170"/><Relationship Type="http://schemas.openxmlformats.org/officeDocument/2006/relationships/hyperlink" Target="https://ascentialcdn.filespin.io/api/v1/conversion/e046424d59624f868cc948c68204b629" TargetMode="External" Id="rId171"/><Relationship Type="http://schemas.openxmlformats.org/officeDocument/2006/relationships/hyperlink" Target="https://www.lovethework.com/work/entries/new-york-773929" TargetMode="External" Id="rId172"/><Relationship Type="http://schemas.openxmlformats.org/officeDocument/2006/relationships/hyperlink" Target="https://ascentialcdn.filespin.io/api/v1/conversion/f6d5816b7ded4af5977fe1410d33e3a4" TargetMode="External" Id="rId173"/><Relationship Type="http://schemas.openxmlformats.org/officeDocument/2006/relationships/hyperlink" Target="https://www.lovethework.com/work/entries/the-pyrenees-773780" TargetMode="External" Id="rId174"/><Relationship Type="http://schemas.openxmlformats.org/officeDocument/2006/relationships/hyperlink" Target="https://ascentialcdn.filespin.io/api/v1/conversion/8b33ac1c62494a3db5d7edb0ace06d76" TargetMode="External" Id="rId175"/><Relationship Type="http://schemas.openxmlformats.org/officeDocument/2006/relationships/hyperlink" Target="https://www.lovethework.com/work/entries/abuja-780691" TargetMode="External" Id="rId176"/><Relationship Type="http://schemas.openxmlformats.org/officeDocument/2006/relationships/hyperlink" Target="https://ascentialcdn.filespin.io/api/v1/conversion/2871e116e8e84821ad316ed7313291fa" TargetMode="External" Id="rId177"/><Relationship Type="http://schemas.openxmlformats.org/officeDocument/2006/relationships/hyperlink" Target="https://www.lovethework.com/work/entries/gig-781129" TargetMode="External" Id="rId178"/><Relationship Type="http://schemas.openxmlformats.org/officeDocument/2006/relationships/hyperlink" Target="https://ascentialcdn.filespin.io/api/v1/conversion/043c00c89c1040249f0fa8d738cb065c" TargetMode="External" Id="rId179"/><Relationship Type="http://schemas.openxmlformats.org/officeDocument/2006/relationships/hyperlink" Target="https://www.lovethework.com/work/entries/wedding-781130" TargetMode="External" Id="rId180"/><Relationship Type="http://schemas.openxmlformats.org/officeDocument/2006/relationships/hyperlink" Target="https://ascentialcdn.filespin.io/api/v1/conversion/d15dd5731b41491ea690b4d3ab4a2403" TargetMode="External" Id="rId181"/><Relationship Type="http://schemas.openxmlformats.org/officeDocument/2006/relationships/hyperlink" Target="https://www.lovethework.com/work/entries/bowling-781131" TargetMode="External" Id="rId182"/><Relationship Type="http://schemas.openxmlformats.org/officeDocument/2006/relationships/hyperlink" Target="https://ascentialcdn.filespin.io/api/v1/conversion/69614d6489d54169b37f9d4f29af9ce2" TargetMode="External" Id="rId183"/><Relationship Type="http://schemas.openxmlformats.org/officeDocument/2006/relationships/hyperlink" Target="https://www.lovethework.com/work/entries/lime-guides-774003" TargetMode="External" Id="rId184"/><Relationship Type="http://schemas.openxmlformats.org/officeDocument/2006/relationships/hyperlink" Target="https://ascentialcdn.filespin.io/api/v1/conversion/6f517e3917a04fb19738c49af7c9f4c2" TargetMode="External" Id="rId185"/><Relationship Type="http://schemas.openxmlformats.org/officeDocument/2006/relationships/hyperlink" Target="https://www.lovethework.com/work/entries/discount-chants-781818" TargetMode="External" Id="rId186"/><Relationship Type="http://schemas.openxmlformats.org/officeDocument/2006/relationships/hyperlink" Target="https://ascentialcdn.filespin.io/api/v1/conversion/adde89bef9a84a33b5c8fa83c256a8d9" TargetMode="External" Id="rId187"/><Relationship Type="http://schemas.openxmlformats.org/officeDocument/2006/relationships/hyperlink" Target="https://www.lovethework.com/work/entries/ukraine-air-raid-alerts-emergency-broadcast-system-helsinki-777790" TargetMode="External" Id="rId188"/><Relationship Type="http://schemas.openxmlformats.org/officeDocument/2006/relationships/hyperlink" Target="https://ascentialcdn.filespin.io/api/v1/conversion/40948a886f0f4f859f555d219fc1c6b3" TargetMode="External" Id="rId189"/><Relationship Type="http://schemas.openxmlformats.org/officeDocument/2006/relationships/hyperlink" Target="https://www.lovethework.com/work/entries/tiny-coffee-shops-781516" TargetMode="External" Id="rId190"/><Relationship Type="http://schemas.openxmlformats.org/officeDocument/2006/relationships/hyperlink" Target="https://ascentialcdn.filespin.io/api/v1/conversion/cfcc31b9a7134ed1affa99d6d6f534a7" TargetMode="External" Id="rId191"/><Relationship Type="http://schemas.openxmlformats.org/officeDocument/2006/relationships/hyperlink" Target="https://www.lovethework.com/work/entries/field-barcode-773894" TargetMode="External" Id="rId192"/><Relationship Type="http://schemas.openxmlformats.org/officeDocument/2006/relationships/hyperlink" Target="https://ascentialcdn.filespin.io/api/v1/conversion/e26a0913865740909d265e96a89ae2a3" TargetMode="External" Id="rId193"/><Relationship Type="http://schemas.openxmlformats.org/officeDocument/2006/relationships/hyperlink" Target="https://www.lovethework.com/work/entries/dirty-business-780721" TargetMode="External" Id="rId194"/><Relationship Type="http://schemas.openxmlformats.org/officeDocument/2006/relationships/hyperlink" Target="https://ascentialcdn.filespin.io/api/v1/conversion/cfcc31b9a7134ed1affa99d6d6f534a7" TargetMode="External" Id="rId195"/><Relationship Type="http://schemas.openxmlformats.org/officeDocument/2006/relationships/hyperlink" Target="https://www.lovethework.com/work/entries/field-barcode-773950" TargetMode="External" Id="rId196"/><Relationship Type="http://schemas.openxmlformats.org/officeDocument/2006/relationships/hyperlink" Target="https://ascentialcdn.filespin.io/api/v1/conversion/e60c77b980e64927a354265026fc0432" TargetMode="External" Id="rId197"/><Relationship Type="http://schemas.openxmlformats.org/officeDocument/2006/relationships/hyperlink" Target="https://www.lovethework.com/work/entries/fatal-question-781160" TargetMode="External" Id="rId198"/><Relationship Type="http://schemas.openxmlformats.org/officeDocument/2006/relationships/hyperlink" Target="https://ascentialcdn.filespin.io/api/v1/conversion/9cd186d321874d8bbee590f52c45c327" TargetMode="External" Id="rId199"/><Relationship Type="http://schemas.openxmlformats.org/officeDocument/2006/relationships/hyperlink" Target="https://www.lovethework.com/work/entries/mcdelivery-speed-camera-ads-774014" TargetMode="External" Id="rId200"/><Relationship Type="http://schemas.openxmlformats.org/officeDocument/2006/relationships/hyperlink" Target="https://ascentialcdn.filespin.io/api/v1/conversion/d083ccc163ac464487eaf88d70f1f449" TargetMode="External" Id="rId201"/><Relationship Type="http://schemas.openxmlformats.org/officeDocument/2006/relationships/hyperlink" Target="https://www.lovethework.com/work/entries/let-it-fly-781171" TargetMode="External" Id="rId202"/><Relationship Type="http://schemas.openxmlformats.org/officeDocument/2006/relationships/hyperlink" Target="https://ascentialcdn.filespin.io/api/v1/conversion/46f64d59f4604dc6950738c6b5f5d7c6" TargetMode="External" Id="rId203"/><Relationship Type="http://schemas.openxmlformats.org/officeDocument/2006/relationships/hyperlink" Target="https://www.lovethework.com/work/entries/kitkat-security-detail-781825" TargetMode="External" Id="rId204"/><Relationship Type="http://schemas.openxmlformats.org/officeDocument/2006/relationships/hyperlink" Target="https://ascentialcdn.filespin.io/api/v1/conversion/3926b12bf30741feae22c0af44937148" TargetMode="External" Id="rId205"/><Relationship Type="http://schemas.openxmlformats.org/officeDocument/2006/relationships/hyperlink" Target="https://www.lovethework.com/work/entries/dark-mode-ads-773952" TargetMode="External" Id="rId206"/><Relationship Type="http://schemas.openxmlformats.org/officeDocument/2006/relationships/hyperlink" Target="https://ascentialcdn.filespin.io/api/v1/conversion/142a05a20298408b90976f8f8fd5869d" TargetMode="External" Id="rId207"/><Relationship Type="http://schemas.openxmlformats.org/officeDocument/2006/relationships/hyperlink" Target="https://www.lovethework.com/work/entries/waoo-wifi-invasion-781185" TargetMode="External" Id="rId208"/><Relationship Type="http://schemas.openxmlformats.org/officeDocument/2006/relationships/hyperlink" Target="https://ascentialcdn.filespin.io/api/v1/conversion/76354bb47ec149f3a1ed5262948633a0" TargetMode="External" Id="rId209"/><Relationship Type="http://schemas.openxmlformats.org/officeDocument/2006/relationships/hyperlink" Target="https://www.lovethework.com/work/entries/td-fractional-window-shopping-781421" TargetMode="External" Id="rId210"/><Relationship Type="http://schemas.openxmlformats.org/officeDocument/2006/relationships/hyperlink" Target="https://ascentialcdn.filespin.io/api/v1/conversion/b6f4031b228f4737aa43df0173dc533b" TargetMode="External" Id="rId211"/><Relationship Type="http://schemas.openxmlformats.org/officeDocument/2006/relationships/hyperlink" Target="https://www.lovethework.com/work/entries/the-catrace-781827" TargetMode="External" Id="rId212"/><Relationship Type="http://schemas.openxmlformats.org/officeDocument/2006/relationships/hyperlink" Target="https://ascentialcdn.filespin.io/api/v1/conversion/8027aa949c0d467e88c373532e97e299" TargetMode="External" Id="rId213"/><Relationship Type="http://schemas.openxmlformats.org/officeDocument/2006/relationships/hyperlink" Target="https://www.lovethework.com/work/entries/showroom-on-ice-780754" TargetMode="External" Id="rId214"/><Relationship Type="http://schemas.openxmlformats.org/officeDocument/2006/relationships/hyperlink" Target="https://ascentialcdn.filespin.io/api/v1/conversion/dc6832a9146f48a7a792365270e9ebb6" TargetMode="External" Id="rId215"/><Relationship Type="http://schemas.openxmlformats.org/officeDocument/2006/relationships/hyperlink" Target="https://www.lovethework.com/work/entries/icedentity-793210" TargetMode="External" Id="rId216"/><Relationship Type="http://schemas.openxmlformats.org/officeDocument/2006/relationships/hyperlink" Target="https://ascentialcdn.filespin.io/api/v1/conversion/68e9398659d74a86812704e4e5e814d4" TargetMode="External" Id="rId217"/><Relationship Type="http://schemas.openxmlformats.org/officeDocument/2006/relationships/hyperlink" Target="https://www.lovethework.com/work/entries/the-periodic-fable-780758" TargetMode="External" Id="rId218"/><Relationship Type="http://schemas.openxmlformats.org/officeDocument/2006/relationships/hyperlink" Target="https://ascentialcdn.filespin.io/api/v1/conversion/989336067f294945bbea076900914e03" TargetMode="External" Id="rId219"/><Relationship Type="http://schemas.openxmlformats.org/officeDocument/2006/relationships/hyperlink" Target="https://www.lovethework.com/work/entries/ai-irresponsibly-774163" TargetMode="External" Id="rId220"/><Relationship Type="http://schemas.openxmlformats.org/officeDocument/2006/relationships/hyperlink" Target="https://ascentialcdn.filespin.io/api/v1/conversion/888113f0a4aa44d5b92063649d62c27d" TargetMode="External" Id="rId221"/><Relationship Type="http://schemas.openxmlformats.org/officeDocument/2006/relationships/hyperlink" Target="https://www.lovethework.com/work/entries/lets-end-fast-tech-781200" TargetMode="External" Id="rId222"/><Relationship Type="http://schemas.openxmlformats.org/officeDocument/2006/relationships/hyperlink" Target="https://ascentialcdn.filespin.io/api/v1/conversion/86008c80b429498c85b72a1e3044d92f" TargetMode="External" Id="rId223"/><Relationship Type="http://schemas.openxmlformats.org/officeDocument/2006/relationships/hyperlink" Target="https://www.lovethework.com/work/entries/sleep-talk-reviews-781532" TargetMode="External" Id="rId224"/><Relationship Type="http://schemas.openxmlformats.org/officeDocument/2006/relationships/hyperlink" Target="https://ascentialcdn.filespin.io/api/v1/conversion/4f23a5f488384646908dde11975e6e81" TargetMode="External" Id="rId225"/><Relationship Type="http://schemas.openxmlformats.org/officeDocument/2006/relationships/hyperlink" Target="https://www.lovethework.com/work/entries/sunburnt-car-774214" TargetMode="External" Id="rId226"/><Relationship Type="http://schemas.openxmlformats.org/officeDocument/2006/relationships/hyperlink" Target="https://ascentialcdn.filespin.io/api/v1/conversion/6427d53fa1ab472195bc3b85426b045c" TargetMode="External" Id="rId227"/><Relationship Type="http://schemas.openxmlformats.org/officeDocument/2006/relationships/hyperlink" Target="https://www.lovethework.com/work/entries/2036-774127" TargetMode="External" Id="rId228"/><Relationship Type="http://schemas.openxmlformats.org/officeDocument/2006/relationships/hyperlink" Target="https://ascentialcdn.filespin.io/api/v1/conversion/81f2778629634713aeecbb6779c3c1f3" TargetMode="External" Id="rId229"/><Relationship Type="http://schemas.openxmlformats.org/officeDocument/2006/relationships/hyperlink" Target="https://www.lovethework.com/work/entries/the-last-coke-in-the-desert-774184" TargetMode="External" Id="rId230"/><Relationship Type="http://schemas.openxmlformats.org/officeDocument/2006/relationships/hyperlink" Target="https://ascentialcdn.filespin.io/api/v1/conversion/591564d6f9614cacb866579f470d1b74" TargetMode="External" Id="rId231"/><Relationship Type="http://schemas.openxmlformats.org/officeDocument/2006/relationships/hyperlink" Target="https://www.lovethework.com/work/entries/back-to-kai-tak-781204" TargetMode="External" Id="rId232"/><Relationship Type="http://schemas.openxmlformats.org/officeDocument/2006/relationships/hyperlink" Target="https://ascentialcdn.filespin.io/api/v1/conversion/8bb696d694ca4573a41047bdcec37ecb" TargetMode="External" Id="rId233"/><Relationship Type="http://schemas.openxmlformats.org/officeDocument/2006/relationships/hyperlink" Target="https://www.lovethework.com/work/entries/rooftop-revival-776235" TargetMode="External" Id="rId234"/><Relationship Type="http://schemas.openxmlformats.org/officeDocument/2006/relationships/hyperlink" Target="https://ascentialcdn.filespin.io/api/v1/conversion/34fab606e7fd436bb390641859ea9c4b" TargetMode="External" Id="rId235"/><Relationship Type="http://schemas.openxmlformats.org/officeDocument/2006/relationships/hyperlink" Target="https://www.lovethework.com/work/entries/look-familiar-781226" TargetMode="External" Id="rId236"/><Relationship Type="http://schemas.openxmlformats.org/officeDocument/2006/relationships/hyperlink" Target="https://ascentialcdn.filespin.io/api/v1/conversion/4b8e0c5f34ee438a8410b3676e7a2fd2" TargetMode="External" Id="rId237"/><Relationship Type="http://schemas.openxmlformats.org/officeDocument/2006/relationships/hyperlink" Target="https://www.lovethework.com/work/entries/heinz-dipper-781547" TargetMode="External" Id="rId238"/><Relationship Type="http://schemas.openxmlformats.org/officeDocument/2006/relationships/hyperlink" Target="https://ascentialcdn.filespin.io/api/v1/conversion/bef8b8502abf4d76b2f0203705193dd8" TargetMode="External" Id="rId239"/><Relationship Type="http://schemas.openxmlformats.org/officeDocument/2006/relationships/hyperlink" Target="https://www.lovethework.com/work/entries/could-have-been-a-heineken-775852" TargetMode="External" Id="rId240"/><Relationship Type="http://schemas.openxmlformats.org/officeDocument/2006/relationships/hyperlink" Target="https://ascentialcdn.filespin.io/api/v1/conversion/2bf1e25539824e1293a475a82772352e" TargetMode="External" Id="rId241"/><Relationship Type="http://schemas.openxmlformats.org/officeDocument/2006/relationships/hyperlink" Target="https://www.lovethework.com/work/entries/ikea-brighton-store-launch-793275" TargetMode="External" Id="rId242"/><Relationship Type="http://schemas.openxmlformats.org/officeDocument/2006/relationships/hyperlink" Target="https://ascentialcdn.filespin.io/api/v1/conversion/d1a89ac2f21d40bcb149e7fe0b21f952" TargetMode="External" Id="rId243"/><Relationship Type="http://schemas.openxmlformats.org/officeDocument/2006/relationships/hyperlink" Target="https://www.lovethework.com/work/entries/steph-curry-shoots-the-moon-780784" TargetMode="External" Id="rId244"/><Relationship Type="http://schemas.openxmlformats.org/officeDocument/2006/relationships/hyperlink" Target="https://ascentialcdn.filespin.io/api/v1/conversion/ea10901add8b4bd3ad7a62f7a9ce80d3" TargetMode="External" Id="rId245"/><Relationship Type="http://schemas.openxmlformats.org/officeDocument/2006/relationships/hyperlink" Target="https://www.lovethework.com/work/entries/look-for-the-leaf-774162" TargetMode="External" Id="rId246"/><Relationship Type="http://schemas.openxmlformats.org/officeDocument/2006/relationships/hyperlink" Target="https://ascentialcdn.filespin.io/api/v1/conversion/8360a77d91e144ef8e7bda324e3ad068" TargetMode="External" Id="rId247"/><Relationship Type="http://schemas.openxmlformats.org/officeDocument/2006/relationships/hyperlink" Target="https://www.lovethework.com/work/entries/socializing-billboards-781249" TargetMode="External" Id="rId248"/><Relationship Type="http://schemas.openxmlformats.org/officeDocument/2006/relationships/hyperlink" Target="https://ascentialcdn.filespin.io/api/v1/conversion/69dc3faab31949dc924a19249afbb55d" TargetMode="External" Id="rId249"/><Relationship Type="http://schemas.openxmlformats.org/officeDocument/2006/relationships/hyperlink" Target="https://www.lovethework.com/work/entries/it-starts-outside-781842" TargetMode="External" Id="rId250"/></Relationships>
</file>

<file path=xl/worksheets/_rels/sheet6.xml.rels><Relationships xmlns="http://schemas.openxmlformats.org/package/2006/relationships"><Relationship Type="http://schemas.openxmlformats.org/officeDocument/2006/relationships/hyperlink" Target="https://ascentialcdn.filespin.io/api/v1/conversion/67b6df2a0fe64deeb274c91d50040c54" TargetMode="External" Id="rId1"/><Relationship Type="http://schemas.openxmlformats.org/officeDocument/2006/relationships/hyperlink" Target="https://www.lovethework.com/work/entries/price-packs-740125" TargetMode="External" Id="rId2"/><Relationship Type="http://schemas.openxmlformats.org/officeDocument/2006/relationships/hyperlink" Target="https://www.lovethework.com/work/entries/ink-of-democracy-740050" TargetMode="External" Id="rId3"/><Relationship Type="http://schemas.openxmlformats.org/officeDocument/2006/relationships/hyperlink" Target="https://ascentialcdn.filespin.io/api/v1/conversion/8487f504004046b3b4f39c80f9542955" TargetMode="External" Id="rId4"/><Relationship Type="http://schemas.openxmlformats.org/officeDocument/2006/relationships/hyperlink" Target="https://www.lovethework.com/work/entries/holi-739718" TargetMode="External" Id="rId5"/><Relationship Type="http://schemas.openxmlformats.org/officeDocument/2006/relationships/hyperlink" Target="https://ascentialcdn.filespin.io/api/v1/conversion/372489df63044fcf8bfb5e5cca943bfe" TargetMode="External" Id="rId6"/><Relationship Type="http://schemas.openxmlformats.org/officeDocument/2006/relationships/hyperlink" Target="https://www.lovethework.com/work/entries/st-patricks-day-739704" TargetMode="External" Id="rId7"/><Relationship Type="http://schemas.openxmlformats.org/officeDocument/2006/relationships/hyperlink" Target="https://ascentialcdn.filespin.io/api/v1/conversion/882ea591b6fa40b29a529180b71afa65" TargetMode="External" Id="rId8"/><Relationship Type="http://schemas.openxmlformats.org/officeDocument/2006/relationships/hyperlink" Target="https://www.lovethework.com/work/entries/happiness-within-chaos-739654" TargetMode="External" Id="rId9"/><Relationship Type="http://schemas.openxmlformats.org/officeDocument/2006/relationships/hyperlink" Target="https://ascentialcdn.filespin.io/api/v1/conversion/38e5adf42b364346bf882ff41160aabc" TargetMode="External" Id="rId10"/><Relationship Type="http://schemas.openxmlformats.org/officeDocument/2006/relationships/hyperlink" Target="https://www.lovethework.com/work/entries/new-years-739696" TargetMode="External" Id="rId11"/><Relationship Type="http://schemas.openxmlformats.org/officeDocument/2006/relationships/hyperlink" Target="https://ascentialcdn.filespin.io/api/v1/conversion/616e9779606e4684a96c828d12a9b7a0" TargetMode="External" Id="rId12"/><Relationship Type="http://schemas.openxmlformats.org/officeDocument/2006/relationships/hyperlink" Target="https://www.lovethework.com/work/entries/mardi-gras-739712" TargetMode="External" Id="rId13"/><Relationship Type="http://schemas.openxmlformats.org/officeDocument/2006/relationships/hyperlink" Target="https://ascentialcdn.filespin.io/api/v1/conversion/3bc75956d7df4f839632c72343fb5cb5" TargetMode="External" Id="rId14"/><Relationship Type="http://schemas.openxmlformats.org/officeDocument/2006/relationships/hyperlink" Target="https://www.lovethework.com/work/entries/carnaval-739726" TargetMode="External" Id="rId15"/><Relationship Type="http://schemas.openxmlformats.org/officeDocument/2006/relationships/hyperlink" Target="https://ascentialcdn.filespin.io/api/v1/conversion/bc046e548975443980453424bc30515a" TargetMode="External" Id="rId16"/><Relationship Type="http://schemas.openxmlformats.org/officeDocument/2006/relationships/hyperlink" Target="https://www.lovethework.com/work/entries/the-sip-of-sanctuary-739632" TargetMode="External" Id="rId17"/><Relationship Type="http://schemas.openxmlformats.org/officeDocument/2006/relationships/hyperlink" Target="https://ascentialcdn.filespin.io/api/v1/conversion/a33c9462c05d4330895b056745b6a602" TargetMode="External" Id="rId18"/><Relationship Type="http://schemas.openxmlformats.org/officeDocument/2006/relationships/hyperlink" Target="https://www.lovethework.com/work/entries/protector-of-the-chalice-739644" TargetMode="External" Id="rId19"/><Relationship Type="http://schemas.openxmlformats.org/officeDocument/2006/relationships/hyperlink" Target="https://ascentialcdn.filespin.io/api/v1/conversion/7e2d8fe4c7af49f0b2003ab42f27074e" TargetMode="External" Id="rId20"/><Relationship Type="http://schemas.openxmlformats.org/officeDocument/2006/relationships/hyperlink" Target="https://www.lovethework.com/work/entries/roses-764508" TargetMode="External" Id="rId21"/><Relationship Type="http://schemas.openxmlformats.org/officeDocument/2006/relationships/hyperlink" Target="https://ascentialcdn.filespin.io/api/v1/conversion/96ea34877f1644f4a22d867dfa8e2f5d" TargetMode="External" Id="rId22"/><Relationship Type="http://schemas.openxmlformats.org/officeDocument/2006/relationships/hyperlink" Target="https://www.lovethework.com/work/entries/toilet-paper-764491" TargetMode="External" Id="rId23"/><Relationship Type="http://schemas.openxmlformats.org/officeDocument/2006/relationships/hyperlink" Target="https://ascentialcdn.filespin.io/api/v1/conversion/7795062110544927acc4f73eedfb3d7d" TargetMode="External" Id="rId24"/><Relationship Type="http://schemas.openxmlformats.org/officeDocument/2006/relationships/hyperlink" Target="https://www.lovethework.com/work/entries/not-every-smile-starts-as-a-smile-740106" TargetMode="External" Id="rId25"/><Relationship Type="http://schemas.openxmlformats.org/officeDocument/2006/relationships/hyperlink" Target="https://ascentialcdn.filespin.io/api/v1/conversion/26f992b0fc0e4479b962853921264524" TargetMode="External" Id="rId26"/><Relationship Type="http://schemas.openxmlformats.org/officeDocument/2006/relationships/hyperlink" Target="https://www.lovethework.com/work/entries/notes-on-notes-739979" TargetMode="External" Id="rId27"/><Relationship Type="http://schemas.openxmlformats.org/officeDocument/2006/relationships/hyperlink" Target="https://ascentialcdn.filespin.io/api/v1/conversion/5faffc268ac047f7a20b5bf0e2fb5e1a" TargetMode="External" Id="rId28"/><Relationship Type="http://schemas.openxmlformats.org/officeDocument/2006/relationships/hyperlink" Target="https://www.lovethework.com/work/entries/public-transport-760550" TargetMode="External" Id="rId29"/><Relationship Type="http://schemas.openxmlformats.org/officeDocument/2006/relationships/hyperlink" Target="https://ascentialcdn.filespin.io/api/v1/conversion/1d6b4cb3e726479c8a6b03da24a5d79e" TargetMode="External" Id="rId30"/><Relationship Type="http://schemas.openxmlformats.org/officeDocument/2006/relationships/hyperlink" Target="https://www.lovethework.com/work/entries/street-760556" TargetMode="External" Id="rId31"/><Relationship Type="http://schemas.openxmlformats.org/officeDocument/2006/relationships/hyperlink" Target="https://ascentialcdn.filespin.io/api/v1/conversion/f6a6e5cb949d4b8fa071221329aa94bf" TargetMode="External" Id="rId32"/><Relationship Type="http://schemas.openxmlformats.org/officeDocument/2006/relationships/hyperlink" Target="https://www.lovethework.com/work/entries/crowd-760545" TargetMode="External" Id="rId33"/><Relationship Type="http://schemas.openxmlformats.org/officeDocument/2006/relationships/hyperlink" Target="https://ascentialcdn.filespin.io/api/v1/conversion/7bfaee649e4b417698823553cddf194e" TargetMode="External" Id="rId34"/><Relationship Type="http://schemas.openxmlformats.org/officeDocument/2006/relationships/hyperlink" Target="https://www.lovethework.com/work/entries/game-day-739606" TargetMode="External" Id="rId35"/><Relationship Type="http://schemas.openxmlformats.org/officeDocument/2006/relationships/hyperlink" Target="https://ascentialcdn.filespin.io/api/v1/conversion/7bfaee649e4b417698823553cddf194e" TargetMode="External" Id="rId36"/><Relationship Type="http://schemas.openxmlformats.org/officeDocument/2006/relationships/hyperlink" Target="https://www.lovethework.com/work/entries/birthday-party-739588" TargetMode="External" Id="rId37"/><Relationship Type="http://schemas.openxmlformats.org/officeDocument/2006/relationships/hyperlink" Target="https://ascentialcdn.filespin.io/api/v1/conversion/7bfaee649e4b417698823553cddf194e" TargetMode="External" Id="rId38"/><Relationship Type="http://schemas.openxmlformats.org/officeDocument/2006/relationships/hyperlink" Target="https://www.lovethework.com/work/entries/dinner-739600" TargetMode="External" Id="rId39"/><Relationship Type="http://schemas.openxmlformats.org/officeDocument/2006/relationships/hyperlink" Target="https://ascentialcdn.filespin.io/api/v1/conversion/2e8876adc7f74c79b691fdfab21733d3" TargetMode="External" Id="rId40"/><Relationship Type="http://schemas.openxmlformats.org/officeDocument/2006/relationships/hyperlink" Target="https://www.lovethework.com/work/entries/bananas-764516" TargetMode="External" Id="rId41"/><Relationship Type="http://schemas.openxmlformats.org/officeDocument/2006/relationships/hyperlink" Target="https://ascentialcdn.filespin.io/api/v1/conversion/bde69bf2e7be40499498d5c2b091ec54" TargetMode="External" Id="rId42"/><Relationship Type="http://schemas.openxmlformats.org/officeDocument/2006/relationships/hyperlink" Target="https://www.lovethework.com/work/entries/eggs-764497" TargetMode="External" Id="rId43"/><Relationship Type="http://schemas.openxmlformats.org/officeDocument/2006/relationships/hyperlink" Target="https://ascentialcdn.filespin.io/api/v1/conversion/3bc3455889f14af89ad13e749464c1f2" TargetMode="External" Id="rId44"/><Relationship Type="http://schemas.openxmlformats.org/officeDocument/2006/relationships/hyperlink" Target="https://www.lovethework.com/work/entries/the-shakespeare-bic-740046" TargetMode="External" Id="rId45"/><Relationship Type="http://schemas.openxmlformats.org/officeDocument/2006/relationships/hyperlink" Target="https://ascentialcdn.filespin.io/api/v1/conversion/2b000adce52c43929b343bdac9dd757a" TargetMode="External" Id="rId46"/><Relationship Type="http://schemas.openxmlformats.org/officeDocument/2006/relationships/hyperlink" Target="https://www.lovethework.com/work/entries/duck-764523" TargetMode="External" Id="rId47"/><Relationship Type="http://schemas.openxmlformats.org/officeDocument/2006/relationships/hyperlink" Target="https://ascentialcdn.filespin.io/api/v1/conversion/f853d90cf7e444e99add88e4dc3a069b" TargetMode="External" Id="rId48"/><Relationship Type="http://schemas.openxmlformats.org/officeDocument/2006/relationships/hyperlink" Target="https://www.lovethework.com/work/entries/corona-eclipse-740137" TargetMode="External" Id="rId49"/><Relationship Type="http://schemas.openxmlformats.org/officeDocument/2006/relationships/hyperlink" Target="https://ascentialcdn.filespin.io/api/v1/conversion/c5b031a5911b4850a76ea7fd56dbea94" TargetMode="External" Id="rId50"/><Relationship Type="http://schemas.openxmlformats.org/officeDocument/2006/relationships/hyperlink" Target="https://www.lovethework.com/work/entries/jordan-23-739924" TargetMode="External" Id="rId51"/><Relationship Type="http://schemas.openxmlformats.org/officeDocument/2006/relationships/hyperlink" Target="https://ascentialcdn.filespin.io/api/v1/conversion/7f9c50afbfc4459aa7a6bc82ca0b9c86" TargetMode="External" Id="rId52"/><Relationship Type="http://schemas.openxmlformats.org/officeDocument/2006/relationships/hyperlink" Target="https://www.lovethework.com/work/entries/running-739716" TargetMode="External" Id="rId53"/><Relationship Type="http://schemas.openxmlformats.org/officeDocument/2006/relationships/hyperlink" Target="https://ascentialcdn.filespin.io/api/v1/conversion/35c567148f6e40e1a267849bde62ba92" TargetMode="External" Id="rId54"/><Relationship Type="http://schemas.openxmlformats.org/officeDocument/2006/relationships/hyperlink" Target="https://www.lovethework.com/work/entries/waves-758582" TargetMode="External" Id="rId55"/><Relationship Type="http://schemas.openxmlformats.org/officeDocument/2006/relationships/hyperlink" Target="https://ascentialcdn.filespin.io/api/v1/conversion/07c2f6587e874a9db8f1446fd7f9d520" TargetMode="External" Id="rId56"/><Relationship Type="http://schemas.openxmlformats.org/officeDocument/2006/relationships/hyperlink" Target="https://www.lovethework.com/work/entries/history-outnumbered-760429" TargetMode="External" Id="rId57"/><Relationship Type="http://schemas.openxmlformats.org/officeDocument/2006/relationships/hyperlink" Target="https://ascentialcdn.filespin.io/api/v1/conversion/2f9ebcc7b9ec4ad9a4dcf79bd56fa88b" TargetMode="External" Id="rId58"/><Relationship Type="http://schemas.openxmlformats.org/officeDocument/2006/relationships/hyperlink" Target="https://www.lovethework.com/work/entries/windsurf-758599" TargetMode="External" Id="rId59"/><Relationship Type="http://schemas.openxmlformats.org/officeDocument/2006/relationships/hyperlink" Target="https://ascentialcdn.filespin.io/api/v1/conversion/e7cc0c06262e42b19cab333197725351" TargetMode="External" Id="rId60"/><Relationship Type="http://schemas.openxmlformats.org/officeDocument/2006/relationships/hyperlink" Target="https://www.lovethework.com/work/entries/shaq-34-739934" TargetMode="External" Id="rId61"/><Relationship Type="http://schemas.openxmlformats.org/officeDocument/2006/relationships/hyperlink" Target="https://ascentialcdn.filespin.io/api/v1/conversion/38843c3e975e4cdfb57d5df8c625382d" TargetMode="External" Id="rId62"/><Relationship Type="http://schemas.openxmlformats.org/officeDocument/2006/relationships/hyperlink" Target="https://www.lovethework.com/work/entries/kick-boxing-739728" TargetMode="External" Id="rId63"/><Relationship Type="http://schemas.openxmlformats.org/officeDocument/2006/relationships/hyperlink" Target="https://ascentialcdn.filespin.io/api/v1/conversion/c9a1239df73f4604809221939576d7f1" TargetMode="External" Id="rId64"/><Relationship Type="http://schemas.openxmlformats.org/officeDocument/2006/relationships/hyperlink" Target="https://www.lovethework.com/work/entries/lebron-6-739952" TargetMode="External" Id="rId65"/><Relationship Type="http://schemas.openxmlformats.org/officeDocument/2006/relationships/hyperlink" Target="https://ascentialcdn.filespin.io/api/v1/conversion/e7509fe94193449ab6656099498b127b" TargetMode="External" Id="rId66"/><Relationship Type="http://schemas.openxmlformats.org/officeDocument/2006/relationships/hyperlink" Target="https://www.lovethework.com/work/entries/found-in-translation-740061" TargetMode="External" Id="rId67"/><Relationship Type="http://schemas.openxmlformats.org/officeDocument/2006/relationships/hyperlink" Target="https://ascentialcdn.filespin.io/api/v1/conversion/e42388f28bfb41c7ad9b20fe7d0d6982" TargetMode="External" Id="rId68"/><Relationship Type="http://schemas.openxmlformats.org/officeDocument/2006/relationships/hyperlink" Target="https://www.lovethework.com/work/entries/diver-758726" TargetMode="External" Id="rId69"/><Relationship Type="http://schemas.openxmlformats.org/officeDocument/2006/relationships/hyperlink" Target="https://ascentialcdn.filespin.io/api/v1/conversion/13a4275fa0744f33abce7c940e31f041" TargetMode="External" Id="rId70"/><Relationship Type="http://schemas.openxmlformats.org/officeDocument/2006/relationships/hyperlink" Target="https://www.lovethework.com/work/entries/eye-shot-on-faber-castell-739620" TargetMode="External" Id="rId71"/><Relationship Type="http://schemas.openxmlformats.org/officeDocument/2006/relationships/hyperlink" Target="https://ascentialcdn.filespin.io/api/v1/conversion/3a177c8b37754037a19ddf0d99c858db" TargetMode="External" Id="rId72"/><Relationship Type="http://schemas.openxmlformats.org/officeDocument/2006/relationships/hyperlink" Target="https://www.lovethework.com/work/entries/boat-758573" TargetMode="External" Id="rId73"/><Relationship Type="http://schemas.openxmlformats.org/officeDocument/2006/relationships/hyperlink" Target="https://ascentialcdn.filespin.io/api/v1/conversion/3a49c191a12941509feeea5c2f551a2b" TargetMode="External" Id="rId74"/><Relationship Type="http://schemas.openxmlformats.org/officeDocument/2006/relationships/hyperlink" Target="https://www.lovethework.com/work/entries/lemon-shot-on-faber-castell-739605" TargetMode="External" Id="rId75"/><Relationship Type="http://schemas.openxmlformats.org/officeDocument/2006/relationships/hyperlink" Target="https://ascentialcdn.filespin.io/api/v1/conversion/9ceaf650a007496f90b6d5670786b4df" TargetMode="External" Id="rId76"/><Relationship Type="http://schemas.openxmlformats.org/officeDocument/2006/relationships/hyperlink" Target="https://www.lovethework.com/work/entries/surfer-758590" TargetMode="External" Id="rId77"/><Relationship Type="http://schemas.openxmlformats.org/officeDocument/2006/relationships/hyperlink" Target="https://ascentialcdn.filespin.io/api/v1/conversion/d693c1e769a741a4b475d5ec8a7e89a1" TargetMode="External" Id="rId78"/><Relationship Type="http://schemas.openxmlformats.org/officeDocument/2006/relationships/hyperlink" Target="https://www.lovethework.com/work/entries/kobe-8-739945" TargetMode="External" Id="rId79"/><Relationship Type="http://schemas.openxmlformats.org/officeDocument/2006/relationships/hyperlink" Target="https://ascentialcdn.filespin.io/api/v1/conversion/9dcab7bc84b744cea2a588c2b63f30c2" TargetMode="External" Id="rId80"/><Relationship Type="http://schemas.openxmlformats.org/officeDocument/2006/relationships/hyperlink" Target="https://www.lovethework.com/work/entries/scholarship-in-books-740104" TargetMode="External" Id="rId81"/><Relationship Type="http://schemas.openxmlformats.org/officeDocument/2006/relationships/hyperlink" Target="https://www.lovethework.com/work/entries/pubic-service-announcement-760516" TargetMode="External" Id="rId82"/><Relationship Type="http://schemas.openxmlformats.org/officeDocument/2006/relationships/hyperlink" Target="https://ascentialcdn.filespin.io/api/v1/conversion/2d1f419e936b4d0ea17e3840fa1b8a50" TargetMode="External" Id="rId83"/><Relationship Type="http://schemas.openxmlformats.org/officeDocument/2006/relationships/hyperlink" Target="https://www.lovethework.com/work/entries/coffee-shot-on-faber-castell-739612" TargetMode="External" Id="rId84"/><Relationship Type="http://schemas.openxmlformats.org/officeDocument/2006/relationships/hyperlink" Target="https://ascentialcdn.filespin.io/api/v1/conversion/9d66925a6eb0418eb99f0354abd04b27" TargetMode="External" Id="rId85"/><Relationship Type="http://schemas.openxmlformats.org/officeDocument/2006/relationships/hyperlink" Target="https://www.lovethework.com/work/entries/football-739709" TargetMode="External" Id="rId86"/><Relationship Type="http://schemas.openxmlformats.org/officeDocument/2006/relationships/hyperlink" Target="https://ascentialcdn.filespin.io/api/v1/conversion/36fd55aacbed488286697152f0a3eeb3" TargetMode="External" Id="rId87"/><Relationship Type="http://schemas.openxmlformats.org/officeDocument/2006/relationships/hyperlink" Target="https://www.lovethework.com/work/entries/coupon-rain-760474" TargetMode="External" Id="rId88"/><Relationship Type="http://schemas.openxmlformats.org/officeDocument/2006/relationships/hyperlink" Target="https://ascentialcdn.filespin.io/api/v1/conversion/e09e1f0a06fc44109db762800cac9584" TargetMode="External" Id="rId89"/><Relationship Type="http://schemas.openxmlformats.org/officeDocument/2006/relationships/hyperlink" Target="https://www.lovethework.com/work/entries/the-freedom-edition-740070" TargetMode="External" Id="rId90"/><Relationship Type="http://schemas.openxmlformats.org/officeDocument/2006/relationships/hyperlink" Target="https://ascentialcdn.filespin.io/api/v1/conversion/213499378a8c445f99fab33b4bc5c39a" TargetMode="External" Id="rId91"/><Relationship Type="http://schemas.openxmlformats.org/officeDocument/2006/relationships/hyperlink" Target="https://www.lovethework.com/work/entries/look-familiar-781056" TargetMode="External" Id="rId92"/><Relationship Type="http://schemas.openxmlformats.org/officeDocument/2006/relationships/hyperlink" Target="https://ascentialcdn.filespin.io/api/v1/conversion/33d1bc75f5734096a802cd224f77ce5d" TargetMode="External" Id="rId93"/><Relationship Type="http://schemas.openxmlformats.org/officeDocument/2006/relationships/hyperlink" Target="https://www.lovethework.com/work/entries/iconic-home-original-780971" TargetMode="External" Id="rId94"/><Relationship Type="http://schemas.openxmlformats.org/officeDocument/2006/relationships/hyperlink" Target="https://ascentialcdn.filespin.io/api/v1/conversion/85600e0a2bbb4184a2f742fb7bd144be" TargetMode="External" Id="rId95"/><Relationship Type="http://schemas.openxmlformats.org/officeDocument/2006/relationships/hyperlink" Target="https://www.lovethework.com/work/entries/iconic-home-french-vanilla-780972" TargetMode="External" Id="rId96"/><Relationship Type="http://schemas.openxmlformats.org/officeDocument/2006/relationships/hyperlink" Target="https://ascentialcdn.filespin.io/api/v1/conversion/71eab80461fe4658b78adfcdd9262275" TargetMode="External" Id="rId97"/><Relationship Type="http://schemas.openxmlformats.org/officeDocument/2006/relationships/hyperlink" Target="https://www.lovethework.com/work/entries/iconic-home-midnight-780973" TargetMode="External" Id="rId98"/><Relationship Type="http://schemas.openxmlformats.org/officeDocument/2006/relationships/hyperlink" Target="https://ascentialcdn.filespin.io/api/v1/conversion/d3630efc1bab4ef1a231b5e5f1d14e8d" TargetMode="External" Id="rId99"/><Relationship Type="http://schemas.openxmlformats.org/officeDocument/2006/relationships/hyperlink" Target="https://www.lovethework.com/work/entries/the-trojan-fax-773680" TargetMode="External" Id="rId100"/><Relationship Type="http://schemas.openxmlformats.org/officeDocument/2006/relationships/hyperlink" Target="https://ascentialcdn.filespin.io/api/v1/conversion/739be0dab43d42efb0ff27650fba1a05" TargetMode="External" Id="rId101"/><Relationship Type="http://schemas.openxmlformats.org/officeDocument/2006/relationships/hyperlink" Target="https://www.lovethework.com/work/entries/los-campeones-restaurant-780614" TargetMode="External" Id="rId102"/><Relationship Type="http://schemas.openxmlformats.org/officeDocument/2006/relationships/hyperlink" Target="https://ascentialcdn.filespin.io/api/v1/conversion/a7be0c72b69b4b789d3b814f8501ef9b" TargetMode="External" Id="rId103"/><Relationship Type="http://schemas.openxmlformats.org/officeDocument/2006/relationships/hyperlink" Target="https://www.lovethework.com/work/entries/lo-de-facu-pub-773695" TargetMode="External" Id="rId104"/><Relationship Type="http://schemas.openxmlformats.org/officeDocument/2006/relationships/hyperlink" Target="https://ascentialcdn.filespin.io/api/v1/conversion/71a9f55d20f641e4a1e42465a3df6ac3" TargetMode="External" Id="rId105"/><Relationship Type="http://schemas.openxmlformats.org/officeDocument/2006/relationships/hyperlink" Target="https://www.lovethework.com/work/entries/la-guitarrita-bar-773699" TargetMode="External" Id="rId106"/><Relationship Type="http://schemas.openxmlformats.org/officeDocument/2006/relationships/hyperlink" Target="https://ascentialcdn.filespin.io/api/v1/conversion/39fbcbeeaa8b42ef8493415e15468f7c" TargetMode="External" Id="rId107"/><Relationship Type="http://schemas.openxmlformats.org/officeDocument/2006/relationships/hyperlink" Target="https://www.lovethework.com/work/entries/no-blue-no-green-773775" TargetMode="External" Id="rId108"/><Relationship Type="http://schemas.openxmlformats.org/officeDocument/2006/relationships/hyperlink" Target="https://ascentialcdn.filespin.io/api/v1/conversion/d7abd148ba5b4152a93c9025976776f7" TargetMode="External" Id="rId109"/><Relationship Type="http://schemas.openxmlformats.org/officeDocument/2006/relationships/hyperlink" Target="https://www.lovethework.com/work/entries/silent-edition-781901" TargetMode="External" Id="rId110"/><Relationship Type="http://schemas.openxmlformats.org/officeDocument/2006/relationships/hyperlink" Target="https://ascentialcdn.filespin.io/api/v1/conversion/e57584c0748244bbaac3b2fcf92427cd" TargetMode="External" Id="rId111"/><Relationship Type="http://schemas.openxmlformats.org/officeDocument/2006/relationships/hyperlink" Target="https://www.lovethework.com/work/entries/uncovering-racism-773688" TargetMode="External" Id="rId112"/><Relationship Type="http://schemas.openxmlformats.org/officeDocument/2006/relationships/hyperlink" Target="https://ascentialcdn.filespin.io/api/v1/conversion/4ed57ea18b694d76b1578114193c08d0" TargetMode="External" Id="rId113"/><Relationship Type="http://schemas.openxmlformats.org/officeDocument/2006/relationships/hyperlink" Target="https://www.lovethework.com/work/entries/is-that-a-pinntorp-780977" TargetMode="External" Id="rId114"/><Relationship Type="http://schemas.openxmlformats.org/officeDocument/2006/relationships/hyperlink" Target="https://ascentialcdn.filespin.io/api/v1/conversion/58aa767b77be444d836da577522e3174" TargetMode="External" Id="rId115"/><Relationship Type="http://schemas.openxmlformats.org/officeDocument/2006/relationships/hyperlink" Target="https://www.lovethework.com/work/entries/georgia-780628" TargetMode="External" Id="rId116"/><Relationship Type="http://schemas.openxmlformats.org/officeDocument/2006/relationships/hyperlink" Target="https://ascentialcdn.filespin.io/api/v1/conversion/2c17990a14af4b9385b0ca854dee1faa" TargetMode="External" Id="rId117"/><Relationship Type="http://schemas.openxmlformats.org/officeDocument/2006/relationships/hyperlink" Target="https://www.lovethework.com/work/entries/missouri-773684" TargetMode="External" Id="rId118"/><Relationship Type="http://schemas.openxmlformats.org/officeDocument/2006/relationships/hyperlink" Target="https://ascentialcdn.filespin.io/api/v1/conversion/22b013316b08496180171e3e96dce8a4" TargetMode="External" Id="rId119"/><Relationship Type="http://schemas.openxmlformats.org/officeDocument/2006/relationships/hyperlink" Target="https://www.lovethework.com/work/entries/pennsylvania-773690" TargetMode="External" Id="rId120"/><Relationship Type="http://schemas.openxmlformats.org/officeDocument/2006/relationships/hyperlink" Target="https://ascentialcdn.filespin.io/api/v1/conversion/acbc18e8616c430d8d0426f781209d64" TargetMode="External" Id="rId121"/><Relationship Type="http://schemas.openxmlformats.org/officeDocument/2006/relationships/hyperlink" Target="https://www.lovethework.com/work/entries/lets-end-fast-tech-781031" TargetMode="External" Id="rId122"/><Relationship Type="http://schemas.openxmlformats.org/officeDocument/2006/relationships/hyperlink" Target="https://ascentialcdn.filespin.io/api/v1/conversion/e96525833faf47a58d2bb17826eb4da0" TargetMode="External" Id="rId123"/><Relationship Type="http://schemas.openxmlformats.org/officeDocument/2006/relationships/hyperlink" Target="https://www.lovethework.com/work/entries/wherever-life-goes-782149" TargetMode="External" Id="rId124"/><Relationship Type="http://schemas.openxmlformats.org/officeDocument/2006/relationships/hyperlink" Target="https://ascentialcdn.filespin.io/api/v1/conversion/5393f4844a3648e8bbec9ebd1d6cbee2" TargetMode="External" Id="rId125"/><Relationship Type="http://schemas.openxmlformats.org/officeDocument/2006/relationships/hyperlink" Target="https://www.lovethework.com/work/entries/30under30-782218" TargetMode="External" Id="rId126"/><Relationship Type="http://schemas.openxmlformats.org/officeDocument/2006/relationships/hyperlink" Target="https://ascentialcdn.filespin.io/api/v1/conversion/ac57f1401301462a935dab09e3fa96d8" TargetMode="External" Id="rId127"/><Relationship Type="http://schemas.openxmlformats.org/officeDocument/2006/relationships/hyperlink" Target="https://www.lovethework.com/work/entries/it-starts-outside-781799" TargetMode="External" Id="rId128"/></Relationships>
</file>

<file path=xl/worksheets/_rels/sheet7.xml.rels><Relationships xmlns="http://schemas.openxmlformats.org/package/2006/relationships"><Relationship Type="http://schemas.openxmlformats.org/officeDocument/2006/relationships/hyperlink" Target="https://ascentialcdn.filespin.io/api/v1/conversion/1a22539ff6e94e288d6a3aa1a3a9ace5" TargetMode="External" Id="rId1"/><Relationship Type="http://schemas.openxmlformats.org/officeDocument/2006/relationships/hyperlink" Target="https://www.lovethework.com/work/entries/caption-with-intention-758922" TargetMode="External" Id="rId2"/><Relationship Type="http://schemas.openxmlformats.org/officeDocument/2006/relationships/hyperlink" Target="https://ascentialcdn.filespin.io/api/v1/conversion/d124f3704bf34fe8a63e19e8325d9220" TargetMode="External" Id="rId3"/><Relationship Type="http://schemas.openxmlformats.org/officeDocument/2006/relationships/hyperlink" Target="https://www.lovethework.com/work/entries/airpods-pro-2-hearing-aid-feature-748829" TargetMode="External" Id="rId4"/><Relationship Type="http://schemas.openxmlformats.org/officeDocument/2006/relationships/hyperlink" Target="https://ascentialcdn.filespin.io/api/v1/conversion/83e9fc2a93254c029a34755ff3c96853" TargetMode="External" Id="rId5"/><Relationship Type="http://schemas.openxmlformats.org/officeDocument/2006/relationships/hyperlink" Target="https://www.lovethework.com/work/entries/nigrum-corpus-764511" TargetMode="External" Id="rId6"/><Relationship Type="http://schemas.openxmlformats.org/officeDocument/2006/relationships/hyperlink" Target="https://ascentialcdn.filespin.io/api/v1/conversion/a8b0865217084e348df3921cebc7c41f" TargetMode="External" Id="rId7"/><Relationship Type="http://schemas.openxmlformats.org/officeDocument/2006/relationships/hyperlink" Target="https://www.lovethework.com/work/entries/carrefoursa-ghost-town-748805" TargetMode="External" Id="rId8"/><Relationship Type="http://schemas.openxmlformats.org/officeDocument/2006/relationships/hyperlink" Target="https://ascentialcdn.filespin.io/api/v1/conversion/4ebdb10e5b80456a925dc283ac7e501a" TargetMode="External" Id="rId9"/><Relationship Type="http://schemas.openxmlformats.org/officeDocument/2006/relationships/hyperlink" Target="https://www.lovethework.com/work/entries/spreadbeats-748953" TargetMode="External" Id="rId10"/><Relationship Type="http://schemas.openxmlformats.org/officeDocument/2006/relationships/hyperlink" Target="https://ascentialcdn.filespin.io/api/v1/conversion/1cc1b629542a4d1db92e5b0d90116de7" TargetMode="External" Id="rId11"/><Relationship Type="http://schemas.openxmlformats.org/officeDocument/2006/relationships/hyperlink" Target="https://www.lovethework.com/work/entries/spreadbeats-748925" TargetMode="External" Id="rId12"/><Relationship Type="http://schemas.openxmlformats.org/officeDocument/2006/relationships/hyperlink" Target="https://ascentialcdn.filespin.io/api/v1/conversion/67b6df2a0fe64deeb274c91d50040c54" TargetMode="External" Id="rId13"/><Relationship Type="http://schemas.openxmlformats.org/officeDocument/2006/relationships/hyperlink" Target="https://www.lovethework.com/work/entries/price-packs-748846" TargetMode="External" Id="rId14"/><Relationship Type="http://schemas.openxmlformats.org/officeDocument/2006/relationships/hyperlink" Target="https://ascentialcdn.filespin.io/api/v1/conversion/352257f3d008491e95e0ccbdfe8a4469" TargetMode="External" Id="rId15"/><Relationship Type="http://schemas.openxmlformats.org/officeDocument/2006/relationships/hyperlink" Target="https://www.lovethework.com/work/entries/the-shakespeare-bic-749146" TargetMode="External" Id="rId16"/><Relationship Type="http://schemas.openxmlformats.org/officeDocument/2006/relationships/hyperlink" Target="https://ascentialcdn.filespin.io/api/v1/conversion/19a407ae77ab4664baed61135cc5ae9f" TargetMode="External" Id="rId17"/><Relationship Type="http://schemas.openxmlformats.org/officeDocument/2006/relationships/hyperlink" Target="https://www.lovethework.com/work/entries/sounds-of-the-land-758892" TargetMode="External" Id="rId18"/><Relationship Type="http://schemas.openxmlformats.org/officeDocument/2006/relationships/hyperlink" Target="https://ascentialcdn.filespin.io/api/v1/conversion/dc773a5191b947ea85626af886046a69" TargetMode="External" Id="rId19"/><Relationship Type="http://schemas.openxmlformats.org/officeDocument/2006/relationships/hyperlink" Target="https://www.lovethework.com/work/entries/code-my-crown-749303" TargetMode="External" Id="rId20"/><Relationship Type="http://schemas.openxmlformats.org/officeDocument/2006/relationships/hyperlink" Target="https://ascentialcdn.filespin.io/api/v1/conversion/a9e8fdb5892d441587b7c4c55eb3d5fb" TargetMode="External" Id="rId21"/><Relationship Type="http://schemas.openxmlformats.org/officeDocument/2006/relationships/hyperlink" Target="https://www.lovethework.com/work/entries/1837-tiffany-blue-conservation-749213" TargetMode="External" Id="rId22"/><Relationship Type="http://schemas.openxmlformats.org/officeDocument/2006/relationships/hyperlink" Target="https://ascentialcdn.filespin.io/api/v1/conversion/9e978f653c5c45cf903985a90708656d" TargetMode="External" Id="rId23"/><Relationship Type="http://schemas.openxmlformats.org/officeDocument/2006/relationships/hyperlink" Target="https://www.lovethework.com/work/entries/fixables-761443" TargetMode="External" Id="rId24"/><Relationship Type="http://schemas.openxmlformats.org/officeDocument/2006/relationships/hyperlink" Target="https://ascentialcdn.filespin.io/api/v1/conversion/14dd689fdcf14ce4a777dc6c4aad2522" TargetMode="External" Id="rId25"/><Relationship Type="http://schemas.openxmlformats.org/officeDocument/2006/relationships/hyperlink" Target="https://www.lovethework.com/work/entries/airquity-749221" TargetMode="External" Id="rId26"/><Relationship Type="http://schemas.openxmlformats.org/officeDocument/2006/relationships/hyperlink" Target="https://ascentialcdn.filespin.io/api/v1/conversion/b852cca2fa1a4002b499bc5cf7f064f1" TargetMode="External" Id="rId27"/><Relationship Type="http://schemas.openxmlformats.org/officeDocument/2006/relationships/hyperlink" Target="https://www.lovethework.com/work/entries/the-100-home-compostable-sticker-749240" TargetMode="External" Id="rId28"/><Relationship Type="http://schemas.openxmlformats.org/officeDocument/2006/relationships/hyperlink" Target="https://ascentialcdn.filespin.io/api/v1/conversion/897a79315f0b4bf2a5afd35d6e3217ac" TargetMode="External" Id="rId29"/><Relationship Type="http://schemas.openxmlformats.org/officeDocument/2006/relationships/hyperlink" Target="https://www.lovethework.com/work/entries/self-packing-cheese-758771" TargetMode="External" Id="rId30"/><Relationship Type="http://schemas.openxmlformats.org/officeDocument/2006/relationships/hyperlink" Target="https://ascentialcdn.filespin.io/api/v1/conversion/760f7006f943444ab3c918192eebdfad" TargetMode="External" Id="rId31"/><Relationship Type="http://schemas.openxmlformats.org/officeDocument/2006/relationships/hyperlink" Target="https://www.lovethework.com/work/entries/forest-carbon-in-tune-with-nature-748684" TargetMode="External" Id="rId32"/><Relationship Type="http://schemas.openxmlformats.org/officeDocument/2006/relationships/hyperlink" Target="https://ascentialcdn.filespin.io/api/v1/conversion/145b3050646d4642adeb6588b0db97cf" TargetMode="External" Id="rId33"/><Relationship Type="http://schemas.openxmlformats.org/officeDocument/2006/relationships/hyperlink" Target="https://www.lovethework.com/work/entries/imperia-genius-of-form-and-substance-748618" TargetMode="External" Id="rId34"/><Relationship Type="http://schemas.openxmlformats.org/officeDocument/2006/relationships/hyperlink" Target="https://ascentialcdn.filespin.io/api/v1/conversion/5d4639fd2bc1430db0604b45d23a8ed6" TargetMode="External" Id="rId35"/><Relationship Type="http://schemas.openxmlformats.org/officeDocument/2006/relationships/hyperlink" Target="https://www.lovethework.com/work/entries/fc25-758851" TargetMode="External" Id="rId36"/><Relationship Type="http://schemas.openxmlformats.org/officeDocument/2006/relationships/hyperlink" Target="https://ascentialcdn.filespin.io/api/v1/conversion/67b6df2a0fe64deeb274c91d50040c54" TargetMode="External" Id="rId37"/><Relationship Type="http://schemas.openxmlformats.org/officeDocument/2006/relationships/hyperlink" Target="https://www.lovethework.com/work/entries/price-packs-748709" TargetMode="External" Id="rId38"/><Relationship Type="http://schemas.openxmlformats.org/officeDocument/2006/relationships/hyperlink" Target="https://ascentialcdn.filespin.io/api/v1/conversion/558c6e807d6740a6a711540be7529132" TargetMode="External" Id="rId39"/><Relationship Type="http://schemas.openxmlformats.org/officeDocument/2006/relationships/hyperlink" Target="https://www.lovethework.com/work/entries/mattel-creations-not-wheels-748931" TargetMode="External" Id="rId40"/><Relationship Type="http://schemas.openxmlformats.org/officeDocument/2006/relationships/hyperlink" Target="https://ascentialcdn.filespin.io/api/v1/conversion/0bcb01dc0d92499c8033fe42497178ff" TargetMode="External" Id="rId41"/><Relationship Type="http://schemas.openxmlformats.org/officeDocument/2006/relationships/hyperlink" Target="https://www.lovethework.com/work/entries/winter-takes-on-colors-748849" TargetMode="External" Id="rId42"/><Relationship Type="http://schemas.openxmlformats.org/officeDocument/2006/relationships/hyperlink" Target="https://ascentialcdn.filespin.io/api/v1/conversion/09f9e036aeb845c58e96f2c55d8dd7f9" TargetMode="External" Id="rId43"/><Relationship Type="http://schemas.openxmlformats.org/officeDocument/2006/relationships/hyperlink" Target="https://www.lovethework.com/work/entries/justice-by-her-type-748777" TargetMode="External" Id="rId44"/><Relationship Type="http://schemas.openxmlformats.org/officeDocument/2006/relationships/hyperlink" Target="https://ascentialcdn.filespin.io/api/v1/conversion/b1a090f7c816487f8dcee01d4c656df9" TargetMode="External" Id="rId45"/><Relationship Type="http://schemas.openxmlformats.org/officeDocument/2006/relationships/hyperlink" Target="https://www.lovethework.com/work/entries/sad-kama-chan-748974" TargetMode="External" Id="rId46"/><Relationship Type="http://schemas.openxmlformats.org/officeDocument/2006/relationships/hyperlink" Target="https://ascentialcdn.filespin.io/api/v1/conversion/1403dc4c3f49430e95623bac41b290a1" TargetMode="External" Id="rId47"/><Relationship Type="http://schemas.openxmlformats.org/officeDocument/2006/relationships/hyperlink" Target="https://www.lovethework.com/work/entries/packed-full-of-history-749085" TargetMode="External" Id="rId48"/><Relationship Type="http://schemas.openxmlformats.org/officeDocument/2006/relationships/hyperlink" Target="https://ascentialcdn.filespin.io/api/v1/conversion/e1437e92753d4a789ee8e1f1be1c30ba" TargetMode="External" Id="rId49"/><Relationship Type="http://schemas.openxmlformats.org/officeDocument/2006/relationships/hyperlink" Target="https://www.lovethework.com/work/entries/eye-test-menu-748977" TargetMode="External" Id="rId50"/><Relationship Type="http://schemas.openxmlformats.org/officeDocument/2006/relationships/hyperlink" Target="https://ascentialcdn.filespin.io/api/v1/conversion/4023e98735c5497cb6e2d7dea5c76318" TargetMode="External" Id="rId51"/><Relationship Type="http://schemas.openxmlformats.org/officeDocument/2006/relationships/hyperlink" Target="https://www.lovethework.com/work/entries/rice-of-glory-749256" TargetMode="External" Id="rId52"/><Relationship Type="http://schemas.openxmlformats.org/officeDocument/2006/relationships/hyperlink" Target="https://ascentialcdn.filespin.io/api/v1/conversion/eeb72dfd60ee48fa902e472badb2512e" TargetMode="External" Id="rId53"/><Relationship Type="http://schemas.openxmlformats.org/officeDocument/2006/relationships/hyperlink" Target="https://www.lovethework.com/work/entries/workwear-for-kids-749238" TargetMode="External" Id="rId54"/><Relationship Type="http://schemas.openxmlformats.org/officeDocument/2006/relationships/hyperlink" Target="https://ascentialcdn.filespin.io/api/v1/conversion/afc236f1ded24f46a0b77a8e8bbb969b" TargetMode="External" Id="rId55"/><Relationship Type="http://schemas.openxmlformats.org/officeDocument/2006/relationships/hyperlink" Target="https://www.lovethework.com/work/entries/project-voice-749358" TargetMode="External" Id="rId56"/><Relationship Type="http://schemas.openxmlformats.org/officeDocument/2006/relationships/hyperlink" Target="https://ascentialcdn.filespin.io/api/v1/conversion/2d6b647363d9454ea677267064f19ea9" TargetMode="External" Id="rId57"/><Relationship Type="http://schemas.openxmlformats.org/officeDocument/2006/relationships/hyperlink" Target="https://www.lovethework.com/work/entries/roobadge-749288" TargetMode="External" Id="rId58"/><Relationship Type="http://schemas.openxmlformats.org/officeDocument/2006/relationships/hyperlink" Target="https://ascentialcdn.filespin.io/api/v1/conversion/09dbff10bf5e4eaeae2d578fe9cc19b0" TargetMode="External" Id="rId59"/><Relationship Type="http://schemas.openxmlformats.org/officeDocument/2006/relationships/hyperlink" Target="https://www.lovethework.com/work/entries/signs-from-heaven-749243" TargetMode="External" Id="rId60"/><Relationship Type="http://schemas.openxmlformats.org/officeDocument/2006/relationships/hyperlink" Target="https://ascentialcdn.filespin.io/api/v1/conversion/9e978f653c5c45cf903985a90708656d" TargetMode="External" Id="rId61"/><Relationship Type="http://schemas.openxmlformats.org/officeDocument/2006/relationships/hyperlink" Target="https://www.lovethework.com/work/entries/fixables-761474" TargetMode="External" Id="rId62"/><Relationship Type="http://schemas.openxmlformats.org/officeDocument/2006/relationships/hyperlink" Target="https://ascentialcdn.filespin.io/api/v1/conversion/83147eccb7f34d4d9ab76b4096338806" TargetMode="External" Id="rId63"/><Relationship Type="http://schemas.openxmlformats.org/officeDocument/2006/relationships/hyperlink" Target="https://www.lovethework.com/work/entries/apple-tv-rebrand-786182" TargetMode="External" Id="rId64"/><Relationship Type="http://schemas.openxmlformats.org/officeDocument/2006/relationships/hyperlink" Target="https://ascentialcdn.filespin.io/api/v1/conversion/f1357aaae4ed464ca0a17ccb1adb5e98" TargetMode="External" Id="rId65"/><Relationship Type="http://schemas.openxmlformats.org/officeDocument/2006/relationships/hyperlink" Target="https://www.lovethework.com/work/entries/the-volvo-cars-safety-standard-782377" TargetMode="External" Id="rId66"/><Relationship Type="http://schemas.openxmlformats.org/officeDocument/2006/relationships/hyperlink" Target="https://ascentialcdn.filespin.io/api/v1/conversion/1e629829a1314891907fcdf2e45ced1c" TargetMode="External" Id="rId67"/><Relationship Type="http://schemas.openxmlformats.org/officeDocument/2006/relationships/hyperlink" Target="https://www.lovethework.com/work/entries/supernova-adaptive-785947" TargetMode="External" Id="rId68"/><Relationship Type="http://schemas.openxmlformats.org/officeDocument/2006/relationships/hyperlink" Target="https://ascentialcdn.filespin.io/api/v1/conversion/b415c78034584c779670a38d6621b19c" TargetMode="External" Id="rId69"/><Relationship Type="http://schemas.openxmlformats.org/officeDocument/2006/relationships/hyperlink" Target="https://www.lovethework.com/work/entries/dancebook-brasil-778348" TargetMode="External" Id="rId70"/><Relationship Type="http://schemas.openxmlformats.org/officeDocument/2006/relationships/hyperlink" Target="https://ascentialcdn.filespin.io/api/v1/conversion/421c42333cb94a249d2298fdf9ead951" TargetMode="External" Id="rId71"/><Relationship Type="http://schemas.openxmlformats.org/officeDocument/2006/relationships/hyperlink" Target="https://www.lovethework.com/work/entries/npr-for-your-right-to-be-curious-786087" TargetMode="External" Id="rId72"/><Relationship Type="http://schemas.openxmlformats.org/officeDocument/2006/relationships/hyperlink" Target="https://ascentialcdn.filespin.io/api/v1/conversion/b94d607b9b964c7d8d16c9b32fdb6697" TargetMode="External" Id="rId73"/><Relationship Type="http://schemas.openxmlformats.org/officeDocument/2006/relationships/hyperlink" Target="https://www.lovethework.com/work/entries/tigris-condensed-identity-779601" TargetMode="External" Id="rId74"/><Relationship Type="http://schemas.openxmlformats.org/officeDocument/2006/relationships/hyperlink" Target="https://ascentialcdn.filespin.io/api/v1/conversion/ea167258677745959ec7eb94bf4a0b71" TargetMode="External" Id="rId75"/><Relationship Type="http://schemas.openxmlformats.org/officeDocument/2006/relationships/hyperlink" Target="https://www.lovethework.com/work/entries/amazonia-782361" TargetMode="External" Id="rId76"/><Relationship Type="http://schemas.openxmlformats.org/officeDocument/2006/relationships/hyperlink" Target="https://ascentialcdn.filespin.io/api/v1/conversion/989a30f1e03d4419b8afc46a016f5f01" TargetMode="External" Id="rId77"/><Relationship Type="http://schemas.openxmlformats.org/officeDocument/2006/relationships/hyperlink" Target="https://www.lovethework.com/work/entries/dear-difference-779290" TargetMode="External" Id="rId78"/><Relationship Type="http://schemas.openxmlformats.org/officeDocument/2006/relationships/hyperlink" Target="https://ascentialcdn.filespin.io/api/v1/conversion/5c6873f287dc49608a5ddd2e045a5b0e" TargetMode="External" Id="rId79"/><Relationship Type="http://schemas.openxmlformats.org/officeDocument/2006/relationships/hyperlink" Target="https://www.lovethework.com/work/entries/tilt-accessible-beauty-product-design-785940" TargetMode="External" Id="rId80"/><Relationship Type="http://schemas.openxmlformats.org/officeDocument/2006/relationships/hyperlink" Target="https://ascentialcdn.filespin.io/api/v1/conversion/a564d50f9bf442f2a538ebf19954b74e" TargetMode="External" Id="rId81"/><Relationship Type="http://schemas.openxmlformats.org/officeDocument/2006/relationships/hyperlink" Target="https://www.lovethework.com/work/entries/craftmanships-782399" TargetMode="External" Id="rId82"/><Relationship Type="http://schemas.openxmlformats.org/officeDocument/2006/relationships/hyperlink" Target="https://ascentialcdn.filespin.io/api/v1/conversion/b3d90269b33e4a59bf35bb51f993a884" TargetMode="External" Id="rId83"/><Relationship Type="http://schemas.openxmlformats.org/officeDocument/2006/relationships/hyperlink" Target="https://www.lovethework.com/work/entries/zip-code-exam-782427" TargetMode="External" Id="rId84"/><Relationship Type="http://schemas.openxmlformats.org/officeDocument/2006/relationships/hyperlink" Target="https://ascentialcdn.filespin.io/api/v1/conversion/4bab5b8e9ac1446ca85f68c2614208e0" TargetMode="External" Id="rId85"/><Relationship Type="http://schemas.openxmlformats.org/officeDocument/2006/relationships/hyperlink" Target="https://www.lovethework.com/work/entries/dressed-for-wimbledon-787829" TargetMode="External" Id="rId86"/><Relationship Type="http://schemas.openxmlformats.org/officeDocument/2006/relationships/hyperlink" Target="https://ascentialcdn.filespin.io/api/v1/conversion/5c6873f287dc49608a5ddd2e045a5b0e" TargetMode="External" Id="rId87"/><Relationship Type="http://schemas.openxmlformats.org/officeDocument/2006/relationships/hyperlink" Target="https://www.lovethework.com/work/entries/tilt-accessible-beauty-inclusive-design-782430" TargetMode="External" Id="rId88"/><Relationship Type="http://schemas.openxmlformats.org/officeDocument/2006/relationships/hyperlink" Target="https://ascentialcdn.filespin.io/api/v1/conversion/782dc9a9903e4cf1a3f46e3f253a104e" TargetMode="External" Id="rId89"/><Relationship Type="http://schemas.openxmlformats.org/officeDocument/2006/relationships/hyperlink" Target="https://www.lovethework.com/work/entries/the-grit-the-glitter-782354" TargetMode="External" Id="rId90"/><Relationship Type="http://schemas.openxmlformats.org/officeDocument/2006/relationships/hyperlink" Target="https://ascentialcdn.filespin.io/api/v1/conversion/4bab5b8e9ac1446ca85f68c2614208e0" TargetMode="External" Id="rId91"/><Relationship Type="http://schemas.openxmlformats.org/officeDocument/2006/relationships/hyperlink" Target="https://www.lovethework.com/work/entries/dressed-for-wimbledon-782375" TargetMode="External" Id="rId92"/><Relationship Type="http://schemas.openxmlformats.org/officeDocument/2006/relationships/hyperlink" Target="https://ascentialcdn.filespin.io/api/v1/conversion/030c3e9e68684c859c6c3b04420e6ceb" TargetMode="External" Id="rId93"/><Relationship Type="http://schemas.openxmlformats.org/officeDocument/2006/relationships/hyperlink" Target="https://www.lovethework.com/work/entries/din-the-magazine-in-all-formats-782352" TargetMode="External" Id="rId94"/><Relationship Type="http://schemas.openxmlformats.org/officeDocument/2006/relationships/hyperlink" Target="https://ascentialcdn.filespin.io/api/v1/conversion/0eb636bf154a4ef1aea8148155642885" TargetMode="External" Id="rId95"/><Relationship Type="http://schemas.openxmlformats.org/officeDocument/2006/relationships/hyperlink" Target="https://www.lovethework.com/work/entries/the-birdwatcher-782381" TargetMode="External" Id="rId96"/><Relationship Type="http://schemas.openxmlformats.org/officeDocument/2006/relationships/hyperlink" Target="https://ascentialcdn.filespin.io/api/v1/conversion/fb423dd872794ac5af45d162fa535799" TargetMode="External" Id="rId97"/><Relationship Type="http://schemas.openxmlformats.org/officeDocument/2006/relationships/hyperlink" Target="https://www.lovethework.com/work/entries/rail-clock-782423" TargetMode="External" Id="rId98"/><Relationship Type="http://schemas.openxmlformats.org/officeDocument/2006/relationships/hyperlink" Target="https://ascentialcdn.filespin.io/api/v1/conversion/68e9398659d74a86812704e4e5e814d4" TargetMode="External" Id="rId99"/><Relationship Type="http://schemas.openxmlformats.org/officeDocument/2006/relationships/hyperlink" Target="https://www.lovethework.com/work/entries/the-periodic-fable-782446" TargetMode="External" Id="rId100"/><Relationship Type="http://schemas.openxmlformats.org/officeDocument/2006/relationships/hyperlink" Target="https://ascentialcdn.filespin.io/api/v1/conversion/f781b33aaf214714a14219e4576d0257" TargetMode="External" Id="rId101"/><Relationship Type="http://schemas.openxmlformats.org/officeDocument/2006/relationships/hyperlink" Target="https://www.lovethework.com/work/entries/little-breaks-782388" TargetMode="External" Id="rId102"/><Relationship Type="http://schemas.openxmlformats.org/officeDocument/2006/relationships/hyperlink" Target="https://ascentialcdn.filespin.io/api/v1/conversion/1f0fc0e906a04d56a8ccafe863da9c9a" TargetMode="External" Id="rId103"/><Relationship Type="http://schemas.openxmlformats.org/officeDocument/2006/relationships/hyperlink" Target="https://www.lovethework.com/work/entries/stranger-things-in-search-782407" TargetMode="External" Id="rId104"/><Relationship Type="http://schemas.openxmlformats.org/officeDocument/2006/relationships/hyperlink" Target="https://ascentialcdn.filespin.io/api/v1/conversion/69614d6489d54169b37f9d4f29af9ce2" TargetMode="External" Id="rId105"/><Relationship Type="http://schemas.openxmlformats.org/officeDocument/2006/relationships/hyperlink" Target="https://www.lovethework.com/work/entries/lime-guides-782410" TargetMode="External" Id="rId106"/><Relationship Type="http://schemas.openxmlformats.org/officeDocument/2006/relationships/hyperlink" Target="https://ascentialcdn.filespin.io/api/v1/conversion/cb42507ba80f4fb09424dbb1750b6ab6" TargetMode="External" Id="rId107"/><Relationship Type="http://schemas.openxmlformats.org/officeDocument/2006/relationships/hyperlink" Target="https://www.lovethework.com/work/entries/the-thousand-sponsors-of-muni-782416" TargetMode="External" Id="rId108"/><Relationship Type="http://schemas.openxmlformats.org/officeDocument/2006/relationships/hyperlink" Target="https://ascentialcdn.filespin.io/api/v1/conversion/6691bae68bb94d72911f8037e00c5c49" TargetMode="External" Id="rId109"/><Relationship Type="http://schemas.openxmlformats.org/officeDocument/2006/relationships/hyperlink" Target="https://www.lovethework.com/work/entries/drawn-to-dad-782453" TargetMode="External" Id="rId110"/><Relationship Type="http://schemas.openxmlformats.org/officeDocument/2006/relationships/hyperlink" Target="https://ascentialcdn.filespin.io/api/v1/conversion/d07f768f947f447883119e18a0e275cd" TargetMode="External" Id="rId111"/><Relationship Type="http://schemas.openxmlformats.org/officeDocument/2006/relationships/hyperlink" Target="https://www.lovethework.com/work/entries/vision-pulse-sight-beyond-seeing-782367" TargetMode="External" Id="rId112"/><Relationship Type="http://schemas.openxmlformats.org/officeDocument/2006/relationships/hyperlink" Target="https://ascentialcdn.filespin.io/api/v1/conversion/c0eaaf5e1bb347e4a08da10527da46c8" TargetMode="External" Id="rId113"/><Relationship Type="http://schemas.openxmlformats.org/officeDocument/2006/relationships/hyperlink" Target="https://www.lovethework.com/work/entries/the-undropped-kit-782365" TargetMode="External" Id="rId114"/></Relationships>
</file>

<file path=xl/worksheets/_rels/sheet8.xml.rels><Relationships xmlns="http://schemas.openxmlformats.org/package/2006/relationships"><Relationship Type="http://schemas.openxmlformats.org/officeDocument/2006/relationships/hyperlink" Target="https://ascentialcdn.filespin.io/api/v1/conversion/3a8020f6426f40968730b5a8c68a0b35" TargetMode="External" Id="rId1"/><Relationship Type="http://schemas.openxmlformats.org/officeDocument/2006/relationships/hyperlink" Target="https://www.lovethework.com/work/entries/caption-with-intention-754389" TargetMode="External" Id="rId2"/><Relationship Type="http://schemas.openxmlformats.org/officeDocument/2006/relationships/hyperlink" Target="https://ascentialcdn.filespin.io/api/v1/conversion/82542e7381744bb783bb6c60f2929b2c" TargetMode="External" Id="rId3"/><Relationship Type="http://schemas.openxmlformats.org/officeDocument/2006/relationships/hyperlink" Target="https://www.lovethework.com/work/entries/tree-correspondents-762045" TargetMode="External" Id="rId4"/><Relationship Type="http://schemas.openxmlformats.org/officeDocument/2006/relationships/hyperlink" Target="https://ascentialcdn.filespin.io/api/v1/conversion/6e437af497a34d6bbc71738a2b9c581b" TargetMode="External" Id="rId5"/><Relationship Type="http://schemas.openxmlformats.org/officeDocument/2006/relationships/hyperlink" Target="https://www.lovethework.com/work/entries/caption-with-intention-754831" TargetMode="External" Id="rId6"/><Relationship Type="http://schemas.openxmlformats.org/officeDocument/2006/relationships/hyperlink" Target="https://ascentialcdn.filespin.io/api/v1/conversion/82542e7381744bb783bb6c60f2929b2c" TargetMode="External" Id="rId7"/><Relationship Type="http://schemas.openxmlformats.org/officeDocument/2006/relationships/hyperlink" Target="https://www.lovethework.com/work/entries/tree-correspondents-762045" TargetMode="External" Id="rId8"/><Relationship Type="http://schemas.openxmlformats.org/officeDocument/2006/relationships/hyperlink" Target="https://ascentialcdn.filespin.io/api/v1/conversion/a5387631458b48648c6dba4b21efb3d0" TargetMode="External" Id="rId9"/><Relationship Type="http://schemas.openxmlformats.org/officeDocument/2006/relationships/hyperlink" Target="https://www.lovethework.com/work/entries/the-shaded-route-754725" TargetMode="External" Id="rId10"/><Relationship Type="http://schemas.openxmlformats.org/officeDocument/2006/relationships/hyperlink" Target="https://ascentialcdn.filespin.io/api/v1/conversion/82542e7381744bb783bb6c60f2929b2c" TargetMode="External" Id="rId11"/><Relationship Type="http://schemas.openxmlformats.org/officeDocument/2006/relationships/hyperlink" Target="https://www.lovethework.com/work/entries/tree-correspondents-762150" TargetMode="External" Id="rId12"/><Relationship Type="http://schemas.openxmlformats.org/officeDocument/2006/relationships/hyperlink" Target="https://ascentialcdn.filespin.io/api/v1/conversion/f2ca9488d23e45d5b432ce4a6c2e8f08" TargetMode="External" Id="rId13"/><Relationship Type="http://schemas.openxmlformats.org/officeDocument/2006/relationships/hyperlink" Target="https://www.lovethework.com/work/entries/in-hot-water-754526" TargetMode="External" Id="rId14"/><Relationship Type="http://schemas.openxmlformats.org/officeDocument/2006/relationships/hyperlink" Target="https://ascentialcdn.filespin.io/api/v1/conversion/68f2c53ebcea42bd9ab7b58852b5aa95" TargetMode="External" Id="rId15"/><Relationship Type="http://schemas.openxmlformats.org/officeDocument/2006/relationships/hyperlink" Target="https://www.lovethework.com/work/entries/saltanat-light-764174" TargetMode="External" Id="rId16"/><Relationship Type="http://schemas.openxmlformats.org/officeDocument/2006/relationships/hyperlink" Target="https://ascentialcdn.filespin.io/api/v1/conversion/2d7855910ffa41a78e83fffe11540c7b" TargetMode="External" Id="rId17"/><Relationship Type="http://schemas.openxmlformats.org/officeDocument/2006/relationships/hyperlink" Target="https://www.lovethework.com/work/entries/daisy-vs-scammers-754726" TargetMode="External" Id="rId18"/><Relationship Type="http://schemas.openxmlformats.org/officeDocument/2006/relationships/hyperlink" Target="https://ascentialcdn.filespin.io/api/v1/conversion/5bdbab28251f44eda6fdb7d90fe1a6eb" TargetMode="External" Id="rId19"/><Relationship Type="http://schemas.openxmlformats.org/officeDocument/2006/relationships/hyperlink" Target="https://www.lovethework.com/work/entries/allevia-pollen-passport-754613" TargetMode="External" Id="rId20"/><Relationship Type="http://schemas.openxmlformats.org/officeDocument/2006/relationships/hyperlink" Target="https://ascentialcdn.filespin.io/api/v1/conversion/c56cee379a1249b9912bbe50964ff0d2" TargetMode="External" Id="rId21"/><Relationship Type="http://schemas.openxmlformats.org/officeDocument/2006/relationships/hyperlink" Target="https://www.lovethework.com/work/entries/apple-100-best-albums-754412" TargetMode="External" Id="rId22"/><Relationship Type="http://schemas.openxmlformats.org/officeDocument/2006/relationships/hyperlink" Target="https://ascentialcdn.filespin.io/api/v1/conversion/d824fa39d9d94210af54fc45e5e11735" TargetMode="External" Id="rId23"/><Relationship Type="http://schemas.openxmlformats.org/officeDocument/2006/relationships/hyperlink" Target="https://www.lovethework.com/work/entries/the-odissey-of-wilson-754689" TargetMode="External" Id="rId24"/><Relationship Type="http://schemas.openxmlformats.org/officeDocument/2006/relationships/hyperlink" Target="https://ascentialcdn.filespin.io/api/v1/conversion/898d378102884b909c675f8264248952" TargetMode="External" Id="rId25"/><Relationship Type="http://schemas.openxmlformats.org/officeDocument/2006/relationships/hyperlink" Target="https://www.lovethework.com/work/entries/body-swap-758391" TargetMode="External" Id="rId26"/><Relationship Type="http://schemas.openxmlformats.org/officeDocument/2006/relationships/hyperlink" Target="https://ascentialcdn.filespin.io/api/v1/conversion/f944731d441e4447a823753bb907d334" TargetMode="External" Id="rId27"/><Relationship Type="http://schemas.openxmlformats.org/officeDocument/2006/relationships/hyperlink" Target="https://www.lovethework.com/work/entries/the-final-exam-762133" TargetMode="External" Id="rId28"/><Relationship Type="http://schemas.openxmlformats.org/officeDocument/2006/relationships/hyperlink" Target="https://ascentialcdn.filespin.io/api/v1/conversion/4483476cdcdf4250b70cf3ba56e70e55" TargetMode="External" Id="rId29"/><Relationship Type="http://schemas.openxmlformats.org/officeDocument/2006/relationships/hyperlink" Target="https://www.lovethework.com/work/entries/kia-soundscapes-754384" TargetMode="External" Id="rId30"/><Relationship Type="http://schemas.openxmlformats.org/officeDocument/2006/relationships/hyperlink" Target="https://ascentialcdn.filespin.io/api/v1/conversion/fdf308fea817428794e5b51cfe09d79e" TargetMode="External" Id="rId31"/><Relationship Type="http://schemas.openxmlformats.org/officeDocument/2006/relationships/hyperlink" Target="https://www.lovethework.com/work/entries/read-better-762153" TargetMode="External" Id="rId32"/><Relationship Type="http://schemas.openxmlformats.org/officeDocument/2006/relationships/hyperlink" Target="https://ascentialcdn.filespin.io/api/v1/conversion/15acf37ec83847ee82067e734a40a3de" TargetMode="External" Id="rId33"/><Relationship Type="http://schemas.openxmlformats.org/officeDocument/2006/relationships/hyperlink" Target="https://www.lovethework.com/work/entries/interface-of-humanity-powered-by-ntt-754473" TargetMode="External" Id="rId34"/><Relationship Type="http://schemas.openxmlformats.org/officeDocument/2006/relationships/hyperlink" Target="https://ascentialcdn.filespin.io/api/v1/conversion/578e6a51b5d440e1bf37d3e9835154d7" TargetMode="External" Id="rId35"/><Relationship Type="http://schemas.openxmlformats.org/officeDocument/2006/relationships/hyperlink" Target="https://www.lovethework.com/work/entries/amazonia-782451" TargetMode="External" Id="rId36"/><Relationship Type="http://schemas.openxmlformats.org/officeDocument/2006/relationships/hyperlink" Target="https://ascentialcdn.filespin.io/api/v1/conversion/62c0c233f40144d7970516cb87619496" TargetMode="External" Id="rId37"/><Relationship Type="http://schemas.openxmlformats.org/officeDocument/2006/relationships/hyperlink" Target="https://www.lovethework.com/work/entries/no-frame-missed-792104" TargetMode="External" Id="rId38"/><Relationship Type="http://schemas.openxmlformats.org/officeDocument/2006/relationships/hyperlink" Target="https://ascentialcdn.filespin.io/api/v1/conversion/26ce428a89844783bf3319fb70637067" TargetMode="External" Id="rId39"/><Relationship Type="http://schemas.openxmlformats.org/officeDocument/2006/relationships/hyperlink" Target="https://www.lovethework.com/work/entries/project-genie-791907" TargetMode="External" Id="rId40"/><Relationship Type="http://schemas.openxmlformats.org/officeDocument/2006/relationships/hyperlink" Target="https://ascentialcdn.filespin.io/api/v1/conversion/3e001d90d93543368c563dfb6651e36c" TargetMode="External" Id="rId41"/><Relationship Type="http://schemas.openxmlformats.org/officeDocument/2006/relationships/hyperlink" Target="https://www.lovethework.com/work/entries/language-of-bedwetting-778279" TargetMode="External" Id="rId42"/><Relationship Type="http://schemas.openxmlformats.org/officeDocument/2006/relationships/hyperlink" Target="https://ascentialcdn.filespin.io/api/v1/conversion/dd2f76b5cc754bb4844a4aaf67fb4c1d" TargetMode="External" Id="rId43"/><Relationship Type="http://schemas.openxmlformats.org/officeDocument/2006/relationships/hyperlink" Target="https://www.lovethework.com/work/entries/a-critter-carol-790281" TargetMode="External" Id="rId44"/><Relationship Type="http://schemas.openxmlformats.org/officeDocument/2006/relationships/hyperlink" Target="https://ascentialcdn.filespin.io/api/v1/conversion/127afab26f2c470989af159082bc7da4" TargetMode="External" Id="rId45"/><Relationship Type="http://schemas.openxmlformats.org/officeDocument/2006/relationships/hyperlink" Target="https://www.lovethework.com/work/entries/code-her-791551" TargetMode="External" Id="rId46"/><Relationship Type="http://schemas.openxmlformats.org/officeDocument/2006/relationships/hyperlink" Target="https://ascentialcdn.filespin.io/api/v1/conversion/174fb4bce1814e0ebfdf7f04f9ba6c96" TargetMode="External" Id="rId47"/><Relationship Type="http://schemas.openxmlformats.org/officeDocument/2006/relationships/hyperlink" Target="https://www.lovethework.com/work/entries/run-back-the-miracle-782383" TargetMode="External" Id="rId48"/><Relationship Type="http://schemas.openxmlformats.org/officeDocument/2006/relationships/hyperlink" Target="https://ascentialcdn.filespin.io/api/v1/conversion/9a60a9386d6144adafe502c5491797d6" TargetMode="External" Id="rId49"/><Relationship Type="http://schemas.openxmlformats.org/officeDocument/2006/relationships/hyperlink" Target="https://www.lovethework.com/work/entries/the-birdwatcher-782437" TargetMode="External" Id="rId50"/><Relationship Type="http://schemas.openxmlformats.org/officeDocument/2006/relationships/hyperlink" Target="https://ascentialcdn.filespin.io/api/v1/conversion/26ce428a89844783bf3319fb70637067" TargetMode="External" Id="rId51"/><Relationship Type="http://schemas.openxmlformats.org/officeDocument/2006/relationships/hyperlink" Target="https://www.lovethework.com/work/entries/project-genie-782440" TargetMode="External" Id="rId52"/><Relationship Type="http://schemas.openxmlformats.org/officeDocument/2006/relationships/hyperlink" Target="https://ascentialcdn.filespin.io/api/v1/conversion/1d46e6542c474e14a830761bec4b045a" TargetMode="External" Id="rId53"/><Relationship Type="http://schemas.openxmlformats.org/officeDocument/2006/relationships/hyperlink" Target="https://www.lovethework.com/work/entries/sos-pos-782441" TargetMode="External" Id="rId54"/><Relationship Type="http://schemas.openxmlformats.org/officeDocument/2006/relationships/hyperlink" Target="https://ascentialcdn.filespin.io/api/v1/conversion/9a60a9386d6144adafe502c5491797d6" TargetMode="External" Id="rId55"/><Relationship Type="http://schemas.openxmlformats.org/officeDocument/2006/relationships/hyperlink" Target="https://www.lovethework.com/work/entries/the-birdwatcher-791041" TargetMode="External" Id="rId56"/></Relationships>
</file>

<file path=xl/worksheets/_rels/sheet9.xml.rels><Relationships xmlns="http://schemas.openxmlformats.org/package/2006/relationships"><Relationship Type="http://schemas.openxmlformats.org/officeDocument/2006/relationships/hyperlink" Target="https://www.lovethework.com/work/entries/telstra-better-on-a-better-network-765315" TargetMode="External" Id="rId1"/><Relationship Type="http://schemas.openxmlformats.org/officeDocument/2006/relationships/hyperlink" Target="https://www.lovethework.com/work/entries/telstra-better-on-a-better-network-765311" TargetMode="External" Id="rId2"/><Relationship Type="http://schemas.openxmlformats.org/officeDocument/2006/relationships/hyperlink" Target="https://www.lovethework.com/work/entries/considering-what-765324" TargetMode="External" Id="rId3"/><Relationship Type="http://schemas.openxmlformats.org/officeDocument/2006/relationships/hyperlink" Target="https://www.lovethework.com/work/entries/guao-guao-765356" TargetMode="External" Id="rId4"/><Relationship Type="http://schemas.openxmlformats.org/officeDocument/2006/relationships/hyperlink" Target="https://www.lovethework.com/work/entries/find-your-friends-765322" TargetMode="External" Id="rId5"/><Relationship Type="http://schemas.openxmlformats.org/officeDocument/2006/relationships/hyperlink" Target="https://www.lovethework.com/work/entries/paris-paralympics-2024-considering-what-765981" TargetMode="External" Id="rId6"/><Relationship Type="http://schemas.openxmlformats.org/officeDocument/2006/relationships/hyperlink" Target="https://www.lovethework.com/work/entries/a-tale-as-old-as-websites-765346" TargetMode="External" Id="rId7"/><Relationship Type="http://schemas.openxmlformats.org/officeDocument/2006/relationships/hyperlink" Target="https://www.lovethework.com/work/entries/donkey-765344" TargetMode="External" Id="rId8"/><Relationship Type="http://schemas.openxmlformats.org/officeDocument/2006/relationships/hyperlink" Target="https://ascentialcdn.filespin.io/api/v1/storyboard/7819511744634f7a81824e1b2a278ae1/storyboard_000008.jpg" TargetMode="External" Id="rId9"/><Relationship Type="http://schemas.openxmlformats.org/officeDocument/2006/relationships/hyperlink" Target="https://www.lovethework.com/work/entries/aap-rocky-tailor-swif-765317" TargetMode="External" Id="rId10"/><Relationship Type="http://schemas.openxmlformats.org/officeDocument/2006/relationships/hyperlink" Target="https://www.lovethework.com/work/entries/renault-argentina-766426" TargetMode="External" Id="rId11"/><Relationship Type="http://schemas.openxmlformats.org/officeDocument/2006/relationships/hyperlink" Target="https://www.lovethework.com/work/entries/guao-guao-765357" TargetMode="External" Id="rId12"/><Relationship Type="http://schemas.openxmlformats.org/officeDocument/2006/relationships/hyperlink" Target="https://ascentialcdn.filespin.io/api/v1/storyboard/346a403fc27b4b2db49c84361f4c8081/storyboard_000008.jpg" TargetMode="External" Id="rId13"/><Relationship Type="http://schemas.openxmlformats.org/officeDocument/2006/relationships/hyperlink" Target="https://www.lovethework.com/work/entries/moments-765347" TargetMode="External" Id="rId14"/><Relationship Type="http://schemas.openxmlformats.org/officeDocument/2006/relationships/hyperlink" Target="https://ascentialcdn.filespin.io/api/v1/storyboard/b9ed0aae1ae84082882cb4a1ec460780/storyboard_000008.jpg" TargetMode="External" Id="rId15"/><Relationship Type="http://schemas.openxmlformats.org/officeDocument/2006/relationships/hyperlink" Target="https://www.lovethework.com/work/entries/nike-sunshine-765328" TargetMode="External" Id="rId16"/><Relationship Type="http://schemas.openxmlformats.org/officeDocument/2006/relationships/hyperlink" Target="https://www.lovethework.com/work/entries/a-tale-as-old-as-websites-765331" TargetMode="External" Id="rId17"/><Relationship Type="http://schemas.openxmlformats.org/officeDocument/2006/relationships/hyperlink" Target="https://www.lovethework.com/work/entries/flock-765354" TargetMode="External" Id="rId18"/><Relationship Type="http://schemas.openxmlformats.org/officeDocument/2006/relationships/hyperlink" Target="https://ascentialcdn.filespin.io/api/v1/storyboard/346a403fc27b4b2db49c84361f4c8081/storyboard_000008.jpg" TargetMode="External" Id="rId19"/><Relationship Type="http://schemas.openxmlformats.org/officeDocument/2006/relationships/hyperlink" Target="https://www.lovethework.com/work/entries/moments-765347" TargetMode="External" Id="rId20"/><Relationship Type="http://schemas.openxmlformats.org/officeDocument/2006/relationships/hyperlink" Target="https://www.lovethework.com/work/entries/in-hot-water-765332" TargetMode="External" Id="rId21"/><Relationship Type="http://schemas.openxmlformats.org/officeDocument/2006/relationships/hyperlink" Target="https://www.lovethework.com/work/entries/donkey-765336" TargetMode="External" Id="rId22"/><Relationship Type="http://schemas.openxmlformats.org/officeDocument/2006/relationships/hyperlink" Target="https://ascentialcdn.filespin.io/api/v1/storyboard/3cd320dd9fcd4445a86f756e25d0402e/storyboard_000008.jpg" TargetMode="External" Id="rId23"/><Relationship Type="http://schemas.openxmlformats.org/officeDocument/2006/relationships/hyperlink" Target="https://www.lovethework.com/work/entries/coffin-765342" TargetMode="External" Id="rId24"/><Relationship Type="http://schemas.openxmlformats.org/officeDocument/2006/relationships/hyperlink" Target="https://www.lovethework.com/work/entries/renault-argentina-765345" TargetMode="External" Id="rId25"/><Relationship Type="http://schemas.openxmlformats.org/officeDocument/2006/relationships/hyperlink" Target="https://ascentialcdn.filespin.io/api/v1/storyboard/7819511744634f7a81824e1b2a278ae1/storyboard_000008.jpg" TargetMode="External" Id="rId26"/><Relationship Type="http://schemas.openxmlformats.org/officeDocument/2006/relationships/hyperlink" Target="https://www.lovethework.com/work/entries/aap-rocky-tailor-swif-765343" TargetMode="External" Id="rId27"/><Relationship Type="http://schemas.openxmlformats.org/officeDocument/2006/relationships/hyperlink" Target="https://www.lovethework.com/work/entries/believe-in-chicken-765320" TargetMode="External" Id="rId28"/><Relationship Type="http://schemas.openxmlformats.org/officeDocument/2006/relationships/hyperlink" Target="https://www.lovethework.com/work/entries/flock-765363" TargetMode="External" Id="rId29"/><Relationship Type="http://schemas.openxmlformats.org/officeDocument/2006/relationships/hyperlink" Target="https://ascentialcdn.filespin.io/api/v1/storyboard/99b51143eb5a45779617eee2310c73e0/storyboard_000008.jpg" TargetMode="External" Id="rId30"/><Relationship Type="http://schemas.openxmlformats.org/officeDocument/2006/relationships/hyperlink" Target="https://www.lovethework.com/work/entries/everything-or-nothing-765340" TargetMode="External" Id="rId31"/><Relationship Type="http://schemas.openxmlformats.org/officeDocument/2006/relationships/hyperlink" Target="https://www.lovethework.com/work/entries/never-just-a-period-765319" TargetMode="External" Id="rId32"/><Relationship Type="http://schemas.openxmlformats.org/officeDocument/2006/relationships/hyperlink" Target="https://www.lovethework.com/work/entries/18-months-765335" TargetMode="External" Id="rId33"/><Relationship Type="http://schemas.openxmlformats.org/officeDocument/2006/relationships/hyperlink" Target="https://www.lovethework.com/work/entries/the-shooting-765350" TargetMode="External" Id="rId34"/><Relationship Type="http://schemas.openxmlformats.org/officeDocument/2006/relationships/hyperlink" Target="https://www.lovethework.com/work/entries/a-tale-as-old-as-websites-765338" TargetMode="External" Id="rId35"/><Relationship Type="http://schemas.openxmlformats.org/officeDocument/2006/relationships/hyperlink" Target="https://www.lovethework.com/work/entries/with-love-italy-765329" TargetMode="External" Id="rId36"/><Relationship Type="http://schemas.openxmlformats.org/officeDocument/2006/relationships/hyperlink" Target="https://www.lovethework.com/work/entries/obsession-765355" TargetMode="External" Id="rId37"/><Relationship Type="http://schemas.openxmlformats.org/officeDocument/2006/relationships/hyperlink" Target="https://www.lovethework.com/work/entries/submerged-765360" TargetMode="External" Id="rId38"/><Relationship Type="http://schemas.openxmlformats.org/officeDocument/2006/relationships/hyperlink" Target="https://www.lovethework.com/work/entries/kfc-believe-in-chicken-765358" TargetMode="External" Id="rId39"/><Relationship Type="http://schemas.openxmlformats.org/officeDocument/2006/relationships/hyperlink" Target="https://ascentialcdn.filespin.io/api/v1/storyboard/78d81508b5494a40bba8366f2f62eed1/storyboard_000008.jpg" TargetMode="External" Id="rId40"/><Relationship Type="http://schemas.openxmlformats.org/officeDocument/2006/relationships/hyperlink" Target="https://www.lovethework.com/work/entries/name-the-bias-765351" TargetMode="External" Id="rId41"/><Relationship Type="http://schemas.openxmlformats.org/officeDocument/2006/relationships/hyperlink" Target="https://www.lovethework.com/work/entries/fight-for-thais-gut-765333" TargetMode="External" Id="rId42"/><Relationship Type="http://schemas.openxmlformats.org/officeDocument/2006/relationships/hyperlink" Target="https://ascentialcdn.filespin.io/api/v1/storyboard/9e327b1cbb6d4295ae6a602857eb395c/storyboard_000008.jpg" TargetMode="External" Id="rId43"/><Relationship Type="http://schemas.openxmlformats.org/officeDocument/2006/relationships/hyperlink" Target="https://www.lovethework.com/work/entries/when-youve-done-enough-evild-enough-765334" TargetMode="External" Id="rId44"/><Relationship Type="http://schemas.openxmlformats.org/officeDocument/2006/relationships/hyperlink" Target="https://www.lovethework.com/work/entries/the-final-copy-of-ilon-specht-765362" TargetMode="External" Id="rId45"/><Relationship Type="http://schemas.openxmlformats.org/officeDocument/2006/relationships/hyperlink" Target="https://www.lovethework.com/work/entries/my-gut-friend-765361" TargetMode="External" Id="rId46"/><Relationship Type="http://schemas.openxmlformats.org/officeDocument/2006/relationships/hyperlink" Target="https://www.lovethework.com/work/entries/the-count-765359" TargetMode="External" Id="rId47"/><Relationship Type="http://schemas.openxmlformats.org/officeDocument/2006/relationships/hyperlink" Target="https://ascentialcdn.filespin.io/api/v1/storyboard/2ca4ed7308854564b83b1093ffa844c6/storyboard_000008.jpg" TargetMode="External" Id="rId48"/><Relationship Type="http://schemas.openxmlformats.org/officeDocument/2006/relationships/hyperlink" Target="https://www.lovethework.com/work/entries/wake-up-765330" TargetMode="External" Id="rId49"/><Relationship Type="http://schemas.openxmlformats.org/officeDocument/2006/relationships/hyperlink" Target="https://www.lovethework.com/work/entries/the-cause-of-the-accident-that-started-the-fire-765352" TargetMode="External" Id="rId50"/><Relationship Type="http://schemas.openxmlformats.org/officeDocument/2006/relationships/hyperlink" Target="https://ascentialcdn.filespin.io/api/v1/storyboard/866619c424b04e07b3de2b867203b5ba/storyboard_000008.jpg" TargetMode="External" Id="rId51"/><Relationship Type="http://schemas.openxmlformats.org/officeDocument/2006/relationships/hyperlink" Target="https://www.lovethework.com/work/entries/severance-s2-opening-title-765337" TargetMode="External" Id="rId52"/><Relationship Type="http://schemas.openxmlformats.org/officeDocument/2006/relationships/hyperlink" Target="https://www.lovethework.com/work/entries/considering-what-765318" TargetMode="External" Id="rId53"/><Relationship Type="http://schemas.openxmlformats.org/officeDocument/2006/relationships/hyperlink" Target="https://www.lovethework.com/work/entries/am-i-a-bad-person-765348" TargetMode="External" Id="rId54"/><Relationship Type="http://schemas.openxmlformats.org/officeDocument/2006/relationships/hyperlink" Target="https://ascentialcdn.filespin.io/api/v1/storyboard/3cd320dd9fcd4445a86f756e25d0402e/storyboard_000008.jpg" TargetMode="External" Id="rId55"/><Relationship Type="http://schemas.openxmlformats.org/officeDocument/2006/relationships/hyperlink" Target="https://www.lovethework.com/work/entries/coffin-765325" TargetMode="External" Id="rId56"/><Relationship Type="http://schemas.openxmlformats.org/officeDocument/2006/relationships/hyperlink" Target="https://ascentialcdn.filespin.io/api/v1/storyboard/2ca4ed7308854564b83b1093ffa844c6/storyboard_000008.jpg" TargetMode="External" Id="rId57"/><Relationship Type="http://schemas.openxmlformats.org/officeDocument/2006/relationships/hyperlink" Target="https://www.lovethework.com/work/entries/wake-up-765330" TargetMode="External" Id="rId58"/><Relationship Type="http://schemas.openxmlformats.org/officeDocument/2006/relationships/hyperlink" Target="https://ascentialcdn.filespin.io/api/v1/storyboard/59dfce8e4864466c943faa12518ff439/storyboard_000008.jpg" TargetMode="External" Id="rId59"/><Relationship Type="http://schemas.openxmlformats.org/officeDocument/2006/relationships/hyperlink" Target="https://www.lovethework.com/work/entries/the-shoemaker-765339" TargetMode="External" Id="rId60"/><Relationship Type="http://schemas.openxmlformats.org/officeDocument/2006/relationships/hyperlink" Target="https://www.lovethework.com/work/entries/brian-cox-goes-to-college-765323" TargetMode="External" Id="rId61"/><Relationship Type="http://schemas.openxmlformats.org/officeDocument/2006/relationships/hyperlink" Target="https://ascentialcdn.filespin.io/api/v1/storyboard/40b05878898a453cab28d1b5cee5db91/storyboard_000008.jpg" TargetMode="External" Id="rId62"/><Relationship Type="http://schemas.openxmlformats.org/officeDocument/2006/relationships/hyperlink" Target="https://www.lovethework.com/work/entries/the-journey-765327" TargetMode="External" Id="rId63"/><Relationship Type="http://schemas.openxmlformats.org/officeDocument/2006/relationships/hyperlink" Target="https://ascentialcdn.filespin.io/api/v1/storyboard/a7d2b86e8d154d35bb56d32c7d6f43ca/storyboard_000008.jpg" TargetMode="External" Id="rId64"/><Relationship Type="http://schemas.openxmlformats.org/officeDocument/2006/relationships/hyperlink" Target="https://www.lovethework.com/work/entries/walrus-whizzer-765353" TargetMode="External" Id="rId65"/><Relationship Type="http://schemas.openxmlformats.org/officeDocument/2006/relationships/hyperlink" Target="https://ascentialcdn.filespin.io/api/v1/storyboard/766a1d97603444a2878e66b28ae3e35e/storyboard_000008.jpg" TargetMode="External" Id="rId66"/><Relationship Type="http://schemas.openxmlformats.org/officeDocument/2006/relationships/hyperlink" Target="https://www.lovethework.com/work/entries/no-project-without-drama-786576" TargetMode="External" Id="rId67"/><Relationship Type="http://schemas.openxmlformats.org/officeDocument/2006/relationships/hyperlink" Target="https://ascentialcdn.filespin.io/api/v1/storyboard/1cc9361f87bb4c2984f7e1d41d42e4d8/storyboard_000008.jpg" TargetMode="External" Id="rId68"/><Relationship Type="http://schemas.openxmlformats.org/officeDocument/2006/relationships/hyperlink" Target="https://www.lovethework.com/work/entries/helicopter-786587" TargetMode="External" Id="rId69"/><Relationship Type="http://schemas.openxmlformats.org/officeDocument/2006/relationships/hyperlink" Target="https://ascentialcdn.filespin.io/api/v1/storyboard/6e7a83cdcdca4cb386c0bcec3dcb9870/storyboard_000008.jpg" TargetMode="External" Id="rId70"/><Relationship Type="http://schemas.openxmlformats.org/officeDocument/2006/relationships/hyperlink" Target="https://www.lovethework.com/work/entries/your-way-out-786648" TargetMode="External" Id="rId71"/><Relationship Type="http://schemas.openxmlformats.org/officeDocument/2006/relationships/hyperlink" Target="https://ascentialcdn.filespin.io/api/v1/storyboard/4edc013ac22b48a2b6c991d6c4a27a15/storyboard_000008.jpg" TargetMode="External" Id="rId72"/><Relationship Type="http://schemas.openxmlformats.org/officeDocument/2006/relationships/hyperlink" Target="https://www.lovethework.com/work/entries/shape-of-dreams-786701" TargetMode="External" Id="rId73"/><Relationship Type="http://schemas.openxmlformats.org/officeDocument/2006/relationships/hyperlink" Target="https://ascentialcdn.filespin.io/api/v1/storyboard/cfc98291602640e788b480e2544d8cd2/storyboard_000008.jpg" TargetMode="External" Id="rId74"/><Relationship Type="http://schemas.openxmlformats.org/officeDocument/2006/relationships/hyperlink" Target="https://www.lovethework.com/work/entries/bullet-machine-776084" TargetMode="External" Id="rId75"/><Relationship Type="http://schemas.openxmlformats.org/officeDocument/2006/relationships/hyperlink" Target="https://ascentialcdn.filespin.io/api/v1/storyboard/766a1d97603444a2878e66b28ae3e35e/storyboard_000008.jpg" TargetMode="External" Id="rId76"/><Relationship Type="http://schemas.openxmlformats.org/officeDocument/2006/relationships/hyperlink" Target="https://www.lovethework.com/work/entries/no-project-without-drama-776764" TargetMode="External" Id="rId77"/><Relationship Type="http://schemas.openxmlformats.org/officeDocument/2006/relationships/hyperlink" Target="https://ascentialcdn.filespin.io/api/v1/storyboard/6e7a83cdcdca4cb386c0bcec3dcb9870/storyboard_000008.jpg" TargetMode="External" Id="rId78"/><Relationship Type="http://schemas.openxmlformats.org/officeDocument/2006/relationships/hyperlink" Target="https://www.lovethework.com/work/entries/your-way-out-786741" TargetMode="External" Id="rId79"/><Relationship Type="http://schemas.openxmlformats.org/officeDocument/2006/relationships/hyperlink" Target="https://ascentialcdn.filespin.io/api/v1/storyboard/cef13fe999ac440fb8acbce5fe3cf581/storyboard_000008.jpg" TargetMode="External" Id="rId80"/><Relationship Type="http://schemas.openxmlformats.org/officeDocument/2006/relationships/hyperlink" Target="https://www.lovethework.com/work/entries/dont-look-up-786744" TargetMode="External" Id="rId81"/><Relationship Type="http://schemas.openxmlformats.org/officeDocument/2006/relationships/hyperlink" Target="https://ascentialcdn.filespin.io/api/v1/storyboard/296d870ab2234094a6f595ca50340a2a/storyboard_000008.jpg" TargetMode="External" Id="rId82"/><Relationship Type="http://schemas.openxmlformats.org/officeDocument/2006/relationships/hyperlink" Target="https://www.lovethework.com/work/entries/the-treasure-hunt-776037" TargetMode="External" Id="rId83"/><Relationship Type="http://schemas.openxmlformats.org/officeDocument/2006/relationships/hyperlink" Target="https://ascentialcdn.filespin.io/api/v1/storyboard/47e4ef435b724925bbb2067ef8ec2853/storyboard_000008.jpg" TargetMode="External" Id="rId84"/><Relationship Type="http://schemas.openxmlformats.org/officeDocument/2006/relationships/hyperlink" Target="https://www.lovethework.com/work/entries/oreo-cows-780061" TargetMode="External" Id="rId85"/><Relationship Type="http://schemas.openxmlformats.org/officeDocument/2006/relationships/hyperlink" Target="https://ascentialcdn.filespin.io/api/v1/storyboard/10264ad70b7847e09ecefe9d73060dde/storyboard_000008.jpg" TargetMode="External" Id="rId86"/><Relationship Type="http://schemas.openxmlformats.org/officeDocument/2006/relationships/hyperlink" Target="https://www.lovethework.com/work/entries/the-kaprao-criminals-786814" TargetMode="External" Id="rId87"/><Relationship Type="http://schemas.openxmlformats.org/officeDocument/2006/relationships/hyperlink" Target="https://ascentialcdn.filespin.io/api/v1/storyboard/8cb52950479646e791499a3737b4f76f/storyboard_000008.jpg" TargetMode="External" Id="rId88"/><Relationship Type="http://schemas.openxmlformats.org/officeDocument/2006/relationships/hyperlink" Target="https://www.lovethework.com/work/entries/im-not-remarkable-787520" TargetMode="External" Id="rId89"/><Relationship Type="http://schemas.openxmlformats.org/officeDocument/2006/relationships/hyperlink" Target="https://ascentialcdn.filespin.io/api/v1/storyboard/850e6a22990740d3b7d398f5864286e9/storyboard_000008.jpg" TargetMode="External" Id="rId90"/><Relationship Type="http://schemas.openxmlformats.org/officeDocument/2006/relationships/hyperlink" Target="https://www.lovethework.com/work/entries/for-papa-777705" TargetMode="External" Id="rId91"/><Relationship Type="http://schemas.openxmlformats.org/officeDocument/2006/relationships/hyperlink" Target="https://ascentialcdn.filespin.io/api/v1/storyboard/2f54ed79bf5346258b4e5293509e66a4/storyboard_000008.jpg" TargetMode="External" Id="rId92"/><Relationship Type="http://schemas.openxmlformats.org/officeDocument/2006/relationships/hyperlink" Target="https://www.lovethework.com/work/entries/departures-779075" TargetMode="External" Id="rId93"/><Relationship Type="http://schemas.openxmlformats.org/officeDocument/2006/relationships/hyperlink" Target="https://ascentialcdn.filespin.io/api/v1/storyboard/766a1d97603444a2878e66b28ae3e35e/storyboard_000008.jpg" TargetMode="External" Id="rId94"/><Relationship Type="http://schemas.openxmlformats.org/officeDocument/2006/relationships/hyperlink" Target="https://www.lovethework.com/work/entries/no-project-without-drama-776775" TargetMode="External" Id="rId95"/><Relationship Type="http://schemas.openxmlformats.org/officeDocument/2006/relationships/hyperlink" Target="https://ascentialcdn.filespin.io/api/v1/storyboard/2be90f6054584758b96b99e0381a6947/storyboard_000008.jpg" TargetMode="External" Id="rId96"/><Relationship Type="http://schemas.openxmlformats.org/officeDocument/2006/relationships/hyperlink" Target="https://www.lovethework.com/work/entries/tableau-786825" TargetMode="External" Id="rId97"/><Relationship Type="http://schemas.openxmlformats.org/officeDocument/2006/relationships/hyperlink" Target="https://ascentialcdn.filespin.io/api/v1/storyboard/6e7a83cdcdca4cb386c0bcec3dcb9870/storyboard_000008.jpg" TargetMode="External" Id="rId98"/><Relationship Type="http://schemas.openxmlformats.org/officeDocument/2006/relationships/hyperlink" Target="https://www.lovethework.com/work/entries/your-way-out-786854" TargetMode="External" Id="rId99"/><Relationship Type="http://schemas.openxmlformats.org/officeDocument/2006/relationships/hyperlink" Target="https://ascentialcdn.filespin.io/api/v1/storyboard/4521eab589584e3ba0ffb3658bac4a80/storyboard_000008.jpg" TargetMode="External" Id="rId100"/><Relationship Type="http://schemas.openxmlformats.org/officeDocument/2006/relationships/hyperlink" Target="https://www.lovethework.com/work/entries/unavailable-787533" TargetMode="External" Id="rId101"/><Relationship Type="http://schemas.openxmlformats.org/officeDocument/2006/relationships/hyperlink" Target="https://ascentialcdn.filespin.io/api/v1/storyboard/a63f358b3d694ecaadcf7febae3a5eea/storyboard_000008.jpg" TargetMode="External" Id="rId102"/><Relationship Type="http://schemas.openxmlformats.org/officeDocument/2006/relationships/hyperlink" Target="https://www.lovethework.com/work/entries/dress-yourself-786907" TargetMode="External" Id="rId103"/><Relationship Type="http://schemas.openxmlformats.org/officeDocument/2006/relationships/hyperlink" Target="https://ascentialcdn.filespin.io/api/v1/storyboard/436bd05d0a7047c7825e5f672eff0ebc/storyboard_000008.jpg" TargetMode="External" Id="rId104"/><Relationship Type="http://schemas.openxmlformats.org/officeDocument/2006/relationships/hyperlink" Target="https://www.lovethework.com/work/entries/the-gucci-lido-campaign-786922" TargetMode="External" Id="rId105"/><Relationship Type="http://schemas.openxmlformats.org/officeDocument/2006/relationships/hyperlink" Target="https://ascentialcdn.filespin.io/api/v1/storyboard/4521eab589584e3ba0ffb3658bac4a80/storyboard_000008.jpg" TargetMode="External" Id="rId106"/><Relationship Type="http://schemas.openxmlformats.org/officeDocument/2006/relationships/hyperlink" Target="https://www.lovethework.com/work/entries/unavailable-787542" TargetMode="External" Id="rId107"/><Relationship Type="http://schemas.openxmlformats.org/officeDocument/2006/relationships/hyperlink" Target="https://ascentialcdn.filespin.io/api/v1/storyboard/de00b335395a4813a985ae558460c36d/storyboard_000008.jpg" TargetMode="External" Id="rId108"/><Relationship Type="http://schemas.openxmlformats.org/officeDocument/2006/relationships/hyperlink" Target="https://www.lovethework.com/work/entries/i-think-of-you-dying-786976" TargetMode="External" Id="rId109"/><Relationship Type="http://schemas.openxmlformats.org/officeDocument/2006/relationships/hyperlink" Target="https://ascentialcdn.filespin.io/api/v1/storyboard/4edc013ac22b48a2b6c991d6c4a27a15/storyboard_000008.jpg" TargetMode="External" Id="rId110"/><Relationship Type="http://schemas.openxmlformats.org/officeDocument/2006/relationships/hyperlink" Target="https://www.lovethework.com/work/entries/shape-of-dreams-786983" TargetMode="External" Id="rId111"/><Relationship Type="http://schemas.openxmlformats.org/officeDocument/2006/relationships/hyperlink" Target="https://ascentialcdn.filespin.io/api/v1/storyboard/8cb52950479646e791499a3737b4f76f/storyboard_000008.jpg" TargetMode="External" Id="rId112"/><Relationship Type="http://schemas.openxmlformats.org/officeDocument/2006/relationships/hyperlink" Target="https://www.lovethework.com/work/entries/im-not-remarkable-787555" TargetMode="External" Id="rId113"/><Relationship Type="http://schemas.openxmlformats.org/officeDocument/2006/relationships/hyperlink" Target="https://ascentialcdn.filespin.io/api/v1/storyboard/fbc295a9c526475c9790f06830d27864/storyboard_000008.jpg" TargetMode="External" Id="rId114"/><Relationship Type="http://schemas.openxmlformats.org/officeDocument/2006/relationships/hyperlink" Target="https://www.lovethework.com/work/entries/beat-cancer-off-787717" TargetMode="External" Id="rId115"/><Relationship Type="http://schemas.openxmlformats.org/officeDocument/2006/relationships/hyperlink" Target="https://ascentialcdn.filespin.io/api/v1/storyboard/0056837f227e48e5a95f73bf6beb7953/storyboard_000008.jpg" TargetMode="External" Id="rId116"/><Relationship Type="http://schemas.openxmlformats.org/officeDocument/2006/relationships/hyperlink" Target="https://www.lovethework.com/work/entries/tableau-786989" TargetMode="External" Id="rId117"/><Relationship Type="http://schemas.openxmlformats.org/officeDocument/2006/relationships/hyperlink" Target="https://ascentialcdn.filespin.io/api/v1/storyboard/bc3ba538b39e42768b9c2a55726e9057/storyboard_000008.jpg" TargetMode="External" Id="rId118"/><Relationship Type="http://schemas.openxmlformats.org/officeDocument/2006/relationships/hyperlink" Target="https://www.lovethework.com/work/entries/a-critter-carol-787013" TargetMode="External" Id="rId119"/><Relationship Type="http://schemas.openxmlformats.org/officeDocument/2006/relationships/hyperlink" Target="https://ascentialcdn.filespin.io/api/v1/storyboard/766a1d97603444a2878e66b28ae3e35e/storyboard_000008.jpg" TargetMode="External" Id="rId120"/><Relationship Type="http://schemas.openxmlformats.org/officeDocument/2006/relationships/hyperlink" Target="https://www.lovethework.com/work/entries/no-project-without-drama-776721" TargetMode="External" Id="rId121"/><Relationship Type="http://schemas.openxmlformats.org/officeDocument/2006/relationships/hyperlink" Target="https://ascentialcdn.filespin.io/api/v1/storyboard/0056837f227e48e5a95f73bf6beb7953/storyboard_000008.jpg" TargetMode="External" Id="rId122"/><Relationship Type="http://schemas.openxmlformats.org/officeDocument/2006/relationships/hyperlink" Target="https://www.lovethework.com/work/entries/tableau-787031" TargetMode="External" Id="rId123"/><Relationship Type="http://schemas.openxmlformats.org/officeDocument/2006/relationships/hyperlink" Target="https://ascentialcdn.filespin.io/api/v1/storyboard/6e7a83cdcdca4cb386c0bcec3dcb9870/storyboard_000008.jpg" TargetMode="External" Id="rId124"/><Relationship Type="http://schemas.openxmlformats.org/officeDocument/2006/relationships/hyperlink" Target="https://www.lovethework.com/work/entries/your-way-out-787043" TargetMode="External" Id="rId125"/><Relationship Type="http://schemas.openxmlformats.org/officeDocument/2006/relationships/hyperlink" Target="https://ascentialcdn.filespin.io/api/v1/storyboard/4edc013ac22b48a2b6c991d6c4a27a15/storyboard_000008.jpg" TargetMode="External" Id="rId126"/><Relationship Type="http://schemas.openxmlformats.org/officeDocument/2006/relationships/hyperlink" Target="https://www.lovethework.com/work/entries/shape-of-dreams-787097" TargetMode="External" Id="rId127"/><Relationship Type="http://schemas.openxmlformats.org/officeDocument/2006/relationships/hyperlink" Target="https://ascentialcdn.filespin.io/api/v1/storyboard/4dadbd743c9a4e0e9a1fb034231bda60/storyboard_000008.jpg" TargetMode="External" Id="rId128"/><Relationship Type="http://schemas.openxmlformats.org/officeDocument/2006/relationships/hyperlink" Target="https://www.lovethework.com/work/entries/drop-in-779211" TargetMode="External" Id="rId129"/><Relationship Type="http://schemas.openxmlformats.org/officeDocument/2006/relationships/hyperlink" Target="https://ascentialcdn.filespin.io/api/v1/storyboard/5f747e68e9d445e39a135480412f5e87/storyboard_000008.jpg" TargetMode="External" Id="rId130"/><Relationship Type="http://schemas.openxmlformats.org/officeDocument/2006/relationships/hyperlink" Target="https://www.lovethework.com/work/entries/axa-nothing-stops-womens-rugby-778840" TargetMode="External" Id="rId131"/><Relationship Type="http://schemas.openxmlformats.org/officeDocument/2006/relationships/hyperlink" Target="https://ascentialcdn.filespin.io/api/v1/storyboard/78fb105d4f354309b6a7f905bbc3b9fa/storyboard_000008.jpg" TargetMode="External" Id="rId132"/><Relationship Type="http://schemas.openxmlformats.org/officeDocument/2006/relationships/hyperlink" Target="https://www.lovethework.com/work/entries/own-your-flow-787112" TargetMode="External" Id="rId133"/><Relationship Type="http://schemas.openxmlformats.org/officeDocument/2006/relationships/hyperlink" Target="https://ascentialcdn.filespin.io/api/v1/storyboard/766a1d97603444a2878e66b28ae3e35e/storyboard_000008.jpg" TargetMode="External" Id="rId134"/><Relationship Type="http://schemas.openxmlformats.org/officeDocument/2006/relationships/hyperlink" Target="https://www.lovethework.com/work/entries/no-project-without-drama-776736" TargetMode="External" Id="rId135"/><Relationship Type="http://schemas.openxmlformats.org/officeDocument/2006/relationships/hyperlink" Target="https://ascentialcdn.filespin.io/api/v1/storyboard/cfc98291602640e788b480e2544d8cd2/storyboard_000008.jpg" TargetMode="External" Id="rId136"/><Relationship Type="http://schemas.openxmlformats.org/officeDocument/2006/relationships/hyperlink" Target="https://www.lovethework.com/work/entries/bullet-machine-776063" TargetMode="External" Id="rId137"/><Relationship Type="http://schemas.openxmlformats.org/officeDocument/2006/relationships/hyperlink" Target="https://ascentialcdn.filespin.io/api/v1/storyboard/564e9e4df48d4b34a6b3bb89d70b9d1a/storyboard_000008.jpg" TargetMode="External" Id="rId138"/><Relationship Type="http://schemas.openxmlformats.org/officeDocument/2006/relationships/hyperlink" Target="https://www.lovethework.com/work/entries/light-hole-787594" TargetMode="External" Id="rId139"/><Relationship Type="http://schemas.openxmlformats.org/officeDocument/2006/relationships/hyperlink" Target="https://ascentialcdn.filespin.io/api/v1/storyboard/fbc295a9c526475c9790f06830d27864/storyboard_000008.jpg" TargetMode="External" Id="rId140"/><Relationship Type="http://schemas.openxmlformats.org/officeDocument/2006/relationships/hyperlink" Target="https://www.lovethework.com/work/entries/beat-cancer-off-787746" TargetMode="External" Id="rId141"/><Relationship Type="http://schemas.openxmlformats.org/officeDocument/2006/relationships/hyperlink" Target="https://ascentialcdn.filespin.io/api/v1/storyboard/3685766d7b7442798febf7ea784b9197/storyboard_000008.jpg" TargetMode="External" Id="rId142"/><Relationship Type="http://schemas.openxmlformats.org/officeDocument/2006/relationships/hyperlink" Target="https://www.lovethework.com/work/entries/the-ring-the-legacy-continues-777869" TargetMode="External" Id="rId143"/><Relationship Type="http://schemas.openxmlformats.org/officeDocument/2006/relationships/hyperlink" Target="https://ascentialcdn.filespin.io/api/v1/storyboard/c7bc6c68cd4648359c1ce413a1dfc1e0/storyboard_000008.jpg" TargetMode="External" Id="rId144"/><Relationship Type="http://schemas.openxmlformats.org/officeDocument/2006/relationships/hyperlink" Target="https://www.lovethework.com/work/entries/whos-waiting-for-you-788518" TargetMode="External" Id="rId145"/><Relationship Type="http://schemas.openxmlformats.org/officeDocument/2006/relationships/hyperlink" Target="https://ascentialcdn.filespin.io/api/v1/storyboard/1cc9361f87bb4c2984f7e1d41d42e4d8/storyboard_000008.jpg" TargetMode="External" Id="rId146"/><Relationship Type="http://schemas.openxmlformats.org/officeDocument/2006/relationships/hyperlink" Target="https://www.lovethework.com/work/entries/helicopter-787163" TargetMode="External" Id="rId147"/><Relationship Type="http://schemas.openxmlformats.org/officeDocument/2006/relationships/hyperlink" Target="https://ascentialcdn.filespin.io/api/v1/storyboard/6f207225b04847918b59ce7a6556429a/storyboard_000008.jpg" TargetMode="External" Id="rId148"/><Relationship Type="http://schemas.openxmlformats.org/officeDocument/2006/relationships/hyperlink" Target="https://www.lovethework.com/work/entries/70-ans-787168" TargetMode="External" Id="rId149"/><Relationship Type="http://schemas.openxmlformats.org/officeDocument/2006/relationships/hyperlink" Target="https://ascentialcdn.filespin.io/api/v1/storyboard/7ec728894e3b4d52904dc3236ff69c4c/storyboard_000008.jpg" TargetMode="External" Id="rId150"/><Relationship Type="http://schemas.openxmlformats.org/officeDocument/2006/relationships/hyperlink" Target="https://www.lovethework.com/work/entries/lultimo-uomo-reale-the-last-real-man-787193" TargetMode="External" Id="rId151"/></Relationships>
</file>

<file path=xl/worksheets/_rels/sheet10.xml.rels><Relationships xmlns="http://schemas.openxmlformats.org/package/2006/relationships"><Relationship Type="http://schemas.openxmlformats.org/officeDocument/2006/relationships/hyperlink" Target="https://ascentialcdn.filespin.io/api/v1/conversion/bf5407e59cfa412f991854f10cadc2f2" TargetMode="External" Id="rId1"/><Relationship Type="http://schemas.openxmlformats.org/officeDocument/2006/relationships/hyperlink" Target="https://www.lovethework.com/work/entries/nigrum-corpus-755517" TargetMode="External" Id="rId2"/><Relationship Type="http://schemas.openxmlformats.org/officeDocument/2006/relationships/hyperlink" Target="https://ascentialcdn.filespin.io/api/v1/conversion/49a6511e16b04d3a992e7af24cead47a" TargetMode="External" Id="rId3"/><Relationship Type="http://schemas.openxmlformats.org/officeDocument/2006/relationships/hyperlink" Target="https://www.lovethework.com/work/entries/project-4270-755469" TargetMode="External" Id="rId4"/><Relationship Type="http://schemas.openxmlformats.org/officeDocument/2006/relationships/hyperlink" Target="https://ascentialcdn.filespin.io/api/v1/conversion/0d649f054bbc45eb8338454f58477357" TargetMode="External" Id="rId5"/><Relationship Type="http://schemas.openxmlformats.org/officeDocument/2006/relationships/hyperlink" Target="https://www.lovethework.com/work/entries/eye-scan-755297" TargetMode="External" Id="rId6"/><Relationship Type="http://schemas.openxmlformats.org/officeDocument/2006/relationships/hyperlink" Target="https://www.lovethework.com/work/entries/eye-test-755288" TargetMode="External" Id="rId7"/><Relationship Type="http://schemas.openxmlformats.org/officeDocument/2006/relationships/hyperlink" Target="https://ascentialcdn.filespin.io/api/v1/conversion/1414d4463a6843cf997e70a4225294ad" TargetMode="External" Id="rId8"/><Relationship Type="http://schemas.openxmlformats.org/officeDocument/2006/relationships/hyperlink" Target="https://www.lovethework.com/work/entries/eyecare-755309" TargetMode="External" Id="rId9"/><Relationship Type="http://schemas.openxmlformats.org/officeDocument/2006/relationships/hyperlink" Target="https://ascentialcdn.filespin.io/api/v1/conversion/3550c1fc27e344ca95537ef31e739800" TargetMode="External" Id="rId10"/><Relationship Type="http://schemas.openxmlformats.org/officeDocument/2006/relationships/hyperlink" Target="https://www.lovethework.com/work/entries/winning-isnt-comfortable-755643" TargetMode="External" Id="rId11"/><Relationship Type="http://schemas.openxmlformats.org/officeDocument/2006/relationships/hyperlink" Target="https://ascentialcdn.filespin.io/api/v1/conversion/298920c22d6d4405bd030b3c48358045" TargetMode="External" Id="rId12"/><Relationship Type="http://schemas.openxmlformats.org/officeDocument/2006/relationships/hyperlink" Target="https://www.lovethework.com/work/entries/no-labels-755428" TargetMode="External" Id="rId13"/><Relationship Type="http://schemas.openxmlformats.org/officeDocument/2006/relationships/hyperlink" Target="https://ascentialcdn.filespin.io/api/v1/conversion/45b82704ea3c485b85b739da362c39ed" TargetMode="External" Id="rId14"/><Relationship Type="http://schemas.openxmlformats.org/officeDocument/2006/relationships/hyperlink" Target="https://www.lovethework.com/work/entries/the-philharmonic-prints-foyer-windows-1st-floor-762038" TargetMode="External" Id="rId15"/><Relationship Type="http://schemas.openxmlformats.org/officeDocument/2006/relationships/hyperlink" Target="https://ascentialcdn.filespin.io/api/v1/conversion/45acab20ec964b83b71a1ef010683ff4" TargetMode="External" Id="rId16"/><Relationship Type="http://schemas.openxmlformats.org/officeDocument/2006/relationships/hyperlink" Target="https://www.lovethework.com/work/entries/moctezuma-cement-reimagined-in-mexico-762817" TargetMode="External" Id="rId17"/><Relationship Type="http://schemas.openxmlformats.org/officeDocument/2006/relationships/hyperlink" Target="https://ascentialcdn.filespin.io/api/v1/conversion/d08dfedd3b1440c495f9825ba37be9ee" TargetMode="External" Id="rId18"/><Relationship Type="http://schemas.openxmlformats.org/officeDocument/2006/relationships/hyperlink" Target="https://www.lovethework.com/work/entries/designing-paris-2024-755182" TargetMode="External" Id="rId19"/><Relationship Type="http://schemas.openxmlformats.org/officeDocument/2006/relationships/hyperlink" Target="https://ascentialcdn.filespin.io/api/v1/conversion/e8adc13b9108423d81f397fa0733aba6" TargetMode="External" Id="rId20"/><Relationship Type="http://schemas.openxmlformats.org/officeDocument/2006/relationships/hyperlink" Target="https://www.lovethework.com/work/entries/made-to-share-764634" TargetMode="External" Id="rId21"/><Relationship Type="http://schemas.openxmlformats.org/officeDocument/2006/relationships/hyperlink" Target="https://ascentialcdn.filespin.io/api/v1/conversion/afbd21854dee4741933864bfb260b620" TargetMode="External" Id="rId22"/><Relationship Type="http://schemas.openxmlformats.org/officeDocument/2006/relationships/hyperlink" Target="https://www.lovethework.com/work/entries/you-must-be-human-764585" TargetMode="External" Id="rId23"/><Relationship Type="http://schemas.openxmlformats.org/officeDocument/2006/relationships/hyperlink" Target="https://ascentialcdn.filespin.io/api/v1/conversion/9ae725d9e1774872a4971b3b6e62fbbb" TargetMode="External" Id="rId24"/><Relationship Type="http://schemas.openxmlformats.org/officeDocument/2006/relationships/hyperlink" Target="https://www.lovethework.com/work/entries/60-years-of-film-761969" TargetMode="External" Id="rId25"/><Relationship Type="http://schemas.openxmlformats.org/officeDocument/2006/relationships/hyperlink" Target="https://ascentialcdn.filespin.io/api/v1/conversion/f59ad983232a4d4185656043a643b86d" TargetMode="External" Id="rId26"/><Relationship Type="http://schemas.openxmlformats.org/officeDocument/2006/relationships/hyperlink" Target="https://www.lovethework.com/work/entries/the-philharmonic-prints-stage-floor-great-hall-762059" TargetMode="External" Id="rId27"/><Relationship Type="http://schemas.openxmlformats.org/officeDocument/2006/relationships/hyperlink" Target="https://ascentialcdn.filespin.io/api/v1/conversion/3a177c8b37754037a19ddf0d99c858db" TargetMode="External" Id="rId28"/><Relationship Type="http://schemas.openxmlformats.org/officeDocument/2006/relationships/hyperlink" Target="https://www.lovethework.com/work/entries/boat-764631" TargetMode="External" Id="rId29"/><Relationship Type="http://schemas.openxmlformats.org/officeDocument/2006/relationships/hyperlink" Target="https://ascentialcdn.filespin.io/api/v1/conversion/a33c9462c05d4330895b056745b6a602" TargetMode="External" Id="rId30"/><Relationship Type="http://schemas.openxmlformats.org/officeDocument/2006/relationships/hyperlink" Target="https://www.lovethework.com/work/entries/protector-of-the-chalice-755403" TargetMode="External" Id="rId31"/><Relationship Type="http://schemas.openxmlformats.org/officeDocument/2006/relationships/hyperlink" Target="https://ascentialcdn.filespin.io/api/v1/conversion/bddc09c58f164186b2e60a6ff81be5d1" TargetMode="External" Id="rId32"/><Relationship Type="http://schemas.openxmlformats.org/officeDocument/2006/relationships/hyperlink" Target="https://www.lovethework.com/work/entries/winis-font-763701" TargetMode="External" Id="rId33"/><Relationship Type="http://schemas.openxmlformats.org/officeDocument/2006/relationships/hyperlink" Target="https://ascentialcdn.filespin.io/api/v1/conversion/8f5ea045b19848018f457f855087bd79" TargetMode="External" Id="rId34"/><Relationship Type="http://schemas.openxmlformats.org/officeDocument/2006/relationships/hyperlink" Target="https://www.lovethework.com/work/entries/855-how-to-quit-opioids-755234" TargetMode="External" Id="rId35"/><Relationship Type="http://schemas.openxmlformats.org/officeDocument/2006/relationships/hyperlink" Target="https://www.lovethework.com/work/entries/make-love-last-living-room-755540" TargetMode="External" Id="rId36"/><Relationship Type="http://schemas.openxmlformats.org/officeDocument/2006/relationships/hyperlink" Target="https://ascentialcdn.filespin.io/api/v1/conversion/5e0c4fda3f3d4bc2ad2e0d8b2247d936" TargetMode="External" Id="rId37"/><Relationship Type="http://schemas.openxmlformats.org/officeDocument/2006/relationships/hyperlink" Target="https://www.lovethework.com/work/entries/the-shining-755543" TargetMode="External" Id="rId38"/><Relationship Type="http://schemas.openxmlformats.org/officeDocument/2006/relationships/hyperlink" Target="https://ascentialcdn.filespin.io/api/v1/conversion/c1c1d7e736414c30b0c7dd8125ee00de" TargetMode="External" Id="rId39"/><Relationship Type="http://schemas.openxmlformats.org/officeDocument/2006/relationships/hyperlink" Target="https://www.lovethework.com/work/entries/make-love-last-bedroom-755520" TargetMode="External" Id="rId40"/><Relationship Type="http://schemas.openxmlformats.org/officeDocument/2006/relationships/hyperlink" Target="https://ascentialcdn.filespin.io/api/v1/conversion/eb513fac29984db2811524e932026062" TargetMode="External" Id="rId41"/><Relationship Type="http://schemas.openxmlformats.org/officeDocument/2006/relationships/hyperlink" Target="https://www.lovethework.com/work/entries/tennessee-sound-sites-755571" TargetMode="External" Id="rId42"/><Relationship Type="http://schemas.openxmlformats.org/officeDocument/2006/relationships/hyperlink" Target="https://ascentialcdn.filespin.io/api/v1/conversion/9ceaf650a007496f90b6d5670786b4df" TargetMode="External" Id="rId43"/><Relationship Type="http://schemas.openxmlformats.org/officeDocument/2006/relationships/hyperlink" Target="https://www.lovethework.com/work/entries/surfer-764652" TargetMode="External" Id="rId44"/><Relationship Type="http://schemas.openxmlformats.org/officeDocument/2006/relationships/hyperlink" Target="https://ascentialcdn.filespin.io/api/v1/conversion/e7e539cb5808438292eda4ab47fb950f" TargetMode="External" Id="rId45"/><Relationship Type="http://schemas.openxmlformats.org/officeDocument/2006/relationships/hyperlink" Target="https://www.lovethework.com/work/entries/extreme-metaphors-755369" TargetMode="External" Id="rId46"/><Relationship Type="http://schemas.openxmlformats.org/officeDocument/2006/relationships/hyperlink" Target="https://ascentialcdn.filespin.io/api/v1/conversion/9c2384ef085943848ac188cd6d5d9a43" TargetMode="External" Id="rId47"/><Relationship Type="http://schemas.openxmlformats.org/officeDocument/2006/relationships/hyperlink" Target="https://www.lovethework.com/work/entries/a-house-for-mr-biswas-755553" TargetMode="External" Id="rId48"/><Relationship Type="http://schemas.openxmlformats.org/officeDocument/2006/relationships/hyperlink" Target="https://ascentialcdn.filespin.io/api/v1/conversion/35c567148f6e40e1a267849bde62ba92" TargetMode="External" Id="rId49"/><Relationship Type="http://schemas.openxmlformats.org/officeDocument/2006/relationships/hyperlink" Target="https://www.lovethework.com/work/entries/waves-764642" TargetMode="External" Id="rId50"/><Relationship Type="http://schemas.openxmlformats.org/officeDocument/2006/relationships/hyperlink" Target="https://ascentialcdn.filespin.io/api/v1/conversion/9614d02c7bc4416ba1536c73770f5d8e" TargetMode="External" Id="rId51"/><Relationship Type="http://schemas.openxmlformats.org/officeDocument/2006/relationships/hyperlink" Target="https://www.lovethework.com/work/entries/flags-of-unity-755285" TargetMode="External" Id="rId52"/><Relationship Type="http://schemas.openxmlformats.org/officeDocument/2006/relationships/hyperlink" Target="https://www.lovethework.com/work/entries/the-shakespeare-bic-755424" TargetMode="External" Id="rId53"/><Relationship Type="http://schemas.openxmlformats.org/officeDocument/2006/relationships/hyperlink" Target="https://www.lovethework.com/work/entries/winter-takes-on-colors-755528" TargetMode="External" Id="rId54"/><Relationship Type="http://schemas.openxmlformats.org/officeDocument/2006/relationships/hyperlink" Target="https://ascentialcdn.filespin.io/api/v1/conversion/882ea591b6fa40b29a529180b71afa65" TargetMode="External" Id="rId55"/><Relationship Type="http://schemas.openxmlformats.org/officeDocument/2006/relationships/hyperlink" Target="https://www.lovethework.com/work/entries/happiness-within-chaos-755413" TargetMode="External" Id="rId56"/><Relationship Type="http://schemas.openxmlformats.org/officeDocument/2006/relationships/hyperlink" Target="https://ascentialcdn.filespin.io/api/v1/conversion/e0ce6e89c01f47a2839bc5a88ec39e35" TargetMode="External" Id="rId57"/><Relationship Type="http://schemas.openxmlformats.org/officeDocument/2006/relationships/hyperlink" Target="https://www.lovethework.com/work/entries/amazonia-791405" TargetMode="External" Id="rId58"/><Relationship Type="http://schemas.openxmlformats.org/officeDocument/2006/relationships/hyperlink" Target="https://ascentialcdn.filespin.io/api/v1/conversion/4f23a5f488384646908dde11975e6e81" TargetMode="External" Id="rId59"/><Relationship Type="http://schemas.openxmlformats.org/officeDocument/2006/relationships/hyperlink" Target="https://www.lovethework.com/work/entries/sunburnt-car-779891" TargetMode="External" Id="rId60"/><Relationship Type="http://schemas.openxmlformats.org/officeDocument/2006/relationships/hyperlink" Target="https://ascentialcdn.filespin.io/api/v1/conversion/72e7c3e68738463f80d708fc5b699115" TargetMode="External" Id="rId61"/><Relationship Type="http://schemas.openxmlformats.org/officeDocument/2006/relationships/hyperlink" Target="https://www.lovethework.com/work/entries/tiny-coffee-shops-793474" TargetMode="External" Id="rId62"/><Relationship Type="http://schemas.openxmlformats.org/officeDocument/2006/relationships/hyperlink" Target="https://ascentialcdn.filespin.io/api/v1/conversion/725e82e0611c45fc83a4737acef7ae35" TargetMode="External" Id="rId63"/><Relationship Type="http://schemas.openxmlformats.org/officeDocument/2006/relationships/hyperlink" Target="https://www.lovethework.com/work/entries/racing-780054" TargetMode="External" Id="rId64"/><Relationship Type="http://schemas.openxmlformats.org/officeDocument/2006/relationships/hyperlink" Target="https://ascentialcdn.filespin.io/api/v1/conversion/18a64aa0b21e410abc496ca605e52736" TargetMode="External" Id="rId65"/><Relationship Type="http://schemas.openxmlformats.org/officeDocument/2006/relationships/hyperlink" Target="https://www.lovethework.com/work/entries/club-780062" TargetMode="External" Id="rId66"/><Relationship Type="http://schemas.openxmlformats.org/officeDocument/2006/relationships/hyperlink" Target="https://ascentialcdn.filespin.io/api/v1/conversion/dac400285b0e4f0084104595d3aab012" TargetMode="External" Id="rId67"/><Relationship Type="http://schemas.openxmlformats.org/officeDocument/2006/relationships/hyperlink" Target="https://www.lovethework.com/work/entries/vamos-780067" TargetMode="External" Id="rId68"/><Relationship Type="http://schemas.openxmlformats.org/officeDocument/2006/relationships/hyperlink" Target="https://ascentialcdn.filespin.io/api/v1/conversion/f443f7b5bd8e4a3b8b8f106bfd4e688b" TargetMode="External" Id="rId69"/><Relationship Type="http://schemas.openxmlformats.org/officeDocument/2006/relationships/hyperlink" Target="https://www.lovethework.com/work/entries/moving-landscapes-snow-780074" TargetMode="External" Id="rId70"/><Relationship Type="http://schemas.openxmlformats.org/officeDocument/2006/relationships/hyperlink" Target="https://ascentialcdn.filespin.io/api/v1/conversion/d5b65fbd2ccd4c52b298a5d0db4c4bd0" TargetMode="External" Id="rId71"/><Relationship Type="http://schemas.openxmlformats.org/officeDocument/2006/relationships/hyperlink" Target="https://www.lovethework.com/work/entries/moving-landscapes-forest-790480" TargetMode="External" Id="rId72"/><Relationship Type="http://schemas.openxmlformats.org/officeDocument/2006/relationships/hyperlink" Target="https://ascentialcdn.filespin.io/api/v1/conversion/7bbe8893e91c4f3999eb1f2a0cc26672" TargetMode="External" Id="rId73"/><Relationship Type="http://schemas.openxmlformats.org/officeDocument/2006/relationships/hyperlink" Target="https://www.lovethework.com/work/entries/moving-landscapes-dehesa-780082" TargetMode="External" Id="rId74"/><Relationship Type="http://schemas.openxmlformats.org/officeDocument/2006/relationships/hyperlink" Target="https://ascentialcdn.filespin.io/api/v1/conversion/92e6fc14888b4fc9a486faa437a4ab7e" TargetMode="External" Id="rId75"/><Relationship Type="http://schemas.openxmlformats.org/officeDocument/2006/relationships/hyperlink" Target="https://www.lovethework.com/work/entries/suffering-780102" TargetMode="External" Id="rId76"/><Relationship Type="http://schemas.openxmlformats.org/officeDocument/2006/relationships/hyperlink" Target="https://ascentialcdn.filespin.io/api/v1/conversion/8431a81785fc462f9f338e940d4466a6" TargetMode="External" Id="rId77"/><Relationship Type="http://schemas.openxmlformats.org/officeDocument/2006/relationships/hyperlink" Target="https://www.lovethework.com/work/entries/hope-780000" TargetMode="External" Id="rId78"/><Relationship Type="http://schemas.openxmlformats.org/officeDocument/2006/relationships/hyperlink" Target="https://ascentialcdn.filespin.io/api/v1/conversion/5db093d7d3fd44a582abd572c51b8416" TargetMode="External" Id="rId79"/><Relationship Type="http://schemas.openxmlformats.org/officeDocument/2006/relationships/hyperlink" Target="https://www.lovethework.com/work/entries/mornings-780006" TargetMode="External" Id="rId80"/><Relationship Type="http://schemas.openxmlformats.org/officeDocument/2006/relationships/hyperlink" Target="https://ascentialcdn.filespin.io/api/v1/conversion/348332c52cfe4054a1a9525e5b046518" TargetMode="External" Id="rId81"/><Relationship Type="http://schemas.openxmlformats.org/officeDocument/2006/relationships/hyperlink" Target="https://www.lovethework.com/work/entries/picky-780016" TargetMode="External" Id="rId82"/><Relationship Type="http://schemas.openxmlformats.org/officeDocument/2006/relationships/hyperlink" Target="https://ascentialcdn.filespin.io/api/v1/conversion/1bbf9fa6beb44c968b06453b14c2ed36" TargetMode="External" Id="rId83"/><Relationship Type="http://schemas.openxmlformats.org/officeDocument/2006/relationships/hyperlink" Target="https://www.lovethework.com/work/entries/amaznia-alive-book-791151" TargetMode="External" Id="rId84"/><Relationship Type="http://schemas.openxmlformats.org/officeDocument/2006/relationships/hyperlink" Target="https://ascentialcdn.filespin.io/api/v1/conversion/3d28e2de50d34ec395da0dd7d6e87d4e" TargetMode="External" Id="rId85"/><Relationship Type="http://schemas.openxmlformats.org/officeDocument/2006/relationships/hyperlink" Target="https://www.lovethework.com/work/entries/dancebook-brasil-780127" TargetMode="External" Id="rId86"/><Relationship Type="http://schemas.openxmlformats.org/officeDocument/2006/relationships/hyperlink" Target="https://ascentialcdn.filespin.io/api/v1/conversion/229bbf5df32d4c67a1d9079b42bd4866" TargetMode="External" Id="rId87"/><Relationship Type="http://schemas.openxmlformats.org/officeDocument/2006/relationships/hyperlink" Target="https://www.lovethework.com/work/entries/glowing-relief-790510" TargetMode="External" Id="rId88"/><Relationship Type="http://schemas.openxmlformats.org/officeDocument/2006/relationships/hyperlink" Target="https://ascentialcdn.filespin.io/api/v1/conversion/7460ca0e117b4ccfba4de7d001a5596f" TargetMode="External" Id="rId89"/><Relationship Type="http://schemas.openxmlformats.org/officeDocument/2006/relationships/hyperlink" Target="https://www.lovethework.com/work/entries/dear-difference-779304" TargetMode="External" Id="rId90"/><Relationship Type="http://schemas.openxmlformats.org/officeDocument/2006/relationships/hyperlink" Target="https://ascentialcdn.filespin.io/api/v1/conversion/3b667f91d40e49cf880edd2d521e266f" TargetMode="External" Id="rId91"/><Relationship Type="http://schemas.openxmlformats.org/officeDocument/2006/relationships/hyperlink" Target="https://www.lovethework.com/work/entries/fascinating-791166" TargetMode="External" Id="rId92"/><Relationship Type="http://schemas.openxmlformats.org/officeDocument/2006/relationships/hyperlink" Target="https://ascentialcdn.filespin.io/api/v1/conversion/0766623e198f4452a9edf7dd52b2bfee" TargetMode="External" Id="rId93"/><Relationship Type="http://schemas.openxmlformats.org/officeDocument/2006/relationships/hyperlink" Target="https://www.lovethework.com/work/entries/pedro-775877" TargetMode="External" Id="rId94"/><Relationship Type="http://schemas.openxmlformats.org/officeDocument/2006/relationships/hyperlink" Target="https://ascentialcdn.filespin.io/api/v1/conversion/4be7d4d452b442188fde3a0fe15c7664" TargetMode="External" Id="rId95"/><Relationship Type="http://schemas.openxmlformats.org/officeDocument/2006/relationships/hyperlink" Target="https://www.lovethework.com/work/entries/maria-775887" TargetMode="External" Id="rId96"/><Relationship Type="http://schemas.openxmlformats.org/officeDocument/2006/relationships/hyperlink" Target="https://ascentialcdn.filespin.io/api/v1/conversion/a4e96ca96c224419abb81dd8f9943b01" TargetMode="External" Id="rId97"/><Relationship Type="http://schemas.openxmlformats.org/officeDocument/2006/relationships/hyperlink" Target="https://www.lovethework.com/work/entries/terms-and-conditions-of-being-a-girl-780098" TargetMode="External" Id="rId98"/><Relationship Type="http://schemas.openxmlformats.org/officeDocument/2006/relationships/hyperlink" Target="https://ascentialcdn.filespin.io/api/v1/conversion/8431a81785fc462f9f338e940d4466a6" TargetMode="External" Id="rId99"/><Relationship Type="http://schemas.openxmlformats.org/officeDocument/2006/relationships/hyperlink" Target="https://www.lovethework.com/work/entries/hope-790580" TargetMode="External" Id="rId100"/><Relationship Type="http://schemas.openxmlformats.org/officeDocument/2006/relationships/hyperlink" Target="https://ascentialcdn.filespin.io/api/v1/conversion/5db093d7d3fd44a582abd572c51b8416" TargetMode="External" Id="rId101"/><Relationship Type="http://schemas.openxmlformats.org/officeDocument/2006/relationships/hyperlink" Target="https://www.lovethework.com/work/entries/mornings-780083" TargetMode="External" Id="rId102"/><Relationship Type="http://schemas.openxmlformats.org/officeDocument/2006/relationships/hyperlink" Target="https://ascentialcdn.filespin.io/api/v1/conversion/348332c52cfe4054a1a9525e5b046518" TargetMode="External" Id="rId103"/><Relationship Type="http://schemas.openxmlformats.org/officeDocument/2006/relationships/hyperlink" Target="https://www.lovethework.com/work/entries/picky-780087" TargetMode="External" Id="rId104"/><Relationship Type="http://schemas.openxmlformats.org/officeDocument/2006/relationships/hyperlink" Target="https://ascentialcdn.filespin.io/api/v1/conversion/2a2582653fe641ef892534a71460ee2c" TargetMode="External" Id="rId105"/><Relationship Type="http://schemas.openxmlformats.org/officeDocument/2006/relationships/hyperlink" Target="https://www.lovethework.com/work/entries/the-missing-word-dictionary-791760" TargetMode="External" Id="rId106"/><Relationship Type="http://schemas.openxmlformats.org/officeDocument/2006/relationships/hyperlink" Target="https://ascentialcdn.filespin.io/api/v1/conversion/a564d50f9bf442f2a538ebf19954b74e" TargetMode="External" Id="rId107"/><Relationship Type="http://schemas.openxmlformats.org/officeDocument/2006/relationships/hyperlink" Target="https://www.lovethework.com/work/entries/craftmanships-790605" TargetMode="External" Id="rId108"/><Relationship Type="http://schemas.openxmlformats.org/officeDocument/2006/relationships/hyperlink" Target="https://ascentialcdn.filespin.io/api/v1/conversion/7690353266f042eeb448bce4db6b3aed" TargetMode="External" Id="rId109"/><Relationship Type="http://schemas.openxmlformats.org/officeDocument/2006/relationships/hyperlink" Target="https://www.lovethework.com/work/entries/dear-difference-779289" TargetMode="External" Id="rId110"/></Relationships>
</file>

<file path=xl/worksheets/_rels/sheet11.xml.rels><Relationships xmlns="http://schemas.openxmlformats.org/package/2006/relationships"><Relationship Type="http://schemas.openxmlformats.org/officeDocument/2006/relationships/hyperlink" Target="https://ascentialcdn.filespin.io/api/v1/conversion/f0ac3195ac904c3daf13ae2ee67cc31a" TargetMode="External" Id="rId1"/><Relationship Type="http://schemas.openxmlformats.org/officeDocument/2006/relationships/hyperlink" Target="https://www.lovethework.com/work/entries/b2b-act-like-you-know-758347" TargetMode="External" Id="rId2"/><Relationship Type="http://schemas.openxmlformats.org/officeDocument/2006/relationships/hyperlink" Target="https://ascentialcdn.filespin.io/api/v1/conversion/bccb982c43f84748a1973b909b5863d3" TargetMode="External" Id="rId3"/><Relationship Type="http://schemas.openxmlformats.org/officeDocument/2006/relationships/hyperlink" Target="https://www.lovethework.com/work/entries/still-open-758077" TargetMode="External" Id="rId4"/><Relationship Type="http://schemas.openxmlformats.org/officeDocument/2006/relationships/hyperlink" Target="https://ascentialcdn.filespin.io/api/v1/conversion/f8592ba04ed4495d8a51757d790e8679" TargetMode="External" Id="rId5"/><Relationship Type="http://schemas.openxmlformats.org/officeDocument/2006/relationships/hyperlink" Target="https://www.lovethework.com/work/entries/renault-unpatent-757993" TargetMode="External" Id="rId6"/><Relationship Type="http://schemas.openxmlformats.org/officeDocument/2006/relationships/hyperlink" Target="https://ascentialcdn.filespin.io/api/v1/conversion/06ac79ad1b9840bdb3df3269a42d0933" TargetMode="External" Id="rId7"/><Relationship Type="http://schemas.openxmlformats.org/officeDocument/2006/relationships/hyperlink" Target="https://www.lovethework.com/work/entries/recipe-for-growth-757969" TargetMode="External" Id="rId8"/><Relationship Type="http://schemas.openxmlformats.org/officeDocument/2006/relationships/hyperlink" Target="https://ascentialcdn.filespin.io/api/v1/conversion/5de4650ab9f34ebb8ad0ea4f4bc6b8b5" TargetMode="External" Id="rId9"/><Relationship Type="http://schemas.openxmlformats.org/officeDocument/2006/relationships/hyperlink" Target="https://www.lovethework.com/work/entries/estibadores-759626" TargetMode="External" Id="rId10"/><Relationship Type="http://schemas.openxmlformats.org/officeDocument/2006/relationships/hyperlink" Target="https://ascentialcdn.filespin.io/api/v1/conversion/859a375f4fc94040a6d0deeea1586fae" TargetMode="External" Id="rId11"/><Relationship Type="http://schemas.openxmlformats.org/officeDocument/2006/relationships/hyperlink" Target="https://www.lovethework.com/work/entries/the-desk-break-clause-758238" TargetMode="External" Id="rId12"/><Relationship Type="http://schemas.openxmlformats.org/officeDocument/2006/relationships/hyperlink" Target="https://ascentialcdn.filespin.io/api/v1/conversion/4c7f3fc5e9e844a883cf1d4bc94c9d58" TargetMode="External" Id="rId13"/><Relationship Type="http://schemas.openxmlformats.org/officeDocument/2006/relationships/hyperlink" Target="https://www.lovethework.com/work/entries/animal-alerts-757967" TargetMode="External" Id="rId14"/><Relationship Type="http://schemas.openxmlformats.org/officeDocument/2006/relationships/hyperlink" Target="https://ascentialcdn.filespin.io/api/v1/conversion/84fdb68c2d894cd581682c863718054b" TargetMode="External" Id="rId15"/><Relationship Type="http://schemas.openxmlformats.org/officeDocument/2006/relationships/hyperlink" Target="https://www.lovethework.com/work/entries/nescaf-plantlets-for-future-758004" TargetMode="External" Id="rId16"/><Relationship Type="http://schemas.openxmlformats.org/officeDocument/2006/relationships/hyperlink" Target="https://ascentialcdn.filespin.io/api/v1/conversion/8cee05632e994496abdaa28c9c780583" TargetMode="External" Id="rId17"/><Relationship Type="http://schemas.openxmlformats.org/officeDocument/2006/relationships/hyperlink" Target="https://www.lovethework.com/work/entries/caption-with-intention-757997" TargetMode="External" Id="rId18"/><Relationship Type="http://schemas.openxmlformats.org/officeDocument/2006/relationships/hyperlink" Target="https://ascentialcdn.filespin.io/api/v1/conversion/31d78640c4d74a57a9568f3c2153d239" TargetMode="External" Id="rId19"/><Relationship Type="http://schemas.openxmlformats.org/officeDocument/2006/relationships/hyperlink" Target="https://www.lovethework.com/work/entries/everybodys-business-760029" TargetMode="External" Id="rId20"/><Relationship Type="http://schemas.openxmlformats.org/officeDocument/2006/relationships/hyperlink" Target="https://ascentialcdn.filespin.io/api/v1/conversion/8223f25b769b40e3b665c4ec19e2e12c" TargetMode="External" Id="rId21"/><Relationship Type="http://schemas.openxmlformats.org/officeDocument/2006/relationships/hyperlink" Target="https://www.lovethework.com/work/entries/preserved-promos-758130" TargetMode="External" Id="rId22"/><Relationship Type="http://schemas.openxmlformats.org/officeDocument/2006/relationships/hyperlink" Target="https://ascentialcdn.filespin.io/api/v1/conversion/6544f095e71a47a39d27334e2404e951" TargetMode="External" Id="rId23"/><Relationship Type="http://schemas.openxmlformats.org/officeDocument/2006/relationships/hyperlink" Target="https://www.lovethework.com/work/entries/starring-bars-757826" TargetMode="External" Id="rId24"/><Relationship Type="http://schemas.openxmlformats.org/officeDocument/2006/relationships/hyperlink" Target="https://ascentialcdn.filespin.io/api/v1/conversion/47493919a45c464ca5a8228f83685d83" TargetMode="External" Id="rId25"/><Relationship Type="http://schemas.openxmlformats.org/officeDocument/2006/relationships/hyperlink" Target="https://www.lovethework.com/work/entries/recipe-for-change-758056" TargetMode="External" Id="rId26"/></Relationships>
</file>

<file path=xl/worksheets/_rels/sheet12.xml.rels><Relationships xmlns="http://schemas.openxmlformats.org/package/2006/relationships"><Relationship Type="http://schemas.openxmlformats.org/officeDocument/2006/relationships/hyperlink" Target="https://ascentialcdn.filespin.io/api/v1/conversion/237ade5924eb407898bf58d19f58a52a" TargetMode="External" Id="rId1"/><Relationship Type="http://schemas.openxmlformats.org/officeDocument/2006/relationships/hyperlink" Target="https://www.lovethework.com/work/entries/ikea-hidden-tags-753885" TargetMode="External" Id="rId2"/><Relationship Type="http://schemas.openxmlformats.org/officeDocument/2006/relationships/hyperlink" Target="https://ascentialcdn.filespin.io/api/v1/conversion/e23ba1fc24004021856268a0ee6b44d9" TargetMode="External" Id="rId3"/><Relationship Type="http://schemas.openxmlformats.org/officeDocument/2006/relationships/hyperlink" Target="https://www.lovethework.com/work/entries/sato-2531-754250" TargetMode="External" Id="rId4"/><Relationship Type="http://schemas.openxmlformats.org/officeDocument/2006/relationships/hyperlink" Target="https://ascentialcdn.filespin.io/api/v1/conversion/a8a20a31dcb844ebad5ef04afca8370b" TargetMode="External" Id="rId5"/><Relationship Type="http://schemas.openxmlformats.org/officeDocument/2006/relationships/hyperlink" Target="https://www.lovethework.com/work/entries/acko-tailor-test-754081" TargetMode="External" Id="rId6"/><Relationship Type="http://schemas.openxmlformats.org/officeDocument/2006/relationships/hyperlink" Target="https://ascentialcdn.filespin.io/api/v1/conversion/64d76bdbc8f54be7a59e700d5332b2a6" TargetMode="External" Id="rId7"/><Relationship Type="http://schemas.openxmlformats.org/officeDocument/2006/relationships/hyperlink" Target="https://www.lovethework.com/work/entries/elf-beauty-so-many-dicks-753999" TargetMode="External" Id="rId8"/><Relationship Type="http://schemas.openxmlformats.org/officeDocument/2006/relationships/hyperlink" Target="https://ascentialcdn.filespin.io/api/v1/conversion/d3b1ef914a9640f7b0b0389b64d37fd2" TargetMode="External" Id="rId9"/><Relationship Type="http://schemas.openxmlformats.org/officeDocument/2006/relationships/hyperlink" Target="https://www.lovethework.com/work/entries/drops-of-hope-753816" TargetMode="External" Id="rId10"/><Relationship Type="http://schemas.openxmlformats.org/officeDocument/2006/relationships/hyperlink" Target="https://ascentialcdn.filespin.io/api/v1/conversion/dc840a1ede4e49ceba65f229ae4ced69" TargetMode="External" Id="rId11"/><Relationship Type="http://schemas.openxmlformats.org/officeDocument/2006/relationships/hyperlink" Target="https://www.lovethework.com/work/entries/health-tracker-754213" TargetMode="External" Id="rId12"/><Relationship Type="http://schemas.openxmlformats.org/officeDocument/2006/relationships/hyperlink" Target="https://ascentialcdn.filespin.io/api/v1/conversion/e94bf22aa9464e848abb53d498481dc1" TargetMode="External" Id="rId13"/><Relationship Type="http://schemas.openxmlformats.org/officeDocument/2006/relationships/hyperlink" Target="https://www.lovethework.com/work/entries/streetnav-754079" TargetMode="External" Id="rId14"/><Relationship Type="http://schemas.openxmlformats.org/officeDocument/2006/relationships/hyperlink" Target="https://ascentialcdn.filespin.io/api/v1/conversion/cfd7900b28e941bc9f0945581daf896f" TargetMode="External" Id="rId15"/><Relationship Type="http://schemas.openxmlformats.org/officeDocument/2006/relationships/hyperlink" Target="https://www.lovethework.com/work/entries/pixvertising-761869" TargetMode="External" Id="rId16"/><Relationship Type="http://schemas.openxmlformats.org/officeDocument/2006/relationships/hyperlink" Target="https://ascentialcdn.filespin.io/api/v1/conversion/8f27d4982c9f44a0ae99fa41531bda8e" TargetMode="External" Id="rId17"/><Relationship Type="http://schemas.openxmlformats.org/officeDocument/2006/relationships/hyperlink" Target="https://www.lovethework.com/work/entries/the-amazon-greenventory-754084" TargetMode="External" Id="rId18"/><Relationship Type="http://schemas.openxmlformats.org/officeDocument/2006/relationships/hyperlink" Target="https://ascentialcdn.filespin.io/api/v1/conversion/73ea0e639f6747c68cf8460abe2f02bb" TargetMode="External" Id="rId19"/><Relationship Type="http://schemas.openxmlformats.org/officeDocument/2006/relationships/hyperlink" Target="https://www.lovethework.com/work/entries/breastmilk-money-754148" TargetMode="External" Id="rId20"/><Relationship Type="http://schemas.openxmlformats.org/officeDocument/2006/relationships/hyperlink" Target="https://ascentialcdn.filespin.io/api/v1/conversion/06ac79ad1b9840bdb3df3269a42d0933" TargetMode="External" Id="rId21"/><Relationship Type="http://schemas.openxmlformats.org/officeDocument/2006/relationships/hyperlink" Target="https://www.lovethework.com/work/entries/recipe-for-growth-754115" TargetMode="External" Id="rId22"/><Relationship Type="http://schemas.openxmlformats.org/officeDocument/2006/relationships/hyperlink" Target="https://ascentialcdn.filespin.io/api/v1/conversion/6fbd1db8f0384e92b6c363cfc1ba9bec" TargetMode="External" Id="rId23"/><Relationship Type="http://schemas.openxmlformats.org/officeDocument/2006/relationships/hyperlink" Target="https://www.lovethework.com/work/entries/disconnect-753762" TargetMode="External" Id="rId24"/><Relationship Type="http://schemas.openxmlformats.org/officeDocument/2006/relationships/hyperlink" Target="https://ascentialcdn.filespin.io/api/v1/conversion/237ade5924eb407898bf58d19f58a52a" TargetMode="External" Id="rId25"/><Relationship Type="http://schemas.openxmlformats.org/officeDocument/2006/relationships/hyperlink" Target="https://www.lovethework.com/work/entries/ikea-hidden-tags-754342" TargetMode="External" Id="rId26"/><Relationship Type="http://schemas.openxmlformats.org/officeDocument/2006/relationships/hyperlink" Target="https://ascentialcdn.filespin.io/api/v1/conversion/32d357cad3624b9489965e9886948447" TargetMode="External" Id="rId27"/><Relationship Type="http://schemas.openxmlformats.org/officeDocument/2006/relationships/hyperlink" Target="https://www.lovethework.com/work/entries/the-missing-portraits-754176" TargetMode="External" Id="rId28"/><Relationship Type="http://schemas.openxmlformats.org/officeDocument/2006/relationships/hyperlink" Target="https://ascentialcdn.filespin.io/api/v1/conversion/d4f1b0f66c5e4ae7ad17037a6aa198f7" TargetMode="External" Id="rId29"/><Relationship Type="http://schemas.openxmlformats.org/officeDocument/2006/relationships/hyperlink" Target="https://www.lovethework.com/work/entries/life-donor-card-759724" TargetMode="External" Id="rId30"/><Relationship Type="http://schemas.openxmlformats.org/officeDocument/2006/relationships/hyperlink" Target="https://ascentialcdn.filespin.io/api/v1/conversion/baf91a99fe954d17a2d2b48558a76a34" TargetMode="External" Id="rId31"/><Relationship Type="http://schemas.openxmlformats.org/officeDocument/2006/relationships/hyperlink" Target="https://www.lovethework.com/work/entries/humanimal-tourism-753838" TargetMode="External" Id="rId32"/><Relationship Type="http://schemas.openxmlformats.org/officeDocument/2006/relationships/hyperlink" Target="https://ascentialcdn.filespin.io/api/v1/conversion/f79ebb4926094729b16cf44d9e9f7d4f" TargetMode="External" Id="rId33"/><Relationship Type="http://schemas.openxmlformats.org/officeDocument/2006/relationships/hyperlink" Target="https://www.lovethework.com/work/entries/the-social-feed-753950" TargetMode="External" Id="rId34"/><Relationship Type="http://schemas.openxmlformats.org/officeDocument/2006/relationships/hyperlink" Target="https://ascentialcdn.filespin.io/api/v1/conversion/1d46e6542c474e14a830761bec4b045a" TargetMode="External" Id="rId35"/><Relationship Type="http://schemas.openxmlformats.org/officeDocument/2006/relationships/hyperlink" Target="https://www.lovethework.com/work/entries/sos-pos-789501" TargetMode="External" Id="rId36"/><Relationship Type="http://schemas.openxmlformats.org/officeDocument/2006/relationships/hyperlink" Target="https://ascentialcdn.filespin.io/api/v1/conversion/10e9a33b9daf44ca9b31dc361459f87a" TargetMode="External" Id="rId37"/><Relationship Type="http://schemas.openxmlformats.org/officeDocument/2006/relationships/hyperlink" Target="https://www.lovethework.com/work/entries/600k-network-778652" TargetMode="External" Id="rId38"/><Relationship Type="http://schemas.openxmlformats.org/officeDocument/2006/relationships/hyperlink" Target="https://ascentialcdn.filespin.io/api/v1/conversion/1d46e6542c474e14a830761bec4b045a" TargetMode="External" Id="rId39"/><Relationship Type="http://schemas.openxmlformats.org/officeDocument/2006/relationships/hyperlink" Target="https://www.lovethework.com/work/entries/sos-pos-789506" TargetMode="External" Id="rId40"/><Relationship Type="http://schemas.openxmlformats.org/officeDocument/2006/relationships/hyperlink" Target="https://ascentialcdn.filespin.io/api/v1/conversion/3a741b1a245442c7a1e5026914e4b6c6" TargetMode="External" Id="rId41"/><Relationship Type="http://schemas.openxmlformats.org/officeDocument/2006/relationships/hyperlink" Target="https://www.lovethework.com/work/entries/unwatched-goals-777650" TargetMode="External" Id="rId42"/><Relationship Type="http://schemas.openxmlformats.org/officeDocument/2006/relationships/hyperlink" Target="https://ascentialcdn.filespin.io/api/v1/conversion/06a95a918bcd40c7b64cdf0b7123d586" TargetMode="External" Id="rId43"/><Relationship Type="http://schemas.openxmlformats.org/officeDocument/2006/relationships/hyperlink" Target="https://www.lovethework.com/work/entries/duobell-789483" TargetMode="External" Id="rId44"/><Relationship Type="http://schemas.openxmlformats.org/officeDocument/2006/relationships/hyperlink" Target="https://ascentialcdn.filespin.io/api/v1/conversion/0c49c9d60a944a37add314890bbff7bb" TargetMode="External" Id="rId45"/><Relationship Type="http://schemas.openxmlformats.org/officeDocument/2006/relationships/hyperlink" Target="https://www.lovethework.com/work/entries/lucky-fan-index-789487" TargetMode="External" Id="rId46"/><Relationship Type="http://schemas.openxmlformats.org/officeDocument/2006/relationships/hyperlink" Target="https://ascentialcdn.filespin.io/api/v1/conversion/77cfcfb8b3214196bb50aae00975065b" TargetMode="External" Id="rId47"/><Relationship Type="http://schemas.openxmlformats.org/officeDocument/2006/relationships/hyperlink" Target="https://www.lovethework.com/work/entries/haven-789521" TargetMode="External" Id="rId48"/><Relationship Type="http://schemas.openxmlformats.org/officeDocument/2006/relationships/hyperlink" Target="https://ascentialcdn.filespin.io/api/v1/conversion/8fa0a2eb41e84f40b7b09000a5397f7c" TargetMode="External" Id="rId49"/><Relationship Type="http://schemas.openxmlformats.org/officeDocument/2006/relationships/hyperlink" Target="https://www.lovethework.com/work/entries/fantasy-herd-777295" TargetMode="External" Id="rId50"/><Relationship Type="http://schemas.openxmlformats.org/officeDocument/2006/relationships/hyperlink" Target="https://ascentialcdn.filespin.io/api/v1/conversion/7c00609609e74b4abb472f54b32af1de" TargetMode="External" Id="rId51"/><Relationship Type="http://schemas.openxmlformats.org/officeDocument/2006/relationships/hyperlink" Target="https://www.lovethework.com/work/entries/here-to-stay-789425" TargetMode="External" Id="rId52"/><Relationship Type="http://schemas.openxmlformats.org/officeDocument/2006/relationships/hyperlink" Target="https://ascentialcdn.filespin.io/api/v1/conversion/7c908747e9e8487fa78f05f4c1beb1ad" TargetMode="External" Id="rId53"/><Relationship Type="http://schemas.openxmlformats.org/officeDocument/2006/relationships/hyperlink" Target="https://www.lovethework.com/work/entries/forests-without-names-790182" TargetMode="External" Id="rId54"/><Relationship Type="http://schemas.openxmlformats.org/officeDocument/2006/relationships/hyperlink" Target="https://ascentialcdn.filespin.io/api/v1/conversion/19ed020f5a874524be45138de8b27730" TargetMode="External" Id="rId55"/><Relationship Type="http://schemas.openxmlformats.org/officeDocument/2006/relationships/hyperlink" Target="https://www.lovethework.com/work/entries/the-philipstown-wirecar-grand-prix-779790" TargetMode="External" Id="rId56"/><Relationship Type="http://schemas.openxmlformats.org/officeDocument/2006/relationships/hyperlink" Target="https://ascentialcdn.filespin.io/api/v1/conversion/99c80e25d538446a9f1b113eea03956e" TargetMode="External" Id="rId57"/><Relationship Type="http://schemas.openxmlformats.org/officeDocument/2006/relationships/hyperlink" Target="https://www.lovethework.com/work/entries/nigrum-corpus-789516" TargetMode="External" Id="rId58"/><Relationship Type="http://schemas.openxmlformats.org/officeDocument/2006/relationships/hyperlink" Target="https://ascentialcdn.filespin.io/api/v1/conversion/e25d7a9e454b4de2a1c61b98b6a3ff5d" TargetMode="External" Id="rId59"/><Relationship Type="http://schemas.openxmlformats.org/officeDocument/2006/relationships/hyperlink" Target="https://www.lovethework.com/work/entries/dying-reviews-779763" TargetMode="External" Id="rId60"/></Relationships>
</file>

<file path=xl/worksheets/_rels/sheet13.xml.rels><Relationships xmlns="http://schemas.openxmlformats.org/package/2006/relationships"><Relationship Type="http://schemas.openxmlformats.org/officeDocument/2006/relationships/hyperlink" Target="https://ascentialcdn.filespin.io/api/v1/conversion/e1a85ff134e545c7b049791151432028" TargetMode="External" Id="rId1"/><Relationship Type="http://schemas.openxmlformats.org/officeDocument/2006/relationships/hyperlink" Target="https://www.lovethework.com/work/entries/axa-three-words-744768" TargetMode="External" Id="rId2"/><Relationship Type="http://schemas.openxmlformats.org/officeDocument/2006/relationships/hyperlink" Target="https://ascentialcdn.filespin.io/api/v1/conversion/b99de0a05bc54707b1426d24706b518b" TargetMode="External" Id="rId3"/><Relationship Type="http://schemas.openxmlformats.org/officeDocument/2006/relationships/hyperlink" Target="https://www.lovethework.com/work/entries/coupon-rain-758980" TargetMode="External" Id="rId4"/><Relationship Type="http://schemas.openxmlformats.org/officeDocument/2006/relationships/hyperlink" Target="https://ascentialcdn.filespin.io/api/v1/conversion/1d6f8cfcad1b47c9beaa5f403844ec8a" TargetMode="External" Id="rId5"/><Relationship Type="http://schemas.openxmlformats.org/officeDocument/2006/relationships/hyperlink" Target="https://www.lovethework.com/work/entries/u-up-744634" TargetMode="External" Id="rId6"/><Relationship Type="http://schemas.openxmlformats.org/officeDocument/2006/relationships/hyperlink" Target="https://ascentialcdn.filespin.io/api/v1/conversion/67b6df2a0fe64deeb274c91d50040c54" TargetMode="External" Id="rId7"/><Relationship Type="http://schemas.openxmlformats.org/officeDocument/2006/relationships/hyperlink" Target="https://www.lovethework.com/work/entries/price-packs-744245" TargetMode="External" Id="rId8"/><Relationship Type="http://schemas.openxmlformats.org/officeDocument/2006/relationships/hyperlink" Target="https://ascentialcdn.filespin.io/api/v1/conversion/bdc3e17665e54318a6a9b4e6705f40a7" TargetMode="External" Id="rId9"/><Relationship Type="http://schemas.openxmlformats.org/officeDocument/2006/relationships/hyperlink" Target="https://www.lovethework.com/work/entries/football-is-for-food-744614" TargetMode="External" Id="rId10"/><Relationship Type="http://schemas.openxmlformats.org/officeDocument/2006/relationships/hyperlink" Target="https://ascentialcdn.filespin.io/api/v1/conversion/f979928ea0a14ad7a4df5b301de95a0e" TargetMode="External" Id="rId11"/><Relationship Type="http://schemas.openxmlformats.org/officeDocument/2006/relationships/hyperlink" Target="https://www.lovethework.com/work/entries/lidlize-760060" TargetMode="External" Id="rId12"/><Relationship Type="http://schemas.openxmlformats.org/officeDocument/2006/relationships/hyperlink" Target="https://ascentialcdn.filespin.io/api/v1/conversion/32ef7021bdbd4c4392fa51fb240d45e6" TargetMode="External" Id="rId13"/><Relationship Type="http://schemas.openxmlformats.org/officeDocument/2006/relationships/hyperlink" Target="https://www.lovethework.com/work/entries/prize-on-the-bone-744551" TargetMode="External" Id="rId14"/><Relationship Type="http://schemas.openxmlformats.org/officeDocument/2006/relationships/hyperlink" Target="https://ascentialcdn.filespin.io/api/v1/conversion/baed08eef7b94a6cabcd62dedb653704" TargetMode="External" Id="rId15"/><Relationship Type="http://schemas.openxmlformats.org/officeDocument/2006/relationships/hyperlink" Target="https://www.lovethework.com/work/entries/lucky-yatra-744460" TargetMode="External" Id="rId16"/><Relationship Type="http://schemas.openxmlformats.org/officeDocument/2006/relationships/hyperlink" Target="https://ascentialcdn.filespin.io/api/v1/conversion/237ade5924eb407898bf58d19f58a52a" TargetMode="External" Id="rId17"/><Relationship Type="http://schemas.openxmlformats.org/officeDocument/2006/relationships/hyperlink" Target="https://www.lovethework.com/work/entries/ikea-hidden-tags-743744" TargetMode="External" Id="rId18"/><Relationship Type="http://schemas.openxmlformats.org/officeDocument/2006/relationships/hyperlink" Target="https://ascentialcdn.filespin.io/api/v1/conversion/d1fbeead5aeb4909a43f4920061be696" TargetMode="External" Id="rId19"/><Relationship Type="http://schemas.openxmlformats.org/officeDocument/2006/relationships/hyperlink" Target="https://www.lovethework.com/work/entries/potty-tunities-743937" TargetMode="External" Id="rId20"/><Relationship Type="http://schemas.openxmlformats.org/officeDocument/2006/relationships/hyperlink" Target="https://ascentialcdn.filespin.io/api/v1/conversion/8223f25b769b40e3b665c4ec19e2e12c" TargetMode="External" Id="rId21"/><Relationship Type="http://schemas.openxmlformats.org/officeDocument/2006/relationships/hyperlink" Target="https://www.lovethework.com/work/entries/preserved-promos-744127" TargetMode="External" Id="rId22"/><Relationship Type="http://schemas.openxmlformats.org/officeDocument/2006/relationships/hyperlink" Target="https://ascentialcdn.filespin.io/api/v1/conversion/73ea0e639f6747c68cf8460abe2f02bb" TargetMode="External" Id="rId23"/><Relationship Type="http://schemas.openxmlformats.org/officeDocument/2006/relationships/hyperlink" Target="https://www.lovethework.com/work/entries/breastmilk-money-744959" TargetMode="External" Id="rId24"/><Relationship Type="http://schemas.openxmlformats.org/officeDocument/2006/relationships/hyperlink" Target="https://ascentialcdn.filespin.io/api/v1/conversion/08a2258d5d1348b1bc8f6014ff0c6655" TargetMode="External" Id="rId25"/><Relationship Type="http://schemas.openxmlformats.org/officeDocument/2006/relationships/hyperlink" Target="https://www.lovethework.com/work/entries/night-signals-743947" TargetMode="External" Id="rId26"/><Relationship Type="http://schemas.openxmlformats.org/officeDocument/2006/relationships/hyperlink" Target="https://ascentialcdn.filespin.io/api/v1/conversion/3d0a357fb9de4393918aaa93dcff4033" TargetMode="External" Id="rId27"/><Relationship Type="http://schemas.openxmlformats.org/officeDocument/2006/relationships/hyperlink" Target="https://www.lovethework.com/work/entries/followers-store-744039" TargetMode="External" Id="rId28"/><Relationship Type="http://schemas.openxmlformats.org/officeDocument/2006/relationships/hyperlink" Target="https://ascentialcdn.filespin.io/api/v1/conversion/afa88aa8421b41a18c68b9863bb6926c" TargetMode="External" Id="rId29"/><Relationship Type="http://schemas.openxmlformats.org/officeDocument/2006/relationships/hyperlink" Target="https://www.lovethework.com/work/entries/gulf-of-mexico-bar-744515" TargetMode="External" Id="rId30"/><Relationship Type="http://schemas.openxmlformats.org/officeDocument/2006/relationships/hyperlink" Target="https://ascentialcdn.filespin.io/api/v1/conversion/c87256cd1a8e4e888796294b8fb32d99" TargetMode="External" Id="rId31"/><Relationship Type="http://schemas.openxmlformats.org/officeDocument/2006/relationships/hyperlink" Target="https://www.lovethework.com/work/entries/certified-toasters-743878" TargetMode="External" Id="rId32"/><Relationship Type="http://schemas.openxmlformats.org/officeDocument/2006/relationships/hyperlink" Target="https://ascentialcdn.filespin.io/api/v1/conversion/faf0755b0d4e4594ad93cb75d6288e3d" TargetMode="External" Id="rId33"/><Relationship Type="http://schemas.openxmlformats.org/officeDocument/2006/relationships/hyperlink" Target="https://www.lovethework.com/work/entries/vaseline-verified-744266" TargetMode="External" Id="rId34"/><Relationship Type="http://schemas.openxmlformats.org/officeDocument/2006/relationships/hyperlink" Target="https://ascentialcdn.filespin.io/api/v1/conversion/abd9a65dba9c44ab8abe0ea46a3db71c" TargetMode="External" Id="rId35"/><Relationship Type="http://schemas.openxmlformats.org/officeDocument/2006/relationships/hyperlink" Target="https://www.lovethework.com/work/entries/resale-743971" TargetMode="External" Id="rId36"/><Relationship Type="http://schemas.openxmlformats.org/officeDocument/2006/relationships/hyperlink" Target="https://ascentialcdn.filespin.io/api/v1/conversion/1d6f8cfcad1b47c9beaa5f403844ec8a" TargetMode="External" Id="rId37"/><Relationship Type="http://schemas.openxmlformats.org/officeDocument/2006/relationships/hyperlink" Target="https://www.lovethework.com/work/entries/u-up-744249" TargetMode="External" Id="rId38"/><Relationship Type="http://schemas.openxmlformats.org/officeDocument/2006/relationships/hyperlink" Target="https://ascentialcdn.filespin.io/api/v1/conversion/b1a090f7c816487f8dcee01d4c656df9" TargetMode="External" Id="rId39"/><Relationship Type="http://schemas.openxmlformats.org/officeDocument/2006/relationships/hyperlink" Target="https://www.lovethework.com/work/entries/sad-kama-chan-743836" TargetMode="External" Id="rId40"/><Relationship Type="http://schemas.openxmlformats.org/officeDocument/2006/relationships/hyperlink" Target="https://ascentialcdn.filespin.io/api/v1/conversion/237ade5924eb407898bf58d19f58a52a" TargetMode="External" Id="rId41"/><Relationship Type="http://schemas.openxmlformats.org/officeDocument/2006/relationships/hyperlink" Target="https://www.lovethework.com/work/entries/ikea-hidden-tags-743546" TargetMode="External" Id="rId42"/><Relationship Type="http://schemas.openxmlformats.org/officeDocument/2006/relationships/hyperlink" Target="https://ascentialcdn.filespin.io/api/v1/conversion/5edeb9f0501f4dc799bf63efd749c2e3" TargetMode="External" Id="rId43"/><Relationship Type="http://schemas.openxmlformats.org/officeDocument/2006/relationships/hyperlink" Target="https://www.lovethework.com/work/entries/burger-to-king-760824" TargetMode="External" Id="rId44"/><Relationship Type="http://schemas.openxmlformats.org/officeDocument/2006/relationships/hyperlink" Target="https://ascentialcdn.filespin.io/api/v1/conversion/d6016650d2a74669ae91f981af5a00f2" TargetMode="External" Id="rId45"/><Relationship Type="http://schemas.openxmlformats.org/officeDocument/2006/relationships/hyperlink" Target="https://www.lovethework.com/work/entries/pedigree-caramelo-760080" TargetMode="External" Id="rId46"/><Relationship Type="http://schemas.openxmlformats.org/officeDocument/2006/relationships/hyperlink" Target="https://ascentialcdn.filespin.io/api/v1/conversion/76013060c8dd4eaab1a92bf04d89af79" TargetMode="External" Id="rId47"/><Relationship Type="http://schemas.openxmlformats.org/officeDocument/2006/relationships/hyperlink" Target="https://www.lovethework.com/work/entries/oreo-square-cookie-744485" TargetMode="External" Id="rId48"/><Relationship Type="http://schemas.openxmlformats.org/officeDocument/2006/relationships/hyperlink" Target="https://ascentialcdn.filespin.io/api/v1/conversion/e1a85ff134e545c7b049791151432028" TargetMode="External" Id="rId49"/><Relationship Type="http://schemas.openxmlformats.org/officeDocument/2006/relationships/hyperlink" Target="https://www.lovethework.com/work/entries/axa-three-words-744864" TargetMode="External" Id="rId50"/><Relationship Type="http://schemas.openxmlformats.org/officeDocument/2006/relationships/hyperlink" Target="https://ascentialcdn.filespin.io/api/v1/conversion/d1fbeead5aeb4909a43f4920061be696" TargetMode="External" Id="rId51"/><Relationship Type="http://schemas.openxmlformats.org/officeDocument/2006/relationships/hyperlink" Target="https://www.lovethework.com/work/entries/potty-tunities-743534" TargetMode="External" Id="rId52"/><Relationship Type="http://schemas.openxmlformats.org/officeDocument/2006/relationships/hyperlink" Target="https://www.lovethework.com/work/entries/one-second-ads-744331" TargetMode="External" Id="rId53"/><Relationship Type="http://schemas.openxmlformats.org/officeDocument/2006/relationships/hyperlink" Target="https://ascentialcdn.filespin.io/api/v1/conversion/faa00cc4c0b94e1ea53f6e9be2461987" TargetMode="External" Id="rId54"/><Relationship Type="http://schemas.openxmlformats.org/officeDocument/2006/relationships/hyperlink" Target="https://www.lovethework.com/work/entries/public-money-atm-760086" TargetMode="External" Id="rId55"/><Relationship Type="http://schemas.openxmlformats.org/officeDocument/2006/relationships/hyperlink" Target="https://ascentialcdn.filespin.io/api/v1/conversion/06391abc3c3345f286721abc9e8d250a" TargetMode="External" Id="rId56"/><Relationship Type="http://schemas.openxmlformats.org/officeDocument/2006/relationships/hyperlink" Target="https://www.lovethework.com/work/entries/wendys-frosty-fix-744137" TargetMode="External" Id="rId57"/><Relationship Type="http://schemas.openxmlformats.org/officeDocument/2006/relationships/hyperlink" Target="https://ascentialcdn.filespin.io/api/v1/conversion/8223f25b769b40e3b665c4ec19e2e12c" TargetMode="External" Id="rId58"/><Relationship Type="http://schemas.openxmlformats.org/officeDocument/2006/relationships/hyperlink" Target="https://www.lovethework.com/work/entries/preserved-promos-744907" TargetMode="External" Id="rId59"/><Relationship Type="http://schemas.openxmlformats.org/officeDocument/2006/relationships/hyperlink" Target="https://ascentialcdn.filespin.io/api/v1/conversion/32ef7021bdbd4c4392fa51fb240d45e6" TargetMode="External" Id="rId60"/><Relationship Type="http://schemas.openxmlformats.org/officeDocument/2006/relationships/hyperlink" Target="https://www.lovethework.com/work/entries/prize-on-the-bone-743661" TargetMode="External" Id="rId61"/><Relationship Type="http://schemas.openxmlformats.org/officeDocument/2006/relationships/hyperlink" Target="https://ascentialcdn.filespin.io/api/v1/conversion/a490647b563240a68a61883a7362c54b" TargetMode="External" Id="rId62"/><Relationship Type="http://schemas.openxmlformats.org/officeDocument/2006/relationships/hyperlink" Target="https://www.lovethework.com/work/entries/coupon-rain-759033" TargetMode="External" Id="rId63"/><Relationship Type="http://schemas.openxmlformats.org/officeDocument/2006/relationships/hyperlink" Target="https://ascentialcdn.filespin.io/api/v1/conversion/5801ee4249af49b0aa23167f0d131de4" TargetMode="External" Id="rId64"/><Relationship Type="http://schemas.openxmlformats.org/officeDocument/2006/relationships/hyperlink" Target="https://www.lovethework.com/work/entries/life-donor-card-759052" TargetMode="External" Id="rId65"/><Relationship Type="http://schemas.openxmlformats.org/officeDocument/2006/relationships/hyperlink" Target="https://ascentialcdn.filespin.io/api/v1/conversion/e1a85ff134e545c7b049791151432028" TargetMode="External" Id="rId66"/><Relationship Type="http://schemas.openxmlformats.org/officeDocument/2006/relationships/hyperlink" Target="https://www.lovethework.com/work/entries/axa-three-words-743592" TargetMode="External" Id="rId67"/><Relationship Type="http://schemas.openxmlformats.org/officeDocument/2006/relationships/hyperlink" Target="https://ascentialcdn.filespin.io/api/v1/conversion/8223f25b769b40e3b665c4ec19e2e12c" TargetMode="External" Id="rId68"/><Relationship Type="http://schemas.openxmlformats.org/officeDocument/2006/relationships/hyperlink" Target="https://www.lovethework.com/work/entries/preserved-promos-744111" TargetMode="External" Id="rId69"/><Relationship Type="http://schemas.openxmlformats.org/officeDocument/2006/relationships/hyperlink" Target="https://ascentialcdn.filespin.io/api/v1/conversion/a8d4e72bb1ce47508dcea8db73d16b01" TargetMode="External" Id="rId70"/><Relationship Type="http://schemas.openxmlformats.org/officeDocument/2006/relationships/hyperlink" Target="https://www.lovethework.com/work/entries/pub-succession-744903" TargetMode="External" Id="rId71"/><Relationship Type="http://schemas.openxmlformats.org/officeDocument/2006/relationships/hyperlink" Target="https://ascentialcdn.filespin.io/api/v1/conversion/615e3a15eabf457d91d317468a12d825" TargetMode="External" Id="rId72"/><Relationship Type="http://schemas.openxmlformats.org/officeDocument/2006/relationships/hyperlink" Target="https://www.lovethework.com/work/entries/the-final-exam-759400" TargetMode="External" Id="rId73"/><Relationship Type="http://schemas.openxmlformats.org/officeDocument/2006/relationships/hyperlink" Target="https://ascentialcdn.filespin.io/api/v1/conversion/fd2b448479ca41b7aa08b7d8a4bd8749" TargetMode="External" Id="rId74"/><Relationship Type="http://schemas.openxmlformats.org/officeDocument/2006/relationships/hyperlink" Target="https://www.lovethework.com/work/entries/choose-uber-759506" TargetMode="External" Id="rId75"/><Relationship Type="http://schemas.openxmlformats.org/officeDocument/2006/relationships/hyperlink" Target="https://ascentialcdn.filespin.io/api/v1/conversion/f9376c25bb2b48bca81ace4fc05d635c" TargetMode="External" Id="rId76"/><Relationship Type="http://schemas.openxmlformats.org/officeDocument/2006/relationships/hyperlink" Target="https://www.lovethework.com/work/entries/safe-at-3am-759119" TargetMode="External" Id="rId77"/><Relationship Type="http://schemas.openxmlformats.org/officeDocument/2006/relationships/hyperlink" Target="https://ascentialcdn.filespin.io/api/v1/conversion/bdc3e17665e54318a6a9b4e6705f40a7" TargetMode="External" Id="rId78"/><Relationship Type="http://schemas.openxmlformats.org/officeDocument/2006/relationships/hyperlink" Target="https://www.lovethework.com/work/entries/football-is-for-food-743865" TargetMode="External" Id="rId79"/><Relationship Type="http://schemas.openxmlformats.org/officeDocument/2006/relationships/hyperlink" Target="https://ascentialcdn.filespin.io/api/v1/conversion/f2e0559daeee4ccda58f909ec08f9fbf" TargetMode="External" Id="rId80"/><Relationship Type="http://schemas.openxmlformats.org/officeDocument/2006/relationships/hyperlink" Target="https://www.lovethework.com/work/entries/drinkable-anthem-743946" TargetMode="External" Id="rId81"/><Relationship Type="http://schemas.openxmlformats.org/officeDocument/2006/relationships/hyperlink" Target="https://ascentialcdn.filespin.io/api/v1/conversion/7b86925f1349408ea7adba9c5a0176eb" TargetMode="External" Id="rId82"/><Relationship Type="http://schemas.openxmlformats.org/officeDocument/2006/relationships/hyperlink" Target="https://www.lovethework.com/work/entries/most-likely-to-759537" TargetMode="External" Id="rId83"/><Relationship Type="http://schemas.openxmlformats.org/officeDocument/2006/relationships/hyperlink" Target="https://ascentialcdn.filespin.io/api/v1/conversion/4d03b091591e429f9ada2339d908dc54" TargetMode="External" Id="rId84"/><Relationship Type="http://schemas.openxmlformats.org/officeDocument/2006/relationships/hyperlink" Target="https://www.lovethework.com/work/entries/re-commerce-atacama-744934" TargetMode="External" Id="rId85"/><Relationship Type="http://schemas.openxmlformats.org/officeDocument/2006/relationships/hyperlink" Target="https://ascentialcdn.filespin.io/api/v1/conversion/b2fe6fe084884aab927d3e0312b40622" TargetMode="External" Id="rId86"/><Relationship Type="http://schemas.openxmlformats.org/officeDocument/2006/relationships/hyperlink" Target="https://www.lovethework.com/work/entries/six-back-760070" TargetMode="External" Id="rId87"/><Relationship Type="http://schemas.openxmlformats.org/officeDocument/2006/relationships/hyperlink" Target="https://ascentialcdn.filespin.io/api/v1/conversion/dfca319f7ffa4d2c80fe786b30e35c40" TargetMode="External" Id="rId88"/><Relationship Type="http://schemas.openxmlformats.org/officeDocument/2006/relationships/hyperlink" Target="https://www.lovethework.com/work/entries/01-the-interrupted-goal-743899" TargetMode="External" Id="rId89"/><Relationship Type="http://schemas.openxmlformats.org/officeDocument/2006/relationships/hyperlink" Target="https://www.lovethework.com/work/entries/ink-of-democracy-744669" TargetMode="External" Id="rId90"/><Relationship Type="http://schemas.openxmlformats.org/officeDocument/2006/relationships/hyperlink" Target="https://ascentialcdn.filespin.io/api/v1/conversion/1294d1380c13485bb6bc73f942b57f75" TargetMode="External" Id="rId91"/><Relationship Type="http://schemas.openxmlformats.org/officeDocument/2006/relationships/hyperlink" Target="https://www.lovethework.com/work/entries/w1ng-cod3s-744593" TargetMode="External" Id="rId92"/><Relationship Type="http://schemas.openxmlformats.org/officeDocument/2006/relationships/hyperlink" Target="https://ascentialcdn.filespin.io/api/v1/conversion/f979928ea0a14ad7a4df5b301de95a0e" TargetMode="External" Id="rId93"/><Relationship Type="http://schemas.openxmlformats.org/officeDocument/2006/relationships/hyperlink" Target="https://www.lovethework.com/work/entries/lidlize-760120" TargetMode="External" Id="rId94"/><Relationship Type="http://schemas.openxmlformats.org/officeDocument/2006/relationships/hyperlink" Target="https://ascentialcdn.filespin.io/api/v1/conversion/325a5a7b867c43a7a400829c3a94a862" TargetMode="External" Id="rId95"/><Relationship Type="http://schemas.openxmlformats.org/officeDocument/2006/relationships/hyperlink" Target="https://www.lovethework.com/work/entries/supportbelt-743599" TargetMode="External" Id="rId96"/><Relationship Type="http://schemas.openxmlformats.org/officeDocument/2006/relationships/hyperlink" Target="https://ascentialcdn.filespin.io/api/v1/conversion/b8993a8a561d47fe9b9f126b8fbb45ce" TargetMode="External" Id="rId97"/><Relationship Type="http://schemas.openxmlformats.org/officeDocument/2006/relationships/hyperlink" Target="https://www.lovethework.com/work/entries/olympic-curry-744223" TargetMode="External" Id="rId98"/><Relationship Type="http://schemas.openxmlformats.org/officeDocument/2006/relationships/hyperlink" Target="https://ascentialcdn.filespin.io/api/v1/conversion/84f374748a0c44bbb252faac921d51a3" TargetMode="External" Id="rId99"/><Relationship Type="http://schemas.openxmlformats.org/officeDocument/2006/relationships/hyperlink" Target="https://www.lovethework.com/work/entries/dancing-washers-760796" TargetMode="External" Id="rId100"/><Relationship Type="http://schemas.openxmlformats.org/officeDocument/2006/relationships/hyperlink" Target="https://www.lovethework.com/work/entries/name-this-oreo-765252" TargetMode="External" Id="rId101"/><Relationship Type="http://schemas.openxmlformats.org/officeDocument/2006/relationships/hyperlink" Target="https://ascentialcdn.filespin.io/api/v1/conversion/2fe29fade1f74fc5a8b09a7cd9bc4b80" TargetMode="External" Id="rId102"/><Relationship Type="http://schemas.openxmlformats.org/officeDocument/2006/relationships/hyperlink" Target="https://www.lovethework.com/work/entries/antenaguila-744463" TargetMode="External" Id="rId103"/><Relationship Type="http://schemas.openxmlformats.org/officeDocument/2006/relationships/hyperlink" Target="https://ascentialcdn.filespin.io/api/v1/conversion/a8d4e72bb1ce47508dcea8db73d16b01" TargetMode="External" Id="rId104"/><Relationship Type="http://schemas.openxmlformats.org/officeDocument/2006/relationships/hyperlink" Target="https://www.lovethework.com/work/entries/pub-succession-744903" TargetMode="External" Id="rId105"/><Relationship Type="http://schemas.openxmlformats.org/officeDocument/2006/relationships/hyperlink" Target="https://ascentialcdn.filespin.io/api/v1/conversion/67b6df2a0fe64deeb274c91d50040c54" TargetMode="External" Id="rId106"/><Relationship Type="http://schemas.openxmlformats.org/officeDocument/2006/relationships/hyperlink" Target="https://www.lovethework.com/work/entries/price-packs-744455" TargetMode="External" Id="rId107"/><Relationship Type="http://schemas.openxmlformats.org/officeDocument/2006/relationships/hyperlink" Target="https://ascentialcdn.filespin.io/api/v1/conversion/38cbe1a6ee444db186b748c9da630bdc" TargetMode="External" Id="rId108"/><Relationship Type="http://schemas.openxmlformats.org/officeDocument/2006/relationships/hyperlink" Target="https://www.lovethework.com/work/entries/omnilivery-743884" TargetMode="External" Id="rId109"/><Relationship Type="http://schemas.openxmlformats.org/officeDocument/2006/relationships/hyperlink" Target="https://ascentialcdn.filespin.io/api/v1/conversion/13424edec35d460b97b34cd5a9346311" TargetMode="External" Id="rId110"/><Relationship Type="http://schemas.openxmlformats.org/officeDocument/2006/relationships/hyperlink" Target="https://www.lovethework.com/work/entries/returning-creativity-743883" TargetMode="External" Id="rId111"/><Relationship Type="http://schemas.openxmlformats.org/officeDocument/2006/relationships/hyperlink" Target="https://ascentialcdn.filespin.io/api/v1/conversion/e56e744cd3594eceb82733246e9035b2" TargetMode="External" Id="rId112"/><Relationship Type="http://schemas.openxmlformats.org/officeDocument/2006/relationships/hyperlink" Target="https://www.lovethework.com/work/entries/haaland-payback-time-744101" TargetMode="External" Id="rId113"/><Relationship Type="http://schemas.openxmlformats.org/officeDocument/2006/relationships/hyperlink" Target="https://ascentialcdn.filespin.io/api/v1/conversion/1e451eb4b5bc4d44a6946bac225c6e96" TargetMode="External" Id="rId114"/><Relationship Type="http://schemas.openxmlformats.org/officeDocument/2006/relationships/hyperlink" Target="https://www.lovethework.com/work/entries/daisy-vs-scammers-744081" TargetMode="External" Id="rId115"/><Relationship Type="http://schemas.openxmlformats.org/officeDocument/2006/relationships/hyperlink" Target="https://ascentialcdn.filespin.io/api/v1/conversion/afb7cf6990dc496f9c2b62d97d07c989" TargetMode="External" Id="rId116"/><Relationship Type="http://schemas.openxmlformats.org/officeDocument/2006/relationships/hyperlink" Target="https://www.lovethework.com/work/entries/uva-uva-bombn-785361" TargetMode="External" Id="rId117"/><Relationship Type="http://schemas.openxmlformats.org/officeDocument/2006/relationships/hyperlink" Target="https://ascentialcdn.filespin.io/api/v1/conversion/f34bbf1c3b224a62a7b93946bce31756" TargetMode="External" Id="rId118"/><Relationship Type="http://schemas.openxmlformats.org/officeDocument/2006/relationships/hyperlink" Target="https://www.lovethework.com/work/entries/oreo-cows-780105" TargetMode="External" Id="rId119"/><Relationship Type="http://schemas.openxmlformats.org/officeDocument/2006/relationships/hyperlink" Target="https://ascentialcdn.filespin.io/api/v1/conversion/650e0a742ab3494e961dbed96de8f279" TargetMode="External" Id="rId120"/><Relationship Type="http://schemas.openxmlformats.org/officeDocument/2006/relationships/hyperlink" Target="https://www.lovethework.com/work/entries/everybody-coinbase-783752" TargetMode="External" Id="rId121"/><Relationship Type="http://schemas.openxmlformats.org/officeDocument/2006/relationships/hyperlink" Target="https://ascentialcdn.filespin.io/api/v1/conversion/0f00c68c37e04e99bca93b8eacf50e60" TargetMode="External" Id="rId122"/><Relationship Type="http://schemas.openxmlformats.org/officeDocument/2006/relationships/hyperlink" Target="https://www.lovethework.com/work/entries/lime-guides-782638" TargetMode="External" Id="rId123"/><Relationship Type="http://schemas.openxmlformats.org/officeDocument/2006/relationships/hyperlink" Target="https://ascentialcdn.filespin.io/api/v1/conversion/3a3cb88a45a847e69c7da15b7c3e3d41" TargetMode="External" Id="rId124"/><Relationship Type="http://schemas.openxmlformats.org/officeDocument/2006/relationships/hyperlink" Target="https://www.lovethework.com/work/entries/build-your-own-super-bowl-commercial-775125" TargetMode="External" Id="rId125"/><Relationship Type="http://schemas.openxmlformats.org/officeDocument/2006/relationships/hyperlink" Target="https://ascentialcdn.filespin.io/api/v1/conversion/2bd855a931a3444fb19b3ea0277d289e" TargetMode="External" Id="rId126"/><Relationship Type="http://schemas.openxmlformats.org/officeDocument/2006/relationships/hyperlink" Target="https://www.lovethework.com/work/entries/heinz-dipper-783858" TargetMode="External" Id="rId127"/><Relationship Type="http://schemas.openxmlformats.org/officeDocument/2006/relationships/hyperlink" Target="https://ascentialcdn.filespin.io/api/v1/conversion/325cbd01df444a49a6a09ac2bc5dd3fa" TargetMode="External" Id="rId128"/><Relationship Type="http://schemas.openxmlformats.org/officeDocument/2006/relationships/hyperlink" Target="https://www.lovethework.com/work/entries/could-have-been-a-heineken-775100" TargetMode="External" Id="rId129"/><Relationship Type="http://schemas.openxmlformats.org/officeDocument/2006/relationships/hyperlink" Target="https://ascentialcdn.filespin.io/api/v1/conversion/bf27011e79f94826a41c286a1bbd22d5" TargetMode="External" Id="rId130"/><Relationship Type="http://schemas.openxmlformats.org/officeDocument/2006/relationships/hyperlink" Target="https://www.lovethework.com/work/entries/expedition-impossible-776268" TargetMode="External" Id="rId131"/><Relationship Type="http://schemas.openxmlformats.org/officeDocument/2006/relationships/hyperlink" Target="https://ascentialcdn.filespin.io/api/v1/conversion/0f00c68c37e04e99bca93b8eacf50e60" TargetMode="External" Id="rId132"/><Relationship Type="http://schemas.openxmlformats.org/officeDocument/2006/relationships/hyperlink" Target="https://www.lovethework.com/work/entries/lime-guides-774528" TargetMode="External" Id="rId133"/><Relationship Type="http://schemas.openxmlformats.org/officeDocument/2006/relationships/hyperlink" Target="https://ascentialcdn.filespin.io/api/v1/conversion/bf27011e79f94826a41c286a1bbd22d5" TargetMode="External" Id="rId134"/><Relationship Type="http://schemas.openxmlformats.org/officeDocument/2006/relationships/hyperlink" Target="https://www.lovethework.com/work/entries/expedition-impossible-776371" TargetMode="External" Id="rId135"/><Relationship Type="http://schemas.openxmlformats.org/officeDocument/2006/relationships/hyperlink" Target="https://ascentialcdn.filespin.io/api/v1/conversion/2bd855a931a3444fb19b3ea0277d289e" TargetMode="External" Id="rId136"/><Relationship Type="http://schemas.openxmlformats.org/officeDocument/2006/relationships/hyperlink" Target="https://www.lovethework.com/work/entries/heinz-dipper-783782" TargetMode="External" Id="rId137"/><Relationship Type="http://schemas.openxmlformats.org/officeDocument/2006/relationships/hyperlink" Target="https://ascentialcdn.filespin.io/api/v1/conversion/0d6c81bf819e42acb5e3eb218ef54128" TargetMode="External" Id="rId138"/><Relationship Type="http://schemas.openxmlformats.org/officeDocument/2006/relationships/hyperlink" Target="https://www.lovethework.com/work/entries/field-barcode-779735" TargetMode="External" Id="rId139"/><Relationship Type="http://schemas.openxmlformats.org/officeDocument/2006/relationships/hyperlink" Target="https://ascentialcdn.filespin.io/api/v1/conversion/8e389b9962ab40f28ab224f99a4a97f5" TargetMode="External" Id="rId140"/><Relationship Type="http://schemas.openxmlformats.org/officeDocument/2006/relationships/hyperlink" Target="https://www.lovethework.com/work/entries/one-more-question-774662" TargetMode="External" Id="rId141"/><Relationship Type="http://schemas.openxmlformats.org/officeDocument/2006/relationships/hyperlink" Target="https://ascentialcdn.filespin.io/api/v1/conversion/71096be7aa25433194472ff77c82e1af" TargetMode="External" Id="rId142"/><Relationship Type="http://schemas.openxmlformats.org/officeDocument/2006/relationships/hyperlink" Target="https://www.lovethework.com/work/entries/prime-time-07-774679" TargetMode="External" Id="rId143"/><Relationship Type="http://schemas.openxmlformats.org/officeDocument/2006/relationships/hyperlink" Target="https://ascentialcdn.filespin.io/api/v1/conversion/acf814348925404b95578a389224f8a4" TargetMode="External" Id="rId144"/><Relationship Type="http://schemas.openxmlformats.org/officeDocument/2006/relationships/hyperlink" Target="https://www.lovethework.com/work/entries/the-golden-zone-778048" TargetMode="External" Id="rId145"/><Relationship Type="http://schemas.openxmlformats.org/officeDocument/2006/relationships/hyperlink" Target="https://ascentialcdn.filespin.io/api/v1/conversion/6f517e3917a04fb19738c49af7c9f4c2" TargetMode="External" Id="rId146"/><Relationship Type="http://schemas.openxmlformats.org/officeDocument/2006/relationships/hyperlink" Target="https://www.lovethework.com/work/entries/discount-chants-778798" TargetMode="External" Id="rId147"/><Relationship Type="http://schemas.openxmlformats.org/officeDocument/2006/relationships/hyperlink" Target="https://ascentialcdn.filespin.io/api/v1/conversion/d39099422846496fa2533748e14c3643" TargetMode="External" Id="rId148"/><Relationship Type="http://schemas.openxmlformats.org/officeDocument/2006/relationships/hyperlink" Target="https://www.lovethework.com/work/entries/copycats-welcome-774700" TargetMode="External" Id="rId149"/><Relationship Type="http://schemas.openxmlformats.org/officeDocument/2006/relationships/hyperlink" Target="https://ascentialcdn.filespin.io/api/v1/conversion/325cbd01df444a49a6a09ac2bc5dd3fa" TargetMode="External" Id="rId150"/><Relationship Type="http://schemas.openxmlformats.org/officeDocument/2006/relationships/hyperlink" Target="https://www.lovethework.com/work/entries/could-have-been-a-heineken-775142" TargetMode="External" Id="rId151"/><Relationship Type="http://schemas.openxmlformats.org/officeDocument/2006/relationships/hyperlink" Target="https://ascentialcdn.filespin.io/api/v1/conversion/b6aeadffadfb47f0b90e360a028c9d81" TargetMode="External" Id="rId152"/><Relationship Type="http://schemas.openxmlformats.org/officeDocument/2006/relationships/hyperlink" Target="https://www.lovethework.com/work/entries/the-kitkat-heist-783841" TargetMode="External" Id="rId153"/><Relationship Type="http://schemas.openxmlformats.org/officeDocument/2006/relationships/hyperlink" Target="https://ascentialcdn.filespin.io/api/v1/conversion/afb7cf6990dc496f9c2b62d97d07c989" TargetMode="External" Id="rId154"/><Relationship Type="http://schemas.openxmlformats.org/officeDocument/2006/relationships/hyperlink" Target="https://www.lovethework.com/work/entries/uva-uva-bombn-785317" TargetMode="External" Id="rId155"/><Relationship Type="http://schemas.openxmlformats.org/officeDocument/2006/relationships/hyperlink" Target="https://ascentialcdn.filespin.io/api/v1/conversion/68e9398659d74a86812704e4e5e814d4" TargetMode="External" Id="rId156"/><Relationship Type="http://schemas.openxmlformats.org/officeDocument/2006/relationships/hyperlink" Target="https://www.lovethework.com/work/entries/the-periodic-fable-774783" TargetMode="External" Id="rId157"/><Relationship Type="http://schemas.openxmlformats.org/officeDocument/2006/relationships/hyperlink" Target="https://ascentialcdn.filespin.io/api/v1/conversion/16087aab6a914a8389cfe55614295445" TargetMode="External" Id="rId158"/><Relationship Type="http://schemas.openxmlformats.org/officeDocument/2006/relationships/hyperlink" Target="https://www.lovethework.com/work/entries/the-pub-that-refused-to-die-784975" TargetMode="External" Id="rId159"/><Relationship Type="http://schemas.openxmlformats.org/officeDocument/2006/relationships/hyperlink" Target="https://ascentialcdn.filespin.io/api/v1/conversion/ff8336a1534d40f2bc4137f90045a7ea" TargetMode="External" Id="rId160"/><Relationship Type="http://schemas.openxmlformats.org/officeDocument/2006/relationships/hyperlink" Target="https://www.lovethework.com/work/entries/let-it-fly-783746" TargetMode="External" Id="rId161"/><Relationship Type="http://schemas.openxmlformats.org/officeDocument/2006/relationships/hyperlink" Target="https://ascentialcdn.filespin.io/api/v1/conversion/71096be7aa25433194472ff77c82e1af" TargetMode="External" Id="rId162"/><Relationship Type="http://schemas.openxmlformats.org/officeDocument/2006/relationships/hyperlink" Target="https://www.lovethework.com/work/entries/prime-time-07-774590" TargetMode="External" Id="rId163"/><Relationship Type="http://schemas.openxmlformats.org/officeDocument/2006/relationships/hyperlink" Target="https://ascentialcdn.filespin.io/api/v1/conversion/98fac48b166544d9afbedba9cb5fff27" TargetMode="External" Id="rId164"/><Relationship Type="http://schemas.openxmlformats.org/officeDocument/2006/relationships/hyperlink" Target="https://www.lovethework.com/work/entries/santa-maria-pueblo-hotel-774539" TargetMode="External" Id="rId165"/><Relationship Type="http://schemas.openxmlformats.org/officeDocument/2006/relationships/hyperlink" Target="https://ascentialcdn.filespin.io/api/v1/conversion/b07e0fc7f84a49dba4143084f19ce9cc" TargetMode="External" Id="rId166"/><Relationship Type="http://schemas.openxmlformats.org/officeDocument/2006/relationships/hyperlink" Target="https://www.lovethework.com/work/entries/scratch-your-data-784985" TargetMode="External" Id="rId167"/><Relationship Type="http://schemas.openxmlformats.org/officeDocument/2006/relationships/hyperlink" Target="https://ascentialcdn.filespin.io/api/v1/conversion/87169f0d7c434ec5877ae8c9a5aeab45" TargetMode="External" Id="rId168"/><Relationship Type="http://schemas.openxmlformats.org/officeDocument/2006/relationships/hyperlink" Target="https://www.lovethework.com/work/entries/resize-the-price-774722" TargetMode="External" Id="rId169"/><Relationship Type="http://schemas.openxmlformats.org/officeDocument/2006/relationships/hyperlink" Target="https://ascentialcdn.filespin.io/api/v1/conversion/35dc17f1a3904337ad4b4e94fd954d52" TargetMode="External" Id="rId170"/><Relationship Type="http://schemas.openxmlformats.org/officeDocument/2006/relationships/hyperlink" Target="https://www.lovethework.com/work/entries/fantastic-keys-776810" TargetMode="External" Id="rId171"/><Relationship Type="http://schemas.openxmlformats.org/officeDocument/2006/relationships/hyperlink" Target="https://ascentialcdn.filespin.io/api/v1/conversion/95c51787f8394b7f848de1ede5c0640c" TargetMode="External" Id="rId172"/><Relationship Type="http://schemas.openxmlformats.org/officeDocument/2006/relationships/hyperlink" Target="https://www.lovethework.com/work/entries/lets-end-fast-tech-783796" TargetMode="External" Id="rId173"/><Relationship Type="http://schemas.openxmlformats.org/officeDocument/2006/relationships/hyperlink" Target="https://ascentialcdn.filespin.io/api/v1/conversion/0c49c9d60a944a37add314890bbff7bb" TargetMode="External" Id="rId174"/><Relationship Type="http://schemas.openxmlformats.org/officeDocument/2006/relationships/hyperlink" Target="https://www.lovethework.com/work/entries/lucky-fan-index-782651" TargetMode="External" Id="rId175"/><Relationship Type="http://schemas.openxmlformats.org/officeDocument/2006/relationships/hyperlink" Target="https://ascentialcdn.filespin.io/api/v1/conversion/54be476c57844c43a4b49ea795ae2dca" TargetMode="External" Id="rId176"/><Relationship Type="http://schemas.openxmlformats.org/officeDocument/2006/relationships/hyperlink" Target="https://www.lovethework.com/work/entries/the-most-epic-watch-party-group-785302" TargetMode="External" Id="rId177"/><Relationship Type="http://schemas.openxmlformats.org/officeDocument/2006/relationships/hyperlink" Target="https://ascentialcdn.filespin.io/api/v1/conversion/f4c9dafd39714b8c96da0d7dd9e055ea" TargetMode="External" Id="rId178"/><Relationship Type="http://schemas.openxmlformats.org/officeDocument/2006/relationships/hyperlink" Target="https://www.lovethework.com/work/entries/bedtime-donations-774696" TargetMode="External" Id="rId179"/><Relationship Type="http://schemas.openxmlformats.org/officeDocument/2006/relationships/hyperlink" Target="https://ascentialcdn.filespin.io/api/v1/conversion/891e92ac22304d769b6599ffa9bc2de6" TargetMode="External" Id="rId180"/><Relationship Type="http://schemas.openxmlformats.org/officeDocument/2006/relationships/hyperlink" Target="https://www.lovethework.com/work/entries/the-filet-o-fish-facebook-society-of-2012-783846" TargetMode="External" Id="rId181"/><Relationship Type="http://schemas.openxmlformats.org/officeDocument/2006/relationships/hyperlink" Target="https://ascentialcdn.filespin.io/api/v1/conversion/acd96c3ad06a4d00a1c0c9cff953e55f" TargetMode="External" Id="rId182"/><Relationship Type="http://schemas.openxmlformats.org/officeDocument/2006/relationships/hyperlink" Target="https://www.lovethework.com/work/entries/cheetos-flamin-hot-dill-pickle-relaunch-777172" TargetMode="External" Id="rId183"/><Relationship Type="http://schemas.openxmlformats.org/officeDocument/2006/relationships/hyperlink" Target="https://ascentialcdn.filespin.io/api/v1/conversion/f34bbf1c3b224a62a7b93946bce31756" TargetMode="External" Id="rId184"/><Relationship Type="http://schemas.openxmlformats.org/officeDocument/2006/relationships/hyperlink" Target="https://www.lovethework.com/work/entries/oreo-cows-780018" TargetMode="External" Id="rId185"/><Relationship Type="http://schemas.openxmlformats.org/officeDocument/2006/relationships/hyperlink" Target="https://ascentialcdn.filespin.io/api/v1/conversion/b07e0fc7f84a49dba4143084f19ce9cc" TargetMode="External" Id="rId186"/><Relationship Type="http://schemas.openxmlformats.org/officeDocument/2006/relationships/hyperlink" Target="https://www.lovethework.com/work/entries/scratch-your-data-785020" TargetMode="External" Id="rId187"/><Relationship Type="http://schemas.openxmlformats.org/officeDocument/2006/relationships/hyperlink" Target="https://ascentialcdn.filespin.io/api/v1/conversion/a51e4b12607a4d19abcc64bca7c099f5" TargetMode="External" Id="rId188"/><Relationship Type="http://schemas.openxmlformats.org/officeDocument/2006/relationships/hyperlink" Target="https://www.lovethework.com/work/entries/vaseline-originals-779667" TargetMode="External" Id="rId189"/><Relationship Type="http://schemas.openxmlformats.org/officeDocument/2006/relationships/hyperlink" Target="https://ascentialcdn.filespin.io/api/v1/conversion/cb67de72e57a4245aab90cde9930c3dc" TargetMode="External" Id="rId190"/><Relationship Type="http://schemas.openxmlformats.org/officeDocument/2006/relationships/hyperlink" Target="https://www.lovethework.com/work/entries/simply-nkd-the-renaissance-of-snacking-785702" TargetMode="External" Id="rId191"/><Relationship Type="http://schemas.openxmlformats.org/officeDocument/2006/relationships/hyperlink" Target="https://ascentialcdn.filespin.io/api/v1/conversion/77cfcfb8b3214196bb50aae00975065b" TargetMode="External" Id="rId192"/><Relationship Type="http://schemas.openxmlformats.org/officeDocument/2006/relationships/hyperlink" Target="https://www.lovethework.com/work/entries/haven-782674" TargetMode="External" Id="rId193"/><Relationship Type="http://schemas.openxmlformats.org/officeDocument/2006/relationships/hyperlink" Target="https://ascentialcdn.filespin.io/api/v1/conversion/a701df9b51b841aebf0f26feba28d039" TargetMode="External" Id="rId194"/><Relationship Type="http://schemas.openxmlformats.org/officeDocument/2006/relationships/hyperlink" Target="https://www.lovethework.com/work/entries/custom-billboards-785354" TargetMode="External" Id="rId195"/><Relationship Type="http://schemas.openxmlformats.org/officeDocument/2006/relationships/hyperlink" Target="https://ascentialcdn.filespin.io/api/v1/conversion/bd1a234d35bf40cb832507419f2cf675" TargetMode="External" Id="rId196"/><Relationship Type="http://schemas.openxmlformats.org/officeDocument/2006/relationships/hyperlink" Target="https://www.lovethework.com/work/entries/protect-the-peanut-785433" TargetMode="External" Id="rId197"/><Relationship Type="http://schemas.openxmlformats.org/officeDocument/2006/relationships/hyperlink" Target="https://ascentialcdn.filespin.io/api/v1/conversion/1d46e6542c474e14a830761bec4b045a" TargetMode="External" Id="rId198"/><Relationship Type="http://schemas.openxmlformats.org/officeDocument/2006/relationships/hyperlink" Target="https://www.lovethework.com/work/entries/sos-pos-774927" TargetMode="External" Id="rId199"/></Relationships>
</file>

<file path=xl/worksheets/_rels/sheet14.xml.rels><Relationships xmlns="http://schemas.openxmlformats.org/package/2006/relationships"><Relationship Type="http://schemas.openxmlformats.org/officeDocument/2006/relationships/hyperlink" Target="https://ascentialcdn.filespin.io/api/v1/conversion/da693fd61fc74ddfbb3525f638cd77c6" TargetMode="External" Id="rId1"/><Relationship Type="http://schemas.openxmlformats.org/officeDocument/2006/relationships/hyperlink" Target="https://www.lovethework.com/work/entries/dove-real-beauty-redefined-for-the-ai-era-746537" TargetMode="External" Id="rId2"/><Relationship Type="http://schemas.openxmlformats.org/officeDocument/2006/relationships/hyperlink" Target="https://ascentialcdn.filespin.io/api/v1/conversion/3db7ec7e31b7459bafa082009489d40e" TargetMode="External" Id="rId3"/><Relationship Type="http://schemas.openxmlformats.org/officeDocument/2006/relationships/hyperlink" Target="https://www.lovethework.com/work/entries/cant-unsee-it-745091" TargetMode="External" Id="rId4"/><Relationship Type="http://schemas.openxmlformats.org/officeDocument/2006/relationships/hyperlink" Target="https://ascentialcdn.filespin.io/api/v1/conversion/faf0755b0d4e4594ad93cb75d6288e3d" TargetMode="External" Id="rId5"/><Relationship Type="http://schemas.openxmlformats.org/officeDocument/2006/relationships/hyperlink" Target="https://www.lovethework.com/work/entries/vaseline-verified-745075" TargetMode="External" Id="rId6"/><Relationship Type="http://schemas.openxmlformats.org/officeDocument/2006/relationships/hyperlink" Target="https://ascentialcdn.filespin.io/api/v1/conversion/fa18cc31eca84cf2a41f8d9f4a3e8e89" TargetMode="External" Id="rId7"/><Relationship Type="http://schemas.openxmlformats.org/officeDocument/2006/relationships/hyperlink" Target="https://www.lovethework.com/work/entries/redditor-edit-744990" TargetMode="External" Id="rId8"/><Relationship Type="http://schemas.openxmlformats.org/officeDocument/2006/relationships/hyperlink" Target="https://ascentialcdn.filespin.io/api/v1/conversion/5418c22c9d864f579ce966a3f138628e" TargetMode="External" Id="rId9"/><Relationship Type="http://schemas.openxmlformats.org/officeDocument/2006/relationships/hyperlink" Target="https://www.lovethework.com/work/entries/coupon-rain-745092" TargetMode="External" Id="rId10"/><Relationship Type="http://schemas.openxmlformats.org/officeDocument/2006/relationships/hyperlink" Target="https://ascentialcdn.filespin.io/api/v1/conversion/615e3a15eabf457d91d317468a12d825" TargetMode="External" Id="rId11"/><Relationship Type="http://schemas.openxmlformats.org/officeDocument/2006/relationships/hyperlink" Target="https://www.lovethework.com/work/entries/the-final-exam-761015" TargetMode="External" Id="rId12"/><Relationship Type="http://schemas.openxmlformats.org/officeDocument/2006/relationships/hyperlink" Target="https://ascentialcdn.filespin.io/api/v1/conversion/d0be42343a2e4aaea76238ca95dfcbab" TargetMode="External" Id="rId13"/><Relationship Type="http://schemas.openxmlformats.org/officeDocument/2006/relationships/hyperlink" Target="https://www.lovethework.com/work/entries/streaming-bars-745041" TargetMode="External" Id="rId14"/><Relationship Type="http://schemas.openxmlformats.org/officeDocument/2006/relationships/hyperlink" Target="https://ascentialcdn.filespin.io/api/v1/conversion/8568fb79e86c4ae994a024b682498651" TargetMode="External" Id="rId15"/><Relationship Type="http://schemas.openxmlformats.org/officeDocument/2006/relationships/hyperlink" Target="https://www.lovethework.com/work/entries/raise-your-banners-745396" TargetMode="External" Id="rId16"/><Relationship Type="http://schemas.openxmlformats.org/officeDocument/2006/relationships/hyperlink" Target="https://ascentialcdn.filespin.io/api/v1/conversion/8d30857fd8bf46f3ab1b9c9b3d0a50fa" TargetMode="External" Id="rId17"/><Relationship Type="http://schemas.openxmlformats.org/officeDocument/2006/relationships/hyperlink" Target="https://www.lovethework.com/work/entries/retro-influencers-745595" TargetMode="External" Id="rId18"/><Relationship Type="http://schemas.openxmlformats.org/officeDocument/2006/relationships/hyperlink" Target="https://ascentialcdn.filespin.io/api/v1/conversion/9d355715dd4d4857a2f82df5c502290b" TargetMode="External" Id="rId19"/><Relationship Type="http://schemas.openxmlformats.org/officeDocument/2006/relationships/hyperlink" Target="https://www.lovethework.com/work/entries/the-rewards-bag-745869" TargetMode="External" Id="rId20"/><Relationship Type="http://schemas.openxmlformats.org/officeDocument/2006/relationships/hyperlink" Target="https://ascentialcdn.filespin.io/api/v1/conversion/9f879201572d4cb9aa1e14e89b6a4f2f" TargetMode="External" Id="rId21"/><Relationship Type="http://schemas.openxmlformats.org/officeDocument/2006/relationships/hyperlink" Target="https://www.lovethework.com/work/entries/fictional-insurance-745946" TargetMode="External" Id="rId22"/><Relationship Type="http://schemas.openxmlformats.org/officeDocument/2006/relationships/hyperlink" Target="https://ascentialcdn.filespin.io/api/v1/conversion/c8c6d973823e408c926f4de68327d5df" TargetMode="External" Id="rId23"/><Relationship Type="http://schemas.openxmlformats.org/officeDocument/2006/relationships/hyperlink" Target="https://www.lovethework.com/work/entries/first-ever-live-commercial-crossover-759386" TargetMode="External" Id="rId24"/><Relationship Type="http://schemas.openxmlformats.org/officeDocument/2006/relationships/hyperlink" Target="https://ascentialcdn.filespin.io/api/v1/conversion/e69c489d848f46d9939d454b8fb7ec2f" TargetMode="External" Id="rId25"/><Relationship Type="http://schemas.openxmlformats.org/officeDocument/2006/relationships/hyperlink" Target="https://www.lovethework.com/work/entries/waitrose-sweet-suspicion-a-deliciously-festive-whodunnit-762693" TargetMode="External" Id="rId26"/><Relationship Type="http://schemas.openxmlformats.org/officeDocument/2006/relationships/hyperlink" Target="https://ascentialcdn.filespin.io/api/v1/conversion/d5a5f996a09d495dac5d5cdbef7ae33f" TargetMode="External" Id="rId27"/><Relationship Type="http://schemas.openxmlformats.org/officeDocument/2006/relationships/hyperlink" Target="https://www.lovethework.com/work/entries/sweet-suspicion-745100" TargetMode="External" Id="rId28"/><Relationship Type="http://schemas.openxmlformats.org/officeDocument/2006/relationships/hyperlink" Target="https://ascentialcdn.filespin.io/api/v1/conversion/7e4fdab3938d4931a5578f05baa5aa36" TargetMode="External" Id="rId29"/><Relationship Type="http://schemas.openxmlformats.org/officeDocument/2006/relationships/hyperlink" Target="https://www.lovethework.com/work/entries/bring-korea-to-the-world-745005" TargetMode="External" Id="rId30"/><Relationship Type="http://schemas.openxmlformats.org/officeDocument/2006/relationships/hyperlink" Target="https://www.lovethework.com/work/entries/dirty-mouth-sponsorship-745194" TargetMode="External" Id="rId31"/><Relationship Type="http://schemas.openxmlformats.org/officeDocument/2006/relationships/hyperlink" Target="https://ascentialcdn.filespin.io/api/v1/conversion/24e11754184a42ce8f0744b5d9f56d7a" TargetMode="External" Id="rId32"/><Relationship Type="http://schemas.openxmlformats.org/officeDocument/2006/relationships/hyperlink" Target="https://www.lovethework.com/work/entries/speed-coupons-745245" TargetMode="External" Id="rId33"/><Relationship Type="http://schemas.openxmlformats.org/officeDocument/2006/relationships/hyperlink" Target="https://ascentialcdn.filespin.io/api/v1/conversion/a6416f5b55ed4d7ca12d09d85560d5a3" TargetMode="External" Id="rId34"/><Relationship Type="http://schemas.openxmlformats.org/officeDocument/2006/relationships/hyperlink" Target="https://www.lovethework.com/work/entries/takeoff-takeover-745197" TargetMode="External" Id="rId35"/><Relationship Type="http://schemas.openxmlformats.org/officeDocument/2006/relationships/hyperlink" Target="https://ascentialcdn.filespin.io/api/v1/conversion/afa88aa8421b41a18c68b9863bb6926c" TargetMode="External" Id="rId36"/><Relationship Type="http://schemas.openxmlformats.org/officeDocument/2006/relationships/hyperlink" Target="https://www.lovethework.com/work/entries/gulf-of-mexico-bar-745576" TargetMode="External" Id="rId37"/><Relationship Type="http://schemas.openxmlformats.org/officeDocument/2006/relationships/hyperlink" Target="https://ascentialcdn.filespin.io/api/v1/conversion/b71f0dff73f3455abef2899f0b1aeb49" TargetMode="External" Id="rId38"/><Relationship Type="http://schemas.openxmlformats.org/officeDocument/2006/relationships/hyperlink" Target="https://www.lovethework.com/work/entries/kleenex-score-745583" TargetMode="External" Id="rId39"/><Relationship Type="http://schemas.openxmlformats.org/officeDocument/2006/relationships/hyperlink" Target="https://ascentialcdn.filespin.io/api/v1/conversion/16832e372e2c49889fda6d5d3168015d" TargetMode="External" Id="rId40"/><Relationship Type="http://schemas.openxmlformats.org/officeDocument/2006/relationships/hyperlink" Target="https://www.lovethework.com/work/entries/maccie-745574" TargetMode="External" Id="rId41"/><Relationship Type="http://schemas.openxmlformats.org/officeDocument/2006/relationships/hyperlink" Target="https://ascentialcdn.filespin.io/api/v1/conversion/acedbde3eb964175b899c5e90a584d7a" TargetMode="External" Id="rId42"/><Relationship Type="http://schemas.openxmlformats.org/officeDocument/2006/relationships/hyperlink" Target="https://www.lovethework.com/work/entries/navy-subreddit-hunt-745721" TargetMode="External" Id="rId43"/><Relationship Type="http://schemas.openxmlformats.org/officeDocument/2006/relationships/hyperlink" Target="https://ascentialcdn.filespin.io/api/v1/conversion/da693fd61fc74ddfbb3525f638cd77c6" TargetMode="External" Id="rId44"/><Relationship Type="http://schemas.openxmlformats.org/officeDocument/2006/relationships/hyperlink" Target="https://www.lovethework.com/work/entries/dove-real-beauty-redefined-for-the-ai-era-745808" TargetMode="External" Id="rId45"/><Relationship Type="http://schemas.openxmlformats.org/officeDocument/2006/relationships/hyperlink" Target="https://ascentialcdn.filespin.io/api/v1/conversion/8223f25b769b40e3b665c4ec19e2e12c" TargetMode="External" Id="rId46"/><Relationship Type="http://schemas.openxmlformats.org/officeDocument/2006/relationships/hyperlink" Target="https://www.lovethework.com/work/entries/preserved-promos-745777" TargetMode="External" Id="rId47"/><Relationship Type="http://schemas.openxmlformats.org/officeDocument/2006/relationships/hyperlink" Target="https://ascentialcdn.filespin.io/api/v1/conversion/4972357db5c14f0b84fd31512fa3d28c" TargetMode="External" Id="rId48"/><Relationship Type="http://schemas.openxmlformats.org/officeDocument/2006/relationships/hyperlink" Target="https://www.lovethework.com/work/entries/the-26th-minute-745873" TargetMode="External" Id="rId49"/><Relationship Type="http://schemas.openxmlformats.org/officeDocument/2006/relationships/hyperlink" Target="https://ascentialcdn.filespin.io/api/v1/conversion/faf0755b0d4e4594ad93cb75d6288e3d" TargetMode="External" Id="rId50"/><Relationship Type="http://schemas.openxmlformats.org/officeDocument/2006/relationships/hyperlink" Target="https://www.lovethework.com/work/entries/vaseline-verified-745828" TargetMode="External" Id="rId51"/><Relationship Type="http://schemas.openxmlformats.org/officeDocument/2006/relationships/hyperlink" Target="https://ascentialcdn.filespin.io/api/v1/conversion/acbb86d466734cc4890607c8d8d33696" TargetMode="External" Id="rId52"/><Relationship Type="http://schemas.openxmlformats.org/officeDocument/2006/relationships/hyperlink" Target="https://www.lovethework.com/work/entries/report-this-ad-745783" TargetMode="External" Id="rId53"/><Relationship Type="http://schemas.openxmlformats.org/officeDocument/2006/relationships/hyperlink" Target="https://ascentialcdn.filespin.io/api/v1/conversion/5ce0f137b7254d7aa885d7e83850f046" TargetMode="External" Id="rId54"/><Relationship Type="http://schemas.openxmlformats.org/officeDocument/2006/relationships/hyperlink" Target="https://www.lovethework.com/work/entries/football-is-for-food-745820" TargetMode="External" Id="rId55"/><Relationship Type="http://schemas.openxmlformats.org/officeDocument/2006/relationships/hyperlink" Target="https://ascentialcdn.filespin.io/api/v1/conversion/e2d391a076394851ad0376152ece61bb" TargetMode="External" Id="rId56"/><Relationship Type="http://schemas.openxmlformats.org/officeDocument/2006/relationships/hyperlink" Target="https://www.lovethework.com/work/entries/thanks-for-coke-creating-746016" TargetMode="External" Id="rId57"/><Relationship Type="http://schemas.openxmlformats.org/officeDocument/2006/relationships/hyperlink" Target="https://ascentialcdn.filespin.io/api/v1/conversion/933648a57dec4e89a455851927c51e15" TargetMode="External" Id="rId58"/><Relationship Type="http://schemas.openxmlformats.org/officeDocument/2006/relationships/hyperlink" Target="https://www.lovethework.com/work/entries/export-ultra-cold-call-back-service-759477" TargetMode="External" Id="rId59"/><Relationship Type="http://schemas.openxmlformats.org/officeDocument/2006/relationships/hyperlink" Target="https://ascentialcdn.filespin.io/api/v1/conversion/ba35a566f4064244b364f68bf3a55633" TargetMode="External" Id="rId60"/><Relationship Type="http://schemas.openxmlformats.org/officeDocument/2006/relationships/hyperlink" Target="https://www.lovethework.com/work/entries/legacy-lager-746168" TargetMode="External" Id="rId61"/><Relationship Type="http://schemas.openxmlformats.org/officeDocument/2006/relationships/hyperlink" Target="https://ascentialcdn.filespin.io/api/v1/conversion/97b8e88790d047b79a07f2461478c324" TargetMode="External" Id="rId62"/><Relationship Type="http://schemas.openxmlformats.org/officeDocument/2006/relationships/hyperlink" Target="https://www.lovethework.com/work/entries/health-is-746400" TargetMode="External" Id="rId63"/><Relationship Type="http://schemas.openxmlformats.org/officeDocument/2006/relationships/hyperlink" Target="https://ascentialcdn.filespin.io/api/v1/conversion/dc773a5191b947ea85626af886046a69" TargetMode="External" Id="rId64"/><Relationship Type="http://schemas.openxmlformats.org/officeDocument/2006/relationships/hyperlink" Target="https://www.lovethework.com/work/entries/code-my-crown-746487" TargetMode="External" Id="rId65"/><Relationship Type="http://schemas.openxmlformats.org/officeDocument/2006/relationships/hyperlink" Target="https://ascentialcdn.filespin.io/api/v1/conversion/a8d4e72bb1ce47508dcea8db73d16b01" TargetMode="External" Id="rId66"/><Relationship Type="http://schemas.openxmlformats.org/officeDocument/2006/relationships/hyperlink" Target="https://www.lovethework.com/work/entries/pub-succession-746430" TargetMode="External" Id="rId67"/><Relationship Type="http://schemas.openxmlformats.org/officeDocument/2006/relationships/hyperlink" Target="https://ascentialcdn.filespin.io/api/v1/conversion/179b9d045d1a44c7b9cf08ed801fec37" TargetMode="External" Id="rId68"/><Relationship Type="http://schemas.openxmlformats.org/officeDocument/2006/relationships/hyperlink" Target="https://www.lovethework.com/work/entries/the-flame-that-wasnt-a-flame-746404" TargetMode="External" Id="rId69"/><Relationship Type="http://schemas.openxmlformats.org/officeDocument/2006/relationships/hyperlink" Target="https://ascentialcdn.filespin.io/api/v1/conversion/7bea5da12c704fafb1e98229f26e85bb" TargetMode="External" Id="rId70"/><Relationship Type="http://schemas.openxmlformats.org/officeDocument/2006/relationships/hyperlink" Target="https://www.lovethework.com/work/entries/ad-free-movies-745151" TargetMode="External" Id="rId71"/><Relationship Type="http://schemas.openxmlformats.org/officeDocument/2006/relationships/hyperlink" Target="https://ascentialcdn.filespin.io/api/v1/conversion/423282a302ed4fe187b1a0b7b5eb8284" TargetMode="External" Id="rId72"/><Relationship Type="http://schemas.openxmlformats.org/officeDocument/2006/relationships/hyperlink" Target="https://www.lovethework.com/work/entries/eye-test-menu-745061" TargetMode="External" Id="rId73"/><Relationship Type="http://schemas.openxmlformats.org/officeDocument/2006/relationships/hyperlink" Target="https://ascentialcdn.filespin.io/api/v1/conversion/5ce0f137b7254d7aa885d7e83850f046" TargetMode="External" Id="rId74"/><Relationship Type="http://schemas.openxmlformats.org/officeDocument/2006/relationships/hyperlink" Target="https://www.lovethework.com/work/entries/football-is-for-food-745080" TargetMode="External" Id="rId75"/><Relationship Type="http://schemas.openxmlformats.org/officeDocument/2006/relationships/hyperlink" Target="https://www.lovethework.com/work/entries/bait-boards-760974" TargetMode="External" Id="rId76"/><Relationship Type="http://schemas.openxmlformats.org/officeDocument/2006/relationships/hyperlink" Target="https://ascentialcdn.filespin.io/api/v1/conversion/d0260b381fef4eeeb8801c1df7cf7a2d" TargetMode="External" Id="rId77"/><Relationship Type="http://schemas.openxmlformats.org/officeDocument/2006/relationships/hyperlink" Target="https://www.lovethework.com/work/entries/sleep-with-rain-763538" TargetMode="External" Id="rId78"/><Relationship Type="http://schemas.openxmlformats.org/officeDocument/2006/relationships/hyperlink" Target="https://ascentialcdn.filespin.io/api/v1/conversion/1e8aea61826944b9a3dd3ed2db299576" TargetMode="External" Id="rId79"/><Relationship Type="http://schemas.openxmlformats.org/officeDocument/2006/relationships/hyperlink" Target="https://www.lovethework.com/work/entries/ink-of-democracy-745354" TargetMode="External" Id="rId80"/><Relationship Type="http://schemas.openxmlformats.org/officeDocument/2006/relationships/hyperlink" Target="https://ascentialcdn.filespin.io/api/v1/conversion/7fbdb5c2391043e18032480b6a5a068b" TargetMode="External" Id="rId81"/><Relationship Type="http://schemas.openxmlformats.org/officeDocument/2006/relationships/hyperlink" Target="https://www.lovethework.com/work/entries/boxed-ads-761062" TargetMode="External" Id="rId82"/><Relationship Type="http://schemas.openxmlformats.org/officeDocument/2006/relationships/hyperlink" Target="https://ascentialcdn.filespin.io/api/v1/conversion/12442b60aad54ce89573c747a787164d" TargetMode="External" Id="rId83"/><Relationship Type="http://schemas.openxmlformats.org/officeDocument/2006/relationships/hyperlink" Target="https://www.lovethework.com/work/entries/heinz-roller-shutter-745293" TargetMode="External" Id="rId84"/><Relationship Type="http://schemas.openxmlformats.org/officeDocument/2006/relationships/hyperlink" Target="https://ascentialcdn.filespin.io/api/v1/conversion/5e2b835a636345e0a9110a3076d31dca" TargetMode="External" Id="rId85"/><Relationship Type="http://schemas.openxmlformats.org/officeDocument/2006/relationships/hyperlink" Target="https://www.lovethework.com/work/entries/the-meal-745474" TargetMode="External" Id="rId86"/><Relationship Type="http://schemas.openxmlformats.org/officeDocument/2006/relationships/hyperlink" Target="https://ascentialcdn.filespin.io/api/v1/conversion/e0c228ff0e134ebea6c5d9ba0440fe7a" TargetMode="External" Id="rId87"/><Relationship Type="http://schemas.openxmlformats.org/officeDocument/2006/relationships/hyperlink" Target="https://www.lovethework.com/work/entries/w1ng-cod3s-745433" TargetMode="External" Id="rId88"/><Relationship Type="http://schemas.openxmlformats.org/officeDocument/2006/relationships/hyperlink" Target="https://ascentialcdn.filespin.io/api/v1/conversion/2b13b666d8054d2b91c39276aa026ac6" TargetMode="External" Id="rId89"/><Relationship Type="http://schemas.openxmlformats.org/officeDocument/2006/relationships/hyperlink" Target="https://www.lovethework.com/work/entries/airbnb-up-house-745499" TargetMode="External" Id="rId90"/><Relationship Type="http://schemas.openxmlformats.org/officeDocument/2006/relationships/hyperlink" Target="https://ascentialcdn.filespin.io/api/v1/conversion/e14b84bfe13a475898db5ad4b54d8a97" TargetMode="External" Id="rId91"/><Relationship Type="http://schemas.openxmlformats.org/officeDocument/2006/relationships/hyperlink" Target="https://www.lovethework.com/work/entries/touchboards-discount-745407" TargetMode="External" Id="rId92"/><Relationship Type="http://schemas.openxmlformats.org/officeDocument/2006/relationships/hyperlink" Target="https://ascentialcdn.filespin.io/api/v1/conversion/029792253daf49f2b2f5cce5c082ba68" TargetMode="External" Id="rId93"/><Relationship Type="http://schemas.openxmlformats.org/officeDocument/2006/relationships/hyperlink" Target="https://www.lovethework.com/work/entries/re-commerce-atacama-745730" TargetMode="External" Id="rId94"/><Relationship Type="http://schemas.openxmlformats.org/officeDocument/2006/relationships/hyperlink" Target="https://ascentialcdn.filespin.io/api/v1/conversion/db51bea9a01d40108f74e1fa9bd7ad3f" TargetMode="External" Id="rId95"/><Relationship Type="http://schemas.openxmlformats.org/officeDocument/2006/relationships/hyperlink" Target="https://www.lovethework.com/work/entries/airbnb-icons-745739" TargetMode="External" Id="rId96"/><Relationship Type="http://schemas.openxmlformats.org/officeDocument/2006/relationships/hyperlink" Target="https://ascentialcdn.filespin.io/api/v1/conversion/2a4269c3a4f744c88133f4bc79e63794" TargetMode="External" Id="rId97"/><Relationship Type="http://schemas.openxmlformats.org/officeDocument/2006/relationships/hyperlink" Target="https://www.lovethework.com/work/entries/reshaping-rugby-the-worlds-first-tiktok-final-745671" TargetMode="External" Id="rId98"/><Relationship Type="http://schemas.openxmlformats.org/officeDocument/2006/relationships/hyperlink" Target="https://ascentialcdn.filespin.io/api/v1/conversion/7bea5da12c704fafb1e98229f26e85bb" TargetMode="External" Id="rId99"/><Relationship Type="http://schemas.openxmlformats.org/officeDocument/2006/relationships/hyperlink" Target="https://www.lovethework.com/work/entries/one-second-ads-745740" TargetMode="External" Id="rId100"/><Relationship Type="http://schemas.openxmlformats.org/officeDocument/2006/relationships/hyperlink" Target="https://ascentialcdn.filespin.io/api/v1/conversion/c71743fc60654f52936a39391c93e6b7" TargetMode="External" Id="rId101"/><Relationship Type="http://schemas.openxmlformats.org/officeDocument/2006/relationships/hyperlink" Target="https://www.lovethework.com/work/entries/just-joking-745651" TargetMode="External" Id="rId102"/><Relationship Type="http://schemas.openxmlformats.org/officeDocument/2006/relationships/hyperlink" Target="https://ascentialcdn.filespin.io/api/v1/conversion/fd608adb8feb426fab936573ef6661c0" TargetMode="External" Id="rId103"/><Relationship Type="http://schemas.openxmlformats.org/officeDocument/2006/relationships/hyperlink" Target="https://www.lovethework.com/work/entries/garuda-rakshak-758736" TargetMode="External" Id="rId104"/><Relationship Type="http://schemas.openxmlformats.org/officeDocument/2006/relationships/hyperlink" Target="https://ascentialcdn.filespin.io/api/v1/conversion/8adbba54b1ee4132ba0f1dc7f1572480" TargetMode="External" Id="rId105"/><Relationship Type="http://schemas.openxmlformats.org/officeDocument/2006/relationships/hyperlink" Target="https://www.lovethework.com/work/entries/certified-toasters-745904" TargetMode="External" Id="rId106"/><Relationship Type="http://schemas.openxmlformats.org/officeDocument/2006/relationships/hyperlink" Target="https://ascentialcdn.filespin.io/api/v1/conversion/b5a17a1c03144e94967336e3b40cf303" TargetMode="External" Id="rId107"/><Relationship Type="http://schemas.openxmlformats.org/officeDocument/2006/relationships/hyperlink" Target="https://www.lovethework.com/work/entries/most-likely-to-759006" TargetMode="External" Id="rId108"/><Relationship Type="http://schemas.openxmlformats.org/officeDocument/2006/relationships/hyperlink" Target="https://ascentialcdn.filespin.io/api/v1/conversion/615e3a15eabf457d91d317468a12d825" TargetMode="External" Id="rId109"/><Relationship Type="http://schemas.openxmlformats.org/officeDocument/2006/relationships/hyperlink" Target="https://www.lovethework.com/work/entries/the-final-exam-761059" TargetMode="External" Id="rId110"/><Relationship Type="http://schemas.openxmlformats.org/officeDocument/2006/relationships/hyperlink" Target="https://ascentialcdn.filespin.io/api/v1/conversion/22c3eb49bf1f44e1a33da8051174a97d" TargetMode="External" Id="rId111"/><Relationship Type="http://schemas.openxmlformats.org/officeDocument/2006/relationships/hyperlink" Target="https://www.lovethework.com/work/entries/tiktok-university-745962" TargetMode="External" Id="rId112"/><Relationship Type="http://schemas.openxmlformats.org/officeDocument/2006/relationships/hyperlink" Target="https://ascentialcdn.filespin.io/api/v1/conversion/f500d38d39d342dcafa1abd15497ccd1" TargetMode="External" Id="rId113"/><Relationship Type="http://schemas.openxmlformats.org/officeDocument/2006/relationships/hyperlink" Target="https://www.lovethework.com/work/entries/the-lucky-sponsor-746083" TargetMode="External" Id="rId114"/><Relationship Type="http://schemas.openxmlformats.org/officeDocument/2006/relationships/hyperlink" Target="https://ascentialcdn.filespin.io/api/v1/conversion/8fe9e09227234701bc8fd2eb2a743693" TargetMode="External" Id="rId115"/><Relationship Type="http://schemas.openxmlformats.org/officeDocument/2006/relationships/hyperlink" Target="https://www.lovethework.com/work/entries/mcrib-mistakes-746027" TargetMode="External" Id="rId116"/><Relationship Type="http://schemas.openxmlformats.org/officeDocument/2006/relationships/hyperlink" Target="https://ascentialcdn.filespin.io/api/v1/conversion/86282110e23b4b43a6d78c517dc757a2" TargetMode="External" Id="rId117"/><Relationship Type="http://schemas.openxmlformats.org/officeDocument/2006/relationships/hyperlink" Target="https://www.lovethework.com/work/entries/pub-museums-746077" TargetMode="External" Id="rId118"/><Relationship Type="http://schemas.openxmlformats.org/officeDocument/2006/relationships/hyperlink" Target="https://ascentialcdn.filespin.io/api/v1/conversion/cc887f9119c440728c26ede9e95b1ad2" TargetMode="External" Id="rId119"/><Relationship Type="http://schemas.openxmlformats.org/officeDocument/2006/relationships/hyperlink" Target="https://www.lovethework.com/work/entries/lays-bar-crawl-746180" TargetMode="External" Id="rId120"/><Relationship Type="http://schemas.openxmlformats.org/officeDocument/2006/relationships/hyperlink" Target="https://ascentialcdn.filespin.io/api/v1/conversion/716b17d07a0d40d2b7b2a29d2ae9e171" TargetMode="External" Id="rId121"/><Relationship Type="http://schemas.openxmlformats.org/officeDocument/2006/relationships/hyperlink" Target="https://www.lovethework.com/work/entries/nature-shapes-britannia-746358" TargetMode="External" Id="rId122"/><Relationship Type="http://schemas.openxmlformats.org/officeDocument/2006/relationships/hyperlink" Target="https://ascentialcdn.filespin.io/api/v1/conversion/a0abdebc363f41448dc18f7a9a9a55bb" TargetMode="External" Id="rId123"/><Relationship Type="http://schemas.openxmlformats.org/officeDocument/2006/relationships/hyperlink" Target="https://www.lovethework.com/work/entries/time-to-live-746240" TargetMode="External" Id="rId124"/><Relationship Type="http://schemas.openxmlformats.org/officeDocument/2006/relationships/hyperlink" Target="https://ascentialcdn.filespin.io/api/v1/conversion/7349ab32362e4a798f3c0f3e9e70ead3" TargetMode="External" Id="rId125"/><Relationship Type="http://schemas.openxmlformats.org/officeDocument/2006/relationships/hyperlink" Target="https://www.lovethework.com/work/entries/missed-birthdays-746384" TargetMode="External" Id="rId126"/><Relationship Type="http://schemas.openxmlformats.org/officeDocument/2006/relationships/hyperlink" Target="https://ascentialcdn.filespin.io/api/v1/conversion/2b787b52c18a48968b47f3d07c59640d" TargetMode="External" Id="rId127"/><Relationship Type="http://schemas.openxmlformats.org/officeDocument/2006/relationships/hyperlink" Target="https://www.lovethework.com/work/entries/safe-sketch-759544" TargetMode="External" Id="rId128"/><Relationship Type="http://schemas.openxmlformats.org/officeDocument/2006/relationships/hyperlink" Target="https://ascentialcdn.filespin.io/api/v1/conversion/e43c43ae03f240ed8fbaf95002d5d795" TargetMode="External" Id="rId129"/><Relationship Type="http://schemas.openxmlformats.org/officeDocument/2006/relationships/hyperlink" Target="https://www.lovethework.com/work/entries/timeout-against-hate-746540" TargetMode="External" Id="rId130"/></Relationships>
</file>

<file path=xl/worksheets/_rels/sheet15.xml.rels><Relationships xmlns="http://schemas.openxmlformats.org/package/2006/relationships"><Relationship Type="http://schemas.openxmlformats.org/officeDocument/2006/relationships/hyperlink" Target="https://ascentialcdn.filespin.io/api/v1/conversion/ef118ab5982a4092aa78da671a82d86d" TargetMode="External" Id="rId1"/><Relationship Type="http://schemas.openxmlformats.org/officeDocument/2006/relationships/hyperlink" Target="https://www.lovethework.com/work/entries/lucky-yatra-749405" TargetMode="External" Id="rId2"/><Relationship Type="http://schemas.openxmlformats.org/officeDocument/2006/relationships/hyperlink" Target="https://ascentialcdn.filespin.io/api/v1/conversion/a8b9edfd44de47b893b950770030cf54" TargetMode="External" Id="rId3"/><Relationship Type="http://schemas.openxmlformats.org/officeDocument/2006/relationships/hyperlink" Target="https://www.lovethework.com/work/entries/the-parental-leave-mortgage-749615" TargetMode="External" Id="rId4"/><Relationship Type="http://schemas.openxmlformats.org/officeDocument/2006/relationships/hyperlink" Target="https://ascentialcdn.filespin.io/api/v1/conversion/6ce681a1873344eba0bc91e5d14a4997" TargetMode="External" Id="rId5"/><Relationship Type="http://schemas.openxmlformats.org/officeDocument/2006/relationships/hyperlink" Target="https://www.lovethework.com/work/entries/lucky-yatra-750264" TargetMode="External" Id="rId6"/><Relationship Type="http://schemas.openxmlformats.org/officeDocument/2006/relationships/hyperlink" Target="https://ascentialcdn.filespin.io/api/v1/conversion/e56e744cd3594eceb82733246e9035b2" TargetMode="External" Id="rId7"/><Relationship Type="http://schemas.openxmlformats.org/officeDocument/2006/relationships/hyperlink" Target="https://www.lovethework.com/work/entries/haaland-payback-time-749773" TargetMode="External" Id="rId8"/><Relationship Type="http://schemas.openxmlformats.org/officeDocument/2006/relationships/hyperlink" Target="https://ascentialcdn.filespin.io/api/v1/conversion/6876d84d5b5142e19c9d97302718d0f2" TargetMode="External" Id="rId9"/><Relationship Type="http://schemas.openxmlformats.org/officeDocument/2006/relationships/hyperlink" Target="https://www.lovethework.com/work/entries/nutter-butter-you-good-749742" TargetMode="External" Id="rId10"/><Relationship Type="http://schemas.openxmlformats.org/officeDocument/2006/relationships/hyperlink" Target="https://ascentialcdn.filespin.io/api/v1/conversion/e1a85ff134e545c7b049791151432028" TargetMode="External" Id="rId11"/><Relationship Type="http://schemas.openxmlformats.org/officeDocument/2006/relationships/hyperlink" Target="https://www.lovethework.com/work/entries/axa-three-words-749672" TargetMode="External" Id="rId12"/><Relationship Type="http://schemas.openxmlformats.org/officeDocument/2006/relationships/hyperlink" Target="https://ascentialcdn.filespin.io/api/v1/conversion/8a8d409a0e954a6b8f0df7b07bba8cc9" TargetMode="External" Id="rId13"/><Relationship Type="http://schemas.openxmlformats.org/officeDocument/2006/relationships/hyperlink" Target="https://www.lovethework.com/work/entries/progresso-soup-drops-749792" TargetMode="External" Id="rId14"/><Relationship Type="http://schemas.openxmlformats.org/officeDocument/2006/relationships/hyperlink" Target="https://ascentialcdn.filespin.io/api/v1/conversion/652b705dcecc4cb7a72c76e4e22c80e5" TargetMode="External" Id="rId15"/><Relationship Type="http://schemas.openxmlformats.org/officeDocument/2006/relationships/hyperlink" Target="https://www.lovethework.com/work/entries/sun-reserve-749967" TargetMode="External" Id="rId16"/><Relationship Type="http://schemas.openxmlformats.org/officeDocument/2006/relationships/hyperlink" Target="https://ascentialcdn.filespin.io/api/v1/conversion/6f38aa2f9e1c4c1c906cc1fb6b7c7e8b" TargetMode="External" Id="rId17"/><Relationship Type="http://schemas.openxmlformats.org/officeDocument/2006/relationships/hyperlink" Target="https://www.lovethework.com/work/entries/daisy-vs-scammers-750173" TargetMode="External" Id="rId18"/><Relationship Type="http://schemas.openxmlformats.org/officeDocument/2006/relationships/hyperlink" Target="https://ascentialcdn.filespin.io/api/v1/conversion/b8993a8a561d47fe9b9f126b8fbb45ce" TargetMode="External" Id="rId19"/><Relationship Type="http://schemas.openxmlformats.org/officeDocument/2006/relationships/hyperlink" Target="https://www.lovethework.com/work/entries/olympic-curry-749727" TargetMode="External" Id="rId20"/><Relationship Type="http://schemas.openxmlformats.org/officeDocument/2006/relationships/hyperlink" Target="https://ascentialcdn.filespin.io/api/v1/conversion/32b2b247e87144d9837c4fa1252873da" TargetMode="External" Id="rId21"/><Relationship Type="http://schemas.openxmlformats.org/officeDocument/2006/relationships/hyperlink" Target="https://www.lovethework.com/work/entries/sato-2531-749858" TargetMode="External" Id="rId22"/><Relationship Type="http://schemas.openxmlformats.org/officeDocument/2006/relationships/hyperlink" Target="https://ascentialcdn.filespin.io/api/v1/conversion/cdd8c63860a0458e9216b7b4bf571de5" TargetMode="External" Id="rId23"/><Relationship Type="http://schemas.openxmlformats.org/officeDocument/2006/relationships/hyperlink" Target="https://www.lovethework.com/work/entries/36-months-749925" TargetMode="External" Id="rId24"/><Relationship Type="http://schemas.openxmlformats.org/officeDocument/2006/relationships/hyperlink" Target="https://ascentialcdn.filespin.io/api/v1/conversion/cb4f0acca9cb478893406007849a23c0" TargetMode="External" Id="rId25"/><Relationship Type="http://schemas.openxmlformats.org/officeDocument/2006/relationships/hyperlink" Target="https://www.lovethework.com/work/entries/starring-bars-750301" TargetMode="External" Id="rId26"/><Relationship Type="http://schemas.openxmlformats.org/officeDocument/2006/relationships/hyperlink" Target="https://ascentialcdn.filespin.io/api/v1/conversion/5c80ce09550145728784bed3f8bb1e31" TargetMode="External" Id="rId27"/><Relationship Type="http://schemas.openxmlformats.org/officeDocument/2006/relationships/hyperlink" Target="https://www.lovethework.com/work/entries/vagina-privacy-network-750716" TargetMode="External" Id="rId28"/><Relationship Type="http://schemas.openxmlformats.org/officeDocument/2006/relationships/hyperlink" Target="https://ascentialcdn.filespin.io/api/v1/conversion/a8b9edfd44de47b893b950770030cf54" TargetMode="External" Id="rId29"/><Relationship Type="http://schemas.openxmlformats.org/officeDocument/2006/relationships/hyperlink" Target="https://www.lovethework.com/work/entries/the-parental-leave-mortgage-750346" TargetMode="External" Id="rId30"/><Relationship Type="http://schemas.openxmlformats.org/officeDocument/2006/relationships/hyperlink" Target="https://ascentialcdn.filespin.io/api/v1/conversion/007c37a609e847899644d346bd35699c" TargetMode="External" Id="rId31"/><Relationship Type="http://schemas.openxmlformats.org/officeDocument/2006/relationships/hyperlink" Target="https://www.lovethework.com/work/entries/daisy-vs-scammers-750543" TargetMode="External" Id="rId32"/><Relationship Type="http://schemas.openxmlformats.org/officeDocument/2006/relationships/hyperlink" Target="https://ascentialcdn.filespin.io/api/v1/conversion/209b56419a8746b798d912dd8a2484be" TargetMode="External" Id="rId33"/><Relationship Type="http://schemas.openxmlformats.org/officeDocument/2006/relationships/hyperlink" Target="https://www.lovethework.com/work/entries/drops-of-hope-750467" TargetMode="External" Id="rId34"/><Relationship Type="http://schemas.openxmlformats.org/officeDocument/2006/relationships/hyperlink" Target="https://ascentialcdn.filespin.io/api/v1/conversion/faf0755b0d4e4594ad93cb75d6288e3d" TargetMode="External" Id="rId35"/><Relationship Type="http://schemas.openxmlformats.org/officeDocument/2006/relationships/hyperlink" Target="https://www.lovethework.com/work/entries/vaseline-verified-749609" TargetMode="External" Id="rId36"/><Relationship Type="http://schemas.openxmlformats.org/officeDocument/2006/relationships/hyperlink" Target="https://ascentialcdn.filespin.io/api/v1/conversion/91816b59cf3643579a92b833dbfa85d5" TargetMode="External" Id="rId37"/><Relationship Type="http://schemas.openxmlformats.org/officeDocument/2006/relationships/hyperlink" Target="https://www.lovethework.com/work/entries/back-home-750655" TargetMode="External" Id="rId38"/><Relationship Type="http://schemas.openxmlformats.org/officeDocument/2006/relationships/hyperlink" Target="https://www.lovethework.com/work/entries/the-final-copy-of-ilon-specht-749945" TargetMode="External" Id="rId39"/><Relationship Type="http://schemas.openxmlformats.org/officeDocument/2006/relationships/hyperlink" Target="https://ascentialcdn.filespin.io/api/v1/conversion/e1a85ff134e545c7b049791151432028" TargetMode="External" Id="rId40"/><Relationship Type="http://schemas.openxmlformats.org/officeDocument/2006/relationships/hyperlink" Target="https://www.lovethework.com/work/entries/axa-three-words-750061" TargetMode="External" Id="rId41"/><Relationship Type="http://schemas.openxmlformats.org/officeDocument/2006/relationships/hyperlink" Target="https://ascentialcdn.filespin.io/api/v1/conversion/ef118ab5982a4092aa78da671a82d86d" TargetMode="External" Id="rId42"/><Relationship Type="http://schemas.openxmlformats.org/officeDocument/2006/relationships/hyperlink" Target="https://www.lovethework.com/work/entries/lucky-yatra-750435" TargetMode="External" Id="rId43"/><Relationship Type="http://schemas.openxmlformats.org/officeDocument/2006/relationships/hyperlink" Target="https://ascentialcdn.filespin.io/api/v1/conversion/b1496fa749f64107b95e694dad4ea642" TargetMode="External" Id="rId44"/><Relationship Type="http://schemas.openxmlformats.org/officeDocument/2006/relationships/hyperlink" Target="https://www.lovethework.com/work/entries/life-quality-insurance-762920" TargetMode="External" Id="rId45"/><Relationship Type="http://schemas.openxmlformats.org/officeDocument/2006/relationships/hyperlink" Target="https://ascentialcdn.filespin.io/api/v1/conversion/801d900ea7e54051acb4be6f9e72ee48" TargetMode="External" Id="rId46"/><Relationship Type="http://schemas.openxmlformats.org/officeDocument/2006/relationships/hyperlink" Target="https://www.lovethework.com/work/entries/spreadbeats-749631" TargetMode="External" Id="rId47"/><Relationship Type="http://schemas.openxmlformats.org/officeDocument/2006/relationships/hyperlink" Target="https://ascentialcdn.filespin.io/api/v1/conversion/4c902db1b7474d62b83e2c58918cb516" TargetMode="External" Id="rId48"/><Relationship Type="http://schemas.openxmlformats.org/officeDocument/2006/relationships/hyperlink" Target="https://www.lovethework.com/work/entries/returning-creativity-749503" TargetMode="External" Id="rId49"/><Relationship Type="http://schemas.openxmlformats.org/officeDocument/2006/relationships/hyperlink" Target="https://ascentialcdn.filespin.io/api/v1/conversion/cf9b2fe1598741a49e722f6eea3b77a0" TargetMode="External" Id="rId50"/><Relationship Type="http://schemas.openxmlformats.org/officeDocument/2006/relationships/hyperlink" Target="https://www.lovethework.com/work/entries/baz-box-749721" TargetMode="External" Id="rId51"/><Relationship Type="http://schemas.openxmlformats.org/officeDocument/2006/relationships/hyperlink" Target="https://ascentialcdn.filespin.io/api/v1/conversion/fcac93d33c3d4b1c93da6b13d3e32b5e" TargetMode="External" Id="rId52"/><Relationship Type="http://schemas.openxmlformats.org/officeDocument/2006/relationships/hyperlink" Target="https://www.lovethework.com/work/entries/zip-code-exam-763599" TargetMode="External" Id="rId53"/><Relationship Type="http://schemas.openxmlformats.org/officeDocument/2006/relationships/hyperlink" Target="https://ascentialcdn.filespin.io/api/v1/conversion/2e5a7229e93f47729bb533fe3facf0ce" TargetMode="External" Id="rId54"/><Relationship Type="http://schemas.openxmlformats.org/officeDocument/2006/relationships/hyperlink" Target="https://www.lovethework.com/work/entries/you-already-vote-so-vote-749869" TargetMode="External" Id="rId55"/><Relationship Type="http://schemas.openxmlformats.org/officeDocument/2006/relationships/hyperlink" Target="https://ascentialcdn.filespin.io/api/v1/conversion/faf0755b0d4e4594ad93cb75d6288e3d" TargetMode="External" Id="rId56"/><Relationship Type="http://schemas.openxmlformats.org/officeDocument/2006/relationships/hyperlink" Target="https://www.lovethework.com/work/entries/vaseline-verified-749628" TargetMode="External" Id="rId57"/><Relationship Type="http://schemas.openxmlformats.org/officeDocument/2006/relationships/hyperlink" Target="https://ascentialcdn.filespin.io/api/v1/conversion/afa88aa8421b41a18c68b9863bb6926c" TargetMode="External" Id="rId58"/><Relationship Type="http://schemas.openxmlformats.org/officeDocument/2006/relationships/hyperlink" Target="https://www.lovethework.com/work/entries/gulf-of-mexico-bar-750080" TargetMode="External" Id="rId59"/><Relationship Type="http://schemas.openxmlformats.org/officeDocument/2006/relationships/hyperlink" Target="https://ascentialcdn.filespin.io/api/v1/conversion/f1c6e266081d4161b8e3ecc7ecb15a78" TargetMode="External" Id="rId60"/><Relationship Type="http://schemas.openxmlformats.org/officeDocument/2006/relationships/hyperlink" Target="https://www.lovethework.com/work/entries/the-cheeky-controller-761423" TargetMode="External" Id="rId61"/><Relationship Type="http://schemas.openxmlformats.org/officeDocument/2006/relationships/hyperlink" Target="https://ascentialcdn.filespin.io/api/v1/conversion/e8c3f17a1d22438baf55afccbfc8e939" TargetMode="External" Id="rId62"/><Relationship Type="http://schemas.openxmlformats.org/officeDocument/2006/relationships/hyperlink" Target="https://www.lovethework.com/work/entries/bark-air-100-real-airline-for-dogs-750098" TargetMode="External" Id="rId63"/><Relationship Type="http://schemas.openxmlformats.org/officeDocument/2006/relationships/hyperlink" Target="https://ascentialcdn.filespin.io/api/v1/conversion/ac0ba2cefb2d4319a2897836bac8e95b" TargetMode="External" Id="rId64"/><Relationship Type="http://schemas.openxmlformats.org/officeDocument/2006/relationships/hyperlink" Target="https://www.lovethework.com/work/entries/dont-sleep-on-saquon-749425" TargetMode="External" Id="rId65"/><Relationship Type="http://schemas.openxmlformats.org/officeDocument/2006/relationships/hyperlink" Target="https://ascentialcdn.filespin.io/api/v1/conversion/646d07b2f9d44d25a9c40938cb00263d" TargetMode="External" Id="rId66"/><Relationship Type="http://schemas.openxmlformats.org/officeDocument/2006/relationships/hyperlink" Target="https://www.lovethework.com/work/entries/share-the-first-750505" TargetMode="External" Id="rId67"/><Relationship Type="http://schemas.openxmlformats.org/officeDocument/2006/relationships/hyperlink" Target="https://ascentialcdn.filespin.io/api/v1/conversion/a218a039090842639ec9571a03e108c2" TargetMode="External" Id="rId68"/><Relationship Type="http://schemas.openxmlformats.org/officeDocument/2006/relationships/hyperlink" Target="https://www.lovethework.com/work/entries/unfreeze-my-rights-750272" TargetMode="External" Id="rId69"/><Relationship Type="http://schemas.openxmlformats.org/officeDocument/2006/relationships/hyperlink" Target="https://www.lovethework.com/work/entries/dirty-mouth-sponsorship-749823" TargetMode="External" Id="rId70"/><Relationship Type="http://schemas.openxmlformats.org/officeDocument/2006/relationships/hyperlink" Target="https://ascentialcdn.filespin.io/api/v1/conversion/1ab5088d7e8045be97ee60dda6493938" TargetMode="External" Id="rId71"/><Relationship Type="http://schemas.openxmlformats.org/officeDocument/2006/relationships/hyperlink" Target="https://www.lovethework.com/work/entries/filter-caps-750736" TargetMode="External" Id="rId72"/><Relationship Type="http://schemas.openxmlformats.org/officeDocument/2006/relationships/hyperlink" Target="https://ascentialcdn.filespin.io/api/v1/conversion/db51bea9a01d40108f74e1fa9bd7ad3f" TargetMode="External" Id="rId73"/><Relationship Type="http://schemas.openxmlformats.org/officeDocument/2006/relationships/hyperlink" Target="https://www.lovethework.com/work/entries/airbnb-icons-750344" TargetMode="External" Id="rId74"/><Relationship Type="http://schemas.openxmlformats.org/officeDocument/2006/relationships/hyperlink" Target="https://ascentialcdn.filespin.io/api/v1/conversion/b5f895adbf4c4511b092d3d1cf94a294" TargetMode="External" Id="rId75"/><Relationship Type="http://schemas.openxmlformats.org/officeDocument/2006/relationships/hyperlink" Target="https://www.lovethework.com/work/entries/box-to-beds-750639" TargetMode="External" Id="rId76"/><Relationship Type="http://schemas.openxmlformats.org/officeDocument/2006/relationships/hyperlink" Target="https://ascentialcdn.filespin.io/api/v1/conversion/f8592ba04ed4495d8a51757d790e8679" TargetMode="External" Id="rId77"/><Relationship Type="http://schemas.openxmlformats.org/officeDocument/2006/relationships/hyperlink" Target="https://www.lovethework.com/work/entries/renault-unpatent-750048" TargetMode="External" Id="rId78"/><Relationship Type="http://schemas.openxmlformats.org/officeDocument/2006/relationships/hyperlink" Target="https://www.lovethework.com/work/entries/export-ultra-cold-call-back-service-750536" TargetMode="External" Id="rId79"/><Relationship Type="http://schemas.openxmlformats.org/officeDocument/2006/relationships/hyperlink" Target="https://ascentialcdn.filespin.io/api/v1/conversion/5e2b835a636345e0a9110a3076d31dca" TargetMode="External" Id="rId80"/><Relationship Type="http://schemas.openxmlformats.org/officeDocument/2006/relationships/hyperlink" Target="https://www.lovethework.com/work/entries/the-meal-750472" TargetMode="External" Id="rId81"/><Relationship Type="http://schemas.openxmlformats.org/officeDocument/2006/relationships/hyperlink" Target="https://www.lovethework.com/work/entries/sponsored-balls-750118" TargetMode="External" Id="rId82"/><Relationship Type="http://schemas.openxmlformats.org/officeDocument/2006/relationships/hyperlink" Target="https://ascentialcdn.filespin.io/api/v1/conversion/fe9e00109f57461bb9f36f9c845a8be1" TargetMode="External" Id="rId83"/><Relationship Type="http://schemas.openxmlformats.org/officeDocument/2006/relationships/hyperlink" Target="https://www.lovethework.com/work/entries/sato-2531-750198" TargetMode="External" Id="rId84"/><Relationship Type="http://schemas.openxmlformats.org/officeDocument/2006/relationships/hyperlink" Target="https://ascentialcdn.filespin.io/api/v1/conversion/26e5c323d289414d9fc6c6e3fd6c3b23" TargetMode="External" Id="rId85"/><Relationship Type="http://schemas.openxmlformats.org/officeDocument/2006/relationships/hyperlink" Target="https://www.lovethework.com/work/entries/the-kitkat-heist-788418" TargetMode="External" Id="rId86"/><Relationship Type="http://schemas.openxmlformats.org/officeDocument/2006/relationships/hyperlink" Target="https://ascentialcdn.filespin.io/api/v1/conversion/bf27011e79f94826a41c286a1bbd22d5" TargetMode="External" Id="rId87"/><Relationship Type="http://schemas.openxmlformats.org/officeDocument/2006/relationships/hyperlink" Target="https://www.lovethework.com/work/entries/expedition-impossible-788466" TargetMode="External" Id="rId88"/><Relationship Type="http://schemas.openxmlformats.org/officeDocument/2006/relationships/hyperlink" Target="https://ascentialcdn.filespin.io/api/v1/conversion/ce09cee232ba4d6b9c93435289716b7a" TargetMode="External" Id="rId89"/><Relationship Type="http://schemas.openxmlformats.org/officeDocument/2006/relationships/hyperlink" Target="https://www.lovethework.com/work/entries/the-relationship-aid-787448" TargetMode="External" Id="rId90"/><Relationship Type="http://schemas.openxmlformats.org/officeDocument/2006/relationships/hyperlink" Target="https://ascentialcdn.filespin.io/api/v1/conversion/5b3424e59ecb4db7ad7747fbf7f232d7" TargetMode="External" Id="rId91"/><Relationship Type="http://schemas.openxmlformats.org/officeDocument/2006/relationships/hyperlink" Target="https://www.lovethework.com/work/entries/t-rex-leather-775851" TargetMode="External" Id="rId92"/><Relationship Type="http://schemas.openxmlformats.org/officeDocument/2006/relationships/hyperlink" Target="https://ascentialcdn.filespin.io/api/v1/conversion/2ce47817eca04812a08c4f5282cb7b90" TargetMode="External" Id="rId93"/><Relationship Type="http://schemas.openxmlformats.org/officeDocument/2006/relationships/hyperlink" Target="https://www.lovethework.com/work/entries/the-kitkat-heist-787865" TargetMode="External" Id="rId94"/><Relationship Type="http://schemas.openxmlformats.org/officeDocument/2006/relationships/hyperlink" Target="https://ascentialcdn.filespin.io/api/v1/conversion/2ce47817eca04812a08c4f5282cb7b90" TargetMode="External" Id="rId95"/><Relationship Type="http://schemas.openxmlformats.org/officeDocument/2006/relationships/hyperlink" Target="https://www.lovethework.com/work/entries/the-kitkat-heist-787875" TargetMode="External" Id="rId96"/><Relationship Type="http://schemas.openxmlformats.org/officeDocument/2006/relationships/hyperlink" Target="https://ascentialcdn.filespin.io/api/v1/conversion/8e389b9962ab40f28ab224f99a4a97f5" TargetMode="External" Id="rId97"/><Relationship Type="http://schemas.openxmlformats.org/officeDocument/2006/relationships/hyperlink" Target="https://www.lovethework.com/work/entries/one-more-question-786335" TargetMode="External" Id="rId98"/><Relationship Type="http://schemas.openxmlformats.org/officeDocument/2006/relationships/hyperlink" Target="https://ascentialcdn.filespin.io/api/v1/conversion/8aae998f8c2d4240beb6408290ef3435" TargetMode="External" Id="rId99"/><Relationship Type="http://schemas.openxmlformats.org/officeDocument/2006/relationships/hyperlink" Target="https://www.lovethework.com/work/entries/600k-network-778693" TargetMode="External" Id="rId100"/><Relationship Type="http://schemas.openxmlformats.org/officeDocument/2006/relationships/hyperlink" Target="https://ascentialcdn.filespin.io/api/v1/conversion/bf27011e79f94826a41c286a1bbd22d5" TargetMode="External" Id="rId101"/><Relationship Type="http://schemas.openxmlformats.org/officeDocument/2006/relationships/hyperlink" Target="https://www.lovethework.com/work/entries/expedition-impossible-776228" TargetMode="External" Id="rId102"/><Relationship Type="http://schemas.openxmlformats.org/officeDocument/2006/relationships/hyperlink" Target="https://ascentialcdn.filespin.io/api/v1/conversion/53a9de7f532e4eb58f702cf235e29fd1" TargetMode="External" Id="rId103"/><Relationship Type="http://schemas.openxmlformats.org/officeDocument/2006/relationships/hyperlink" Target="https://www.lovethework.com/work/entries/the-bite-793304" TargetMode="External" Id="rId104"/><Relationship Type="http://schemas.openxmlformats.org/officeDocument/2006/relationships/hyperlink" Target="https://ascentialcdn.filespin.io/api/v1/conversion/a51e4b12607a4d19abcc64bca7c099f5" TargetMode="External" Id="rId105"/><Relationship Type="http://schemas.openxmlformats.org/officeDocument/2006/relationships/hyperlink" Target="https://www.lovethework.com/work/entries/vaseline-originals-779654" TargetMode="External" Id="rId106"/><Relationship Type="http://schemas.openxmlformats.org/officeDocument/2006/relationships/hyperlink" Target="https://ascentialcdn.filespin.io/api/v1/conversion/ce09cee232ba4d6b9c93435289716b7a" TargetMode="External" Id="rId107"/><Relationship Type="http://schemas.openxmlformats.org/officeDocument/2006/relationships/hyperlink" Target="https://www.lovethework.com/work/entries/the-relationship-aid-775702" TargetMode="External" Id="rId108"/><Relationship Type="http://schemas.openxmlformats.org/officeDocument/2006/relationships/hyperlink" Target="https://ascentialcdn.filespin.io/api/v1/conversion/a51e4b12607a4d19abcc64bca7c099f5" TargetMode="External" Id="rId109"/><Relationship Type="http://schemas.openxmlformats.org/officeDocument/2006/relationships/hyperlink" Target="https://www.lovethework.com/work/entries/vaseline-originals-779663" TargetMode="External" Id="rId110"/><Relationship Type="http://schemas.openxmlformats.org/officeDocument/2006/relationships/hyperlink" Target="https://ascentialcdn.filespin.io/api/v1/conversion/5b3424e59ecb4db7ad7747fbf7f232d7" TargetMode="External" Id="rId111"/><Relationship Type="http://schemas.openxmlformats.org/officeDocument/2006/relationships/hyperlink" Target="https://www.lovethework.com/work/entries/t-rex-leather-775893" TargetMode="External" Id="rId112"/><Relationship Type="http://schemas.openxmlformats.org/officeDocument/2006/relationships/hyperlink" Target="https://ascentialcdn.filespin.io/api/v1/conversion/1170a2c62e5d47b38cb8696e0a311928" TargetMode="External" Id="rId113"/><Relationship Type="http://schemas.openxmlformats.org/officeDocument/2006/relationships/hyperlink" Target="https://www.lovethework.com/work/entries/the-kidney-pass-786440" TargetMode="External" Id="rId114"/><Relationship Type="http://schemas.openxmlformats.org/officeDocument/2006/relationships/hyperlink" Target="https://ascentialcdn.filespin.io/api/v1/conversion/0a091e19f5b24275be9e1ace70d87d4a" TargetMode="External" Id="rId115"/><Relationship Type="http://schemas.openxmlformats.org/officeDocument/2006/relationships/hyperlink" Target="https://www.lovethework.com/work/entries/the-swedish-prescription-786443" TargetMode="External" Id="rId116"/><Relationship Type="http://schemas.openxmlformats.org/officeDocument/2006/relationships/hyperlink" Target="https://ascentialcdn.filespin.io/api/v1/conversion/4be82aa0a3cf460fbb7f0872b0609115" TargetMode="External" Id="rId117"/><Relationship Type="http://schemas.openxmlformats.org/officeDocument/2006/relationships/hyperlink" Target="https://www.lovethework.com/work/entries/kyle-fcking-connor-779583" TargetMode="External" Id="rId118"/><Relationship Type="http://schemas.openxmlformats.org/officeDocument/2006/relationships/hyperlink" Target="https://ascentialcdn.filespin.io/api/v1/conversion/65f596aa9b584ef18846f7952595fa9b" TargetMode="External" Id="rId119"/><Relationship Type="http://schemas.openxmlformats.org/officeDocument/2006/relationships/hyperlink" Target="https://www.lovethework.com/work/entries/cerave-the-new-face-of-legs-787954" TargetMode="External" Id="rId120"/><Relationship Type="http://schemas.openxmlformats.org/officeDocument/2006/relationships/hyperlink" Target="https://ascentialcdn.filespin.io/api/v1/conversion/bbd54e3aeb9a442188d16599a29d25a5" TargetMode="External" Id="rId121"/><Relationship Type="http://schemas.openxmlformats.org/officeDocument/2006/relationships/hyperlink" Target="https://www.lovethework.com/work/entries/welcome-back-paisano-787326" TargetMode="External" Id="rId122"/><Relationship Type="http://schemas.openxmlformats.org/officeDocument/2006/relationships/hyperlink" Target="https://ascentialcdn.filespin.io/api/v1/conversion/f94212ccbc4f4a5bb5d68cee89cab74d" TargetMode="External" Id="rId123"/><Relationship Type="http://schemas.openxmlformats.org/officeDocument/2006/relationships/hyperlink" Target="https://www.lovethework.com/work/entries/tocayos-775401" TargetMode="External" Id="rId124"/><Relationship Type="http://schemas.openxmlformats.org/officeDocument/2006/relationships/hyperlink" Target="https://ascentialcdn.filespin.io/api/v1/conversion/c005d18904b045c5afc0e53b7ef84c2c" TargetMode="External" Id="rId125"/><Relationship Type="http://schemas.openxmlformats.org/officeDocument/2006/relationships/hyperlink" Target="https://www.lovethework.com/work/entries/the-thousand-sponsors-of-muni-786211" TargetMode="External" Id="rId126"/><Relationship Type="http://schemas.openxmlformats.org/officeDocument/2006/relationships/hyperlink" Target="https://ascentialcdn.filespin.io/api/v1/conversion/29d5e6beff5343f4a75840aacad3165f" TargetMode="External" Id="rId127"/><Relationship Type="http://schemas.openxmlformats.org/officeDocument/2006/relationships/hyperlink" Target="https://www.lovethework.com/work/entries/sleep-talk-reviews-787220" TargetMode="External" Id="rId128"/><Relationship Type="http://schemas.openxmlformats.org/officeDocument/2006/relationships/hyperlink" Target="https://ascentialcdn.filespin.io/api/v1/conversion/e5b4c80d95974dff83d0dba8bc80f740" TargetMode="External" Id="rId129"/><Relationship Type="http://schemas.openxmlformats.org/officeDocument/2006/relationships/hyperlink" Target="https://www.lovethework.com/work/entries/a-mothers-commentary-787227" TargetMode="External" Id="rId130"/><Relationship Type="http://schemas.openxmlformats.org/officeDocument/2006/relationships/hyperlink" Target="https://ascentialcdn.filespin.io/api/v1/conversion/e57584c0748244bbaac3b2fcf92427cd" TargetMode="External" Id="rId131"/><Relationship Type="http://schemas.openxmlformats.org/officeDocument/2006/relationships/hyperlink" Target="https://www.lovethework.com/work/entries/uncovering-racism-786278" TargetMode="External" Id="rId132"/><Relationship Type="http://schemas.openxmlformats.org/officeDocument/2006/relationships/hyperlink" Target="https://ascentialcdn.filespin.io/api/v1/conversion/7561c930ebf14dc0bac91788c0286390" TargetMode="External" Id="rId133"/><Relationship Type="http://schemas.openxmlformats.org/officeDocument/2006/relationships/hyperlink" Target="https://www.lovethework.com/work/entries/protest-march-of-the-penguins-787241" TargetMode="External" Id="rId134"/><Relationship Type="http://schemas.openxmlformats.org/officeDocument/2006/relationships/hyperlink" Target="https://ascentialcdn.filespin.io/api/v1/conversion/5a5470f061524e258dc5d415c3286697" TargetMode="External" Id="rId135"/><Relationship Type="http://schemas.openxmlformats.org/officeDocument/2006/relationships/hyperlink" Target="https://www.lovethework.com/work/entries/the-bite-793223" TargetMode="External" Id="rId136"/><Relationship Type="http://schemas.openxmlformats.org/officeDocument/2006/relationships/hyperlink" Target="https://ascentialcdn.filespin.io/api/v1/conversion/a204361d469c42b996b85adc642a821f" TargetMode="External" Id="rId137"/><Relationship Type="http://schemas.openxmlformats.org/officeDocument/2006/relationships/hyperlink" Target="https://www.lovethework.com/work/entries/mainflavourenergy-787255" TargetMode="External" Id="rId138"/><Relationship Type="http://schemas.openxmlformats.org/officeDocument/2006/relationships/hyperlink" Target="https://ascentialcdn.filespin.io/api/v1/conversion/2dd18c8da8ce4ce2b169587c6309a015" TargetMode="External" Id="rId139"/><Relationship Type="http://schemas.openxmlformats.org/officeDocument/2006/relationships/hyperlink" Target="https://www.lovethework.com/work/entries/the-legacy-of-virginia-giuffre-786336" TargetMode="External" Id="rId140"/><Relationship Type="http://schemas.openxmlformats.org/officeDocument/2006/relationships/hyperlink" Target="https://ascentialcdn.filespin.io/api/v1/conversion/15c7130dd969473bb2b5a1ed668e9c30" TargetMode="External" Id="rId141"/><Relationship Type="http://schemas.openxmlformats.org/officeDocument/2006/relationships/hyperlink" Target="https://www.lovethework.com/work/entries/the-unburied-casket-786361" TargetMode="External" Id="rId142"/><Relationship Type="http://schemas.openxmlformats.org/officeDocument/2006/relationships/hyperlink" Target="https://ascentialcdn.filespin.io/api/v1/conversion/f0fc25b1048f4123a08ffda6a2415dc5" TargetMode="External" Id="rId143"/><Relationship Type="http://schemas.openxmlformats.org/officeDocument/2006/relationships/hyperlink" Target="https://www.lovethework.com/work/entries/save-a-life-insurance-786394" TargetMode="External" Id="rId144"/><Relationship Type="http://schemas.openxmlformats.org/officeDocument/2006/relationships/hyperlink" Target="https://ascentialcdn.filespin.io/api/v1/conversion/65f596aa9b584ef18846f7952595fa9b" TargetMode="External" Id="rId145"/><Relationship Type="http://schemas.openxmlformats.org/officeDocument/2006/relationships/hyperlink" Target="https://www.lovethework.com/work/entries/cerave-the-new-face-of-legs-787922" TargetMode="External" Id="rId146"/><Relationship Type="http://schemas.openxmlformats.org/officeDocument/2006/relationships/hyperlink" Target="https://ascentialcdn.filespin.io/api/v1/conversion/ad04eccabe394a7d81f69e6aa652f12a" TargetMode="External" Id="rId147"/><Relationship Type="http://schemas.openxmlformats.org/officeDocument/2006/relationships/hyperlink" Target="https://www.lovethework.com/work/entries/viagra-blue-brands-788314" TargetMode="External" Id="rId148"/><Relationship Type="http://schemas.openxmlformats.org/officeDocument/2006/relationships/hyperlink" Target="https://ascentialcdn.filespin.io/api/v1/conversion/691209fb670740e48ca793f769b50fc5" TargetMode="External" Id="rId149"/><Relationship Type="http://schemas.openxmlformats.org/officeDocument/2006/relationships/hyperlink" Target="https://www.lovethework.com/work/entries/missing-managers-786538" TargetMode="External" Id="rId150"/><Relationship Type="http://schemas.openxmlformats.org/officeDocument/2006/relationships/hyperlink" Target="https://ascentialcdn.filespin.io/api/v1/conversion/80bf207ce49f46b38d0f8591e953ef2d" TargetMode="External" Id="rId151"/><Relationship Type="http://schemas.openxmlformats.org/officeDocument/2006/relationships/hyperlink" Target="https://www.lovethework.com/work/entries/the-coolest-ihram-787655" TargetMode="External" Id="rId152"/><Relationship Type="http://schemas.openxmlformats.org/officeDocument/2006/relationships/hyperlink" Target="https://ascentialcdn.filespin.io/api/v1/conversion/16087aab6a914a8389cfe55614295445" TargetMode="External" Id="rId153"/><Relationship Type="http://schemas.openxmlformats.org/officeDocument/2006/relationships/hyperlink" Target="https://www.lovethework.com/work/entries/the-pub-that-refused-to-die-787972" TargetMode="External" Id="rId154"/><Relationship Type="http://schemas.openxmlformats.org/officeDocument/2006/relationships/hyperlink" Target="https://ascentialcdn.filespin.io/api/v1/conversion/ab02d7f4993a44069e126242ec8678d0" TargetMode="External" Id="rId155"/><Relationship Type="http://schemas.openxmlformats.org/officeDocument/2006/relationships/hyperlink" Target="https://www.lovethework.com/work/entries/missing-letters-of-worth-786557" TargetMode="External" Id="rId156"/><Relationship Type="http://schemas.openxmlformats.org/officeDocument/2006/relationships/hyperlink" Target="https://ascentialcdn.filespin.io/api/v1/conversion/f50a1b4f9c1f45eb8fef1d8f9909e2bf" TargetMode="External" Id="rId157"/><Relationship Type="http://schemas.openxmlformats.org/officeDocument/2006/relationships/hyperlink" Target="https://www.lovethework.com/work/entries/hoplefting-786558" TargetMode="External" Id="rId158"/></Relationships>
</file>

<file path=xl/worksheets/_rels/sheet16.xml.rels><Relationships xmlns="http://schemas.openxmlformats.org/package/2006/relationships"><Relationship Type="http://schemas.openxmlformats.org/officeDocument/2006/relationships/hyperlink" Target="https://ascentialcdn.filespin.io/api/v1/conversion/faf0755b0d4e4594ad93cb75d6288e3d" TargetMode="External" Id="rId1"/><Relationship Type="http://schemas.openxmlformats.org/officeDocument/2006/relationships/hyperlink" Target="https://www.lovethework.com/work/entries/vaseline-verified-742887" TargetMode="External" Id="rId2"/><Relationship Type="http://schemas.openxmlformats.org/officeDocument/2006/relationships/hyperlink" Target="https://ascentialcdn.filespin.io/api/v1/conversion/acedbde3eb964175b899c5e90a584d7a" TargetMode="External" Id="rId3"/><Relationship Type="http://schemas.openxmlformats.org/officeDocument/2006/relationships/hyperlink" Target="https://www.lovethework.com/work/entries/navy-subreddit-hunt-742520" TargetMode="External" Id="rId4"/><Relationship Type="http://schemas.openxmlformats.org/officeDocument/2006/relationships/hyperlink" Target="https://ascentialcdn.filespin.io/api/v1/conversion/abd9a65dba9c44ab8abe0ea46a3db71c" TargetMode="External" Id="rId5"/><Relationship Type="http://schemas.openxmlformats.org/officeDocument/2006/relationships/hyperlink" Target="https://www.lovethework.com/work/entries/resale-742723" TargetMode="External" Id="rId6"/><Relationship Type="http://schemas.openxmlformats.org/officeDocument/2006/relationships/hyperlink" Target="https://ascentialcdn.filespin.io/api/v1/conversion/1d6f8cfcad1b47c9beaa5f403844ec8a" TargetMode="External" Id="rId7"/><Relationship Type="http://schemas.openxmlformats.org/officeDocument/2006/relationships/hyperlink" Target="https://www.lovethework.com/work/entries/u-up-743199" TargetMode="External" Id="rId8"/><Relationship Type="http://schemas.openxmlformats.org/officeDocument/2006/relationships/hyperlink" Target="https://ascentialcdn.filespin.io/api/v1/conversion/7581a597717542d6b5b354f2ffcb56a5" TargetMode="External" Id="rId9"/><Relationship Type="http://schemas.openxmlformats.org/officeDocument/2006/relationships/hyperlink" Target="https://www.lovethework.com/work/entries/redditor-edit-743155" TargetMode="External" Id="rId10"/><Relationship Type="http://schemas.openxmlformats.org/officeDocument/2006/relationships/hyperlink" Target="https://ascentialcdn.filespin.io/api/v1/conversion/a64caaaecf144955a62b435827fff0e3" TargetMode="External" Id="rId11"/><Relationship Type="http://schemas.openxmlformats.org/officeDocument/2006/relationships/hyperlink" Target="https://www.lovethework.com/work/entries/erase-valentines-day-743287" TargetMode="External" Id="rId12"/><Relationship Type="http://schemas.openxmlformats.org/officeDocument/2006/relationships/hyperlink" Target="https://ascentialcdn.filespin.io/api/v1/conversion/b8993a8a561d47fe9b9f126b8fbb45ce" TargetMode="External" Id="rId13"/><Relationship Type="http://schemas.openxmlformats.org/officeDocument/2006/relationships/hyperlink" Target="https://www.lovethework.com/work/entries/olympic-curry-742518" TargetMode="External" Id="rId14"/><Relationship Type="http://schemas.openxmlformats.org/officeDocument/2006/relationships/hyperlink" Target="https://ascentialcdn.filespin.io/api/v1/conversion/6876d84d5b5142e19c9d97302718d0f2" TargetMode="External" Id="rId15"/><Relationship Type="http://schemas.openxmlformats.org/officeDocument/2006/relationships/hyperlink" Target="https://www.lovethework.com/work/entries/nutter-butter-you-good-743552" TargetMode="External" Id="rId16"/><Relationship Type="http://schemas.openxmlformats.org/officeDocument/2006/relationships/hyperlink" Target="https://www.lovethework.com/work/entries/one-second-ads-759513" TargetMode="External" Id="rId17"/><Relationship Type="http://schemas.openxmlformats.org/officeDocument/2006/relationships/hyperlink" Target="https://ascentialcdn.filespin.io/api/v1/conversion/f4109c89080c4d6b8170e479b78d5160" TargetMode="External" Id="rId18"/><Relationship Type="http://schemas.openxmlformats.org/officeDocument/2006/relationships/hyperlink" Target="https://www.lovethework.com/work/entries/the-death-of-duo-742331" TargetMode="External" Id="rId19"/><Relationship Type="http://schemas.openxmlformats.org/officeDocument/2006/relationships/hyperlink" Target="https://ascentialcdn.filespin.io/api/v1/conversion/afa88aa8421b41a18c68b9863bb6926c" TargetMode="External" Id="rId20"/><Relationship Type="http://schemas.openxmlformats.org/officeDocument/2006/relationships/hyperlink" Target="https://www.lovethework.com/work/entries/gulf-of-mexico-bar-743548" TargetMode="External" Id="rId21"/><Relationship Type="http://schemas.openxmlformats.org/officeDocument/2006/relationships/hyperlink" Target="https://ascentialcdn.filespin.io/api/v1/conversion/7581a597717542d6b5b354f2ffcb56a5" TargetMode="External" Id="rId22"/><Relationship Type="http://schemas.openxmlformats.org/officeDocument/2006/relationships/hyperlink" Target="https://www.lovethework.com/work/entries/redditor-edit-742379" TargetMode="External" Id="rId23"/><Relationship Type="http://schemas.openxmlformats.org/officeDocument/2006/relationships/hyperlink" Target="https://ascentialcdn.filespin.io/api/v1/conversion/f5ffbe1532054f85b7f9f9b7fba1f1ee" TargetMode="External" Id="rId24"/><Relationship Type="http://schemas.openxmlformats.org/officeDocument/2006/relationships/hyperlink" Target="https://www.lovethework.com/work/entries/fizzooka-742654" TargetMode="External" Id="rId25"/><Relationship Type="http://schemas.openxmlformats.org/officeDocument/2006/relationships/hyperlink" Target="https://ascentialcdn.filespin.io/api/v1/conversion/c0034932e80d4cb1aa654cc85c066b7e" TargetMode="External" Id="rId26"/><Relationship Type="http://schemas.openxmlformats.org/officeDocument/2006/relationships/hyperlink" Target="https://www.lovethework.com/work/entries/severance-s2-integrated-campaign-743040" TargetMode="External" Id="rId27"/><Relationship Type="http://schemas.openxmlformats.org/officeDocument/2006/relationships/hyperlink" Target="https://ascentialcdn.filespin.io/api/v1/conversion/2e880efa163040b884c55c34c5aa79f9" TargetMode="External" Id="rId28"/><Relationship Type="http://schemas.openxmlformats.org/officeDocument/2006/relationships/hyperlink" Target="https://www.lovethework.com/work/entries/tide-collateral-stain-stories-742510" TargetMode="External" Id="rId29"/><Relationship Type="http://schemas.openxmlformats.org/officeDocument/2006/relationships/hyperlink" Target="https://ascentialcdn.filespin.io/api/v1/conversion/16704911a39145c09f1ae466143b410d" TargetMode="External" Id="rId30"/><Relationship Type="http://schemas.openxmlformats.org/officeDocument/2006/relationships/hyperlink" Target="https://www.lovethework.com/work/entries/retro-influencers-743091" TargetMode="External" Id="rId31"/><Relationship Type="http://schemas.openxmlformats.org/officeDocument/2006/relationships/hyperlink" Target="https://ascentialcdn.filespin.io/api/v1/conversion/cc887f9119c440728c26ede9e95b1ad2" TargetMode="External" Id="rId32"/><Relationship Type="http://schemas.openxmlformats.org/officeDocument/2006/relationships/hyperlink" Target="https://www.lovethework.com/work/entries/lays-bar-crawl-743116" TargetMode="External" Id="rId33"/><Relationship Type="http://schemas.openxmlformats.org/officeDocument/2006/relationships/hyperlink" Target="https://www.lovethework.com/work/entries/name-this-oreo-765219" TargetMode="External" Id="rId34"/><Relationship Type="http://schemas.openxmlformats.org/officeDocument/2006/relationships/hyperlink" Target="https://www.lovethework.com/work/entries/name-this-oreo-765219" TargetMode="External" Id="rId35"/><Relationship Type="http://schemas.openxmlformats.org/officeDocument/2006/relationships/hyperlink" Target="https://ascentialcdn.filespin.io/api/v1/conversion/fffcddb9a87d448bbc386fd70d215d5e" TargetMode="External" Id="rId36"/><Relationship Type="http://schemas.openxmlformats.org/officeDocument/2006/relationships/hyperlink" Target="https://www.lovethework.com/work/entries/call-of-discounts-742896" TargetMode="External" Id="rId37"/><Relationship Type="http://schemas.openxmlformats.org/officeDocument/2006/relationships/hyperlink" Target="https://ascentialcdn.filespin.io/api/v1/conversion/faf0755b0d4e4594ad93cb75d6288e3d" TargetMode="External" Id="rId38"/><Relationship Type="http://schemas.openxmlformats.org/officeDocument/2006/relationships/hyperlink" Target="https://www.lovethework.com/work/entries/vaseline-verified-742181" TargetMode="External" Id="rId39"/><Relationship Type="http://schemas.openxmlformats.org/officeDocument/2006/relationships/hyperlink" Target="https://www.lovethework.com/work/entries/the-ordinary-life-hearing-test-742956" TargetMode="External" Id="rId40"/><Relationship Type="http://schemas.openxmlformats.org/officeDocument/2006/relationships/hyperlink" Target="https://ascentialcdn.filespin.io/api/v1/conversion/e3dd4e261f53452d8b3606a823b3c38e" TargetMode="External" Id="rId41"/><Relationship Type="http://schemas.openxmlformats.org/officeDocument/2006/relationships/hyperlink" Target="https://www.lovethework.com/work/entries/learn-korean-or-else-743038" TargetMode="External" Id="rId42"/><Relationship Type="http://schemas.openxmlformats.org/officeDocument/2006/relationships/hyperlink" Target="https://ascentialcdn.filespin.io/api/v1/conversion/86defc97414f43e0a94ca2bff0946f93" TargetMode="External" Id="rId43"/><Relationship Type="http://schemas.openxmlformats.org/officeDocument/2006/relationships/hyperlink" Target="https://www.lovethework.com/work/entries/diss-mas-742726" TargetMode="External" Id="rId44"/><Relationship Type="http://schemas.openxmlformats.org/officeDocument/2006/relationships/hyperlink" Target="https://ascentialcdn.filespin.io/api/v1/conversion/9a3e971b881d4a4ca39d80b57dd71382" TargetMode="External" Id="rId45"/><Relationship Type="http://schemas.openxmlformats.org/officeDocument/2006/relationships/hyperlink" Target="https://www.lovethework.com/work/entries/pedigree-caramelo-760896" TargetMode="External" Id="rId46"/><Relationship Type="http://schemas.openxmlformats.org/officeDocument/2006/relationships/hyperlink" Target="https://ascentialcdn.filespin.io/api/v1/conversion/70f6c404ba5843648150004783102991" TargetMode="External" Id="rId47"/><Relationship Type="http://schemas.openxmlformats.org/officeDocument/2006/relationships/hyperlink" Target="https://www.lovethework.com/work/entries/undeleted-743391" TargetMode="External" Id="rId48"/><Relationship Type="http://schemas.openxmlformats.org/officeDocument/2006/relationships/hyperlink" Target="https://ascentialcdn.filespin.io/api/v1/conversion/475e966b12d5487d962412c02cc3eba4" TargetMode="External" Id="rId49"/><Relationship Type="http://schemas.openxmlformats.org/officeDocument/2006/relationships/hyperlink" Target="https://www.lovethework.com/work/entries/someday-743009" TargetMode="External" Id="rId50"/><Relationship Type="http://schemas.openxmlformats.org/officeDocument/2006/relationships/hyperlink" Target="https://ascentialcdn.filespin.io/api/v1/conversion/b5a740dfdc0d4568a12c4e6ce327e1a1" TargetMode="External" Id="rId51"/><Relationship Type="http://schemas.openxmlformats.org/officeDocument/2006/relationships/hyperlink" Target="https://www.lovethework.com/work/entries/four-seasons-baby-742458" TargetMode="External" Id="rId52"/><Relationship Type="http://schemas.openxmlformats.org/officeDocument/2006/relationships/hyperlink" Target="https://ascentialcdn.filespin.io/api/v1/conversion/2c42f51097e14b1c9252656b853fc08f" TargetMode="External" Id="rId53"/><Relationship Type="http://schemas.openxmlformats.org/officeDocument/2006/relationships/hyperlink" Target="https://www.lovethework.com/work/entries/abracadabra-from-fan-to-featured-759424" TargetMode="External" Id="rId54"/><Relationship Type="http://schemas.openxmlformats.org/officeDocument/2006/relationships/hyperlink" Target="https://ascentialcdn.filespin.io/api/v1/conversion/f4109c89080c4d6b8170e479b78d5160" TargetMode="External" Id="rId55"/><Relationship Type="http://schemas.openxmlformats.org/officeDocument/2006/relationships/hyperlink" Target="https://www.lovethework.com/work/entries/the-death-of-duo-742370" TargetMode="External" Id="rId56"/><Relationship Type="http://schemas.openxmlformats.org/officeDocument/2006/relationships/hyperlink" Target="https://ascentialcdn.filespin.io/api/v1/conversion/63359301abaf4173a6021398ff077c93" TargetMode="External" Id="rId57"/><Relationship Type="http://schemas.openxmlformats.org/officeDocument/2006/relationships/hyperlink" Target="https://www.lovethework.com/work/entries/5-star-theater-with-adam-driver-743003" TargetMode="External" Id="rId58"/><Relationship Type="http://schemas.openxmlformats.org/officeDocument/2006/relationships/hyperlink" Target="https://ascentialcdn.filespin.io/api/v1/conversion/f2978f9255da42889e454a19c0f9f5ea" TargetMode="External" Id="rId59"/><Relationship Type="http://schemas.openxmlformats.org/officeDocument/2006/relationships/hyperlink" Target="https://www.lovethework.com/work/entries/oreo-empire-742460" TargetMode="External" Id="rId60"/><Relationship Type="http://schemas.openxmlformats.org/officeDocument/2006/relationships/hyperlink" Target="https://ascentialcdn.filespin.io/api/v1/conversion/bcf3f7bdfec54845a73773b5e7abc7db" TargetMode="External" Id="rId61"/><Relationship Type="http://schemas.openxmlformats.org/officeDocument/2006/relationships/hyperlink" Target="https://www.lovethework.com/work/entries/trash-talk-codes-742731" TargetMode="External" Id="rId62"/><Relationship Type="http://schemas.openxmlformats.org/officeDocument/2006/relationships/hyperlink" Target="https://ascentialcdn.filespin.io/api/v1/conversion/510865a52f65499f83e95097f9458b0c" TargetMode="External" Id="rId63"/><Relationship Type="http://schemas.openxmlformats.org/officeDocument/2006/relationships/hyperlink" Target="https://www.lovethework.com/work/entries/tide-collateral-stain-stories-742796" TargetMode="External" Id="rId64"/><Relationship Type="http://schemas.openxmlformats.org/officeDocument/2006/relationships/hyperlink" Target="https://ascentialcdn.filespin.io/api/v1/conversion/f979928ea0a14ad7a4df5b301de95a0e" TargetMode="External" Id="rId65"/><Relationship Type="http://schemas.openxmlformats.org/officeDocument/2006/relationships/hyperlink" Target="https://www.lovethework.com/work/entries/lidlize-760659" TargetMode="External" Id="rId66"/><Relationship Type="http://schemas.openxmlformats.org/officeDocument/2006/relationships/hyperlink" Target="https://ascentialcdn.filespin.io/api/v1/conversion/bd69a0303076425391bbc54c35136f07" TargetMode="External" Id="rId67"/><Relationship Type="http://schemas.openxmlformats.org/officeDocument/2006/relationships/hyperlink" Target="https://www.lovethework.com/work/entries/harmoniser-743035" TargetMode="External" Id="rId68"/><Relationship Type="http://schemas.openxmlformats.org/officeDocument/2006/relationships/hyperlink" Target="https://www.lovethework.com/work/entries/tantrum-girl-742550" TargetMode="External" Id="rId69"/><Relationship Type="http://schemas.openxmlformats.org/officeDocument/2006/relationships/hyperlink" Target="https://ascentialcdn.filespin.io/api/v1/conversion/b8993a8a561d47fe9b9f126b8fbb45ce" TargetMode="External" Id="rId70"/><Relationship Type="http://schemas.openxmlformats.org/officeDocument/2006/relationships/hyperlink" Target="https://www.lovethework.com/work/entries/olympic-curry-742643" TargetMode="External" Id="rId71"/><Relationship Type="http://schemas.openxmlformats.org/officeDocument/2006/relationships/hyperlink" Target="https://ascentialcdn.filespin.io/api/v1/conversion/6a5dda0a534843feb5db80efbb5a5b2c" TargetMode="External" Id="rId72"/><Relationship Type="http://schemas.openxmlformats.org/officeDocument/2006/relationships/hyperlink" Target="https://www.lovethework.com/work/entries/feelin-planty-good-742838" TargetMode="External" Id="rId73"/><Relationship Type="http://schemas.openxmlformats.org/officeDocument/2006/relationships/hyperlink" Target="https://ascentialcdn.filespin.io/api/v1/conversion/1c6ea8a8d83c40ee81aad876ed744e8a" TargetMode="External" Id="rId74"/><Relationship Type="http://schemas.openxmlformats.org/officeDocument/2006/relationships/hyperlink" Target="https://www.lovethework.com/work/entries/letting-our-gen-z-staff-write-the-marketing-script-742712" TargetMode="External" Id="rId75"/><Relationship Type="http://schemas.openxmlformats.org/officeDocument/2006/relationships/hyperlink" Target="https://ascentialcdn.filespin.io/api/v1/conversion/f757f3845e604e6482123c99fa943337" TargetMode="External" Id="rId76"/><Relationship Type="http://schemas.openxmlformats.org/officeDocument/2006/relationships/hyperlink" Target="https://www.lovethework.com/work/entries/250-reasons-not-to-buy-the-mercedes-amg-purespeed-743080" TargetMode="External" Id="rId77"/><Relationship Type="http://schemas.openxmlformats.org/officeDocument/2006/relationships/hyperlink" Target="https://ascentialcdn.filespin.io/api/v1/conversion/86bcac60e3f648c7881b028c2d9d2273" TargetMode="External" Id="rId78"/><Relationship Type="http://schemas.openxmlformats.org/officeDocument/2006/relationships/hyperlink" Target="https://www.lovethework.com/work/entries/snickers-ai-743048" TargetMode="External" Id="rId79"/><Relationship Type="http://schemas.openxmlformats.org/officeDocument/2006/relationships/hyperlink" Target="https://www.lovethework.com/work/entries/one-second-ads-759545" TargetMode="External" Id="rId80"/><Relationship Type="http://schemas.openxmlformats.org/officeDocument/2006/relationships/hyperlink" Target="https://ascentialcdn.filespin.io/api/v1/conversion/02e1b78a1ce94d84bee44bf8a707550e" TargetMode="External" Id="rId81"/><Relationship Type="http://schemas.openxmlformats.org/officeDocument/2006/relationships/hyperlink" Target="https://www.lovethework.com/work/entries/camden-stout-honest-reviews-742275" TargetMode="External" Id="rId82"/><Relationship Type="http://schemas.openxmlformats.org/officeDocument/2006/relationships/hyperlink" Target="https://ascentialcdn.filespin.io/api/v1/conversion/1d6f8cfcad1b47c9beaa5f403844ec8a" TargetMode="External" Id="rId83"/><Relationship Type="http://schemas.openxmlformats.org/officeDocument/2006/relationships/hyperlink" Target="https://www.lovethework.com/work/entries/u-up-743427" TargetMode="External" Id="rId84"/><Relationship Type="http://schemas.openxmlformats.org/officeDocument/2006/relationships/hyperlink" Target="https://ascentialcdn.filespin.io/api/v1/conversion/9c71f6e2352b428784f91e8247db714e" TargetMode="External" Id="rId85"/><Relationship Type="http://schemas.openxmlformats.org/officeDocument/2006/relationships/hyperlink" Target="https://www.lovethework.com/work/entries/burger-to-king-760741" TargetMode="External" Id="rId86"/><Relationship Type="http://schemas.openxmlformats.org/officeDocument/2006/relationships/hyperlink" Target="https://ascentialcdn.filespin.io/api/v1/conversion/5e630b6d1a8d43d494544038884723b7" TargetMode="External" Id="rId87"/><Relationship Type="http://schemas.openxmlformats.org/officeDocument/2006/relationships/hyperlink" Target="https://www.lovethework.com/work/entries/the-flipper-760602" TargetMode="External" Id="rId88"/><Relationship Type="http://schemas.openxmlformats.org/officeDocument/2006/relationships/hyperlink" Target="https://ascentialcdn.filespin.io/api/v1/conversion/12a3c9e0c6e948eeaa5543a2fedda2c2" TargetMode="External" Id="rId89"/><Relationship Type="http://schemas.openxmlformats.org/officeDocument/2006/relationships/hyperlink" Target="https://www.lovethework.com/work/entries/tracking-bad-bunny-759002" TargetMode="External" Id="rId90"/><Relationship Type="http://schemas.openxmlformats.org/officeDocument/2006/relationships/hyperlink" Target="https://ascentialcdn.filespin.io/api/v1/conversion/30aec1c3378c43f3845d46d7e83d4bf5" TargetMode="External" Id="rId91"/><Relationship Type="http://schemas.openxmlformats.org/officeDocument/2006/relationships/hyperlink" Target="https://www.lovethework.com/work/entries/the-black-dogs-743512" TargetMode="External" Id="rId92"/><Relationship Type="http://schemas.openxmlformats.org/officeDocument/2006/relationships/hyperlink" Target="https://ascentialcdn.filespin.io/api/v1/conversion/f324b2259303465985c6298914501fea" TargetMode="External" Id="rId93"/><Relationship Type="http://schemas.openxmlformats.org/officeDocument/2006/relationships/hyperlink" Target="https://www.lovethework.com/work/entries/bassi-vs-mens-facewash-743479" TargetMode="External" Id="rId94"/><Relationship Type="http://schemas.openxmlformats.org/officeDocument/2006/relationships/hyperlink" Target="https://ascentialcdn.filespin.io/api/v1/conversion/7e3827a3b1964d6196ee7b72003dd9cd" TargetMode="External" Id="rId95"/><Relationship Type="http://schemas.openxmlformats.org/officeDocument/2006/relationships/hyperlink" Target="https://www.lovethework.com/work/entries/could-have-been-a-heineken-775185" TargetMode="External" Id="rId96"/><Relationship Type="http://schemas.openxmlformats.org/officeDocument/2006/relationships/hyperlink" Target="https://ascentialcdn.filespin.io/api/v1/conversion/3e59ad3ef8694b63bc7bfb791b7bd884" TargetMode="External" Id="rId97"/><Relationship Type="http://schemas.openxmlformats.org/officeDocument/2006/relationships/hyperlink" Target="https://www.lovethework.com/work/entries/dove-real-reviews-782508" TargetMode="External" Id="rId98"/><Relationship Type="http://schemas.openxmlformats.org/officeDocument/2006/relationships/hyperlink" Target="https://ascentialcdn.filespin.io/api/v1/conversion/da0fba3e4e024d37b5c317631cedf2cd" TargetMode="External" Id="rId99"/><Relationship Type="http://schemas.openxmlformats.org/officeDocument/2006/relationships/hyperlink" Target="https://www.lovethework.com/work/entries/the-kitkat-heist-784166" TargetMode="External" Id="rId100"/><Relationship Type="http://schemas.openxmlformats.org/officeDocument/2006/relationships/hyperlink" Target="https://ascentialcdn.filespin.io/api/v1/conversion/af507ec3dbb64730a309632c654534cc" TargetMode="External" Id="rId101"/><Relationship Type="http://schemas.openxmlformats.org/officeDocument/2006/relationships/hyperlink" Target="https://www.lovethework.com/work/entries/vaseline-and-the-real-nigerian-prince-784443" TargetMode="External" Id="rId102"/><Relationship Type="http://schemas.openxmlformats.org/officeDocument/2006/relationships/hyperlink" Target="https://ascentialcdn.filespin.io/api/v1/conversion/a51e4b12607a4d19abcc64bca7c099f5" TargetMode="External" Id="rId103"/><Relationship Type="http://schemas.openxmlformats.org/officeDocument/2006/relationships/hyperlink" Target="https://www.lovethework.com/work/entries/vaseline-originals-779657" TargetMode="External" Id="rId104"/><Relationship Type="http://schemas.openxmlformats.org/officeDocument/2006/relationships/hyperlink" Target="https://ascentialcdn.filespin.io/api/v1/conversion/e13550af729a45d9951d17428b02eec9" TargetMode="External" Id="rId105"/><Relationship Type="http://schemas.openxmlformats.org/officeDocument/2006/relationships/hyperlink" Target="https://www.lovethework.com/work/entries/everyone-wants-a-piece-776254" TargetMode="External" Id="rId106"/><Relationship Type="http://schemas.openxmlformats.org/officeDocument/2006/relationships/hyperlink" Target="https://ascentialcdn.filespin.io/api/v1/conversion/40d4fb53f14149eaacd4822c2d947baf" TargetMode="External" Id="rId107"/><Relationship Type="http://schemas.openxmlformats.org/officeDocument/2006/relationships/hyperlink" Target="https://www.lovethework.com/work/entries/uberlndia-ec-775137" TargetMode="External" Id="rId108"/><Relationship Type="http://schemas.openxmlformats.org/officeDocument/2006/relationships/hyperlink" Target="https://ascentialcdn.filespin.io/api/v1/conversion/0909290e28ec42d1a89547829208ee97" TargetMode="External" Id="rId109"/><Relationship Type="http://schemas.openxmlformats.org/officeDocument/2006/relationships/hyperlink" Target="https://www.lovethework.com/work/entries/chicken-screams-for-coke-774608" TargetMode="External" Id="rId110"/><Relationship Type="http://schemas.openxmlformats.org/officeDocument/2006/relationships/hyperlink" Target="https://ascentialcdn.filespin.io/api/v1/conversion/9b26263bac18484f9b5013f94cb980ac" TargetMode="External" Id="rId111"/><Relationship Type="http://schemas.openxmlformats.org/officeDocument/2006/relationships/hyperlink" Target="https://www.lovethework.com/work/entries/pope-yes-783722" TargetMode="External" Id="rId112"/><Relationship Type="http://schemas.openxmlformats.org/officeDocument/2006/relationships/hyperlink" Target="https://ascentialcdn.filespin.io/api/v1/conversion/7447a0b016b0470bbead7e7c1bca3514" TargetMode="External" Id="rId113"/><Relationship Type="http://schemas.openxmlformats.org/officeDocument/2006/relationships/hyperlink" Target="https://www.lovethework.com/work/entries/donate-to-play-784374" TargetMode="External" Id="rId114"/><Relationship Type="http://schemas.openxmlformats.org/officeDocument/2006/relationships/hyperlink" Target="https://ascentialcdn.filespin.io/api/v1/conversion/d39099422846496fa2533748e14c3643" TargetMode="External" Id="rId115"/><Relationship Type="http://schemas.openxmlformats.org/officeDocument/2006/relationships/hyperlink" Target="https://www.lovethework.com/work/entries/copycats-welcome-774333" TargetMode="External" Id="rId116"/><Relationship Type="http://schemas.openxmlformats.org/officeDocument/2006/relationships/hyperlink" Target="https://ascentialcdn.filespin.io/api/v1/conversion/bf27011e79f94826a41c286a1bbd22d5" TargetMode="External" Id="rId117"/><Relationship Type="http://schemas.openxmlformats.org/officeDocument/2006/relationships/hyperlink" Target="https://www.lovethework.com/work/entries/expedition-impossible-785613" TargetMode="External" Id="rId118"/><Relationship Type="http://schemas.openxmlformats.org/officeDocument/2006/relationships/hyperlink" Target="https://ascentialcdn.filespin.io/api/v1/conversion/a57ec4fa6d234ce09017b02ec7fe98ba" TargetMode="External" Id="rId119"/><Relationship Type="http://schemas.openxmlformats.org/officeDocument/2006/relationships/hyperlink" Target="https://www.lovethework.com/work/entries/olympic-rings-pasta-777877" TargetMode="External" Id="rId120"/><Relationship Type="http://schemas.openxmlformats.org/officeDocument/2006/relationships/hyperlink" Target="https://ascentialcdn.filespin.io/api/v1/conversion/10461cbf5d3548bf8582c0a498311476" TargetMode="External" Id="rId121"/><Relationship Type="http://schemas.openxmlformats.org/officeDocument/2006/relationships/hyperlink" Target="https://www.lovethework.com/work/entries/expensive-sht-774404" TargetMode="External" Id="rId122"/><Relationship Type="http://schemas.openxmlformats.org/officeDocument/2006/relationships/hyperlink" Target="https://ascentialcdn.filespin.io/api/v1/conversion/da0fba3e4e024d37b5c317631cedf2cd" TargetMode="External" Id="rId123"/><Relationship Type="http://schemas.openxmlformats.org/officeDocument/2006/relationships/hyperlink" Target="https://www.lovethework.com/work/entries/the-kitkat-heist-784169" TargetMode="External" Id="rId124"/><Relationship Type="http://schemas.openxmlformats.org/officeDocument/2006/relationships/hyperlink" Target="https://ascentialcdn.filespin.io/api/v1/conversion/816881aedb3447d5a13f13e6be2972c0" TargetMode="External" Id="rId125"/><Relationship Type="http://schemas.openxmlformats.org/officeDocument/2006/relationships/hyperlink" Target="https://www.lovethework.com/work/entries/the-feathered-lamb-784420" TargetMode="External" Id="rId126"/><Relationship Type="http://schemas.openxmlformats.org/officeDocument/2006/relationships/hyperlink" Target="https://ascentialcdn.filespin.io/api/v1/conversion/b91a9ac0476c4d4b8a22b4a65390983c" TargetMode="External" Id="rId127"/><Relationship Type="http://schemas.openxmlformats.org/officeDocument/2006/relationships/hyperlink" Target="https://www.lovethework.com/work/entries/the-dr-pepper-jingle-774371" TargetMode="External" Id="rId128"/><Relationship Type="http://schemas.openxmlformats.org/officeDocument/2006/relationships/hyperlink" Target="https://ascentialcdn.filespin.io/api/v1/storyboard/4bda5b691aa1493cb5d30598956ac6c7/storyboard_000008.jpg" TargetMode="External" Id="rId129"/><Relationship Type="http://schemas.openxmlformats.org/officeDocument/2006/relationships/hyperlink" Target="https://www.lovethework.com/work/entries/youve-been-warned-778646" TargetMode="External" Id="rId130"/><Relationship Type="http://schemas.openxmlformats.org/officeDocument/2006/relationships/hyperlink" Target="https://ascentialcdn.filespin.io/api/v1/conversion/afb7cf6990dc496f9c2b62d97d07c989" TargetMode="External" Id="rId131"/><Relationship Type="http://schemas.openxmlformats.org/officeDocument/2006/relationships/hyperlink" Target="https://www.lovethework.com/work/entries/uva-uva-bombn-784479" TargetMode="External" Id="rId132"/><Relationship Type="http://schemas.openxmlformats.org/officeDocument/2006/relationships/hyperlink" Target="https://ascentialcdn.filespin.io/api/v1/conversion/f9bea12bbdc24041b29b3f4b3a4b3aad" TargetMode="External" Id="rId133"/><Relationship Type="http://schemas.openxmlformats.org/officeDocument/2006/relationships/hyperlink" Target="https://www.lovethework.com/work/entries/played-by-humans-774368" TargetMode="External" Id="rId134"/><Relationship Type="http://schemas.openxmlformats.org/officeDocument/2006/relationships/hyperlink" Target="https://ascentialcdn.filespin.io/api/v1/conversion/b95f989821da4e9a8b7a4555385e43ed" TargetMode="External" Id="rId135"/><Relationship Type="http://schemas.openxmlformats.org/officeDocument/2006/relationships/hyperlink" Target="https://www.lovethework.com/work/entries/code-her-784492" TargetMode="External" Id="rId136"/><Relationship Type="http://schemas.openxmlformats.org/officeDocument/2006/relationships/hyperlink" Target="https://ascentialcdn.filespin.io/api/v1/conversion/8d87d88a33f446d7bfd4c28a73757012" TargetMode="External" Id="rId137"/><Relationship Type="http://schemas.openxmlformats.org/officeDocument/2006/relationships/hyperlink" Target="https://www.lovethework.com/work/entries/the-choice-778111" TargetMode="External" Id="rId138"/><Relationship Type="http://schemas.openxmlformats.org/officeDocument/2006/relationships/hyperlink" Target="https://ascentialcdn.filespin.io/api/v1/conversion/d589ef2fce34498c997f864e25b12c63" TargetMode="External" Id="rId139"/><Relationship Type="http://schemas.openxmlformats.org/officeDocument/2006/relationships/hyperlink" Target="https://www.lovethework.com/work/entries/mntana-ka-gogo-777606" TargetMode="External" Id="rId140"/><Relationship Type="http://schemas.openxmlformats.org/officeDocument/2006/relationships/hyperlink" Target="https://ascentialcdn.filespin.io/api/v1/conversion/65f596aa9b584ef18846f7952595fa9b" TargetMode="External" Id="rId141"/><Relationship Type="http://schemas.openxmlformats.org/officeDocument/2006/relationships/hyperlink" Target="https://www.lovethework.com/work/entries/cerave-the-new-face-of-legs-785085" TargetMode="External" Id="rId142"/><Relationship Type="http://schemas.openxmlformats.org/officeDocument/2006/relationships/hyperlink" Target="https://ascentialcdn.filespin.io/api/v1/conversion/af507ec3dbb64730a309632c654534cc" TargetMode="External" Id="rId143"/><Relationship Type="http://schemas.openxmlformats.org/officeDocument/2006/relationships/hyperlink" Target="https://www.lovethework.com/work/entries/vaseline-and-the-real-nigerian-prince-784372" TargetMode="External" Id="rId144"/><Relationship Type="http://schemas.openxmlformats.org/officeDocument/2006/relationships/hyperlink" Target="https://ascentialcdn.filespin.io/api/v1/conversion/c1c92c115c8d446e92930b9f140e301f" TargetMode="External" Id="rId145"/><Relationship Type="http://schemas.openxmlformats.org/officeDocument/2006/relationships/hyperlink" Target="https://www.lovethework.com/work/entries/road-test-royale-783576" TargetMode="External" Id="rId146"/><Relationship Type="http://schemas.openxmlformats.org/officeDocument/2006/relationships/hyperlink" Target="https://ascentialcdn.filespin.io/api/v1/conversion/891e92ac22304d769b6599ffa9bc2de6" TargetMode="External" Id="rId147"/><Relationship Type="http://schemas.openxmlformats.org/officeDocument/2006/relationships/hyperlink" Target="https://www.lovethework.com/work/entries/the-filet-o-fish-facebook-society-of-2012-783582" TargetMode="External" Id="rId148"/><Relationship Type="http://schemas.openxmlformats.org/officeDocument/2006/relationships/hyperlink" Target="https://ascentialcdn.filespin.io/api/v1/conversion/5d4d8534a5f34f09a7048039e51b46d7" TargetMode="External" Id="rId149"/><Relationship Type="http://schemas.openxmlformats.org/officeDocument/2006/relationships/hyperlink" Target="https://www.lovethework.com/work/entries/the-fandom-comeback-783592" TargetMode="External" Id="rId150"/><Relationship Type="http://schemas.openxmlformats.org/officeDocument/2006/relationships/hyperlink" Target="https://ascentialcdn.filespin.io/api/v1/conversion/cba776a1ce8442c7b1ce665e336e758e" TargetMode="External" Id="rId151"/><Relationship Type="http://schemas.openxmlformats.org/officeDocument/2006/relationships/hyperlink" Target="https://www.lovethework.com/work/entries/cif-clean-my-name-783711" TargetMode="External" Id="rId152"/><Relationship Type="http://schemas.openxmlformats.org/officeDocument/2006/relationships/hyperlink" Target="https://ascentialcdn.filespin.io/api/v1/conversion/e3798dc24e4f4692825234cfef776834" TargetMode="External" Id="rId153"/><Relationship Type="http://schemas.openxmlformats.org/officeDocument/2006/relationships/hyperlink" Target="https://www.lovethework.com/work/entries/sheep-happens-774379" TargetMode="External" Id="rId154"/><Relationship Type="http://schemas.openxmlformats.org/officeDocument/2006/relationships/hyperlink" Target="https://ascentialcdn.filespin.io/api/v1/conversion/3e59ad3ef8694b63bc7bfb791b7bd884" TargetMode="External" Id="rId155"/><Relationship Type="http://schemas.openxmlformats.org/officeDocument/2006/relationships/hyperlink" Target="https://www.lovethework.com/work/entries/dove-real-reviews-774447" TargetMode="External" Id="rId156"/><Relationship Type="http://schemas.openxmlformats.org/officeDocument/2006/relationships/hyperlink" Target="https://ascentialcdn.filespin.io/api/v1/conversion/73f325dcb6544b0fbd53422f1f162772" TargetMode="External" Id="rId157"/><Relationship Type="http://schemas.openxmlformats.org/officeDocument/2006/relationships/hyperlink" Target="https://www.lovethework.com/work/entries/mms-ricktok-785106" TargetMode="External" Id="rId158"/><Relationship Type="http://schemas.openxmlformats.org/officeDocument/2006/relationships/hyperlink" Target="https://ascentialcdn.filespin.io/api/v1/conversion/bf27011e79f94826a41c286a1bbd22d5" TargetMode="External" Id="rId159"/><Relationship Type="http://schemas.openxmlformats.org/officeDocument/2006/relationships/hyperlink" Target="https://www.lovethework.com/work/entries/expedition-impossible-776163" TargetMode="External" Id="rId160"/><Relationship Type="http://schemas.openxmlformats.org/officeDocument/2006/relationships/hyperlink" Target="https://ascentialcdn.filespin.io/api/v1/conversion/17274b399c7a4fe5ac1461930545f71f" TargetMode="External" Id="rId161"/><Relationship Type="http://schemas.openxmlformats.org/officeDocument/2006/relationships/hyperlink" Target="https://www.lovethework.com/work/entries/the-least-most-interesting-man-774413" TargetMode="External" Id="rId162"/><Relationship Type="http://schemas.openxmlformats.org/officeDocument/2006/relationships/hyperlink" Target="https://ascentialcdn.filespin.io/api/v1/conversion/f0bf242e2719444ca0c649b32aabd728" TargetMode="External" Id="rId163"/><Relationship Type="http://schemas.openxmlformats.org/officeDocument/2006/relationships/hyperlink" Target="https://www.lovethework.com/work/entries/cover-it-785141" TargetMode="External" Id="rId164"/><Relationship Type="http://schemas.openxmlformats.org/officeDocument/2006/relationships/hyperlink" Target="https://ascentialcdn.filespin.io/api/v1/storyboard/38709f44fc9c4876908fa07eedab1d9b/storyboard_000008.jpg" TargetMode="External" Id="rId165"/><Relationship Type="http://schemas.openxmlformats.org/officeDocument/2006/relationships/hyperlink" Target="https://www.lovethework.com/work/entries/bad-bunny-halftime-show-shot-on-iphone-784460" TargetMode="External" Id="rId166"/><Relationship Type="http://schemas.openxmlformats.org/officeDocument/2006/relationships/hyperlink" Target="https://ascentialcdn.filespin.io/api/v1/conversion/8d87d88a33f446d7bfd4c28a73757012" TargetMode="External" Id="rId167"/><Relationship Type="http://schemas.openxmlformats.org/officeDocument/2006/relationships/hyperlink" Target="https://www.lovethework.com/work/entries/the-choice-778183" TargetMode="External" Id="rId168"/><Relationship Type="http://schemas.openxmlformats.org/officeDocument/2006/relationships/hyperlink" Target="https://ascentialcdn.filespin.io/api/v1/conversion/fd3a5b5101274260be1855bd8fc8a813" TargetMode="External" Id="rId169"/><Relationship Type="http://schemas.openxmlformats.org/officeDocument/2006/relationships/hyperlink" Target="https://www.lovethework.com/work/entries/re-commerce-atacama-784493" TargetMode="External" Id="rId170"/><Relationship Type="http://schemas.openxmlformats.org/officeDocument/2006/relationships/hyperlink" Target="https://ascentialcdn.filespin.io/api/v1/conversion/8058038c62a946c891b946dce829543f" TargetMode="External" Id="rId171"/><Relationship Type="http://schemas.openxmlformats.org/officeDocument/2006/relationships/hyperlink" Target="https://www.lovethework.com/work/entries/a-cry-for-hydration-784495" TargetMode="External" Id="rId172"/><Relationship Type="http://schemas.openxmlformats.org/officeDocument/2006/relationships/hyperlink" Target="https://ascentialcdn.filespin.io/api/v1/conversion/e856d9b462724f64af2e2808121e0f9e" TargetMode="External" Id="rId173"/><Relationship Type="http://schemas.openxmlformats.org/officeDocument/2006/relationships/hyperlink" Target="https://www.lovethework.com/work/entries/lets-end-fast-tech-783721" TargetMode="External" Id="rId174"/><Relationship Type="http://schemas.openxmlformats.org/officeDocument/2006/relationships/hyperlink" Target="https://ascentialcdn.filespin.io/api/v1/conversion/5a5470f061524e258dc5d415c3286697" TargetMode="External" Id="rId175"/><Relationship Type="http://schemas.openxmlformats.org/officeDocument/2006/relationships/hyperlink" Target="https://www.lovethework.com/work/entries/the-bite-793227" TargetMode="External" Id="rId176"/><Relationship Type="http://schemas.openxmlformats.org/officeDocument/2006/relationships/hyperlink" Target="https://ascentialcdn.filespin.io/api/v1/conversion/ae10ad80300d4dfa9593f1a07f9263bc" TargetMode="External" Id="rId177"/><Relationship Type="http://schemas.openxmlformats.org/officeDocument/2006/relationships/hyperlink" Target="https://www.lovethework.com/work/entries/hola-777072" TargetMode="External" Id="rId178"/><Relationship Type="http://schemas.openxmlformats.org/officeDocument/2006/relationships/hyperlink" Target="https://ascentialcdn.filespin.io/api/v1/conversion/b8ce7fe97eca4b99b9d2efdae7d1ef97" TargetMode="External" Id="rId179"/><Relationship Type="http://schemas.openxmlformats.org/officeDocument/2006/relationships/hyperlink" Target="https://www.lovethework.com/work/entries/the-password-heist-785172" TargetMode="External" Id="rId180"/><Relationship Type="http://schemas.openxmlformats.org/officeDocument/2006/relationships/hyperlink" Target="https://ascentialcdn.filespin.io/api/v1/conversion/d4d61fa8b85a4e2981c22593487a60d8" TargetMode="External" Id="rId181"/><Relationship Type="http://schemas.openxmlformats.org/officeDocument/2006/relationships/hyperlink" Target="https://www.lovethework.com/work/entries/om-bdr-774572" TargetMode="External" Id="rId182"/></Relationships>
</file>

<file path=xl/worksheets/_rels/sheet17.xml.rels><Relationships xmlns="http://schemas.openxmlformats.org/package/2006/relationships"><Relationship Type="http://schemas.openxmlformats.org/officeDocument/2006/relationships/hyperlink" Target="https://www.lovethework.com/work/entries/night-fishing-767309" TargetMode="External" Id="rId1"/><Relationship Type="http://schemas.openxmlformats.org/officeDocument/2006/relationships/hyperlink" Target="https://www.lovethework.com/work/entries/the-final-copy-of-ilon-specht-766871" TargetMode="External" Id="rId2"/><Relationship Type="http://schemas.openxmlformats.org/officeDocument/2006/relationships/hyperlink" Target="https://ascentialcdn.filespin.io/api/v1/conversion/e56e744cd3594eceb82733246e9035b2" TargetMode="External" Id="rId3"/><Relationship Type="http://schemas.openxmlformats.org/officeDocument/2006/relationships/hyperlink" Target="https://www.lovethework.com/work/entries/haaland-payback-time-766835" TargetMode="External" Id="rId4"/><Relationship Type="http://schemas.openxmlformats.org/officeDocument/2006/relationships/hyperlink" Target="https://ascentialcdn.filespin.io/api/v1/conversion/3a7cf992b94648e7abc8a97fc02fb04b" TargetMode="External" Id="rId5"/><Relationship Type="http://schemas.openxmlformats.org/officeDocument/2006/relationships/hyperlink" Target="https://www.lovethework.com/work/entries/caption-with-intention-767270" TargetMode="External" Id="rId6"/><Relationship Type="http://schemas.openxmlformats.org/officeDocument/2006/relationships/hyperlink" Target="https://www.lovethework.com/work/entries/dungeonsdragons-the-lost-episode-767102" TargetMode="External" Id="rId7"/><Relationship Type="http://schemas.openxmlformats.org/officeDocument/2006/relationships/hyperlink" Target="https://ascentialcdn.filespin.io/api/v1/conversion/55473142d6864b37b0a59f44ba97046b" TargetMode="External" Id="rId8"/><Relationship Type="http://schemas.openxmlformats.org/officeDocument/2006/relationships/hyperlink" Target="https://www.lovethework.com/work/entries/tide-collateral-stain-stories-767268" TargetMode="External" Id="rId9"/><Relationship Type="http://schemas.openxmlformats.org/officeDocument/2006/relationships/hyperlink" Target="https://ascentialcdn.filespin.io/api/v1/conversion/00bc8da7a7464d6c8f4154a6b1e3cc23" TargetMode="External" Id="rId10"/><Relationship Type="http://schemas.openxmlformats.org/officeDocument/2006/relationships/hyperlink" Target="https://www.lovethework.com/work/entries/lap-of-legends-767038" TargetMode="External" Id="rId11"/><Relationship Type="http://schemas.openxmlformats.org/officeDocument/2006/relationships/hyperlink" Target="https://ascentialcdn.filespin.io/api/v1/conversion/3db7ec7e31b7459bafa082009489d40e" TargetMode="External" Id="rId12"/><Relationship Type="http://schemas.openxmlformats.org/officeDocument/2006/relationships/hyperlink" Target="https://www.lovethework.com/work/entries/cant-unsee-it-767337" TargetMode="External" Id="rId13"/><Relationship Type="http://schemas.openxmlformats.org/officeDocument/2006/relationships/hyperlink" Target="https://ascentialcdn.filespin.io/api/v1/conversion/76013060c8dd4eaab1a92bf04d89af79" TargetMode="External" Id="rId14"/><Relationship Type="http://schemas.openxmlformats.org/officeDocument/2006/relationships/hyperlink" Target="https://www.lovethework.com/work/entries/oreo-square-cookie-767454" TargetMode="External" Id="rId15"/><Relationship Type="http://schemas.openxmlformats.org/officeDocument/2006/relationships/hyperlink" Target="https://ascentialcdn.filespin.io/api/v1/conversion/3a7cf992b94648e7abc8a97fc02fb04b" TargetMode="External" Id="rId16"/><Relationship Type="http://schemas.openxmlformats.org/officeDocument/2006/relationships/hyperlink" Target="https://www.lovethework.com/work/entries/caption-with-intention-767304" TargetMode="External" Id="rId17"/><Relationship Type="http://schemas.openxmlformats.org/officeDocument/2006/relationships/hyperlink" Target="https://www.lovethework.com/work/entries/the-final-copy-of-ilon-specht-766850" TargetMode="External" Id="rId18"/><Relationship Type="http://schemas.openxmlformats.org/officeDocument/2006/relationships/hyperlink" Target="https://ascentialcdn.filespin.io/api/v1/conversion/60aa1888e5b6444381b060dc1801de84" TargetMode="External" Id="rId19"/><Relationship Type="http://schemas.openxmlformats.org/officeDocument/2006/relationships/hyperlink" Target="https://www.lovethework.com/work/entries/olympic-games-opening-ceremony-paris-2024-767406" TargetMode="External" Id="rId20"/><Relationship Type="http://schemas.openxmlformats.org/officeDocument/2006/relationships/hyperlink" Target="https://www.lovethework.com/work/entries/the-shooting-766980" TargetMode="External" Id="rId21"/><Relationship Type="http://schemas.openxmlformats.org/officeDocument/2006/relationships/hyperlink" Target="https://ascentialcdn.filespin.io/api/v1/conversion/ef4af87cfc76490a81be851d1c90a77b" TargetMode="External" Id="rId22"/><Relationship Type="http://schemas.openxmlformats.org/officeDocument/2006/relationships/hyperlink" Target="https://www.lovethework.com/work/entries/cheering-for-the-rain-767117" TargetMode="External" Id="rId23"/><Relationship Type="http://schemas.openxmlformats.org/officeDocument/2006/relationships/hyperlink" Target="https://ascentialcdn.filespin.io/api/v1/conversion/f2978f9255da42889e454a19c0f9f5ea" TargetMode="External" Id="rId24"/><Relationship Type="http://schemas.openxmlformats.org/officeDocument/2006/relationships/hyperlink" Target="https://www.lovethework.com/work/entries/oreo-empire-767371" TargetMode="External" Id="rId25"/><Relationship Type="http://schemas.openxmlformats.org/officeDocument/2006/relationships/hyperlink" Target="https://ascentialcdn.filespin.io/api/v1/conversion/f24e68d6c8384d1eb2ad61b83f036618" TargetMode="External" Id="rId26"/><Relationship Type="http://schemas.openxmlformats.org/officeDocument/2006/relationships/hyperlink" Target="https://www.lovethework.com/work/entries/bachelor-767396" TargetMode="External" Id="rId27"/><Relationship Type="http://schemas.openxmlformats.org/officeDocument/2006/relationships/hyperlink" Target="https://ascentialcdn.filespin.io/api/v1/conversion/581ba8fb17334c1fbfc126a090ed2598" TargetMode="External" Id="rId28"/><Relationship Type="http://schemas.openxmlformats.org/officeDocument/2006/relationships/hyperlink" Target="https://www.lovethework.com/work/entries/make-new-zealand-the-best-place-in-the-world-to-have-herpes-767411" TargetMode="External" Id="rId29"/><Relationship Type="http://schemas.openxmlformats.org/officeDocument/2006/relationships/hyperlink" Target="https://ascentialcdn.filespin.io/api/v1/conversion/f979928ea0a14ad7a4df5b301de95a0e" TargetMode="External" Id="rId30"/><Relationship Type="http://schemas.openxmlformats.org/officeDocument/2006/relationships/hyperlink" Target="https://www.lovethework.com/work/entries/lidlize-766764" TargetMode="External" Id="rId31"/><Relationship Type="http://schemas.openxmlformats.org/officeDocument/2006/relationships/hyperlink" Target="https://www.lovethework.com/work/entries/the-boy-the-octopus-766970" TargetMode="External" Id="rId32"/><Relationship Type="http://schemas.openxmlformats.org/officeDocument/2006/relationships/hyperlink" Target="https://ascentialcdn.filespin.io/api/v1/conversion/2e880efa163040b884c55c34c5aa79f9" TargetMode="External" Id="rId33"/><Relationship Type="http://schemas.openxmlformats.org/officeDocument/2006/relationships/hyperlink" Target="https://www.lovethework.com/work/entries/tide-collateral-stain-stories-767167" TargetMode="External" Id="rId34"/><Relationship Type="http://schemas.openxmlformats.org/officeDocument/2006/relationships/hyperlink" Target="https://www.lovethework.com/work/entries/group-therapy-767010" TargetMode="External" Id="rId35"/><Relationship Type="http://schemas.openxmlformats.org/officeDocument/2006/relationships/hyperlink" Target="https://ascentialcdn.filespin.io/api/v1/conversion/6544f095e71a47a39d27334e2404e951" TargetMode="External" Id="rId36"/><Relationship Type="http://schemas.openxmlformats.org/officeDocument/2006/relationships/hyperlink" Target="https://www.lovethework.com/work/entries/starring-bars-767438" TargetMode="External" Id="rId37"/><Relationship Type="http://schemas.openxmlformats.org/officeDocument/2006/relationships/hyperlink" Target="https://ascentialcdn.filespin.io/api/v1/conversion/7c69e0ddd6ef4e4c8949df7dc8e40429" TargetMode="External" Id="rId38"/><Relationship Type="http://schemas.openxmlformats.org/officeDocument/2006/relationships/hyperlink" Target="https://www.lovethework.com/work/entries/original-forever-780099" TargetMode="External" Id="rId39"/><Relationship Type="http://schemas.openxmlformats.org/officeDocument/2006/relationships/hyperlink" Target="https://ascentialcdn.filespin.io/api/v1/conversion/a4e73cc7db544a34843e5c87b108651b" TargetMode="External" Id="rId40"/><Relationship Type="http://schemas.openxmlformats.org/officeDocument/2006/relationships/hyperlink" Target="https://www.lovethework.com/work/entries/whos-waiting-for-you-777182" TargetMode="External" Id="rId41"/><Relationship Type="http://schemas.openxmlformats.org/officeDocument/2006/relationships/hyperlink" Target="https://ascentialcdn.filespin.io/api/v1/storyboard/f8363f8ffa6e4cfab248188517f83c34/storyboard_000099.jpg" TargetMode="External" Id="rId42"/><Relationship Type="http://schemas.openxmlformats.org/officeDocument/2006/relationships/hyperlink" Target="https://www.lovethework.com/work/entries/the-tiger-782472" TargetMode="External" Id="rId43"/><Relationship Type="http://schemas.openxmlformats.org/officeDocument/2006/relationships/hyperlink" Target="https://ascentialcdn.filespin.io/api/v1/conversion/650e0a742ab3494e961dbed96de8f279" TargetMode="External" Id="rId44"/><Relationship Type="http://schemas.openxmlformats.org/officeDocument/2006/relationships/hyperlink" Target="https://www.lovethework.com/work/entries/everybody-coinbase-782478" TargetMode="External" Id="rId45"/><Relationship Type="http://schemas.openxmlformats.org/officeDocument/2006/relationships/hyperlink" Target="https://ascentialcdn.filespin.io/api/v1/conversion/caf5f098de354997845e323a81f55ad4" TargetMode="External" Id="rId46"/><Relationship Type="http://schemas.openxmlformats.org/officeDocument/2006/relationships/hyperlink" Target="https://www.lovethework.com/work/entries/big-man-shot-on-iphone-782481" TargetMode="External" Id="rId47"/><Relationship Type="http://schemas.openxmlformats.org/officeDocument/2006/relationships/hyperlink" Target="https://ascentialcdn.filespin.io/api/v1/storyboard/e4ee799d03d34f1c8aa702cd04493404/storyboard_000008.jpg" TargetMode="External" Id="rId48"/><Relationship Type="http://schemas.openxmlformats.org/officeDocument/2006/relationships/hyperlink" Target="https://www.lovethework.com/work/entries/change-my-mind-777238" TargetMode="External" Id="rId49"/><Relationship Type="http://schemas.openxmlformats.org/officeDocument/2006/relationships/hyperlink" Target="https://ascentialcdn.filespin.io/api/v1/conversion/56d1948d426b47c1a0218abf48e1308c" TargetMode="External" Id="rId50"/><Relationship Type="http://schemas.openxmlformats.org/officeDocument/2006/relationships/hyperlink" Target="https://www.lovethework.com/work/entries/tiffany-co-x-netflixs-frankenstein-776704" TargetMode="External" Id="rId51"/><Relationship Type="http://schemas.openxmlformats.org/officeDocument/2006/relationships/hyperlink" Target="https://ascentialcdn.filespin.io/api/v1/conversion/acf6454a30a64b13a1f7e896eac19fa5" TargetMode="External" Id="rId52"/><Relationship Type="http://schemas.openxmlformats.org/officeDocument/2006/relationships/hyperlink" Target="https://www.lovethework.com/work/entries/the-grey-swan-782476" TargetMode="External" Id="rId53"/><Relationship Type="http://schemas.openxmlformats.org/officeDocument/2006/relationships/hyperlink" Target="https://ascentialcdn.filespin.io/api/v1/conversion/19ae1d84c90f44899c8ef700ef8200c3" TargetMode="External" Id="rId54"/><Relationship Type="http://schemas.openxmlformats.org/officeDocument/2006/relationships/hyperlink" Target="https://www.lovethework.com/work/entries/the-philipstown-wirecar-grand-prix-779869" TargetMode="External" Id="rId55"/><Relationship Type="http://schemas.openxmlformats.org/officeDocument/2006/relationships/hyperlink" Target="https://ascentialcdn.filespin.io/api/v1/conversion/692d55d9edb34b5ba8e075c97313045c" TargetMode="External" Id="rId56"/><Relationship Type="http://schemas.openxmlformats.org/officeDocument/2006/relationships/hyperlink" Target="https://www.lovethework.com/work/entries/hawkstone-hard-to-make-easy-to-drink-782513" TargetMode="External" Id="rId57"/><Relationship Type="http://schemas.openxmlformats.org/officeDocument/2006/relationships/hyperlink" Target="https://ascentialcdn.filespin.io/api/v1/conversion/a3ffecafb9584d519be6f6fefa64e1af" TargetMode="External" Id="rId58"/><Relationship Type="http://schemas.openxmlformats.org/officeDocument/2006/relationships/hyperlink" Target="https://www.lovethework.com/work/entries/goodbye-rx-7-saying-farewell-to-a-dear-friend-778562" TargetMode="External" Id="rId59"/><Relationship Type="http://schemas.openxmlformats.org/officeDocument/2006/relationships/hyperlink" Target="https://ascentialcdn.filespin.io/api/v1/conversion/5bab8838fc774f3ea6152729ff4d2a75" TargetMode="External" Id="rId60"/><Relationship Type="http://schemas.openxmlformats.org/officeDocument/2006/relationships/hyperlink" Target="https://www.lovethework.com/work/entries/soseg-782480" TargetMode="External" Id="rId61"/><Relationship Type="http://schemas.openxmlformats.org/officeDocument/2006/relationships/hyperlink" Target="https://ascentialcdn.filespin.io/api/v1/conversion/080ee70584e5420ba7c491104e4ac5e8" TargetMode="External" Id="rId62"/><Relationship Type="http://schemas.openxmlformats.org/officeDocument/2006/relationships/hyperlink" Target="https://www.lovethework.com/work/entries/the-wizard-of-oz-at-sphere-782494" TargetMode="External" Id="rId63"/><Relationship Type="http://schemas.openxmlformats.org/officeDocument/2006/relationships/hyperlink" Target="https://ascentialcdn.filespin.io/api/v1/conversion/a905483a1768400a88424f62c2722455" TargetMode="External" Id="rId64"/><Relationship Type="http://schemas.openxmlformats.org/officeDocument/2006/relationships/hyperlink" Target="https://www.lovethework.com/work/entries/the-most-epic-watch-party-group-782517" TargetMode="External" Id="rId65"/><Relationship Type="http://schemas.openxmlformats.org/officeDocument/2006/relationships/hyperlink" Target="https://ascentialcdn.filespin.io/api/v1/conversion/f9bea12bbdc24041b29b3f4b3a4b3aad" TargetMode="External" Id="rId66"/><Relationship Type="http://schemas.openxmlformats.org/officeDocument/2006/relationships/hyperlink" Target="https://www.lovethework.com/work/entries/played-by-humans-777220" TargetMode="External" Id="rId67"/><Relationship Type="http://schemas.openxmlformats.org/officeDocument/2006/relationships/hyperlink" Target="https://ascentialcdn.filespin.io/api/v1/conversion/75ec1ce88490459f9ab02c9f7b23d411" TargetMode="External" Id="rId68"/><Relationship Type="http://schemas.openxmlformats.org/officeDocument/2006/relationships/hyperlink" Target="https://www.lovethework.com/work/entries/a-minecraft-movie-meal-788992" TargetMode="External" Id="rId69"/><Relationship Type="http://schemas.openxmlformats.org/officeDocument/2006/relationships/hyperlink" Target="https://ascentialcdn.filespin.io/api/v1/conversion/be0b7d9b1a1d409f9ba09da2a96a545e" TargetMode="External" Id="rId70"/><Relationship Type="http://schemas.openxmlformats.org/officeDocument/2006/relationships/hyperlink" Target="https://www.lovethework.com/work/entries/the-triangle-theory-782504" TargetMode="External" Id="rId71"/><Relationship Type="http://schemas.openxmlformats.org/officeDocument/2006/relationships/hyperlink" Target="https://ascentialcdn.filespin.io/api/v1/conversion/a2b078954bb14bd181bb5fce3f91031b" TargetMode="External" Id="rId72"/><Relationship Type="http://schemas.openxmlformats.org/officeDocument/2006/relationships/hyperlink" Target="https://www.lovethework.com/work/entries/pocket-sized-halftime-show-782551" TargetMode="External" Id="rId73"/><Relationship Type="http://schemas.openxmlformats.org/officeDocument/2006/relationships/hyperlink" Target="https://ascentialcdn.filespin.io/api/v1/conversion/b5d8515d763b461097bfa2881636035f" TargetMode="External" Id="rId74"/><Relationship Type="http://schemas.openxmlformats.org/officeDocument/2006/relationships/hyperlink" Target="https://www.lovethework.com/work/entries/for-papa-782515" TargetMode="External" Id="rId75"/><Relationship Type="http://schemas.openxmlformats.org/officeDocument/2006/relationships/hyperlink" Target="https://ascentialcdn.filespin.io/api/v1/conversion/30587e625aea497b812c0add67f8cbbe" TargetMode="External" Id="rId76"/><Relationship Type="http://schemas.openxmlformats.org/officeDocument/2006/relationships/hyperlink" Target="https://www.lovethework.com/work/entries/the-pub-that-refused-to-die-782467" TargetMode="External" Id="rId77"/></Relationships>
</file>

<file path=xl/worksheets/_rels/sheet18.xml.rels><Relationships xmlns="http://schemas.openxmlformats.org/package/2006/relationships"><Relationship Type="http://schemas.openxmlformats.org/officeDocument/2006/relationships/hyperlink" Target="https://ascentialcdn.filespin.io/api/v1/conversion/c70ca73e1b844ab9b17bafdddb08ab43" TargetMode="External" Id="rId1"/><Relationship Type="http://schemas.openxmlformats.org/officeDocument/2006/relationships/hyperlink" Target="https://www.lovethework.com/work/entries/call-of-discounts-758175" TargetMode="External" Id="rId2"/><Relationship Type="http://schemas.openxmlformats.org/officeDocument/2006/relationships/hyperlink" Target="https://ascentialcdn.filespin.io/api/v1/conversion/4f2c314a8b5244938185d763dbbb08a8" TargetMode="External" Id="rId3"/><Relationship Type="http://schemas.openxmlformats.org/officeDocument/2006/relationships/hyperlink" Target="https://www.lovethework.com/work/entries/burger-to-king-763800" TargetMode="External" Id="rId4"/><Relationship Type="http://schemas.openxmlformats.org/officeDocument/2006/relationships/hyperlink" Target="https://ascentialcdn.filespin.io/api/v1/conversion/615e3a15eabf457d91d317468a12d825" TargetMode="External" Id="rId5"/><Relationship Type="http://schemas.openxmlformats.org/officeDocument/2006/relationships/hyperlink" Target="https://www.lovethework.com/work/entries/the-final-exam-760339" TargetMode="External" Id="rId6"/><Relationship Type="http://schemas.openxmlformats.org/officeDocument/2006/relationships/hyperlink" Target="https://www.lovethework.com/work/entries/project-memory-card-758330" TargetMode="External" Id="rId7"/><Relationship Type="http://schemas.openxmlformats.org/officeDocument/2006/relationships/hyperlink" Target="https://ascentialcdn.filespin.io/api/v1/conversion/4f2c314a8b5244938185d763dbbb08a8" TargetMode="External" Id="rId8"/><Relationship Type="http://schemas.openxmlformats.org/officeDocument/2006/relationships/hyperlink" Target="https://www.lovethework.com/work/entries/burger-to-king-763798" TargetMode="External" Id="rId9"/><Relationship Type="http://schemas.openxmlformats.org/officeDocument/2006/relationships/hyperlink" Target="https://ascentialcdn.filespin.io/api/v1/conversion/615e3a15eabf457d91d317468a12d825" TargetMode="External" Id="rId10"/><Relationship Type="http://schemas.openxmlformats.org/officeDocument/2006/relationships/hyperlink" Target="https://www.lovethework.com/work/entries/the-final-exam-760178" TargetMode="External" Id="rId11"/><Relationship Type="http://schemas.openxmlformats.org/officeDocument/2006/relationships/hyperlink" Target="https://ascentialcdn.filespin.io/api/v1/conversion/3b57e93aef504625807daf7e7575162d" TargetMode="External" Id="rId12"/><Relationship Type="http://schemas.openxmlformats.org/officeDocument/2006/relationships/hyperlink" Target="https://www.lovethework.com/work/entries/haaland-payback-time-762429" TargetMode="External" Id="rId13"/><Relationship Type="http://schemas.openxmlformats.org/officeDocument/2006/relationships/hyperlink" Target="https://ascentialcdn.filespin.io/api/v1/conversion/4492f4557e9441408ea283fcb7cd3a12" TargetMode="External" Id="rId14"/><Relationship Type="http://schemas.openxmlformats.org/officeDocument/2006/relationships/hyperlink" Target="https://www.lovethework.com/work/entries/the-co-worker-758248" TargetMode="External" Id="rId15"/><Relationship Type="http://schemas.openxmlformats.org/officeDocument/2006/relationships/hyperlink" Target="https://ascentialcdn.filespin.io/api/v1/conversion/f5ffbe1532054f85b7f9f9b7fba1f1ee" TargetMode="External" Id="rId16"/><Relationship Type="http://schemas.openxmlformats.org/officeDocument/2006/relationships/hyperlink" Target="https://www.lovethework.com/work/entries/fizzooka-758263" TargetMode="External" Id="rId17"/><Relationship Type="http://schemas.openxmlformats.org/officeDocument/2006/relationships/hyperlink" Target="https://ascentialcdn.filespin.io/api/v1/conversion/035c1b7183be486fa7ec0efe20c5cfd2" TargetMode="External" Id="rId18"/><Relationship Type="http://schemas.openxmlformats.org/officeDocument/2006/relationships/hyperlink" Target="https://www.lovethework.com/work/entries/lag-or-bad-760347" TargetMode="External" Id="rId19"/><Relationship Type="http://schemas.openxmlformats.org/officeDocument/2006/relationships/hyperlink" Target="https://ascentialcdn.filespin.io/api/v1/conversion/f1c6e266081d4161b8e3ecc7ecb15a78" TargetMode="External" Id="rId20"/><Relationship Type="http://schemas.openxmlformats.org/officeDocument/2006/relationships/hyperlink" Target="https://www.lovethework.com/work/entries/the-cheeky-controller-762497" TargetMode="External" Id="rId21"/></Relationships>
</file>

<file path=xl/worksheets/_rels/sheet19.xml.rels><Relationships xmlns="http://schemas.openxmlformats.org/package/2006/relationships"><Relationship Type="http://schemas.openxmlformats.org/officeDocument/2006/relationships/hyperlink" Target="https://ascentialcdn.filespin.io/api/v1/conversion/6d3d67544e4a4fe7baad1c1b50560274" TargetMode="External" Id="rId1"/><Relationship Type="http://schemas.openxmlformats.org/officeDocument/2006/relationships/hyperlink" Target="https://www.lovethework.com/work/entries/tracking-bad-bunny-760320" TargetMode="External" Id="rId2"/><Relationship Type="http://schemas.openxmlformats.org/officeDocument/2006/relationships/hyperlink" Target="https://ascentialcdn.filespin.io/api/v1/storyboard/7819511744634f7a81824e1b2a278ae1/storyboard_000008.jpg" TargetMode="External" Id="rId3"/><Relationship Type="http://schemas.openxmlformats.org/officeDocument/2006/relationships/hyperlink" Target="https://www.lovethework.com/work/entries/aap-rocky-tailor-swif-754915" TargetMode="External" Id="rId4"/><Relationship Type="http://schemas.openxmlformats.org/officeDocument/2006/relationships/hyperlink" Target="https://ascentialcdn.filespin.io/api/v1/conversion/c5b4d99a1f714aea8f5124ebd5d701f7" TargetMode="External" Id="rId5"/><Relationship Type="http://schemas.openxmlformats.org/officeDocument/2006/relationships/hyperlink" Target="https://www.lovethework.com/work/entries/hey-jude-754810" TargetMode="External" Id="rId6"/><Relationship Type="http://schemas.openxmlformats.org/officeDocument/2006/relationships/hyperlink" Target="https://ascentialcdn.filespin.io/api/v1/conversion/0b4f8069282647798e50f403983c1f06" TargetMode="External" Id="rId7"/><Relationship Type="http://schemas.openxmlformats.org/officeDocument/2006/relationships/hyperlink" Target="https://www.lovethework.com/work/entries/abracadabra-from-fan-to-featured-759657" TargetMode="External" Id="rId8"/><Relationship Type="http://schemas.openxmlformats.org/officeDocument/2006/relationships/hyperlink" Target="https://ascentialcdn.filespin.io/api/v1/conversion/a6ac5c5dd4fc4487966ae01ac52f95ff" TargetMode="External" Id="rId9"/><Relationship Type="http://schemas.openxmlformats.org/officeDocument/2006/relationships/hyperlink" Target="https://www.lovethework.com/work/entries/me-feat-me-755132" TargetMode="External" Id="rId10"/><Relationship Type="http://schemas.openxmlformats.org/officeDocument/2006/relationships/hyperlink" Target="https://www.lovethework.com/work/entries/love-754922" TargetMode="External" Id="rId11"/><Relationship Type="http://schemas.openxmlformats.org/officeDocument/2006/relationships/hyperlink" Target="https://ascentialcdn.filespin.io/api/v1/conversion/eb513fac29984db2811524e932026062" TargetMode="External" Id="rId12"/><Relationship Type="http://schemas.openxmlformats.org/officeDocument/2006/relationships/hyperlink" Target="https://www.lovethework.com/work/entries/tennessee-sound-sites-755015" TargetMode="External" Id="rId13"/><Relationship Type="http://schemas.openxmlformats.org/officeDocument/2006/relationships/hyperlink" Target="https://www.lovethework.com/work/entries/the-girl-who-played-the-tutari-754967" TargetMode="External" Id="rId14"/><Relationship Type="http://schemas.openxmlformats.org/officeDocument/2006/relationships/hyperlink" Target="https://ascentialcdn.filespin.io/api/v1/conversion/17f5e6466cc04660b48ef8ef11bb211e" TargetMode="External" Id="rId15"/><Relationship Type="http://schemas.openxmlformats.org/officeDocument/2006/relationships/hyperlink" Target="https://www.lovethework.com/work/entries/little-simz-flood-754835" TargetMode="External" Id="rId16"/><Relationship Type="http://schemas.openxmlformats.org/officeDocument/2006/relationships/hyperlink" Target="https://ascentialcdn.filespin.io/api/v1/conversion/4e38334504284effbc474e7a3273d412" TargetMode="External" Id="rId17"/><Relationship Type="http://schemas.openxmlformats.org/officeDocument/2006/relationships/hyperlink" Target="https://www.lovethework.com/work/entries/kendrick-lamar-apple-musics-super-bowl-halftime-show-campaign-755001" TargetMode="External" Id="rId18"/><Relationship Type="http://schemas.openxmlformats.org/officeDocument/2006/relationships/hyperlink" Target="https://ascentialcdn.filespin.io/api/v1/conversion/f0419f522ab74225a6515a6514c036ec" TargetMode="External" Id="rId19"/><Relationship Type="http://schemas.openxmlformats.org/officeDocument/2006/relationships/hyperlink" Target="https://www.lovethework.com/work/entries/the-last-timbit-762830" TargetMode="External" Id="rId20"/><Relationship Type="http://schemas.openxmlformats.org/officeDocument/2006/relationships/hyperlink" Target="https://www.lovethework.com/work/entries/jovem-mk-meu-karma-754791" TargetMode="External" Id="rId21"/><Relationship Type="http://schemas.openxmlformats.org/officeDocument/2006/relationships/hyperlink" Target="https://www.lovethework.com/work/entries/love-the-racks-754806" TargetMode="External" Id="rId22"/><Relationship Type="http://schemas.openxmlformats.org/officeDocument/2006/relationships/hyperlink" Target="https://ascentialcdn.filespin.io/api/v1/conversion/6d3d67544e4a4fe7baad1c1b50560274" TargetMode="External" Id="rId23"/><Relationship Type="http://schemas.openxmlformats.org/officeDocument/2006/relationships/hyperlink" Target="https://www.lovethework.com/work/entries/tracking-bad-bunny-760302" TargetMode="External" Id="rId24"/><Relationship Type="http://schemas.openxmlformats.org/officeDocument/2006/relationships/hyperlink" Target="https://ascentialcdn.filespin.io/api/v1/storyboard/191cd784934f42e29f332027d298ef62/storyboard_000008.jpg" TargetMode="External" Id="rId25"/><Relationship Type="http://schemas.openxmlformats.org/officeDocument/2006/relationships/hyperlink" Target="https://www.lovethework.com/work/entries/a-stone-only-rolls-downhill-754853" TargetMode="External" Id="rId26"/><Relationship Type="http://schemas.openxmlformats.org/officeDocument/2006/relationships/hyperlink" Target="https://ascentialcdn.filespin.io/api/v1/conversion/1df87588cc0f4cf58bf77a0ffc045a44" TargetMode="External" Id="rId27"/><Relationship Type="http://schemas.openxmlformats.org/officeDocument/2006/relationships/hyperlink" Target="https://www.lovethework.com/work/entries/born-to-run-755077" TargetMode="External" Id="rId28"/></Relationships>
</file>

<file path=xl/worksheets/_rels/sheet20.xml.rels><Relationships xmlns="http://schemas.openxmlformats.org/package/2006/relationships"><Relationship Type="http://schemas.openxmlformats.org/officeDocument/2006/relationships/hyperlink" Target="https://ascentialcdn.filespin.io/api/v1/conversion/0ab9c1eb4c5a4e82b68ff5fcca75da6b" TargetMode="External" Id="rId1"/><Relationship Type="http://schemas.openxmlformats.org/officeDocument/2006/relationships/hyperlink" Target="https://www.lovethework.com/work/entries/haaland-payback-time-762223" TargetMode="External" Id="rId2"/><Relationship Type="http://schemas.openxmlformats.org/officeDocument/2006/relationships/hyperlink" Target="https://ascentialcdn.filespin.io/api/v1/conversion/60aa1888e5b6444381b060dc1801de84" TargetMode="External" Id="rId3"/><Relationship Type="http://schemas.openxmlformats.org/officeDocument/2006/relationships/hyperlink" Target="https://www.lovethework.com/work/entries/olympic-games-opening-ceremony-paris-2024-757241" TargetMode="External" Id="rId4"/><Relationship Type="http://schemas.openxmlformats.org/officeDocument/2006/relationships/hyperlink" Target="https://ascentialcdn.filespin.io/api/v1/conversion/6dec2b71e9e0467cb429446b1f864686" TargetMode="External" Id="rId5"/><Relationship Type="http://schemas.openxmlformats.org/officeDocument/2006/relationships/hyperlink" Target="https://www.lovethework.com/work/entries/signed-by-fanatics-757314" TargetMode="External" Id="rId6"/><Relationship Type="http://schemas.openxmlformats.org/officeDocument/2006/relationships/hyperlink" Target="https://www.lovethework.com/work/entries/kyikatej-757331" TargetMode="External" Id="rId7"/><Relationship Type="http://schemas.openxmlformats.org/officeDocument/2006/relationships/hyperlink" Target="https://ascentialcdn.filespin.io/api/v1/conversion/564dea338e9e42018a7f0c9b66595cae" TargetMode="External" Id="rId8"/><Relationship Type="http://schemas.openxmlformats.org/officeDocument/2006/relationships/hyperlink" Target="https://www.lovethework.com/work/entries/the-4th-judge-762406" TargetMode="External" Id="rId9"/><Relationship Type="http://schemas.openxmlformats.org/officeDocument/2006/relationships/hyperlink" Target="https://www.lovethework.com/work/entries/obsession-763910" TargetMode="External" Id="rId10"/><Relationship Type="http://schemas.openxmlformats.org/officeDocument/2006/relationships/hyperlink" Target="https://ascentialcdn.filespin.io/api/v1/conversion/a5629a97973948f688643981b63ac56e" TargetMode="External" Id="rId11"/><Relationship Type="http://schemas.openxmlformats.org/officeDocument/2006/relationships/hyperlink" Target="https://www.lovethework.com/work/entries/paid-through-parents-757385" TargetMode="External" Id="rId12"/><Relationship Type="http://schemas.openxmlformats.org/officeDocument/2006/relationships/hyperlink" Target="https://ascentialcdn.filespin.io/api/v1/conversion/091d74f6176f4334bcedd28604ff10a5" TargetMode="External" Id="rId13"/><Relationship Type="http://schemas.openxmlformats.org/officeDocument/2006/relationships/hyperlink" Target="https://www.lovethework.com/work/entries/running-in-fear-757711" TargetMode="External" Id="rId14"/><Relationship Type="http://schemas.openxmlformats.org/officeDocument/2006/relationships/hyperlink" Target="https://ascentialcdn.filespin.io/api/v1/conversion/564dea338e9e42018a7f0c9b66595cae" TargetMode="External" Id="rId15"/><Relationship Type="http://schemas.openxmlformats.org/officeDocument/2006/relationships/hyperlink" Target="https://www.lovethework.com/work/entries/the-4th-judge-762326" TargetMode="External" Id="rId16"/><Relationship Type="http://schemas.openxmlformats.org/officeDocument/2006/relationships/hyperlink" Target="https://ascentialcdn.filespin.io/api/v1/conversion/e0e7f0a8eeed48888d3d57f241eb99ae" TargetMode="External" Id="rId17"/><Relationship Type="http://schemas.openxmlformats.org/officeDocument/2006/relationships/hyperlink" Target="https://www.lovethework.com/work/entries/avanis-gold-757226" TargetMode="External" Id="rId18"/><Relationship Type="http://schemas.openxmlformats.org/officeDocument/2006/relationships/hyperlink" Target="https://ascentialcdn.filespin.io/api/v1/conversion/0ab9c1eb4c5a4e82b68ff5fcca75da6b" TargetMode="External" Id="rId19"/><Relationship Type="http://schemas.openxmlformats.org/officeDocument/2006/relationships/hyperlink" Target="https://www.lovethework.com/work/entries/haaland-payback-time-762343" TargetMode="External" Id="rId20"/><Relationship Type="http://schemas.openxmlformats.org/officeDocument/2006/relationships/hyperlink" Target="https://www.lovethework.com/work/entries/kyikatej-757692" TargetMode="External" Id="rId21"/><Relationship Type="http://schemas.openxmlformats.org/officeDocument/2006/relationships/hyperlink" Target="https://ascentialcdn.filespin.io/api/v1/conversion/7954f7f7cb2f4db5865a8948faec77c0" TargetMode="External" Id="rId22"/><Relationship Type="http://schemas.openxmlformats.org/officeDocument/2006/relationships/hyperlink" Target="https://www.lovethework.com/work/entries/jordan-cant-ban-greatness-757287" TargetMode="External" Id="rId23"/><Relationship Type="http://schemas.openxmlformats.org/officeDocument/2006/relationships/hyperlink" Target="https://ascentialcdn.filespin.io/api/v1/conversion/c41e8e08644c46d1aa1edaeb702267bd" TargetMode="External" Id="rId24"/><Relationship Type="http://schemas.openxmlformats.org/officeDocument/2006/relationships/hyperlink" Target="https://www.lovethework.com/work/entries/saving-pelotica-de-goma-757522" TargetMode="External" Id="rId25"/><Relationship Type="http://schemas.openxmlformats.org/officeDocument/2006/relationships/hyperlink" Target="https://ascentialcdn.filespin.io/api/v1/conversion/a5629a97973948f688643981b63ac56e" TargetMode="External" Id="rId26"/><Relationship Type="http://schemas.openxmlformats.org/officeDocument/2006/relationships/hyperlink" Target="https://www.lovethework.com/work/entries/paid-through-parents-757417" TargetMode="External" Id="rId27"/><Relationship Type="http://schemas.openxmlformats.org/officeDocument/2006/relationships/hyperlink" Target="https://ascentialcdn.filespin.io/api/v1/conversion/801ddebed5f640bdbb9533426b87109b" TargetMode="External" Id="rId28"/><Relationship Type="http://schemas.openxmlformats.org/officeDocument/2006/relationships/hyperlink" Target="https://www.lovethework.com/work/entries/coors-light-coors-light-757682" TargetMode="External" Id="rId29"/><Relationship Type="http://schemas.openxmlformats.org/officeDocument/2006/relationships/hyperlink" Target="https://ascentialcdn.filespin.io/api/v1/conversion/0b397234b3d74a5aa798ad871042c23c" TargetMode="External" Id="rId30"/><Relationship Type="http://schemas.openxmlformats.org/officeDocument/2006/relationships/hyperlink" Target="https://www.lovethework.com/work/entries/football-lover-fm-757706" TargetMode="External" Id="rId31"/><Relationship Type="http://schemas.openxmlformats.org/officeDocument/2006/relationships/hyperlink" Target="https://ascentialcdn.filespin.io/api/v1/conversion/943f4b70d83740e6add888e6112aab73" TargetMode="External" Id="rId32"/><Relationship Type="http://schemas.openxmlformats.org/officeDocument/2006/relationships/hyperlink" Target="https://www.lovethework.com/work/entries/the-impossible-drive-757483" TargetMode="External" Id="rId33"/><Relationship Type="http://schemas.openxmlformats.org/officeDocument/2006/relationships/hyperlink" Target="https://ascentialcdn.filespin.io/api/v1/conversion/05665843413b4b8a80ba1017cabcdac1" TargetMode="External" Id="rId34"/><Relationship Type="http://schemas.openxmlformats.org/officeDocument/2006/relationships/hyperlink" Target="https://www.lovethework.com/work/entries/aeromexicanos-762363" TargetMode="External" Id="rId35"/><Relationship Type="http://schemas.openxmlformats.org/officeDocument/2006/relationships/hyperlink" Target="https://ascentialcdn.filespin.io/api/v1/conversion/7e95f656b693443d8d4e60f0a4c9b853" TargetMode="External" Id="rId36"/><Relationship Type="http://schemas.openxmlformats.org/officeDocument/2006/relationships/hyperlink" Target="https://www.lovethework.com/work/entries/bad-luck-reverser-757468" TargetMode="External" Id="rId37"/><Relationship Type="http://schemas.openxmlformats.org/officeDocument/2006/relationships/hyperlink" Target="https://ascentialcdn.filespin.io/api/v1/conversion/c5b4d99a1f714aea8f5124ebd5d701f7" TargetMode="External" Id="rId38"/><Relationship Type="http://schemas.openxmlformats.org/officeDocument/2006/relationships/hyperlink" Target="https://www.lovethework.com/work/entries/hey-jude-757188" TargetMode="External" Id="rId39"/><Relationship Type="http://schemas.openxmlformats.org/officeDocument/2006/relationships/hyperlink" Target="https://ascentialcdn.filespin.io/api/v1/conversion/59c61cb1e6984e748ed9ff58ce4d2280" TargetMode="External" Id="rId40"/><Relationship Type="http://schemas.openxmlformats.org/officeDocument/2006/relationships/hyperlink" Target="https://www.lovethework.com/work/entries/the-flame-that-wasnt-a-flame-757294" TargetMode="External" Id="rId41"/><Relationship Type="http://schemas.openxmlformats.org/officeDocument/2006/relationships/hyperlink" Target="https://ascentialcdn.filespin.io/api/v1/conversion/f219a00eceb44153993b72462c35b6bc" TargetMode="External" Id="rId42"/><Relationship Type="http://schemas.openxmlformats.org/officeDocument/2006/relationships/hyperlink" Target="https://www.lovethework.com/work/entries/excuses-bars-762239" TargetMode="External" Id="rId43"/><Relationship Type="http://schemas.openxmlformats.org/officeDocument/2006/relationships/hyperlink" Target="https://www.lovethework.com/work/entries/sennas-cut-757380" TargetMode="External" Id="rId44"/><Relationship Type="http://schemas.openxmlformats.org/officeDocument/2006/relationships/hyperlink" Target="https://ascentialcdn.filespin.io/api/v1/conversion/4789c727ab0e4e79bc0a89252cc425d9" TargetMode="External" Id="rId45"/><Relationship Type="http://schemas.openxmlformats.org/officeDocument/2006/relationships/hyperlink" Target="https://www.lovethework.com/work/entries/the-fan-remote-757600" TargetMode="External" Id="rId46"/><Relationship Type="http://schemas.openxmlformats.org/officeDocument/2006/relationships/hyperlink" Target="https://ascentialcdn.filespin.io/api/v1/conversion/3c8c2a1d775049aeb067fb493759f83d" TargetMode="External" Id="rId47"/><Relationship Type="http://schemas.openxmlformats.org/officeDocument/2006/relationships/hyperlink" Target="https://www.lovethework.com/work/entries/fields-of-glory-757481" TargetMode="External" Id="rId48"/><Relationship Type="http://schemas.openxmlformats.org/officeDocument/2006/relationships/hyperlink" Target="https://ascentialcdn.filespin.io/api/v1/conversion/6d9f46b8091b49698485fd0b422787b4" TargetMode="External" Id="rId49"/><Relationship Type="http://schemas.openxmlformats.org/officeDocument/2006/relationships/hyperlink" Target="https://www.lovethework.com/work/entries/the-thousand-sponsors-of-muni-792238" TargetMode="External" Id="rId50"/><Relationship Type="http://schemas.openxmlformats.org/officeDocument/2006/relationships/hyperlink" Target="https://ascentialcdn.filespin.io/api/v1/conversion/0c49c9d60a944a37add314890bbff7bb" TargetMode="External" Id="rId51"/><Relationship Type="http://schemas.openxmlformats.org/officeDocument/2006/relationships/hyperlink" Target="https://www.lovethework.com/work/entries/lucky-fan-index-792196" TargetMode="External" Id="rId52"/><Relationship Type="http://schemas.openxmlformats.org/officeDocument/2006/relationships/hyperlink" Target="https://ascentialcdn.filespin.io/api/v1/conversion/87169f0d7c434ec5877ae8c9a5aeab45" TargetMode="External" Id="rId53"/><Relationship Type="http://schemas.openxmlformats.org/officeDocument/2006/relationships/hyperlink" Target="https://www.lovethework.com/work/entries/resize-the-price-792889" TargetMode="External" Id="rId54"/><Relationship Type="http://schemas.openxmlformats.org/officeDocument/2006/relationships/hyperlink" Target="https://ascentialcdn.filespin.io/api/v1/conversion/65f596aa9b584ef18846f7952595fa9b" TargetMode="External" Id="rId55"/><Relationship Type="http://schemas.openxmlformats.org/officeDocument/2006/relationships/hyperlink" Target="https://www.lovethework.com/work/entries/cerave-the-new-face-of-legs-792922" TargetMode="External" Id="rId56"/><Relationship Type="http://schemas.openxmlformats.org/officeDocument/2006/relationships/hyperlink" Target="https://ascentialcdn.filespin.io/api/v1/conversion/2a6b2b4859824eca99522c5972d31625" TargetMode="External" Id="rId57"/><Relationship Type="http://schemas.openxmlformats.org/officeDocument/2006/relationships/hyperlink" Target="https://www.lovethework.com/work/entries/axa-nothing-stops-womens-rugby-777707" TargetMode="External" Id="rId58"/><Relationship Type="http://schemas.openxmlformats.org/officeDocument/2006/relationships/hyperlink" Target="https://ascentialcdn.filespin.io/api/v1/storyboard/a1ca05cdbbfa45f7a1d301e1d0f09266/storyboard_000008.jpg" TargetMode="External" Id="rId59"/><Relationship Type="http://schemas.openxmlformats.org/officeDocument/2006/relationships/hyperlink" Target="https://www.lovethework.com/work/entries/a-mothers-commentary-792584" TargetMode="External" Id="rId60"/><Relationship Type="http://schemas.openxmlformats.org/officeDocument/2006/relationships/hyperlink" Target="https://ascentialcdn.filespin.io/api/v1/conversion/efcf536147ad45849ec421c413d79f7b" TargetMode="External" Id="rId61"/><Relationship Type="http://schemas.openxmlformats.org/officeDocument/2006/relationships/hyperlink" Target="https://www.lovethework.com/work/entries/the-switch-hit-by-mikkeller-777497" TargetMode="External" Id="rId62"/><Relationship Type="http://schemas.openxmlformats.org/officeDocument/2006/relationships/hyperlink" Target="https://ascentialcdn.filespin.io/api/v1/conversion/4be82aa0a3cf460fbb7f0872b0609115" TargetMode="External" Id="rId63"/><Relationship Type="http://schemas.openxmlformats.org/officeDocument/2006/relationships/hyperlink" Target="https://www.lovethework.com/work/entries/kyle-fcking-connor-779587" TargetMode="External" Id="rId64"/><Relationship Type="http://schemas.openxmlformats.org/officeDocument/2006/relationships/hyperlink" Target="https://ascentialcdn.filespin.io/api/v1/conversion/65f596aa9b584ef18846f7952595fa9b" TargetMode="External" Id="rId65"/><Relationship Type="http://schemas.openxmlformats.org/officeDocument/2006/relationships/hyperlink" Target="https://www.lovethework.com/work/entries/cerave-the-new-face-of-legs-792897" TargetMode="External" Id="rId66"/><Relationship Type="http://schemas.openxmlformats.org/officeDocument/2006/relationships/hyperlink" Target="https://ascentialcdn.filespin.io/api/v1/conversion/1e629829a1314891907fcdf2e45ced1c" TargetMode="External" Id="rId67"/><Relationship Type="http://schemas.openxmlformats.org/officeDocument/2006/relationships/hyperlink" Target="https://www.lovethework.com/work/entries/supernova-adaptive-778654" TargetMode="External" Id="rId68"/><Relationship Type="http://schemas.openxmlformats.org/officeDocument/2006/relationships/hyperlink" Target="https://ascentialcdn.filespin.io/api/v1/conversion/8fae71e4582f43ecb75b5a5384142cc6" TargetMode="External" Id="rId69"/><Relationship Type="http://schemas.openxmlformats.org/officeDocument/2006/relationships/hyperlink" Target="https://www.lovethework.com/work/entries/curfew-hostels-792850" TargetMode="External" Id="rId70"/><Relationship Type="http://schemas.openxmlformats.org/officeDocument/2006/relationships/hyperlink" Target="https://ascentialcdn.filespin.io/api/v1/conversion/0f9b1cc683f04ba18ecb6dbf0c2fb361" TargetMode="External" Id="rId71"/><Relationship Type="http://schemas.openxmlformats.org/officeDocument/2006/relationships/hyperlink" Target="https://www.lovethework.com/work/entries/fragmental-medal-792851" TargetMode="External" Id="rId72"/><Relationship Type="http://schemas.openxmlformats.org/officeDocument/2006/relationships/hyperlink" Target="https://ascentialcdn.filespin.io/api/v1/conversion/6fc1c88e4c3342b38d0b7adcbfb1977c" TargetMode="External" Id="rId73"/><Relationship Type="http://schemas.openxmlformats.org/officeDocument/2006/relationships/hyperlink" Target="https://www.lovethework.com/work/entries/jell-ometer-792958" TargetMode="External" Id="rId74"/><Relationship Type="http://schemas.openxmlformats.org/officeDocument/2006/relationships/hyperlink" Target="https://ascentialcdn.filespin.io/api/v1/conversion/3a2204c0125246989fe529eec864ec80" TargetMode="External" Id="rId75"/><Relationship Type="http://schemas.openxmlformats.org/officeDocument/2006/relationships/hyperlink" Target="https://www.lovethework.com/work/entries/missing-managers-792186" TargetMode="External" Id="rId76"/><Relationship Type="http://schemas.openxmlformats.org/officeDocument/2006/relationships/hyperlink" Target="https://ascentialcdn.filespin.io/api/v1/conversion/929bbc31458248dca736c94984471ff4" TargetMode="External" Id="rId77"/><Relationship Type="http://schemas.openxmlformats.org/officeDocument/2006/relationships/hyperlink" Target="https://www.lovethework.com/work/entries/dirt-is-glory-793104" TargetMode="External" Id="rId78"/><Relationship Type="http://schemas.openxmlformats.org/officeDocument/2006/relationships/hyperlink" Target="https://ascentialcdn.filespin.io/api/v1/conversion/be0b7d9b1a1d409f9ba09da2a96a545e" TargetMode="External" Id="rId79"/><Relationship Type="http://schemas.openxmlformats.org/officeDocument/2006/relationships/hyperlink" Target="https://www.lovethework.com/work/entries/the-triangle-theory-792257" TargetMode="External" Id="rId80"/><Relationship Type="http://schemas.openxmlformats.org/officeDocument/2006/relationships/hyperlink" Target="https://ascentialcdn.filespin.io/api/v1/conversion/8c9b591de16b44b483c01b1eb71e5f50" TargetMode="External" Id="rId81"/><Relationship Type="http://schemas.openxmlformats.org/officeDocument/2006/relationships/hyperlink" Target="https://www.lovethework.com/work/entries/two-way-deal-792890" TargetMode="External" Id="rId82"/><Relationship Type="http://schemas.openxmlformats.org/officeDocument/2006/relationships/hyperlink" Target="https://ascentialcdn.filespin.io/api/v1/conversion/d4c63aa0c937443090a0260bd63eac20" TargetMode="External" Id="rId83"/><Relationship Type="http://schemas.openxmlformats.org/officeDocument/2006/relationships/hyperlink" Target="https://www.lovethework.com/work/entries/game-on-ball-792293" TargetMode="External" Id="rId84"/><Relationship Type="http://schemas.openxmlformats.org/officeDocument/2006/relationships/hyperlink" Target="https://ascentialcdn.filespin.io/api/v1/conversion/d482281e84fd4e5184d263e19a5e12c2" TargetMode="External" Id="rId85"/><Relationship Type="http://schemas.openxmlformats.org/officeDocument/2006/relationships/hyperlink" Target="https://www.lovethework.com/work/entries/fair-play-792914" TargetMode="External" Id="rId86"/><Relationship Type="http://schemas.openxmlformats.org/officeDocument/2006/relationships/hyperlink" Target="https://ascentialcdn.filespin.io/api/v1/conversion/6f517e3917a04fb19738c49af7c9f4c2" TargetMode="External" Id="rId87"/><Relationship Type="http://schemas.openxmlformats.org/officeDocument/2006/relationships/hyperlink" Target="https://www.lovethework.com/work/entries/discount-chants-792965" TargetMode="External" Id="rId88"/><Relationship Type="http://schemas.openxmlformats.org/officeDocument/2006/relationships/hyperlink" Target="https://ascentialcdn.filespin.io/api/v1/conversion/25e445cbb56a41c8aa3dd5cb44764313" TargetMode="External" Id="rId89"/><Relationship Type="http://schemas.openxmlformats.org/officeDocument/2006/relationships/hyperlink" Target="https://www.lovethework.com/work/entries/marseille-cest-nous-776572" TargetMode="External" Id="rId90"/></Relationships>
</file>

<file path=xl/worksheets/_rels/sheet21.xml.rels><Relationships xmlns="http://schemas.openxmlformats.org/package/2006/relationships"><Relationship Type="http://schemas.openxmlformats.org/officeDocument/2006/relationships/hyperlink" Target="https://ascentialcdn.filespin.io/api/v1/conversion/ae51c3c9f04d452e914dba0555d8b029" TargetMode="External" Id="rId1"/><Relationship Type="http://schemas.openxmlformats.org/officeDocument/2006/relationships/hyperlink" Target="https://www.lovethework.com/work/entries/caption-with-intention-746864" TargetMode="External" Id="rId2"/><Relationship Type="http://schemas.openxmlformats.org/officeDocument/2006/relationships/hyperlink" Target="https://ascentialcdn.filespin.io/api/v1/conversion/17a255fb4a7d40d79616736a9ee7914c" TargetMode="External" Id="rId3"/><Relationship Type="http://schemas.openxmlformats.org/officeDocument/2006/relationships/hyperlink" Target="https://www.lovethework.com/work/entries/ads-cover-rents-747640" TargetMode="External" Id="rId4"/><Relationship Type="http://schemas.openxmlformats.org/officeDocument/2006/relationships/hyperlink" Target="https://ascentialcdn.filespin.io/api/v1/conversion/6b9aa5b716a6476ca0f016a3c2a0dd62" TargetMode="External" Id="rId5"/><Relationship Type="http://schemas.openxmlformats.org/officeDocument/2006/relationships/hyperlink" Target="https://www.lovethework.com/work/entries/drops-of-hope-748188" TargetMode="External" Id="rId6"/><Relationship Type="http://schemas.openxmlformats.org/officeDocument/2006/relationships/hyperlink" Target="https://ascentialcdn.filespin.io/api/v1/conversion/b6b3814255234c3596fcb99868c0fbb7" TargetMode="External" Id="rId7"/><Relationship Type="http://schemas.openxmlformats.org/officeDocument/2006/relationships/hyperlink" Target="https://www.lovethework.com/work/entries/drops-of-hope-748188" TargetMode="External" Id="rId8"/><Relationship Type="http://schemas.openxmlformats.org/officeDocument/2006/relationships/hyperlink" Target="https://ascentialcdn.filespin.io/api/v1/conversion/8466955db96a4c52b6813e12a8c63226" TargetMode="External" Id="rId9"/><Relationship Type="http://schemas.openxmlformats.org/officeDocument/2006/relationships/hyperlink" Target="https://www.lovethework.com/work/entries/fictional-insurance-747450" TargetMode="External" Id="rId10"/><Relationship Type="http://schemas.openxmlformats.org/officeDocument/2006/relationships/hyperlink" Target="https://ascentialcdn.filespin.io/api/v1/conversion/afa88aa8421b41a18c68b9863bb6926c" TargetMode="External" Id="rId11"/><Relationship Type="http://schemas.openxmlformats.org/officeDocument/2006/relationships/hyperlink" Target="https://www.lovethework.com/work/entries/gulf-of-mexico-bar-747778" TargetMode="External" Id="rId12"/><Relationship Type="http://schemas.openxmlformats.org/officeDocument/2006/relationships/hyperlink" Target="https://ascentialcdn.filespin.io/api/v1/conversion/71112ff9b2324f9b8f9338c809483684" TargetMode="External" Id="rId13"/><Relationship Type="http://schemas.openxmlformats.org/officeDocument/2006/relationships/hyperlink" Target="https://www.lovethework.com/work/entries/lessons-of-shame-746863" TargetMode="External" Id="rId14"/><Relationship Type="http://schemas.openxmlformats.org/officeDocument/2006/relationships/hyperlink" Target="https://ascentialcdn.filespin.io/api/v1/conversion/2e252d74f69d4889b7886d241255186a" TargetMode="External" Id="rId15"/><Relationship Type="http://schemas.openxmlformats.org/officeDocument/2006/relationships/hyperlink" Target="https://www.lovethework.com/work/entries/lucky-yatra-747400" TargetMode="External" Id="rId16"/><Relationship Type="http://schemas.openxmlformats.org/officeDocument/2006/relationships/hyperlink" Target="https://ascentialcdn.filespin.io/api/v1/conversion/67b6df2a0fe64deeb274c91d50040c54" TargetMode="External" Id="rId17"/><Relationship Type="http://schemas.openxmlformats.org/officeDocument/2006/relationships/hyperlink" Target="https://www.lovethework.com/work/entries/price-packs-748536" TargetMode="External" Id="rId18"/><Relationship Type="http://schemas.openxmlformats.org/officeDocument/2006/relationships/hyperlink" Target="https://ascentialcdn.filespin.io/api/v1/conversion/dd37e163320440a58d69763c047eec03" TargetMode="External" Id="rId19"/><Relationship Type="http://schemas.openxmlformats.org/officeDocument/2006/relationships/hyperlink" Target="https://www.lovethework.com/work/entries/the-kimberly-price-746894" TargetMode="External" Id="rId20"/><Relationship Type="http://schemas.openxmlformats.org/officeDocument/2006/relationships/hyperlink" Target="https://ascentialcdn.filespin.io/api/v1/conversion/4ff9778738a146549164d3153acb8808" TargetMode="External" Id="rId21"/><Relationship Type="http://schemas.openxmlformats.org/officeDocument/2006/relationships/hyperlink" Target="https://www.lovethework.com/work/entries/winter-takes-on-colors-747343" TargetMode="External" Id="rId22"/><Relationship Type="http://schemas.openxmlformats.org/officeDocument/2006/relationships/hyperlink" Target="https://ascentialcdn.filespin.io/api/v1/conversion/650a86946acf45c9946d15c4d5f10c86" TargetMode="External" Id="rId23"/><Relationship Type="http://schemas.openxmlformats.org/officeDocument/2006/relationships/hyperlink" Target="https://www.lovethework.com/work/entries/855-how-to-quit-opioids-746670" TargetMode="External" Id="rId24"/><Relationship Type="http://schemas.openxmlformats.org/officeDocument/2006/relationships/hyperlink" Target="https://ascentialcdn.filespin.io/api/v1/conversion/ae51c3c9f04d452e914dba0555d8b029" TargetMode="External" Id="rId25"/><Relationship Type="http://schemas.openxmlformats.org/officeDocument/2006/relationships/hyperlink" Target="https://www.lovethework.com/work/entries/caption-with-intention-748520" TargetMode="External" Id="rId26"/><Relationship Type="http://schemas.openxmlformats.org/officeDocument/2006/relationships/hyperlink" Target="https://ascentialcdn.filespin.io/api/v1/conversion/082d90b5df624d84b427b48c82cd3dce" TargetMode="External" Id="rId27"/><Relationship Type="http://schemas.openxmlformats.org/officeDocument/2006/relationships/hyperlink" Target="https://www.lovethework.com/work/entries/clandestination-747740" TargetMode="External" Id="rId28"/><Relationship Type="http://schemas.openxmlformats.org/officeDocument/2006/relationships/hyperlink" Target="https://ascentialcdn.filespin.io/api/v1/conversion/7a3d4cfbc07f4dd9b273dbdd4d3cdd28" TargetMode="External" Id="rId29"/><Relationship Type="http://schemas.openxmlformats.org/officeDocument/2006/relationships/hyperlink" Target="https://www.lovethework.com/work/entries/drops-of-hope-747475" TargetMode="External" Id="rId30"/><Relationship Type="http://schemas.openxmlformats.org/officeDocument/2006/relationships/hyperlink" Target="https://ascentialcdn.filespin.io/api/v1/conversion/8466955db96a4c52b6813e12a8c63226" TargetMode="External" Id="rId31"/><Relationship Type="http://schemas.openxmlformats.org/officeDocument/2006/relationships/hyperlink" Target="https://www.lovethework.com/work/entries/fictional-insurance-747304" TargetMode="External" Id="rId32"/><Relationship Type="http://schemas.openxmlformats.org/officeDocument/2006/relationships/hyperlink" Target="https://ascentialcdn.filespin.io/api/v1/conversion/ab9557517f1d4976963059cf5434ae7a" TargetMode="External" Id="rId33"/><Relationship Type="http://schemas.openxmlformats.org/officeDocument/2006/relationships/hyperlink" Target="https://www.lovethework.com/work/entries/fishermen-storytellers-747530" TargetMode="External" Id="rId34"/><Relationship Type="http://schemas.openxmlformats.org/officeDocument/2006/relationships/hyperlink" Target="https://ascentialcdn.filespin.io/api/v1/conversion/afa88aa8421b41a18c68b9863bb6926c" TargetMode="External" Id="rId35"/><Relationship Type="http://schemas.openxmlformats.org/officeDocument/2006/relationships/hyperlink" Target="https://www.lovethework.com/work/entries/gulf-of-mexico-bar-748404" TargetMode="External" Id="rId36"/><Relationship Type="http://schemas.openxmlformats.org/officeDocument/2006/relationships/hyperlink" Target="https://ascentialcdn.filespin.io/api/v1/conversion/e56e744cd3594eceb82733246e9035b2" TargetMode="External" Id="rId37"/><Relationship Type="http://schemas.openxmlformats.org/officeDocument/2006/relationships/hyperlink" Target="https://www.lovethework.com/work/entries/haaland-payback-time-763780" TargetMode="External" Id="rId38"/><Relationship Type="http://schemas.openxmlformats.org/officeDocument/2006/relationships/hyperlink" Target="https://www.lovethework.com/work/entries/harmoniser-748338" TargetMode="External" Id="rId39"/><Relationship Type="http://schemas.openxmlformats.org/officeDocument/2006/relationships/hyperlink" Target="https://ascentialcdn.filespin.io/api/v1/conversion/237ade5924eb407898bf58d19f58a52a" TargetMode="External" Id="rId40"/><Relationship Type="http://schemas.openxmlformats.org/officeDocument/2006/relationships/hyperlink" Target="https://www.lovethework.com/work/entries/ikea-hidden-tags-747253" TargetMode="External" Id="rId41"/><Relationship Type="http://schemas.openxmlformats.org/officeDocument/2006/relationships/hyperlink" Target="https://ascentialcdn.filespin.io/api/v1/conversion/71112ff9b2324f9b8f9338c809483684" TargetMode="External" Id="rId42"/><Relationship Type="http://schemas.openxmlformats.org/officeDocument/2006/relationships/hyperlink" Target="https://www.lovethework.com/work/entries/lessons-of-shame-747535" TargetMode="External" Id="rId43"/><Relationship Type="http://schemas.openxmlformats.org/officeDocument/2006/relationships/hyperlink" Target="https://ascentialcdn.filespin.io/api/v1/conversion/5801ee4249af49b0aa23167f0d131de4" TargetMode="External" Id="rId44"/><Relationship Type="http://schemas.openxmlformats.org/officeDocument/2006/relationships/hyperlink" Target="https://www.lovethework.com/work/entries/life-donor-card-759456" TargetMode="External" Id="rId45"/><Relationship Type="http://schemas.openxmlformats.org/officeDocument/2006/relationships/hyperlink" Target="https://ascentialcdn.filespin.io/api/v1/conversion/60aa1888e5b6444381b060dc1801de84" TargetMode="External" Id="rId46"/><Relationship Type="http://schemas.openxmlformats.org/officeDocument/2006/relationships/hyperlink" Target="https://www.lovethework.com/work/entries/olympic-games-opening-ceremony-paris-2024-748278" TargetMode="External" Id="rId47"/><Relationship Type="http://schemas.openxmlformats.org/officeDocument/2006/relationships/hyperlink" Target="https://ascentialcdn.filespin.io/api/v1/conversion/67b6df2a0fe64deeb274c91d50040c54" TargetMode="External" Id="rId48"/><Relationship Type="http://schemas.openxmlformats.org/officeDocument/2006/relationships/hyperlink" Target="https://www.lovethework.com/work/entries/price-packs-748036" TargetMode="External" Id="rId49"/><Relationship Type="http://schemas.openxmlformats.org/officeDocument/2006/relationships/hyperlink" Target="https://ascentialcdn.filespin.io/api/v1/conversion/8a8d409a0e954a6b8f0df7b07bba8cc9" TargetMode="External" Id="rId50"/><Relationship Type="http://schemas.openxmlformats.org/officeDocument/2006/relationships/hyperlink" Target="https://www.lovethework.com/work/entries/progresso-soup-drops-747467" TargetMode="External" Id="rId51"/><Relationship Type="http://schemas.openxmlformats.org/officeDocument/2006/relationships/hyperlink" Target="https://ascentialcdn.filespin.io/api/v1/conversion/a8d4e72bb1ce47508dcea8db73d16b01" TargetMode="External" Id="rId52"/><Relationship Type="http://schemas.openxmlformats.org/officeDocument/2006/relationships/hyperlink" Target="https://www.lovethework.com/work/entries/pub-succession-747631" TargetMode="External" Id="rId53"/><Relationship Type="http://schemas.openxmlformats.org/officeDocument/2006/relationships/hyperlink" Target="https://ascentialcdn.filespin.io/api/v1/conversion/faa00cc4c0b94e1ea53f6e9be2461987" TargetMode="External" Id="rId54"/><Relationship Type="http://schemas.openxmlformats.org/officeDocument/2006/relationships/hyperlink" Target="https://www.lovethework.com/work/entries/public-money-atm-760036" TargetMode="External" Id="rId55"/><Relationship Type="http://schemas.openxmlformats.org/officeDocument/2006/relationships/hyperlink" Target="https://ascentialcdn.filespin.io/api/v1/conversion/945d141f6a13498e8ad127f4cbbf0caf" TargetMode="External" Id="rId56"/><Relationship Type="http://schemas.openxmlformats.org/officeDocument/2006/relationships/hyperlink" Target="https://www.lovethework.com/work/entries/recipe-for-change-748366" TargetMode="External" Id="rId57"/><Relationship Type="http://schemas.openxmlformats.org/officeDocument/2006/relationships/hyperlink" Target="https://ascentialcdn.filespin.io/api/v1/conversion/fcd0be35220a46cbbcee1dada7201da9" TargetMode="External" Id="rId58"/><Relationship Type="http://schemas.openxmlformats.org/officeDocument/2006/relationships/hyperlink" Target="https://www.lovethework.com/work/entries/roobadge-746668" TargetMode="External" Id="rId59"/><Relationship Type="http://schemas.openxmlformats.org/officeDocument/2006/relationships/hyperlink" Target="https://ascentialcdn.filespin.io/api/v1/conversion/3ad6c6826a8c471190e7d97b6003c486" TargetMode="External" Id="rId60"/><Relationship Type="http://schemas.openxmlformats.org/officeDocument/2006/relationships/hyperlink" Target="https://www.lovethework.com/work/entries/spreadbeats-746959" TargetMode="External" Id="rId61"/><Relationship Type="http://schemas.openxmlformats.org/officeDocument/2006/relationships/hyperlink" Target="https://ascentialcdn.filespin.io/api/v1/conversion/fb3c12787a614e6380d825b91a317ee9" TargetMode="External" Id="rId62"/><Relationship Type="http://schemas.openxmlformats.org/officeDocument/2006/relationships/hyperlink" Target="https://www.lovethework.com/work/entries/the-athletes-code-748210" TargetMode="External" Id="rId63"/><Relationship Type="http://schemas.openxmlformats.org/officeDocument/2006/relationships/hyperlink" Target="https://ascentialcdn.filespin.io/api/v1/conversion/bf4eb691b7e04919bfdbea7a218c286a" TargetMode="External" Id="rId64"/><Relationship Type="http://schemas.openxmlformats.org/officeDocument/2006/relationships/hyperlink" Target="https://www.lovethework.com/work/entries/the-kimberly-price-746828" TargetMode="External" Id="rId65"/><Relationship Type="http://schemas.openxmlformats.org/officeDocument/2006/relationships/hyperlink" Target="https://ascentialcdn.filespin.io/api/v1/conversion/dc69ba18c3b64ddfa564f09dc300d7e0" TargetMode="External" Id="rId66"/><Relationship Type="http://schemas.openxmlformats.org/officeDocument/2006/relationships/hyperlink" Target="https://www.lovethework.com/work/entries/the-kimberly-price-746828" TargetMode="External" Id="rId67"/><Relationship Type="http://schemas.openxmlformats.org/officeDocument/2006/relationships/hyperlink" Target="https://ascentialcdn.filespin.io/api/v1/conversion/837e21468aac4c1e902d0113ac141af1" TargetMode="External" Id="rId68"/><Relationship Type="http://schemas.openxmlformats.org/officeDocument/2006/relationships/hyperlink" Target="https://www.lovethework.com/work/entries/time-to-live-748191" TargetMode="External" Id="rId69"/><Relationship Type="http://schemas.openxmlformats.org/officeDocument/2006/relationships/hyperlink" Target="https://ascentialcdn.filespin.io/api/v1/conversion/a8a20a31dcb844ebad5ef04afca8370b" TargetMode="External" Id="rId70"/><Relationship Type="http://schemas.openxmlformats.org/officeDocument/2006/relationships/hyperlink" Target="https://www.lovethework.com/work/entries/acko-tailor-test-748463" TargetMode="External" Id="rId71"/><Relationship Type="http://schemas.openxmlformats.org/officeDocument/2006/relationships/hyperlink" Target="https://ascentialcdn.filespin.io/api/v1/conversion/db51bea9a01d40108f74e1fa9bd7ad3f" TargetMode="External" Id="rId72"/><Relationship Type="http://schemas.openxmlformats.org/officeDocument/2006/relationships/hyperlink" Target="https://www.lovethework.com/work/entries/airbnb-icons-747925" TargetMode="External" Id="rId73"/><Relationship Type="http://schemas.openxmlformats.org/officeDocument/2006/relationships/hyperlink" Target="https://ascentialcdn.filespin.io/api/v1/conversion/7e95f656b693443d8d4e60f0a4c9b853" TargetMode="External" Id="rId74"/><Relationship Type="http://schemas.openxmlformats.org/officeDocument/2006/relationships/hyperlink" Target="https://www.lovethework.com/work/entries/bad-luck-reverser-748147" TargetMode="External" Id="rId75"/><Relationship Type="http://schemas.openxmlformats.org/officeDocument/2006/relationships/hyperlink" Target="https://ascentialcdn.filespin.io/api/v1/conversion/68d1cb58e31142a3ad6142f7ac03f65e" TargetMode="External" Id="rId76"/><Relationship Type="http://schemas.openxmlformats.org/officeDocument/2006/relationships/hyperlink" Target="https://www.lovethework.com/work/entries/building-futures-748173" TargetMode="External" Id="rId77"/><Relationship Type="http://schemas.openxmlformats.org/officeDocument/2006/relationships/hyperlink" Target="https://ascentialcdn.filespin.io/api/v1/conversion/abab04c347304d2a9a3b75bd9d3a0a79" TargetMode="External" Id="rId78"/><Relationship Type="http://schemas.openxmlformats.org/officeDocument/2006/relationships/hyperlink" Target="https://www.lovethework.com/work/entries/camdom-746733" TargetMode="External" Id="rId79"/><Relationship Type="http://schemas.openxmlformats.org/officeDocument/2006/relationships/hyperlink" Target="https://ascentialcdn.filespin.io/api/v1/conversion/d5e8778a86514f2bb1586343132de626" TargetMode="External" Id="rId80"/><Relationship Type="http://schemas.openxmlformats.org/officeDocument/2006/relationships/hyperlink" Target="https://www.lovethework.com/work/entries/caption-with-intention-748489" TargetMode="External" Id="rId81"/><Relationship Type="http://schemas.openxmlformats.org/officeDocument/2006/relationships/hyperlink" Target="https://ascentialcdn.filespin.io/api/v1/conversion/063b28ff666842b6ba0f2b6972cdd489" TargetMode="External" Id="rId82"/><Relationship Type="http://schemas.openxmlformats.org/officeDocument/2006/relationships/hyperlink" Target="https://www.lovethework.com/work/entries/certified-toasters-747325" TargetMode="External" Id="rId83"/><Relationship Type="http://schemas.openxmlformats.org/officeDocument/2006/relationships/hyperlink" Target="https://ascentialcdn.filespin.io/api/v1/conversion/fd2b448479ca41b7aa08b7d8a4bd8749" TargetMode="External" Id="rId84"/><Relationship Type="http://schemas.openxmlformats.org/officeDocument/2006/relationships/hyperlink" Target="https://www.lovethework.com/work/entries/choose-uber-759808" TargetMode="External" Id="rId85"/><Relationship Type="http://schemas.openxmlformats.org/officeDocument/2006/relationships/hyperlink" Target="https://ascentialcdn.filespin.io/api/v1/conversion/da2a035ff121404d908607d3ef09dfd2" TargetMode="External" Id="rId86"/><Relationship Type="http://schemas.openxmlformats.org/officeDocument/2006/relationships/hyperlink" Target="https://www.lovethework.com/work/entries/coupon-rain-747356" TargetMode="External" Id="rId87"/><Relationship Type="http://schemas.openxmlformats.org/officeDocument/2006/relationships/hyperlink" Target="https://ascentialcdn.filespin.io/api/v1/conversion/423282a302ed4fe187b1a0b7b5eb8284" TargetMode="External" Id="rId88"/><Relationship Type="http://schemas.openxmlformats.org/officeDocument/2006/relationships/hyperlink" Target="https://www.lovethework.com/work/entries/eye-test-menu-747656" TargetMode="External" Id="rId89"/><Relationship Type="http://schemas.openxmlformats.org/officeDocument/2006/relationships/hyperlink" Target="https://ascentialcdn.filespin.io/api/v1/conversion/3f6078e96a9a4e17acada7c2ad04d652" TargetMode="External" Id="rId90"/><Relationship Type="http://schemas.openxmlformats.org/officeDocument/2006/relationships/hyperlink" Target="https://www.lovethework.com/work/entries/followers-store-747160" TargetMode="External" Id="rId91"/><Relationship Type="http://schemas.openxmlformats.org/officeDocument/2006/relationships/hyperlink" Target="https://ascentialcdn.filespin.io/api/v1/conversion/8e35da4f41d24cfba9b2b339c1dd1325" TargetMode="External" Id="rId92"/><Relationship Type="http://schemas.openxmlformats.org/officeDocument/2006/relationships/hyperlink" Target="https://www.lovethework.com/work/entries/hagelchup-761247" TargetMode="External" Id="rId93"/><Relationship Type="http://schemas.openxmlformats.org/officeDocument/2006/relationships/hyperlink" Target="https://www.lovethework.com/work/entries/harmoniser-746769" TargetMode="External" Id="rId94"/><Relationship Type="http://schemas.openxmlformats.org/officeDocument/2006/relationships/hyperlink" Target="https://ascentialcdn.filespin.io/api/v1/conversion/f6e7f0cb16774f6cb600e22c0c3bdfde" TargetMode="External" Id="rId95"/><Relationship Type="http://schemas.openxmlformats.org/officeDocument/2006/relationships/hyperlink" Target="https://www.lovethework.com/work/entries/lap-of-legends-759515" TargetMode="External" Id="rId96"/><Relationship Type="http://schemas.openxmlformats.org/officeDocument/2006/relationships/hyperlink" Target="https://ascentialcdn.filespin.io/api/v1/conversion/ea3dd481097345ee8090654d39e8e874" TargetMode="External" Id="rId97"/><Relationship Type="http://schemas.openxmlformats.org/officeDocument/2006/relationships/hyperlink" Target="https://www.lovethework.com/work/entries/lynx-with-catnip-747829" TargetMode="External" Id="rId98"/><Relationship Type="http://schemas.openxmlformats.org/officeDocument/2006/relationships/hyperlink" Target="https://ascentialcdn.filespin.io/api/v1/conversion/ad05d5ee96d64b4bbff51d2ad0b8ea59" TargetMode="External" Id="rId99"/><Relationship Type="http://schemas.openxmlformats.org/officeDocument/2006/relationships/hyperlink" Target="https://www.lovethework.com/work/entries/mommyphone-746686" TargetMode="External" Id="rId100"/><Relationship Type="http://schemas.openxmlformats.org/officeDocument/2006/relationships/hyperlink" Target="https://ascentialcdn.filespin.io/api/v1/conversion/c26e38ccd1ea4f2eae3e55a7d0c74a7c" TargetMode="External" Id="rId101"/><Relationship Type="http://schemas.openxmlformats.org/officeDocument/2006/relationships/hyperlink" Target="https://www.lovethework.com/work/entries/other-hand-746730" TargetMode="External" Id="rId102"/><Relationship Type="http://schemas.openxmlformats.org/officeDocument/2006/relationships/hyperlink" Target="https://ascentialcdn.filespin.io/api/v1/conversion/5fbcea0cb26e47f685f6856daa7051fb" TargetMode="External" Id="rId103"/><Relationship Type="http://schemas.openxmlformats.org/officeDocument/2006/relationships/hyperlink" Target="https://www.lovethework.com/work/entries/other-hand-746730" TargetMode="External" Id="rId104"/><Relationship Type="http://schemas.openxmlformats.org/officeDocument/2006/relationships/hyperlink" Target="https://ascentialcdn.filespin.io/api/v1/conversion/32ef7021bdbd4c4392fa51fb240d45e6" TargetMode="External" Id="rId105"/><Relationship Type="http://schemas.openxmlformats.org/officeDocument/2006/relationships/hyperlink" Target="https://www.lovethework.com/work/entries/prize-on-the-bone-747788" TargetMode="External" Id="rId106"/><Relationship Type="http://schemas.openxmlformats.org/officeDocument/2006/relationships/hyperlink" Target="https://ascentialcdn.filespin.io/api/v1/conversion/acbb86d466734cc4890607c8d8d33696" TargetMode="External" Id="rId107"/><Relationship Type="http://schemas.openxmlformats.org/officeDocument/2006/relationships/hyperlink" Target="https://www.lovethework.com/work/entries/report-this-ad-747650" TargetMode="External" Id="rId108"/><Relationship Type="http://schemas.openxmlformats.org/officeDocument/2006/relationships/hyperlink" Target="https://ascentialcdn.filespin.io/api/v1/conversion/17be9285972743a1b234168fb6440ddb" TargetMode="External" Id="rId109"/><Relationship Type="http://schemas.openxmlformats.org/officeDocument/2006/relationships/hyperlink" Target="https://www.lovethework.com/work/entries/returning-creativity-747841" TargetMode="External" Id="rId110"/><Relationship Type="http://schemas.openxmlformats.org/officeDocument/2006/relationships/hyperlink" Target="https://ascentialcdn.filespin.io/api/v1/conversion/6823017bae93485e8872b6f02baedf4b" TargetMode="External" Id="rId111"/><Relationship Type="http://schemas.openxmlformats.org/officeDocument/2006/relationships/hyperlink" Target="https://www.lovethework.com/work/entries/shades-of-red-748102" TargetMode="External" Id="rId112"/><Relationship Type="http://schemas.openxmlformats.org/officeDocument/2006/relationships/hyperlink" Target="https://ascentialcdn.filespin.io/api/v1/conversion/a542046c9e4a4704b0c1f7f075a95f4c" TargetMode="External" Id="rId113"/><Relationship Type="http://schemas.openxmlformats.org/officeDocument/2006/relationships/hyperlink" Target="https://www.lovethework.com/work/entries/sights-of-tomorrow-748200" TargetMode="External" Id="rId114"/><Relationship Type="http://schemas.openxmlformats.org/officeDocument/2006/relationships/hyperlink" Target="https://ascentialcdn.filespin.io/api/v1/conversion/325a5a7b867c43a7a400829c3a94a862" TargetMode="External" Id="rId115"/><Relationship Type="http://schemas.openxmlformats.org/officeDocument/2006/relationships/hyperlink" Target="https://www.lovethework.com/work/entries/supportbelt-746697" TargetMode="External" Id="rId116"/><Relationship Type="http://schemas.openxmlformats.org/officeDocument/2006/relationships/hyperlink" Target="https://ascentialcdn.filespin.io/api/v1/conversion/e2d391a076394851ad0376152ece61bb" TargetMode="External" Id="rId117"/><Relationship Type="http://schemas.openxmlformats.org/officeDocument/2006/relationships/hyperlink" Target="https://www.lovethework.com/work/entries/thanks-for-coke-creating-748058" TargetMode="External" Id="rId118"/><Relationship Type="http://schemas.openxmlformats.org/officeDocument/2006/relationships/hyperlink" Target="https://ascentialcdn.filespin.io/api/v1/conversion/fb3c12787a614e6380d825b91a317ee9" TargetMode="External" Id="rId119"/><Relationship Type="http://schemas.openxmlformats.org/officeDocument/2006/relationships/hyperlink" Target="https://www.lovethework.com/work/entries/the-athletes-code-747839" TargetMode="External" Id="rId120"/><Relationship Type="http://schemas.openxmlformats.org/officeDocument/2006/relationships/hyperlink" Target="https://ascentialcdn.filespin.io/api/v1/conversion/ccce75b37e6345528c0db780024c9818" TargetMode="External" Id="rId121"/><Relationship Type="http://schemas.openxmlformats.org/officeDocument/2006/relationships/hyperlink" Target="https://www.lovethework.com/work/entries/the-final-exam-761168" TargetMode="External" Id="rId122"/><Relationship Type="http://schemas.openxmlformats.org/officeDocument/2006/relationships/hyperlink" Target="https://ascentialcdn.filespin.io/api/v1/conversion/309901ab87bb4eabaa1bae30d983f38c" TargetMode="External" Id="rId123"/><Relationship Type="http://schemas.openxmlformats.org/officeDocument/2006/relationships/hyperlink" Target="https://www.lovethework.com/work/entries/the-flame-that-wasnt-a-flame-747506" TargetMode="External" Id="rId124"/><Relationship Type="http://schemas.openxmlformats.org/officeDocument/2006/relationships/hyperlink" Target="https://ascentialcdn.filespin.io/api/v1/conversion/5e2b835a636345e0a9110a3076d31dca" TargetMode="External" Id="rId125"/><Relationship Type="http://schemas.openxmlformats.org/officeDocument/2006/relationships/hyperlink" Target="https://www.lovethework.com/work/entries/the-meal-748307" TargetMode="External" Id="rId126"/><Relationship Type="http://schemas.openxmlformats.org/officeDocument/2006/relationships/hyperlink" Target="https://ascentialcdn.filespin.io/api/v1/conversion/a8b9edfd44de47b893b950770030cf54" TargetMode="External" Id="rId127"/><Relationship Type="http://schemas.openxmlformats.org/officeDocument/2006/relationships/hyperlink" Target="https://www.lovethework.com/work/entries/the-parental-leave-mortgage-747202" TargetMode="External" Id="rId128"/><Relationship Type="http://schemas.openxmlformats.org/officeDocument/2006/relationships/hyperlink" Target="https://ascentialcdn.filespin.io/api/v1/conversion/eb0ad333e56946e5a9a52aed1980943d" TargetMode="External" Id="rId129"/><Relationship Type="http://schemas.openxmlformats.org/officeDocument/2006/relationships/hyperlink" Target="https://www.lovethework.com/work/entries/the-social-feed-746763" TargetMode="External" Id="rId130"/><Relationship Type="http://schemas.openxmlformats.org/officeDocument/2006/relationships/hyperlink" Target="https://ascentialcdn.filespin.io/api/v1/conversion/24a4ad960f3c4ac8a1a86823848e8d17" TargetMode="External" Id="rId131"/><Relationship Type="http://schemas.openxmlformats.org/officeDocument/2006/relationships/hyperlink" Target="https://www.lovethework.com/work/entries/worst-childrens-library-748079" TargetMode="External" Id="rId132"/><Relationship Type="http://schemas.openxmlformats.org/officeDocument/2006/relationships/hyperlink" Target="https://ascentialcdn.filespin.io/api/v1/conversion/bf27011e79f94826a41c286a1bbd22d5" TargetMode="External" Id="rId133"/><Relationship Type="http://schemas.openxmlformats.org/officeDocument/2006/relationships/hyperlink" Target="https://ascentialcdn.filespin.io/api/v1/conversion/27b40207d1994a2d89f4f84f56afde91" TargetMode="External" Id="rId134"/><Relationship Type="http://schemas.openxmlformats.org/officeDocument/2006/relationships/hyperlink" Target="https://ascentialcdn.filespin.io/api/v1/conversion/1d46e6542c474e14a830761bec4b045a" TargetMode="External" Id="rId135"/><Relationship Type="http://schemas.openxmlformats.org/officeDocument/2006/relationships/hyperlink" Target="https://ascentialcdn.filespin.io/api/v1/conversion/0c49c9d60a944a37add314890bbff7bb" TargetMode="External" Id="rId136"/><Relationship Type="http://schemas.openxmlformats.org/officeDocument/2006/relationships/hyperlink" Target="https://ascentialcdn.filespin.io/api/v1/conversion/cba776a1ce8442c7b1ce665e336e758e" TargetMode="External" Id="rId137"/><Relationship Type="http://schemas.openxmlformats.org/officeDocument/2006/relationships/hyperlink" Target="https://ascentialcdn.filespin.io/api/v1/conversion/4be82aa0a3cf460fbb7f0872b0609115" TargetMode="External" Id="rId138"/><Relationship Type="http://schemas.openxmlformats.org/officeDocument/2006/relationships/hyperlink" Target="https://ascentialcdn.filespin.io/api/v1/conversion/f34bbf1c3b224a62a7b93946bce31756" TargetMode="External" Id="rId139"/><Relationship Type="http://schemas.openxmlformats.org/officeDocument/2006/relationships/hyperlink" Target="https://ascentialcdn.filespin.io/api/v1/conversion/325cbd01df444a49a6a09ac2bc5dd3fa" TargetMode="External" Id="rId140"/><Relationship Type="http://schemas.openxmlformats.org/officeDocument/2006/relationships/hyperlink" Target="https://ascentialcdn.filespin.io/api/v1/conversion/bbd54e3aeb9a442188d16599a29d25a5" TargetMode="External" Id="rId141"/><Relationship Type="http://schemas.openxmlformats.org/officeDocument/2006/relationships/hyperlink" Target="https://ascentialcdn.filespin.io/api/v1/conversion/bbd54e3aeb9a442188d16599a29d25a5" TargetMode="External" Id="rId142"/><Relationship Type="http://schemas.openxmlformats.org/officeDocument/2006/relationships/hyperlink" Target="https://www.lovethework.com/work/entries/welcome-back-paisano-780437" TargetMode="External" Id="rId143"/><Relationship Type="http://schemas.openxmlformats.org/officeDocument/2006/relationships/hyperlink" Target="https://ascentialcdn.filespin.io/api/v1/conversion/0c51e833b78d477caad558bb2c0cb906" TargetMode="External" Id="rId144"/><Relationship Type="http://schemas.openxmlformats.org/officeDocument/2006/relationships/hyperlink" Target="https://www.lovethework.com/work/entries/build-your-own-super-bowl-commercial-780476" TargetMode="External" Id="rId145"/><Relationship Type="http://schemas.openxmlformats.org/officeDocument/2006/relationships/hyperlink" Target="https://ascentialcdn.filespin.io/api/v1/conversion/77cfcfb8b3214196bb50aae00975065b" TargetMode="External" Id="rId146"/><Relationship Type="http://schemas.openxmlformats.org/officeDocument/2006/relationships/hyperlink" Target="https://www.lovethework.com/work/entries/haven-780371" TargetMode="External" Id="rId147"/><Relationship Type="http://schemas.openxmlformats.org/officeDocument/2006/relationships/hyperlink" Target="https://ascentialcdn.filespin.io/api/v1/conversion/1d46e6542c474e14a830761bec4b045a" TargetMode="External" Id="rId148"/><Relationship Type="http://schemas.openxmlformats.org/officeDocument/2006/relationships/hyperlink" Target="https://www.lovethework.com/work/entries/sos-pos-780378" TargetMode="External" Id="rId149"/><Relationship Type="http://schemas.openxmlformats.org/officeDocument/2006/relationships/hyperlink" Target="https://ascentialcdn.filespin.io/api/v1/conversion/c057e510b6e64470ba23c5901821e348" TargetMode="External" Id="rId150"/><Relationship Type="http://schemas.openxmlformats.org/officeDocument/2006/relationships/hyperlink" Target="https://www.lovethework.com/work/entries/no-frame-missed-777243" TargetMode="External" Id="rId151"/><Relationship Type="http://schemas.openxmlformats.org/officeDocument/2006/relationships/hyperlink" Target="https://ascentialcdn.filespin.io/api/v1/conversion/3e59ad3ef8694b63bc7bfb791b7bd884" TargetMode="External" Id="rId152"/><Relationship Type="http://schemas.openxmlformats.org/officeDocument/2006/relationships/hyperlink" Target="https://www.lovethework.com/work/entries/dove-real-reviews-780305" TargetMode="External" Id="rId153"/><Relationship Type="http://schemas.openxmlformats.org/officeDocument/2006/relationships/hyperlink" Target="https://ascentialcdn.filespin.io/api/v1/conversion/718674adf3534322b643122934609a64" TargetMode="External" Id="rId154"/><Relationship Type="http://schemas.openxmlformats.org/officeDocument/2006/relationships/hyperlink" Target="https://www.lovethework.com/work/entries/the-thousand-sponsors-of-muni-780401" TargetMode="External" Id="rId155"/><Relationship Type="http://schemas.openxmlformats.org/officeDocument/2006/relationships/hyperlink" Target="https://ascentialcdn.filespin.io/api/v1/conversion/891e92ac22304d769b6599ffa9bc2de6" TargetMode="External" Id="rId156"/><Relationship Type="http://schemas.openxmlformats.org/officeDocument/2006/relationships/hyperlink" Target="https://www.lovethework.com/work/entries/the-filet-o-fish-facebook-society-of-2012-780395" TargetMode="External" Id="rId157"/><Relationship Type="http://schemas.openxmlformats.org/officeDocument/2006/relationships/hyperlink" Target="https://ascentialcdn.filespin.io/api/v1/conversion/4be82aa0a3cf460fbb7f0872b0609115" TargetMode="External" Id="rId158"/><Relationship Type="http://schemas.openxmlformats.org/officeDocument/2006/relationships/hyperlink" Target="https://www.lovethework.com/work/entries/kyle-fcking-connor-780441" TargetMode="External" Id="rId159"/><Relationship Type="http://schemas.openxmlformats.org/officeDocument/2006/relationships/hyperlink" Target="https://ascentialcdn.filespin.io/api/v1/conversion/f34bbf1c3b224a62a7b93946bce31756" TargetMode="External" Id="rId160"/><Relationship Type="http://schemas.openxmlformats.org/officeDocument/2006/relationships/hyperlink" Target="https://www.lovethework.com/work/entries/oreo-cows-780004" TargetMode="External" Id="rId161"/><Relationship Type="http://schemas.openxmlformats.org/officeDocument/2006/relationships/hyperlink" Target="https://ascentialcdn.filespin.io/api/v1/conversion/a18e0916d3454cea801962b1c26619dc" TargetMode="External" Id="rId162"/><Relationship Type="http://schemas.openxmlformats.org/officeDocument/2006/relationships/hyperlink" Target="https://www.lovethework.com/work/entries/the-last-coke-in-the-desert-783279" TargetMode="External" Id="rId163"/><Relationship Type="http://schemas.openxmlformats.org/officeDocument/2006/relationships/hyperlink" Target="https://ascentialcdn.filespin.io/api/v1/conversion/f94212ccbc4f4a5bb5d68cee89cab74d" TargetMode="External" Id="rId164"/><Relationship Type="http://schemas.openxmlformats.org/officeDocument/2006/relationships/hyperlink" Target="https://www.lovethework.com/work/entries/tocayos-780497" TargetMode="External" Id="rId165"/><Relationship Type="http://schemas.openxmlformats.org/officeDocument/2006/relationships/hyperlink" Target="https://ascentialcdn.filespin.io/api/v1/conversion/cba776a1ce8442c7b1ce665e336e758e" TargetMode="External" Id="rId166"/><Relationship Type="http://schemas.openxmlformats.org/officeDocument/2006/relationships/hyperlink" Target="https://www.lovethework.com/work/entries/cif-clean-my-name-780337" TargetMode="External" Id="rId167"/><Relationship Type="http://schemas.openxmlformats.org/officeDocument/2006/relationships/hyperlink" Target="https://ascentialcdn.filespin.io/api/v1/conversion/98fac48b166544d9afbedba9cb5fff27" TargetMode="External" Id="rId168"/><Relationship Type="http://schemas.openxmlformats.org/officeDocument/2006/relationships/hyperlink" Target="https://www.lovethework.com/work/entries/santa-maria-pueblo-hotel-780421" TargetMode="External" Id="rId169"/><Relationship Type="http://schemas.openxmlformats.org/officeDocument/2006/relationships/hyperlink" Target="https://ascentialcdn.filespin.io/api/v1/conversion/b4ddfa7e0c144cea9fbdfa33ec8c46ad" TargetMode="External" Id="rId170"/><Relationship Type="http://schemas.openxmlformats.org/officeDocument/2006/relationships/hyperlink" Target="https://www.lovethework.com/work/entries/heinz-dipper-780384" TargetMode="External" Id="rId171"/><Relationship Type="http://schemas.openxmlformats.org/officeDocument/2006/relationships/hyperlink" Target="https://ascentialcdn.filespin.io/api/v1/conversion/c7e2a25c44654c5caa84d82a88ea3c20" TargetMode="External" Id="rId172"/><Relationship Type="http://schemas.openxmlformats.org/officeDocument/2006/relationships/hyperlink" Target="https://www.lovethework.com/work/entries/chupa-chups-impossible-780480" TargetMode="External" Id="rId173"/><Relationship Type="http://schemas.openxmlformats.org/officeDocument/2006/relationships/hyperlink" Target="https://ascentialcdn.filespin.io/api/v1/conversion/98fac48b166544d9afbedba9cb5fff27" TargetMode="External" Id="rId174"/><Relationship Type="http://schemas.openxmlformats.org/officeDocument/2006/relationships/hyperlink" Target="https://www.lovethework.com/work/entries/santa-maria-pueblo-hotel-780389" TargetMode="External" Id="rId175"/><Relationship Type="http://schemas.openxmlformats.org/officeDocument/2006/relationships/hyperlink" Target="https://ascentialcdn.filespin.io/api/v1/conversion/824e93f2fb454ac78510e8a0096fad53" TargetMode="External" Id="rId176"/><Relationship Type="http://schemas.openxmlformats.org/officeDocument/2006/relationships/hyperlink" Target="https://www.lovethework.com/work/entries/firecatchers-780399" TargetMode="External" Id="rId177"/><Relationship Type="http://schemas.openxmlformats.org/officeDocument/2006/relationships/hyperlink" Target="https://ascentialcdn.filespin.io/api/v1/conversion/27b40207d1994a2d89f4f84f56afde91" TargetMode="External" Id="rId178"/><Relationship Type="http://schemas.openxmlformats.org/officeDocument/2006/relationships/hyperlink" Target="https://www.lovethework.com/work/entries/expensive-sht-783055" TargetMode="External" Id="rId179"/><Relationship Type="http://schemas.openxmlformats.org/officeDocument/2006/relationships/hyperlink" Target="https://ascentialcdn.filespin.io/api/v1/conversion/325cbd01df444a49a6a09ac2bc5dd3fa" TargetMode="External" Id="rId180"/><Relationship Type="http://schemas.openxmlformats.org/officeDocument/2006/relationships/hyperlink" Target="https://www.lovethework.com/work/entries/could-have-been-a-heineken-780307" TargetMode="External" Id="rId181"/><Relationship Type="http://schemas.openxmlformats.org/officeDocument/2006/relationships/hyperlink" Target="https://ascentialcdn.filespin.io/api/v1/conversion/46b16825f96a4c4dbcbcf9f0bdcea78b" TargetMode="External" Id="rId182"/><Relationship Type="http://schemas.openxmlformats.org/officeDocument/2006/relationships/hyperlink" Target="https://www.lovethework.com/work/entries/ikea-preownedsecond-hand-marketplace-780316" TargetMode="External" Id="rId183"/><Relationship Type="http://schemas.openxmlformats.org/officeDocument/2006/relationships/hyperlink" Target="https://ascentialcdn.filespin.io/api/v1/conversion/6c7de793b80f44288aa9f1b993cdbd5f" TargetMode="External" Id="rId184"/><Relationship Type="http://schemas.openxmlformats.org/officeDocument/2006/relationships/hyperlink" Target="https://www.lovethework.com/work/entries/gaming-flute-780518" TargetMode="External" Id="rId185"/><Relationship Type="http://schemas.openxmlformats.org/officeDocument/2006/relationships/hyperlink" Target="https://ascentialcdn.filespin.io/api/v1/conversion/be9bdaaa10594245a416ed1ba288e3f7" TargetMode="External" Id="rId186"/><Relationship Type="http://schemas.openxmlformats.org/officeDocument/2006/relationships/hyperlink" Target="https://www.lovethework.com/work/entries/the-shakespeare-bic-777603" TargetMode="External" Id="rId187"/><Relationship Type="http://schemas.openxmlformats.org/officeDocument/2006/relationships/hyperlink" Target="https://ascentialcdn.filespin.io/api/v1/conversion/69614d6489d54169b37f9d4f29af9ce2" TargetMode="External" Id="rId188"/><Relationship Type="http://schemas.openxmlformats.org/officeDocument/2006/relationships/hyperlink" Target="https://www.lovethework.com/work/entries/lime-guides-780368" TargetMode="External" Id="rId189"/><Relationship Type="http://schemas.openxmlformats.org/officeDocument/2006/relationships/hyperlink" Target="https://ascentialcdn.filespin.io/api/v1/conversion/e3798dc24e4f4692825234cfef776834" TargetMode="External" Id="rId190"/><Relationship Type="http://schemas.openxmlformats.org/officeDocument/2006/relationships/hyperlink" Target="https://www.lovethework.com/work/entries/sheep-happens-783111" TargetMode="External" Id="rId191"/><Relationship Type="http://schemas.openxmlformats.org/officeDocument/2006/relationships/hyperlink" Target="https://ascentialcdn.filespin.io/api/v1/conversion/a73220337dcc45fb885d095bdf30e296" TargetMode="External" Id="rId192"/><Relationship Type="http://schemas.openxmlformats.org/officeDocument/2006/relationships/hyperlink" Target="https://www.lovethework.com/work/entries/cancer-prevention-discounts-780347" TargetMode="External" Id="rId193"/><Relationship Type="http://schemas.openxmlformats.org/officeDocument/2006/relationships/hyperlink" Target="https://ascentialcdn.filespin.io/api/v1/conversion/9146612da3c1423f93ec636912868671" TargetMode="External" Id="rId194"/><Relationship Type="http://schemas.openxmlformats.org/officeDocument/2006/relationships/hyperlink" Target="https://www.lovethework.com/work/entries/the-big-redemption-780451" TargetMode="External" Id="rId195"/><Relationship Type="http://schemas.openxmlformats.org/officeDocument/2006/relationships/hyperlink" Target="https://ascentialcdn.filespin.io/api/v1/conversion/35bdd48937ce43268f12d55e442a5e18" TargetMode="External" Id="rId196"/><Relationship Type="http://schemas.openxmlformats.org/officeDocument/2006/relationships/hyperlink" Target="https://www.lovethework.com/work/entries/run-back-the-miracle-780415" TargetMode="External" Id="rId197"/><Relationship Type="http://schemas.openxmlformats.org/officeDocument/2006/relationships/hyperlink" Target="https://ascentialcdn.filespin.io/api/v1/conversion/46f64d59f4604dc6950738c6b5f5d7c6" TargetMode="External" Id="rId198"/><Relationship Type="http://schemas.openxmlformats.org/officeDocument/2006/relationships/hyperlink" Target="https://www.lovethework.com/work/entries/kitkat-security-detail-780502" TargetMode="External" Id="rId199"/><Relationship Type="http://schemas.openxmlformats.org/officeDocument/2006/relationships/hyperlink" Target="https://ascentialcdn.filespin.io/api/v1/conversion/e9b35c24142344298e846c3bb52c0595" TargetMode="External" Id="rId200"/><Relationship Type="http://schemas.openxmlformats.org/officeDocument/2006/relationships/hyperlink" Target="https://www.lovethework.com/work/entries/you-must-love-coke-780387" TargetMode="External" Id="rId201"/><Relationship Type="http://schemas.openxmlformats.org/officeDocument/2006/relationships/hyperlink" Target="https://ascentialcdn.filespin.io/api/v1/conversion/c7e2a25c44654c5caa84d82a88ea3c20" TargetMode="External" Id="rId202"/><Relationship Type="http://schemas.openxmlformats.org/officeDocument/2006/relationships/hyperlink" Target="https://www.lovethework.com/work/entries/chupa-chups-impossible-780520" TargetMode="External" Id="rId203"/><Relationship Type="http://schemas.openxmlformats.org/officeDocument/2006/relationships/hyperlink" Target="https://ascentialcdn.filespin.io/api/v1/conversion/77bffa760b15400e800358031e0ed3d6" TargetMode="External" Id="rId204"/><Relationship Type="http://schemas.openxmlformats.org/officeDocument/2006/relationships/hyperlink" Target="https://www.lovethework.com/work/entries/pedigree-caramelo-780454" TargetMode="External" Id="rId205"/><Relationship Type="http://schemas.openxmlformats.org/officeDocument/2006/relationships/hyperlink" Target="https://ascentialcdn.filespin.io/api/v1/conversion/777fe8eeed3c422e8104f740b80e70ae" TargetMode="External" Id="rId206"/><Relationship Type="http://schemas.openxmlformats.org/officeDocument/2006/relationships/hyperlink" Target="https://www.lovethework.com/work/entries/vaseline-and-the-real-nigerian-prince-779883" TargetMode="External" Id="rId207"/><Relationship Type="http://schemas.openxmlformats.org/officeDocument/2006/relationships/hyperlink" Target="https://ascentialcdn.filespin.io/api/v1/conversion/d518c0d44f4f4714951034695553bd7b" TargetMode="External" Id="rId208"/><Relationship Type="http://schemas.openxmlformats.org/officeDocument/2006/relationships/hyperlink" Target="https://www.lovethework.com/work/entries/vaseline-verified-780330" TargetMode="External" Id="rId209"/><Relationship Type="http://schemas.openxmlformats.org/officeDocument/2006/relationships/hyperlink" Target="https://ascentialcdn.filespin.io/api/v1/conversion/bf27011e79f94826a41c286a1bbd22d5" TargetMode="External" Id="rId210"/><Relationship Type="http://schemas.openxmlformats.org/officeDocument/2006/relationships/hyperlink" Target="https://www.lovethework.com/work/entries/expedition-impossible-776498" TargetMode="External" Id="rId211"/><Relationship Type="http://schemas.openxmlformats.org/officeDocument/2006/relationships/hyperlink" Target="https://ascentialcdn.filespin.io/api/v1/conversion/718674adf3534322b643122934609a64" TargetMode="External" Id="rId212"/><Relationship Type="http://schemas.openxmlformats.org/officeDocument/2006/relationships/hyperlink" Target="https://www.lovethework.com/work/entries/the-thousand-sponsors-of-muni-780397" TargetMode="External" Id="rId213"/><Relationship Type="http://schemas.openxmlformats.org/officeDocument/2006/relationships/hyperlink" Target="https://ascentialcdn.filespin.io/api/v1/conversion/62728405f3e6468bb74f06f22747e4e1" TargetMode="External" Id="rId214"/><Relationship Type="http://schemas.openxmlformats.org/officeDocument/2006/relationships/hyperlink" Target="https://www.lovethework.com/work/entries/hear-in-hijab-780456" TargetMode="External" Id="rId215"/><Relationship Type="http://schemas.openxmlformats.org/officeDocument/2006/relationships/hyperlink" Target="https://ascentialcdn.filespin.io/api/v1/conversion/1709928304da45eb95b6483c496484be" TargetMode="External" Id="rId216"/><Relationship Type="http://schemas.openxmlformats.org/officeDocument/2006/relationships/hyperlink" Target="https://www.lovethework.com/work/entries/the-period-uniform-780440" TargetMode="External" Id="rId217"/></Relationships>
</file>

<file path=xl/worksheets/_rels/sheet22.xml.rels><Relationships xmlns="http://schemas.openxmlformats.org/package/2006/relationships"><Relationship Type="http://schemas.openxmlformats.org/officeDocument/2006/relationships/hyperlink" Target="https://www.lovethework.com/work/entries/axa-three-words-757718" TargetMode="External" Id="rId1"/><Relationship Type="http://schemas.openxmlformats.org/officeDocument/2006/relationships/hyperlink" Target="https://www.lovethework.com/work/entries/lucky-yatra-757794" TargetMode="External" Id="rId2"/><Relationship Type="http://schemas.openxmlformats.org/officeDocument/2006/relationships/hyperlink" Target="https://www.lovethework.com/work/entries/building-a-more-resilient-australia-757856" TargetMode="External" Id="rId3"/><Relationship Type="http://schemas.openxmlformats.org/officeDocument/2006/relationships/hyperlink" Target="https://ascentialcdn.filespin.io/api/v1/storyboard/f4d05b0940354e91afbb9acbfc09d056/storyboard_000008.jpg" TargetMode="External" Id="rId4"/><Relationship Type="http://schemas.openxmlformats.org/officeDocument/2006/relationships/hyperlink" Target="https://www.lovethework.com/work/entries/renault-long-term-757900" TargetMode="External" Id="rId5"/><Relationship Type="http://schemas.openxmlformats.org/officeDocument/2006/relationships/hyperlink" Target="https://www.lovethework.com/work/entries/recipe-for-growth-757609" TargetMode="External" Id="rId6"/><Relationship Type="http://schemas.openxmlformats.org/officeDocument/2006/relationships/hyperlink" Target="https://www.lovethework.com/work/entries/its-a-cheetos-thing-765189" TargetMode="External" Id="rId7"/><Relationship Type="http://schemas.openxmlformats.org/officeDocument/2006/relationships/hyperlink" Target="https://ascentialcdn.filespin.io/api/v1/conversion/9d89a2d0441e4f1498beb7e41712ebbf" TargetMode="External" Id="rId8"/><Relationship Type="http://schemas.openxmlformats.org/officeDocument/2006/relationships/hyperlink" Target="https://www.lovethework.com/work/entries/backing-the-bars-762510" TargetMode="External" Id="rId9"/></Relationships>
</file>

<file path=xl/worksheets/_rels/sheet23.xml.rels><Relationships xmlns="http://schemas.openxmlformats.org/package/2006/relationships"><Relationship Type="http://schemas.openxmlformats.org/officeDocument/2006/relationships/hyperlink" Target="https://ascentialcdn.filespin.io/api/v1/conversion/8223f25b769b40e3b665c4ec19e2e12c" TargetMode="External" Id="rId1"/><Relationship Type="http://schemas.openxmlformats.org/officeDocument/2006/relationships/hyperlink" Target="https://www.lovethework.com/work/entries/preserved-promos-756451" TargetMode="External" Id="rId2"/><Relationship Type="http://schemas.openxmlformats.org/officeDocument/2006/relationships/hyperlink" Target="https://ascentialcdn.filespin.io/api/v1/conversion/06ac79ad1b9840bdb3df3269a42d0933" TargetMode="External" Id="rId3"/><Relationship Type="http://schemas.openxmlformats.org/officeDocument/2006/relationships/hyperlink" Target="https://www.lovethework.com/work/entries/recipe-for-growth-756123" TargetMode="External" Id="rId4"/><Relationship Type="http://schemas.openxmlformats.org/officeDocument/2006/relationships/hyperlink" Target="https://ascentialcdn.filespin.io/api/v1/conversion/b1a090f7c816487f8dcee01d4c656df9" TargetMode="External" Id="rId5"/><Relationship Type="http://schemas.openxmlformats.org/officeDocument/2006/relationships/hyperlink" Target="https://www.lovethework.com/work/entries/sad-kama-chan-756446" TargetMode="External" Id="rId6"/><Relationship Type="http://schemas.openxmlformats.org/officeDocument/2006/relationships/hyperlink" Target="https://ascentialcdn.filespin.io/api/v1/conversion/81cf5ad6f9074f6589edcf4736a3552b" TargetMode="External" Id="rId7"/><Relationship Type="http://schemas.openxmlformats.org/officeDocument/2006/relationships/hyperlink" Target="https://www.lovethework.com/work/entries/lucky-yatra-756377" TargetMode="External" Id="rId8"/><Relationship Type="http://schemas.openxmlformats.org/officeDocument/2006/relationships/hyperlink" Target="https://ascentialcdn.filespin.io/api/v1/conversion/23d7c7eb3b1845ab821b2444f4366440" TargetMode="External" Id="rId9"/><Relationship Type="http://schemas.openxmlformats.org/officeDocument/2006/relationships/hyperlink" Target="https://www.lovethework.com/work/entries/football-is-for-food-756070" TargetMode="External" Id="rId10"/><Relationship Type="http://schemas.openxmlformats.org/officeDocument/2006/relationships/hyperlink" Target="https://ascentialcdn.filespin.io/api/v1/conversion/65f21a7641c4411ab901d5cc5854564a" TargetMode="External" Id="rId11"/><Relationship Type="http://schemas.openxmlformats.org/officeDocument/2006/relationships/hyperlink" Target="https://www.lovethework.com/work/entries/makeup-payment-756226" TargetMode="External" Id="rId12"/><Relationship Type="http://schemas.openxmlformats.org/officeDocument/2006/relationships/hyperlink" Target="https://ascentialcdn.filespin.io/api/v1/conversion/8782875c907847289e66a9d52a2b2ec8" TargetMode="External" Id="rId13"/><Relationship Type="http://schemas.openxmlformats.org/officeDocument/2006/relationships/hyperlink" Target="https://www.lovethework.com/work/entries/coupon-rain-756095" TargetMode="External" Id="rId14"/><Relationship Type="http://schemas.openxmlformats.org/officeDocument/2006/relationships/hyperlink" Target="https://ascentialcdn.filespin.io/api/v1/conversion/ed346dbf026441888562409343c9c149" TargetMode="External" Id="rId15"/><Relationship Type="http://schemas.openxmlformats.org/officeDocument/2006/relationships/hyperlink" Target="https://www.lovethework.com/work/entries/the-social-feed-756367" TargetMode="External" Id="rId16"/><Relationship Type="http://schemas.openxmlformats.org/officeDocument/2006/relationships/hyperlink" Target="https://ascentialcdn.filespin.io/api/v1/conversion/32ef7021bdbd4c4392fa51fb240d45e6" TargetMode="External" Id="rId17"/><Relationship Type="http://schemas.openxmlformats.org/officeDocument/2006/relationships/hyperlink" Target="https://www.lovethework.com/work/entries/prize-on-the-bone-756514" TargetMode="External" Id="rId18"/><Relationship Type="http://schemas.openxmlformats.org/officeDocument/2006/relationships/hyperlink" Target="https://ascentialcdn.filespin.io/api/v1/conversion/67b6df2a0fe64deeb274c91d50040c54" TargetMode="External" Id="rId19"/><Relationship Type="http://schemas.openxmlformats.org/officeDocument/2006/relationships/hyperlink" Target="https://www.lovethework.com/work/entries/price-packs-756267" TargetMode="External" Id="rId20"/><Relationship Type="http://schemas.openxmlformats.org/officeDocument/2006/relationships/hyperlink" Target="https://ascentialcdn.filespin.io/api/v1/conversion/cb56a9988125417f960278fdeea26a5f" TargetMode="External" Id="rId21"/><Relationship Type="http://schemas.openxmlformats.org/officeDocument/2006/relationships/hyperlink" Target="https://www.lovethework.com/work/entries/orange-safer-phone-756150" TargetMode="External" Id="rId22"/><Relationship Type="http://schemas.openxmlformats.org/officeDocument/2006/relationships/hyperlink" Target="https://ascentialcdn.filespin.io/api/v1/conversion/1d6f8cfcad1b47c9beaa5f403844ec8a" TargetMode="External" Id="rId23"/><Relationship Type="http://schemas.openxmlformats.org/officeDocument/2006/relationships/hyperlink" Target="https://www.lovethework.com/work/entries/u-up-756513" TargetMode="External" Id="rId24"/><Relationship Type="http://schemas.openxmlformats.org/officeDocument/2006/relationships/hyperlink" Target="https://ascentialcdn.filespin.io/api/v1/conversion/7e95f656b693443d8d4e60f0a4c9b853" TargetMode="External" Id="rId25"/><Relationship Type="http://schemas.openxmlformats.org/officeDocument/2006/relationships/hyperlink" Target="https://www.lovethework.com/work/entries/bad-luck-reverser-756277" TargetMode="External" Id="rId26"/><Relationship Type="http://schemas.openxmlformats.org/officeDocument/2006/relationships/hyperlink" Target="https://ascentialcdn.filespin.io/api/v1/conversion/30f06e4e4ef440009490ba98305ec513" TargetMode="External" Id="rId27"/><Relationship Type="http://schemas.openxmlformats.org/officeDocument/2006/relationships/hyperlink" Target="https://www.lovethework.com/work/entries/certified-toasters-756382" TargetMode="External" Id="rId28"/><Relationship Type="http://schemas.openxmlformats.org/officeDocument/2006/relationships/hyperlink" Target="https://ascentialcdn.filespin.io/api/v1/conversion/0dd066245fc34dabbdcefcd302d6dec0" TargetMode="External" Id="rId29"/><Relationship Type="http://schemas.openxmlformats.org/officeDocument/2006/relationships/hyperlink" Target="https://www.lovethework.com/work/entries/gamepay-756300" TargetMode="External" Id="rId30"/><Relationship Type="http://schemas.openxmlformats.org/officeDocument/2006/relationships/hyperlink" Target="https://ascentialcdn.filespin.io/api/v1/conversion/2feb6d1ff52a478c9a984b587364f7e7" TargetMode="External" Id="rId31"/><Relationship Type="http://schemas.openxmlformats.org/officeDocument/2006/relationships/hyperlink" Target="https://www.lovethework.com/work/entries/emoji-coke-755966" TargetMode="External" Id="rId32"/><Relationship Type="http://schemas.openxmlformats.org/officeDocument/2006/relationships/hyperlink" Target="https://ascentialcdn.filespin.io/api/v1/conversion/33bdcd0b6d9f488bb4f5fc588536ffbd" TargetMode="External" Id="rId33"/><Relationship Type="http://schemas.openxmlformats.org/officeDocument/2006/relationships/hyperlink" Target="https://www.lovethework.com/work/entries/trash-talk-codes-756163" TargetMode="External" Id="rId34"/><Relationship Type="http://schemas.openxmlformats.org/officeDocument/2006/relationships/hyperlink" Target="https://ascentialcdn.filespin.io/api/v1/conversion/6e35bee1ed324003aa2a205fcdfecf12" TargetMode="External" Id="rId35"/><Relationship Type="http://schemas.openxmlformats.org/officeDocument/2006/relationships/hyperlink" Target="https://www.lovethework.com/work/entries/bar-dating-powered-by-hei-764307" TargetMode="External" Id="rId36"/><Relationship Type="http://schemas.openxmlformats.org/officeDocument/2006/relationships/hyperlink" Target="https://ascentialcdn.filespin.io/api/v1/conversion/e943553f2152499c8182bfce20e7355d" TargetMode="External" Id="rId37"/><Relationship Type="http://schemas.openxmlformats.org/officeDocument/2006/relationships/hyperlink" Target="https://www.lovethework.com/work/entries/minefield-honey-harvesting-hope-762159" TargetMode="External" Id="rId38"/><Relationship Type="http://schemas.openxmlformats.org/officeDocument/2006/relationships/hyperlink" Target="https://ascentialcdn.filespin.io/api/v1/conversion/b71f0dff73f3455abef2899f0b1aeb49" TargetMode="External" Id="rId39"/><Relationship Type="http://schemas.openxmlformats.org/officeDocument/2006/relationships/hyperlink" Target="https://www.lovethework.com/work/entries/kleenex-score-756290" TargetMode="External" Id="rId40"/><Relationship Type="http://schemas.openxmlformats.org/officeDocument/2006/relationships/hyperlink" Target="https://ascentialcdn.filespin.io/api/v1/conversion/0c49c9d60a944a37add314890bbff7bb" TargetMode="External" Id="rId41"/><Relationship Type="http://schemas.openxmlformats.org/officeDocument/2006/relationships/hyperlink" Target="https://www.lovethework.com/work/entries/lucky-fan-index-779902" TargetMode="External" Id="rId42"/><Relationship Type="http://schemas.openxmlformats.org/officeDocument/2006/relationships/hyperlink" Target="https://ascentialcdn.filespin.io/api/v1/conversion/0c49c9d60a944a37add314890bbff7bb" TargetMode="External" Id="rId43"/><Relationship Type="http://schemas.openxmlformats.org/officeDocument/2006/relationships/hyperlink" Target="https://www.lovethework.com/work/entries/lucky-fan-index-779809" TargetMode="External" Id="rId44"/><Relationship Type="http://schemas.openxmlformats.org/officeDocument/2006/relationships/hyperlink" Target="https://ascentialcdn.filespin.io/api/v1/conversion/f34bbf1c3b224a62a7b93946bce31756" TargetMode="External" Id="rId45"/><Relationship Type="http://schemas.openxmlformats.org/officeDocument/2006/relationships/hyperlink" Target="https://www.lovethework.com/work/entries/oreo-cows-779938" TargetMode="External" Id="rId46"/><Relationship Type="http://schemas.openxmlformats.org/officeDocument/2006/relationships/hyperlink" Target="https://ascentialcdn.filespin.io/api/v1/conversion/5cfb67dc704b4eb5943a26376d044a59" TargetMode="External" Id="rId47"/><Relationship Type="http://schemas.openxmlformats.org/officeDocument/2006/relationships/hyperlink" Target="https://www.lovethework.com/work/entries/mandatory-vacation-packages-791947" TargetMode="External" Id="rId48"/><Relationship Type="http://schemas.openxmlformats.org/officeDocument/2006/relationships/hyperlink" Target="https://ascentialcdn.filespin.io/api/v1/conversion/fb281b3facc144fd87b23027abb06ef5" TargetMode="External" Id="rId49"/><Relationship Type="http://schemas.openxmlformats.org/officeDocument/2006/relationships/hyperlink" Target="https://www.lovethework.com/work/entries/copycats-welcome-779919" TargetMode="External" Id="rId50"/><Relationship Type="http://schemas.openxmlformats.org/officeDocument/2006/relationships/hyperlink" Target="https://ascentialcdn.filespin.io/api/v1/conversion/b8ce7fe97eca4b99b9d2efdae7d1ef97" TargetMode="External" Id="rId51"/><Relationship Type="http://schemas.openxmlformats.org/officeDocument/2006/relationships/hyperlink" Target="https://www.lovethework.com/work/entries/the-password-heist-779815" TargetMode="External" Id="rId52"/><Relationship Type="http://schemas.openxmlformats.org/officeDocument/2006/relationships/hyperlink" Target="https://ascentialcdn.filespin.io/api/v1/conversion/805b28e7637b4c50a524667f45c9578d" TargetMode="External" Id="rId53"/><Relationship Type="http://schemas.openxmlformats.org/officeDocument/2006/relationships/hyperlink" Target="https://www.lovethework.com/work/entries/a-drugstore-in-your-pesebre-779871" TargetMode="External" Id="rId54"/><Relationship Type="http://schemas.openxmlformats.org/officeDocument/2006/relationships/hyperlink" Target="https://ascentialcdn.filespin.io/api/v1/conversion/87169f0d7c434ec5877ae8c9a5aeab45" TargetMode="External" Id="rId55"/><Relationship Type="http://schemas.openxmlformats.org/officeDocument/2006/relationships/hyperlink" Target="https://www.lovethework.com/work/entries/resize-the-price-791578" TargetMode="External" Id="rId56"/><Relationship Type="http://schemas.openxmlformats.org/officeDocument/2006/relationships/hyperlink" Target="https://ascentialcdn.filespin.io/api/v1/conversion/a51e4b12607a4d19abcc64bca7c099f5" TargetMode="External" Id="rId57"/><Relationship Type="http://schemas.openxmlformats.org/officeDocument/2006/relationships/hyperlink" Target="https://www.lovethework.com/work/entries/vaseline-originals-779633" TargetMode="External" Id="rId58"/><Relationship Type="http://schemas.openxmlformats.org/officeDocument/2006/relationships/hyperlink" Target="https://ascentialcdn.filespin.io/api/v1/conversion/f7ef5357253740eca0c99953796781fa" TargetMode="External" Id="rId59"/><Relationship Type="http://schemas.openxmlformats.org/officeDocument/2006/relationships/hyperlink" Target="https://www.lovethework.com/work/entries/the-golden-zone-777641" TargetMode="External" Id="rId60"/><Relationship Type="http://schemas.openxmlformats.org/officeDocument/2006/relationships/hyperlink" Target="https://ascentialcdn.filespin.io/api/v1/conversion/0feafb6f74954e4b84d62ab604418c51" TargetMode="External" Id="rId61"/><Relationship Type="http://schemas.openxmlformats.org/officeDocument/2006/relationships/hyperlink" Target="https://www.lovethework.com/work/entries/an-agent-como-a-gente-790756" TargetMode="External" Id="rId62"/><Relationship Type="http://schemas.openxmlformats.org/officeDocument/2006/relationships/hyperlink" Target="https://ascentialcdn.filespin.io/api/v1/conversion/cba776a1ce8442c7b1ce665e336e758e" TargetMode="External" Id="rId63"/><Relationship Type="http://schemas.openxmlformats.org/officeDocument/2006/relationships/hyperlink" Target="https://www.lovethework.com/work/entries/cif-clean-my-name-776743" TargetMode="External" Id="rId64"/><Relationship Type="http://schemas.openxmlformats.org/officeDocument/2006/relationships/hyperlink" Target="https://ascentialcdn.filespin.io/api/v1/conversion/4ea164d0e1644ab199eefa62cc2fabe2" TargetMode="External" Id="rId65"/><Relationship Type="http://schemas.openxmlformats.org/officeDocument/2006/relationships/hyperlink" Target="https://www.lovethework.com/work/entries/cancer-prevention-discounts-779956" TargetMode="External" Id="rId66"/><Relationship Type="http://schemas.openxmlformats.org/officeDocument/2006/relationships/hyperlink" Target="https://ascentialcdn.filespin.io/api/v1/conversion/1709928304da45eb95b6483c496484be" TargetMode="External" Id="rId67"/><Relationship Type="http://schemas.openxmlformats.org/officeDocument/2006/relationships/hyperlink" Target="https://www.lovethework.com/work/entries/the-period-uniform-791094" TargetMode="External" Id="rId68"/></Relationships>
</file>

<file path=xl/worksheets/_rels/sheet24.xml.rels><Relationships xmlns="http://schemas.openxmlformats.org/package/2006/relationships"><Relationship Type="http://schemas.openxmlformats.org/officeDocument/2006/relationships/hyperlink" Target="https://ascentialcdn.filespin.io/api/v1/conversion/5015b68d24bd481a8fcfefc326f5b154" TargetMode="External" Id="rId1"/><Relationship Type="http://schemas.openxmlformats.org/officeDocument/2006/relationships/hyperlink" Target="https://www.lovethework.com/work/entries/sounds-right-761761" TargetMode="External" Id="rId2"/><Relationship Type="http://schemas.openxmlformats.org/officeDocument/2006/relationships/hyperlink" Target="https://ascentialcdn.filespin.io/api/v1/conversion/bcb995632e51401e9bb1c27a8f759215" TargetMode="External" Id="rId3"/><Relationship Type="http://schemas.openxmlformats.org/officeDocument/2006/relationships/hyperlink" Target="https://www.lovethework.com/work/entries/caption-with-intention-752614" TargetMode="External" Id="rId4"/><Relationship Type="http://schemas.openxmlformats.org/officeDocument/2006/relationships/hyperlink" Target="https://ascentialcdn.filespin.io/api/v1/conversion/57def036fd3c4c41912d570ec8706239" TargetMode="External" Id="rId5"/><Relationship Type="http://schemas.openxmlformats.org/officeDocument/2006/relationships/hyperlink" Target="https://www.lovethework.com/work/entries/baby-minder-760278" TargetMode="External" Id="rId6"/><Relationship Type="http://schemas.openxmlformats.org/officeDocument/2006/relationships/hyperlink" Target="https://ascentialcdn.filespin.io/api/v1/conversion/9c0dd0aaa6f044518e70e7d63c0c78dd" TargetMode="External" Id="rId7"/><Relationship Type="http://schemas.openxmlformats.org/officeDocument/2006/relationships/hyperlink" Target="https://www.lovethework.com/work/entries/beer-retirement-account-752712" TargetMode="External" Id="rId8"/><Relationship Type="http://schemas.openxmlformats.org/officeDocument/2006/relationships/hyperlink" Target="https://ascentialcdn.filespin.io/api/v1/conversion/5a1c3d291d1b4a428ebb261bc24b249b" TargetMode="External" Id="rId9"/><Relationship Type="http://schemas.openxmlformats.org/officeDocument/2006/relationships/hyperlink" Target="https://www.lovethework.com/work/entries/painvisible-752585" TargetMode="External" Id="rId10"/><Relationship Type="http://schemas.openxmlformats.org/officeDocument/2006/relationships/hyperlink" Target="https://ascentialcdn.filespin.io/api/v1/conversion/98d0bf51b7764f41a17afc9759c91bfa" TargetMode="External" Id="rId11"/><Relationship Type="http://schemas.openxmlformats.org/officeDocument/2006/relationships/hyperlink" Target="https://www.lovethework.com/work/entries/drops-of-hope-761643" TargetMode="External" Id="rId12"/><Relationship Type="http://schemas.openxmlformats.org/officeDocument/2006/relationships/hyperlink" Target="https://ascentialcdn.filespin.io/api/v1/conversion/9f8364b5c9b847aa83fb8ea7b62628d8" TargetMode="External" Id="rId13"/><Relationship Type="http://schemas.openxmlformats.org/officeDocument/2006/relationships/hyperlink" Target="https://www.lovethework.com/work/entries/living-fabric-759716" TargetMode="External" Id="rId14"/><Relationship Type="http://schemas.openxmlformats.org/officeDocument/2006/relationships/hyperlink" Target="https://ascentialcdn.filespin.io/api/v1/conversion/1e629829a1314891907fcdf2e45ced1c" TargetMode="External" Id="rId15"/><Relationship Type="http://schemas.openxmlformats.org/officeDocument/2006/relationships/hyperlink" Target="https://www.lovethework.com/work/entries/supernova-adaptive-779312" TargetMode="External" Id="rId16"/><Relationship Type="http://schemas.openxmlformats.org/officeDocument/2006/relationships/hyperlink" Target="https://ascentialcdn.filespin.io/api/v1/conversion/03bc0914b4384a1199a7d493c3778813" TargetMode="External" Id="rId17"/><Relationship Type="http://schemas.openxmlformats.org/officeDocument/2006/relationships/hyperlink" Target="https://www.lovethework.com/work/entries/utrecht-energized-779316" TargetMode="External" Id="rId18"/><Relationship Type="http://schemas.openxmlformats.org/officeDocument/2006/relationships/hyperlink" Target="https://ascentialcdn.filespin.io/api/v1/conversion/2ddee09be1964d01a93fc250832fa9cf" TargetMode="External" Id="rId19"/><Relationship Type="http://schemas.openxmlformats.org/officeDocument/2006/relationships/hyperlink" Target="https://www.lovethework.com/work/entries/radio-time-machine-777690" TargetMode="External" Id="rId20"/><Relationship Type="http://schemas.openxmlformats.org/officeDocument/2006/relationships/hyperlink" Target="https://ascentialcdn.filespin.io/api/v1/conversion/1d46e6542c474e14a830761bec4b045a" TargetMode="External" Id="rId21"/><Relationship Type="http://schemas.openxmlformats.org/officeDocument/2006/relationships/hyperlink" Target="https://www.lovethework.com/work/entries/sos-pos-779321" TargetMode="External" Id="rId22"/><Relationship Type="http://schemas.openxmlformats.org/officeDocument/2006/relationships/hyperlink" Target="https://ascentialcdn.filespin.io/api/v1/conversion/fe1c286880df40589aad48d184fbdac3" TargetMode="External" Id="rId23"/><Relationship Type="http://schemas.openxmlformats.org/officeDocument/2006/relationships/hyperlink" Target="https://www.lovethework.com/work/entries/t-rex-leather-775911" TargetMode="External" Id="rId24"/></Relationships>
</file>

<file path=xl/worksheets/_rels/sheet25.xml.rels><Relationships xmlns="http://schemas.openxmlformats.org/package/2006/relationships"><Relationship Type="http://schemas.openxmlformats.org/officeDocument/2006/relationships/hyperlink" Target="https://ascentialcdn.filespin.io/api/v1/conversion/618cd520f9a24294b091f0641b1abd65" TargetMode="External" Id="rId1"/><Relationship Type="http://schemas.openxmlformats.org/officeDocument/2006/relationships/hyperlink" Target="https://www.lovethework.com/work/entries/the-partnership-that-changed-everything-758515" TargetMode="External" Id="rId2"/><Relationship Type="http://schemas.openxmlformats.org/officeDocument/2006/relationships/hyperlink" Target="https://ascentialcdn.filespin.io/api/v1/conversion/ba8c7874143548279ee2ef8936cfee6d" TargetMode="External" Id="rId3"/><Relationship Type="http://schemas.openxmlformats.org/officeDocument/2006/relationships/hyperlink" Target="https://www.lovethework.com/work/entries/late-checkout-a-ritz-carlton-story-758432" TargetMode="External" Id="rId4"/><Relationship Type="http://schemas.openxmlformats.org/officeDocument/2006/relationships/hyperlink" Target="https://ascentialcdn.filespin.io/api/v1/conversion/a9e8fdb5892d441587b7c4c55eb3d5fb" TargetMode="External" Id="rId5"/><Relationship Type="http://schemas.openxmlformats.org/officeDocument/2006/relationships/hyperlink" Target="https://www.lovethework.com/work/entries/1837-tiffany-blue-conservation-758489" TargetMode="External" Id="rId6"/><Relationship Type="http://schemas.openxmlformats.org/officeDocument/2006/relationships/hyperlink" Target="https://ascentialcdn.filespin.io/api/v1/conversion/b28805c7458d487cbf93d349fcf83dd2" TargetMode="External" Id="rId7"/><Relationship Type="http://schemas.openxmlformats.org/officeDocument/2006/relationships/hyperlink" Target="https://www.lovethework.com/work/entries/dont-call-it-love-762992" TargetMode="External" Id="rId8"/><Relationship Type="http://schemas.openxmlformats.org/officeDocument/2006/relationships/hyperlink" Target="https://ascentialcdn.filespin.io/api/v1/conversion/d6d662c2af9b477e9d70359dc900be0f" TargetMode="External" Id="rId9"/><Relationship Type="http://schemas.openxmlformats.org/officeDocument/2006/relationships/hyperlink" Target="https://www.lovethework.com/work/entries/prada-beyond-the-line-758381" TargetMode="External" Id="rId10"/><Relationship Type="http://schemas.openxmlformats.org/officeDocument/2006/relationships/hyperlink" Target="https://ascentialcdn.filespin.io/api/v1/conversion/f0ac97dd3a4547da87ada6ad61058cc1" TargetMode="External" Id="rId11"/><Relationship Type="http://schemas.openxmlformats.org/officeDocument/2006/relationships/hyperlink" Target="https://www.lovethework.com/work/entries/the-everlasting-logo-758398" TargetMode="External" Id="rId12"/><Relationship Type="http://schemas.openxmlformats.org/officeDocument/2006/relationships/hyperlink" Target="https://ascentialcdn.filespin.io/api/v1/conversion/d2cfdb97c2fc40fd9ab74040e3daa0a2" TargetMode="External" Id="rId13"/><Relationship Type="http://schemas.openxmlformats.org/officeDocument/2006/relationships/hyperlink" Target="https://www.lovethework.com/work/entries/loewe-tiktok-762978" TargetMode="External" Id="rId14"/><Relationship Type="http://schemas.openxmlformats.org/officeDocument/2006/relationships/hyperlink" Target="https://ascentialcdn.filespin.io/api/v1/conversion/b8eb937a1ce14db590ba59f3ae732e79" TargetMode="External" Id="rId15"/><Relationship Type="http://schemas.openxmlformats.org/officeDocument/2006/relationships/hyperlink" Target="https://www.lovethework.com/work/entries/warmer-together-779901" TargetMode="External" Id="rId16"/><Relationship Type="http://schemas.openxmlformats.org/officeDocument/2006/relationships/hyperlink" Target="https://ascentialcdn.filespin.io/api/v1/conversion/56d1948d426b47c1a0218abf48e1308c" TargetMode="External" Id="rId17"/><Relationship Type="http://schemas.openxmlformats.org/officeDocument/2006/relationships/hyperlink" Target="https://www.lovethework.com/work/entries/tiffany-co-x-netflixs-frankenstein-776709" TargetMode="External" Id="rId18"/><Relationship Type="http://schemas.openxmlformats.org/officeDocument/2006/relationships/hyperlink" Target="https://ascentialcdn.filespin.io/api/v1/conversion/190b0c7b4ddb4beba117cdd69bd21a71" TargetMode="External" Id="rId19"/><Relationship Type="http://schemas.openxmlformats.org/officeDocument/2006/relationships/hyperlink" Target="https://www.lovethework.com/work/entries/code-for-the-protection-and-inclusion-of-black-consumers-792560" TargetMode="External" Id="rId20"/><Relationship Type="http://schemas.openxmlformats.org/officeDocument/2006/relationships/hyperlink" Target="https://ascentialcdn.filespin.io/api/v1/conversion/855253d2a56a42c596920615ef7d65e8" TargetMode="External" Id="rId21"/><Relationship Type="http://schemas.openxmlformats.org/officeDocument/2006/relationships/hyperlink" Target="https://www.lovethework.com/work/entries/owners-reunions-792528" TargetMode="External" Id="rId22"/><Relationship Type="http://schemas.openxmlformats.org/officeDocument/2006/relationships/hyperlink" Target="https://ascentialcdn.filespin.io/api/v1/conversion/6b37041cd4614d4d87e34ddb2d2c16ec" TargetMode="External" Id="rId23"/><Relationship Type="http://schemas.openxmlformats.org/officeDocument/2006/relationships/hyperlink" Target="https://www.lovethework.com/work/entries/born-in-roma-rendez-vous-ivory-collection-studio-54-experience-775628" TargetMode="External" Id="rId24"/></Relationships>
</file>

<file path=xl/worksheets/_rels/sheet26.xml.rels><Relationships xmlns="http://schemas.openxmlformats.org/package/2006/relationships"><Relationship Type="http://schemas.openxmlformats.org/officeDocument/2006/relationships/hyperlink" Target="https://ascentialcdn.filespin.io/api/v1/conversion/f68a5a2f3d844f2b9e241462ec640c44" TargetMode="External" Id="rId1"/><Relationship Type="http://schemas.openxmlformats.org/officeDocument/2006/relationships/hyperlink" Target="https://www.lovethework.com/work/entries/real-beauty-how-a-soap-brand-created-a-global-self-esteem-movement-754479" TargetMode="External" Id="rId2"/><Relationship Type="http://schemas.openxmlformats.org/officeDocument/2006/relationships/hyperlink" Target="https://ascentialcdn.filespin.io/api/v1/conversion/88e24a7cf24b40a590af455059ceeaf9" TargetMode="External" Id="rId3"/><Relationship Type="http://schemas.openxmlformats.org/officeDocument/2006/relationships/hyperlink" Target="https://www.lovethework.com/work/entries/heralbony-754170" TargetMode="External" Id="rId4"/><Relationship Type="http://schemas.openxmlformats.org/officeDocument/2006/relationships/hyperlink" Target="https://ascentialcdn.filespin.io/api/v1/conversion/5c13816c86fa4023933a56ac6d5c3593" TargetMode="External" Id="rId5"/><Relationship Type="http://schemas.openxmlformats.org/officeDocument/2006/relationships/hyperlink" Target="https://www.lovethework.com/work/entries/the-pen-to-right-history-762088" TargetMode="External" Id="rId6"/><Relationship Type="http://schemas.openxmlformats.org/officeDocument/2006/relationships/hyperlink" Target="https://ascentialcdn.filespin.io/api/v1/conversion/e1a85ff134e545c7b049791151432028" TargetMode="External" Id="rId7"/><Relationship Type="http://schemas.openxmlformats.org/officeDocument/2006/relationships/hyperlink" Target="https://www.lovethework.com/work/entries/axa-three-words-754295" TargetMode="External" Id="rId8"/><Relationship Type="http://schemas.openxmlformats.org/officeDocument/2006/relationships/hyperlink" Target="https://ascentialcdn.filespin.io/api/v1/conversion/bb0973df9f0d4e1e83e3c9ef7dc4d714" TargetMode="External" Id="rId9"/><Relationship Type="http://schemas.openxmlformats.org/officeDocument/2006/relationships/hyperlink" Target="https://www.lovethework.com/work/entries/dove-love-your-hair-760237" TargetMode="External" Id="rId10"/><Relationship Type="http://schemas.openxmlformats.org/officeDocument/2006/relationships/hyperlink" Target="https://ascentialcdn.filespin.io/api/v1/conversion/fdf9d053919448b2bf6bc7e2604789c5" TargetMode="External" Id="rId11"/><Relationship Type="http://schemas.openxmlformats.org/officeDocument/2006/relationships/hyperlink" Target="https://www.lovethework.com/work/entries/livefearless-754488" TargetMode="External" Id="rId12"/><Relationship Type="http://schemas.openxmlformats.org/officeDocument/2006/relationships/hyperlink" Target="https://ascentialcdn.filespin.io/api/v1/conversion/785860d791fe410495aecad052809d64" TargetMode="External" Id="rId13"/><Relationship Type="http://schemas.openxmlformats.org/officeDocument/2006/relationships/hyperlink" Target="https://www.lovethework.com/work/entries/her-dome-754187" TargetMode="External" Id="rId14"/><Relationship Type="http://schemas.openxmlformats.org/officeDocument/2006/relationships/hyperlink" Target="https://ascentialcdn.filespin.io/api/v1/conversion/2488030bdfa840c99e3568fe7b1001d2" TargetMode="External" Id="rId15"/><Relationship Type="http://schemas.openxmlformats.org/officeDocument/2006/relationships/hyperlink" Target="https://www.lovethework.com/work/entries/grad-in-black-762134" TargetMode="External" Id="rId16"/></Relationships>
</file>

<file path=xl/worksheets/_rels/sheet27.xml.rels><Relationships xmlns="http://schemas.openxmlformats.org/package/2006/relationships"><Relationship Type="http://schemas.openxmlformats.org/officeDocument/2006/relationships/hyperlink" Target="https://www.lovethework.com/work/entries/the-best-place-in-the-world-to-have-herpes-767497" TargetMode="External" Id="rId1"/></Relationships>
</file>

<file path=xl/worksheets/_rels/sheet28.xml.rels><Relationships xmlns="http://schemas.openxmlformats.org/package/2006/relationships"><Relationship Type="http://schemas.openxmlformats.org/officeDocument/2006/relationships/hyperlink" Target="https://ascentialcdn.filespin.io/api/v1/conversion/8f27d4982c9f44a0ae99fa41531bda8e" TargetMode="External" Id="rId1"/><Relationship Type="http://schemas.openxmlformats.org/officeDocument/2006/relationships/hyperlink" Target="https://www.lovethework.com/work/entries/the-amazon-greenventory-755993" TargetMode="External" Id="rId2"/><Relationship Type="http://schemas.openxmlformats.org/officeDocument/2006/relationships/hyperlink" Target="https://ascentialcdn.filespin.io/api/v1/conversion/e943553f2152499c8182bfce20e7355d" TargetMode="External" Id="rId3"/><Relationship Type="http://schemas.openxmlformats.org/officeDocument/2006/relationships/hyperlink" Target="https://www.lovethework.com/work/entries/minefield-honey-harvesting-hope-755960" TargetMode="External" Id="rId4"/><Relationship Type="http://schemas.openxmlformats.org/officeDocument/2006/relationships/hyperlink" Target="https://ascentialcdn.filespin.io/api/v1/conversion/01a0aba05ed745cf8b40b9f6719fff6a" TargetMode="External" Id="rId5"/><Relationship Type="http://schemas.openxmlformats.org/officeDocument/2006/relationships/hyperlink" Target="https://www.lovethework.com/work/entries/research-my-body-755612" TargetMode="External" Id="rId6"/><Relationship Type="http://schemas.openxmlformats.org/officeDocument/2006/relationships/hyperlink" Target="https://ascentialcdn.filespin.io/api/v1/conversion/d51c95f53aaf474ba9faba5a10094bd0" TargetMode="External" Id="rId7"/><Relationship Type="http://schemas.openxmlformats.org/officeDocument/2006/relationships/hyperlink" Target="https://www.lovethework.com/work/entries/recipe-for-change-755679" TargetMode="External" Id="rId8"/><Relationship Type="http://schemas.openxmlformats.org/officeDocument/2006/relationships/hyperlink" Target="https://ascentialcdn.filespin.io/api/v1/conversion/10360044a9be467286965f70b39a984b" TargetMode="External" Id="rId9"/><Relationship Type="http://schemas.openxmlformats.org/officeDocument/2006/relationships/hyperlink" Target="https://www.lovethework.com/work/entries/sounds-right-755775" TargetMode="External" Id="rId10"/><Relationship Type="http://schemas.openxmlformats.org/officeDocument/2006/relationships/hyperlink" Target="https://ascentialcdn.filespin.io/api/v1/conversion/1e1df1c7a74a4897a3f75a7a38e60d27" TargetMode="External" Id="rId11"/><Relationship Type="http://schemas.openxmlformats.org/officeDocument/2006/relationships/hyperlink" Target="https://www.lovethework.com/work/entries/ariel-sharetheload-10-years-759693" TargetMode="External" Id="rId12"/><Relationship Type="http://schemas.openxmlformats.org/officeDocument/2006/relationships/hyperlink" Target="https://ascentialcdn.filespin.io/api/v1/conversion/aab2b49f4bde4aef88d22006ef903d54" TargetMode="External" Id="rId13"/><Relationship Type="http://schemas.openxmlformats.org/officeDocument/2006/relationships/hyperlink" Target="https://www.lovethework.com/work/entries/the-dove-code-755937" TargetMode="External" Id="rId14"/><Relationship Type="http://schemas.openxmlformats.org/officeDocument/2006/relationships/hyperlink" Target="https://ascentialcdn.filespin.io/api/v1/conversion/38cbe1a6ee444db186b748c9da630bdc" TargetMode="External" Id="rId15"/><Relationship Type="http://schemas.openxmlformats.org/officeDocument/2006/relationships/hyperlink" Target="https://www.lovethework.com/work/entries/omnilivery-756098" TargetMode="External" Id="rId16"/><Relationship Type="http://schemas.openxmlformats.org/officeDocument/2006/relationships/hyperlink" Target="https://ascentialcdn.filespin.io/api/v1/conversion/4c7f3fc5e9e844a883cf1d4bc94c9d58" TargetMode="External" Id="rId17"/><Relationship Type="http://schemas.openxmlformats.org/officeDocument/2006/relationships/hyperlink" Target="https://www.lovethework.com/work/entries/animal-alerts-755614" TargetMode="External" Id="rId18"/><Relationship Type="http://schemas.openxmlformats.org/officeDocument/2006/relationships/hyperlink" Target="https://ascentialcdn.filespin.io/api/v1/conversion/5d4b1b0582c5428bafb14fcc9670d1dc" TargetMode="External" Id="rId19"/><Relationship Type="http://schemas.openxmlformats.org/officeDocument/2006/relationships/hyperlink" Target="https://www.lovethework.com/work/entries/the-best-place-in-the-world-to-have-herpes-755748" TargetMode="External" Id="rId20"/><Relationship Type="http://schemas.openxmlformats.org/officeDocument/2006/relationships/hyperlink" Target="https://ascentialcdn.filespin.io/api/v1/conversion/632753c2e0e444898a416c5bbd6272fb" TargetMode="External" Id="rId21"/><Relationship Type="http://schemas.openxmlformats.org/officeDocument/2006/relationships/hyperlink" Target="https://www.lovethework.com/work/entries/reef-protection-factor-755941" TargetMode="External" Id="rId22"/><Relationship Type="http://schemas.openxmlformats.org/officeDocument/2006/relationships/hyperlink" Target="https://ascentialcdn.filespin.io/api/v1/conversion/5cc44dd478364c8f89e74997da34c416" TargetMode="External" Id="rId23"/><Relationship Type="http://schemas.openxmlformats.org/officeDocument/2006/relationships/hyperlink" Target="https://www.lovethework.com/work/entries/wildfire-watchtowers-755880" TargetMode="External" Id="rId24"/><Relationship Type="http://schemas.openxmlformats.org/officeDocument/2006/relationships/hyperlink" Target="https://ascentialcdn.filespin.io/api/v1/conversion/43c463221a2f4400b93862d1c5538078" TargetMode="External" Id="rId25"/><Relationship Type="http://schemas.openxmlformats.org/officeDocument/2006/relationships/hyperlink" Target="https://www.lovethework.com/work/entries/sos-bees-755943" TargetMode="External" Id="rId26"/><Relationship Type="http://schemas.openxmlformats.org/officeDocument/2006/relationships/hyperlink" Target="https://ascentialcdn.filespin.io/api/v1/conversion/68f2c53ebcea42bd9ab7b58852b5aa95" TargetMode="External" Id="rId27"/><Relationship Type="http://schemas.openxmlformats.org/officeDocument/2006/relationships/hyperlink" Target="https://www.lovethework.com/work/entries/saltanat-light-758763" TargetMode="External" Id="rId28"/><Relationship Type="http://schemas.openxmlformats.org/officeDocument/2006/relationships/hyperlink" Target="https://ascentialcdn.filespin.io/api/v1/conversion/1b883e0ec2f648dea7bf17849408f188" TargetMode="External" Id="rId29"/><Relationship Type="http://schemas.openxmlformats.org/officeDocument/2006/relationships/hyperlink" Target="https://www.lovethework.com/work/entries/nobody-should-die-at-xmas-756056" TargetMode="External" Id="rId30"/><Relationship Type="http://schemas.openxmlformats.org/officeDocument/2006/relationships/hyperlink" Target="https://www.lovethework.com/work/entries/how-dove-took-on-a-new-era-of-toxic-beauty-765307" TargetMode="External" Id="rId31"/></Relationships>
</file>

<file path=xl/worksheets/_rels/sheet29.xml.rels><Relationships xmlns="http://schemas.openxmlformats.org/package/2006/relationships"><Relationship Type="http://schemas.openxmlformats.org/officeDocument/2006/relationships/hyperlink" Target="https://ascentialcdn.filespin.io/api/v1/conversion/faf0755b0d4e4594ad93cb75d6288e3d" TargetMode="External" Id="rId1"/><Relationship Type="http://schemas.openxmlformats.org/officeDocument/2006/relationships/hyperlink" Target="https://www.lovethework.com/work/entries/vaseline-verified-753151" TargetMode="External" Id="rId2"/><Relationship Type="http://schemas.openxmlformats.org/officeDocument/2006/relationships/hyperlink" Target="https://www.lovethework.com/work/entries/the-count-759678" TargetMode="External" Id="rId3"/><Relationship Type="http://schemas.openxmlformats.org/officeDocument/2006/relationships/hyperlink" Target="https://www.lovethework.com/work/entries/group-therapy-753332" TargetMode="External" Id="rId4"/><Relationship Type="http://schemas.openxmlformats.org/officeDocument/2006/relationships/hyperlink" Target="https://ascentialcdn.filespin.io/api/v1/conversion/96cab410285c45ed905a8377e0cc25f5" TargetMode="External" Id="rId5"/><Relationship Type="http://schemas.openxmlformats.org/officeDocument/2006/relationships/hyperlink" Target="https://www.lovethework.com/work/entries/sightwalks-758841" TargetMode="External" Id="rId6"/><Relationship Type="http://schemas.openxmlformats.org/officeDocument/2006/relationships/hyperlink" Target="https://ascentialcdn.filespin.io/api/v1/conversion/fcac93d33c3d4b1c93da6b13d3e32b5e" TargetMode="External" Id="rId7"/><Relationship Type="http://schemas.openxmlformats.org/officeDocument/2006/relationships/hyperlink" Target="https://www.lovethework.com/work/entries/zip-code-exam-763308" TargetMode="External" Id="rId8"/><Relationship Type="http://schemas.openxmlformats.org/officeDocument/2006/relationships/hyperlink" Target="https://ascentialcdn.filespin.io/api/v1/conversion/5d4b1b0582c5428bafb14fcc9670d1dc" TargetMode="External" Id="rId9"/><Relationship Type="http://schemas.openxmlformats.org/officeDocument/2006/relationships/hyperlink" Target="https://www.lovethework.com/work/entries/the-best-place-in-the-world-to-have-herpes-753429" TargetMode="External" Id="rId10"/><Relationship Type="http://schemas.openxmlformats.org/officeDocument/2006/relationships/hyperlink" Target="https://ascentialcdn.filespin.io/api/v1/conversion/2a553b0447c74fe5a2affb443a416633" TargetMode="External" Id="rId11"/><Relationship Type="http://schemas.openxmlformats.org/officeDocument/2006/relationships/hyperlink" Target="https://www.lovethework.com/work/entries/nigrum-corpus-759635" TargetMode="External" Id="rId12"/><Relationship Type="http://schemas.openxmlformats.org/officeDocument/2006/relationships/hyperlink" Target="https://ascentialcdn.filespin.io/api/v1/conversion/ab087ed95b3a43e88ff6b9ef28d02df5" TargetMode="External" Id="rId13"/><Relationship Type="http://schemas.openxmlformats.org/officeDocument/2006/relationships/hyperlink" Target="https://www.lovethework.com/work/entries/zip-code-exam-765197" TargetMode="External" Id="rId14"/><Relationship Type="http://schemas.openxmlformats.org/officeDocument/2006/relationships/hyperlink" Target="https://ascentialcdn.filespin.io/api/v1/conversion/976392be2e5d4a0fbac33fda02182549" TargetMode="External" Id="rId15"/><Relationship Type="http://schemas.openxmlformats.org/officeDocument/2006/relationships/hyperlink" Target="https://www.lovethework.com/work/entries/memento-beer-752967" TargetMode="External" Id="rId16"/><Relationship Type="http://schemas.openxmlformats.org/officeDocument/2006/relationships/hyperlink" Target="https://ascentialcdn.filespin.io/api/v1/conversion/5097b08d039c468999082882e3dc18f4" TargetMode="External" Id="rId17"/><Relationship Type="http://schemas.openxmlformats.org/officeDocument/2006/relationships/hyperlink" Target="https://www.lovethework.com/work/entries/naga-saint-eye-test-753527" TargetMode="External" Id="rId18"/><Relationship Type="http://schemas.openxmlformats.org/officeDocument/2006/relationships/hyperlink" Target="https://ascentialcdn.filespin.io/api/v1/conversion/006b57346ea04abda2e417e9ec9c5e39" TargetMode="External" Id="rId19"/><Relationship Type="http://schemas.openxmlformats.org/officeDocument/2006/relationships/hyperlink" Target="https://www.lovethework.com/work/entries/the-mind-guardian-753085" TargetMode="External" Id="rId20"/><Relationship Type="http://schemas.openxmlformats.org/officeDocument/2006/relationships/hyperlink" Target="https://www.lovethework.com/work/entries/the-rarest-stars-shine-brightest-753653" TargetMode="External" Id="rId21"/><Relationship Type="http://schemas.openxmlformats.org/officeDocument/2006/relationships/hyperlink" Target="https://ascentialcdn.filespin.io/api/v1/conversion/73ea0e639f6747c68cf8460abe2f02bb" TargetMode="External" Id="rId22"/><Relationship Type="http://schemas.openxmlformats.org/officeDocument/2006/relationships/hyperlink" Target="https://www.lovethework.com/work/entries/breastmilk-money-753277" TargetMode="External" Id="rId23"/><Relationship Type="http://schemas.openxmlformats.org/officeDocument/2006/relationships/hyperlink" Target="https://ascentialcdn.filespin.io/api/v1/conversion/58801b8585ed4774878a11441091b7d8" TargetMode="External" Id="rId24"/><Relationship Type="http://schemas.openxmlformats.org/officeDocument/2006/relationships/hyperlink" Target="https://www.lovethework.com/work/entries/creamotherapy-753157" TargetMode="External" Id="rId25"/><Relationship Type="http://schemas.openxmlformats.org/officeDocument/2006/relationships/hyperlink" Target="https://ascentialcdn.filespin.io/api/v1/conversion/ac0ba2cefb2d4319a2897836bac8e95b" TargetMode="External" Id="rId26"/><Relationship Type="http://schemas.openxmlformats.org/officeDocument/2006/relationships/hyperlink" Target="https://www.lovethework.com/work/entries/dont-sleep-on-saquon-753018" TargetMode="External" Id="rId27"/><Relationship Type="http://schemas.openxmlformats.org/officeDocument/2006/relationships/hyperlink" Target="https://ascentialcdn.filespin.io/api/v1/conversion/2b33d598710842f6973f6726a77d3be8" TargetMode="External" Id="rId28"/><Relationship Type="http://schemas.openxmlformats.org/officeDocument/2006/relationships/hyperlink" Target="https://www.lovethework.com/work/entries/drops-of-hope-753269" TargetMode="External" Id="rId29"/><Relationship Type="http://schemas.openxmlformats.org/officeDocument/2006/relationships/hyperlink" Target="https://ascentialcdn.filespin.io/api/v1/conversion/38cbe1a6ee444db186b748c9da630bdc" TargetMode="External" Id="rId30"/><Relationship Type="http://schemas.openxmlformats.org/officeDocument/2006/relationships/hyperlink" Target="https://www.lovethework.com/work/entries/omnilivery-753052" TargetMode="External" Id="rId31"/><Relationship Type="http://schemas.openxmlformats.org/officeDocument/2006/relationships/hyperlink" Target="https://ascentialcdn.filespin.io/api/v1/conversion/3d5f05527b0c4cd6b9752f323f566c63" TargetMode="External" Id="rId32"/><Relationship Type="http://schemas.openxmlformats.org/officeDocument/2006/relationships/hyperlink" Target="https://www.lovethework.com/work/entries/missed-birthdays-753149" TargetMode="External" Id="rId33"/><Relationship Type="http://schemas.openxmlformats.org/officeDocument/2006/relationships/hyperlink" Target="https://ascentialcdn.filespin.io/api/v1/conversion/15acf37ec83847ee82067e734a40a3de" TargetMode="External" Id="rId34"/><Relationship Type="http://schemas.openxmlformats.org/officeDocument/2006/relationships/hyperlink" Target="https://www.lovethework.com/work/entries/interface-of-humanity-powered-by-ntt-753027" TargetMode="External" Id="rId35"/><Relationship Type="http://schemas.openxmlformats.org/officeDocument/2006/relationships/hyperlink" Target="https://ascentialcdn.filespin.io/api/v1/conversion/3712e2a622444a32895dce6764b60a64" TargetMode="External" Id="rId36"/><Relationship Type="http://schemas.openxmlformats.org/officeDocument/2006/relationships/hyperlink" Target="https://www.lovethework.com/work/entries/her-dome-753056" TargetMode="External" Id="rId37"/><Relationship Type="http://schemas.openxmlformats.org/officeDocument/2006/relationships/hyperlink" Target="https://ascentialcdn.filespin.io/api/v1/conversion/72c8c8ae63834151a80593fcde332afb" TargetMode="External" Id="rId38"/><Relationship Type="http://schemas.openxmlformats.org/officeDocument/2006/relationships/hyperlink" Target="https://www.lovethework.com/work/entries/nigrum-corpus-759644" TargetMode="External" Id="rId39"/><Relationship Type="http://schemas.openxmlformats.org/officeDocument/2006/relationships/hyperlink" Target="https://ascentialcdn.filespin.io/api/v1/conversion/1d90874d49d049ef919f6ac01a22dfa3" TargetMode="External" Id="rId40"/><Relationship Type="http://schemas.openxmlformats.org/officeDocument/2006/relationships/hyperlink" Target="https://www.lovethework.com/work/entries/visiongram-753110" TargetMode="External" Id="rId41"/><Relationship Type="http://schemas.openxmlformats.org/officeDocument/2006/relationships/hyperlink" Target="https://ascentialcdn.filespin.io/api/v1/conversion/cddc5ccda6a24baeaf4e5cb205c9bb46" TargetMode="External" Id="rId42"/><Relationship Type="http://schemas.openxmlformats.org/officeDocument/2006/relationships/hyperlink" Target="https://www.lovethework.com/work/entries/sickle-cell-ball-753415" TargetMode="External" Id="rId43"/><Relationship Type="http://schemas.openxmlformats.org/officeDocument/2006/relationships/hyperlink" Target="https://ascentialcdn.filespin.io/api/v1/conversion/a5387631458b48648c6dba4b21efb3d0" TargetMode="External" Id="rId44"/><Relationship Type="http://schemas.openxmlformats.org/officeDocument/2006/relationships/hyperlink" Target="https://www.lovethework.com/work/entries/the-shaded-route-753005" TargetMode="External" Id="rId45"/><Relationship Type="http://schemas.openxmlformats.org/officeDocument/2006/relationships/hyperlink" Target="https://ascentialcdn.filespin.io/api/v1/conversion/ac0ba2cefb2d4319a2897836bac8e95b" TargetMode="External" Id="rId46"/><Relationship Type="http://schemas.openxmlformats.org/officeDocument/2006/relationships/hyperlink" Target="https://www.lovethework.com/work/entries/dont-sleep-on-saquon-753135" TargetMode="External" Id="rId47"/><Relationship Type="http://schemas.openxmlformats.org/officeDocument/2006/relationships/hyperlink" Target="https://ascentialcdn.filespin.io/api/v1/conversion/d72ef2fa1ff64f98933e1d3fcb040726" TargetMode="External" Id="rId48"/><Relationship Type="http://schemas.openxmlformats.org/officeDocument/2006/relationships/hyperlink" Target="https://www.lovethework.com/work/entries/the-university-of-dyslexic-thinking-753452" TargetMode="External" Id="rId49"/><Relationship Type="http://schemas.openxmlformats.org/officeDocument/2006/relationships/hyperlink" Target="https://www.lovethework.com/work/entries/diary-of-a-head-injury-753514" TargetMode="External" Id="rId50"/><Relationship Type="http://schemas.openxmlformats.org/officeDocument/2006/relationships/hyperlink" Target="https://www.lovethework.com/work/entries/the-trial-film-753432" TargetMode="External" Id="rId51"/><Relationship Type="http://schemas.openxmlformats.org/officeDocument/2006/relationships/hyperlink" Target="https://www.lovethework.com/work/entries/the-count-759685" TargetMode="External" Id="rId52"/><Relationship Type="http://schemas.openxmlformats.org/officeDocument/2006/relationships/hyperlink" Target="https://www.lovethework.com/work/entries/this-is-not-a-game-763210" TargetMode="External" Id="rId53"/><Relationship Type="http://schemas.openxmlformats.org/officeDocument/2006/relationships/hyperlink" Target="https://www.lovethework.com/work/entries/never-just-a-period-753006" TargetMode="External" Id="rId54"/><Relationship Type="http://schemas.openxmlformats.org/officeDocument/2006/relationships/hyperlink" Target="https://ascentialcdn.filespin.io/api/v1/conversion/622c651b611b41e88a708572da8762a5" TargetMode="External" Id="rId55"/><Relationship Type="http://schemas.openxmlformats.org/officeDocument/2006/relationships/hyperlink" Target="https://www.lovethework.com/work/entries/drops-of-hope-753250" TargetMode="External" Id="rId56"/><Relationship Type="http://schemas.openxmlformats.org/officeDocument/2006/relationships/hyperlink" Target="https://www.lovethework.com/work/entries/the-rarest-stars-shine-brightest-753581" TargetMode="External" Id="rId57"/><Relationship Type="http://schemas.openxmlformats.org/officeDocument/2006/relationships/hyperlink" Target="https://ascentialcdn.filespin.io/api/v1/storyboard/3c89dcc9d1194decbc1e8c31a1ed73bc/storyboard_000008.jpg" TargetMode="External" Id="rId58"/><Relationship Type="http://schemas.openxmlformats.org/officeDocument/2006/relationships/hyperlink" Target="https://www.lovethework.com/work/entries/the-periodic-fable-790007" TargetMode="External" Id="rId59"/><Relationship Type="http://schemas.openxmlformats.org/officeDocument/2006/relationships/hyperlink" Target="https://ascentialcdn.filespin.io/api/v1/conversion/fa18ae2d14e84c4f8e589fb474f6cf2f" TargetMode="External" Id="rId60"/><Relationship Type="http://schemas.openxmlformats.org/officeDocument/2006/relationships/hyperlink" Target="https://www.lovethework.com/work/entries/arts-missing-period-779399" TargetMode="External" Id="rId61"/><Relationship Type="http://schemas.openxmlformats.org/officeDocument/2006/relationships/hyperlink" Target="https://ascentialcdn.filespin.io/api/v1/conversion/1e629829a1314891907fcdf2e45ced1c" TargetMode="External" Id="rId62"/><Relationship Type="http://schemas.openxmlformats.org/officeDocument/2006/relationships/hyperlink" Target="https://www.lovethework.com/work/entries/supernova-adaptive-778655" TargetMode="External" Id="rId63"/><Relationship Type="http://schemas.openxmlformats.org/officeDocument/2006/relationships/hyperlink" Target="https://ascentialcdn.filespin.io/api/v1/conversion/e10de6b252874bff954d07054112fa2a" TargetMode="External" Id="rId64"/><Relationship Type="http://schemas.openxmlformats.org/officeDocument/2006/relationships/hyperlink" Target="https://www.lovethework.com/work/entries/beat-cancer-off-789847" TargetMode="External" Id="rId65"/><Relationship Type="http://schemas.openxmlformats.org/officeDocument/2006/relationships/hyperlink" Target="https://ascentialcdn.filespin.io/api/v1/conversion/9975b14b1e7647b983bec25a3c5af021" TargetMode="External" Id="rId66"/><Relationship Type="http://schemas.openxmlformats.org/officeDocument/2006/relationships/hyperlink" Target="https://www.lovethework.com/work/entries/vehicle-of-hope-775600" TargetMode="External" Id="rId67"/><Relationship Type="http://schemas.openxmlformats.org/officeDocument/2006/relationships/hyperlink" Target="https://ascentialcdn.filespin.io/api/v1/conversion/099cfcfe9a834dfead2734b940b49df1" TargetMode="External" Id="rId68"/><Relationship Type="http://schemas.openxmlformats.org/officeDocument/2006/relationships/hyperlink" Target="https://www.lovethework.com/work/entries/donate-to-play-790142" TargetMode="External" Id="rId69"/><Relationship Type="http://schemas.openxmlformats.org/officeDocument/2006/relationships/hyperlink" Target="https://ascentialcdn.filespin.io/api/v1/conversion/1506df521bd24d23b9eb34952e37434e" TargetMode="External" Id="rId70"/><Relationship Type="http://schemas.openxmlformats.org/officeDocument/2006/relationships/hyperlink" Target="https://www.lovethework.com/work/entries/the-paid-relief-na-conta-da-dor-789951" TargetMode="External" Id="rId71"/><Relationship Type="http://schemas.openxmlformats.org/officeDocument/2006/relationships/hyperlink" Target="https://ascentialcdn.filespin.io/api/v1/storyboard/78fb105d4f354309b6a7f905bbc3b9fa/storyboard_000008.jpg" TargetMode="External" Id="rId72"/><Relationship Type="http://schemas.openxmlformats.org/officeDocument/2006/relationships/hyperlink" Target="https://www.lovethework.com/work/entries/own-your-flow-789272" TargetMode="External" Id="rId73"/><Relationship Type="http://schemas.openxmlformats.org/officeDocument/2006/relationships/hyperlink" Target="https://ascentialcdn.filespin.io/api/v1/conversion/882e13bc262f43858c4e49a7e3625a16" TargetMode="External" Id="rId74"/><Relationship Type="http://schemas.openxmlformats.org/officeDocument/2006/relationships/hyperlink" Target="https://www.lovethework.com/work/entries/magnif-eye-790000" TargetMode="External" Id="rId75"/><Relationship Type="http://schemas.openxmlformats.org/officeDocument/2006/relationships/hyperlink" Target="https://ascentialcdn.filespin.io/api/v1/conversion/f585c243ff8e49a79422e63219598d81" TargetMode="External" Id="rId76"/><Relationship Type="http://schemas.openxmlformats.org/officeDocument/2006/relationships/hyperlink" Target="https://www.lovethework.com/work/entries/duobell-775724" TargetMode="External" Id="rId77"/><Relationship Type="http://schemas.openxmlformats.org/officeDocument/2006/relationships/hyperlink" Target="https://ascentialcdn.filespin.io/api/v1/conversion/d2f21ec652cb4726887c917cdb2ba319" TargetMode="External" Id="rId78"/><Relationship Type="http://schemas.openxmlformats.org/officeDocument/2006/relationships/hyperlink" Target="https://www.lovethework.com/work/entries/indianis-dentris-775545" TargetMode="External" Id="rId79"/><Relationship Type="http://schemas.openxmlformats.org/officeDocument/2006/relationships/hyperlink" Target="https://ascentialcdn.filespin.io/api/v1/conversion/b965086289a24f9fa6613ba85a393624" TargetMode="External" Id="rId80"/><Relationship Type="http://schemas.openxmlformats.org/officeDocument/2006/relationships/hyperlink" Target="https://www.lovethework.com/work/entries/the-undropped-kit-790030" TargetMode="External" Id="rId81"/><Relationship Type="http://schemas.openxmlformats.org/officeDocument/2006/relationships/hyperlink" Target="https://ascentialcdn.filespin.io/api/v1/conversion/d28b71212f9844d18ed6c8cabb812710" TargetMode="External" Id="rId82"/><Relationship Type="http://schemas.openxmlformats.org/officeDocument/2006/relationships/hyperlink" Target="https://www.lovethework.com/work/entries/infinite-saree-775573" TargetMode="External" Id="rId83"/><Relationship Type="http://schemas.openxmlformats.org/officeDocument/2006/relationships/hyperlink" Target="https://ascentialcdn.filespin.io/api/v1/conversion/6427d53fa1ab472195bc3b85426b045c" TargetMode="External" Id="rId84"/><Relationship Type="http://schemas.openxmlformats.org/officeDocument/2006/relationships/hyperlink" Target="https://www.lovethework.com/work/entries/2036-779859" TargetMode="External" Id="rId85"/><Relationship Type="http://schemas.openxmlformats.org/officeDocument/2006/relationships/hyperlink" Target="https://ascentialcdn.filespin.io/api/v1/conversion/d482281e84fd4e5184d263e19a5e12c2" TargetMode="External" Id="rId86"/><Relationship Type="http://schemas.openxmlformats.org/officeDocument/2006/relationships/hyperlink" Target="https://www.lovethework.com/work/entries/fair-play-778576" TargetMode="External" Id="rId87"/><Relationship Type="http://schemas.openxmlformats.org/officeDocument/2006/relationships/hyperlink" Target="https://ascentialcdn.filespin.io/api/v1/conversion/099cfcfe9a834dfead2734b940b49df1" TargetMode="External" Id="rId88"/><Relationship Type="http://schemas.openxmlformats.org/officeDocument/2006/relationships/hyperlink" Target="https://www.lovethework.com/work/entries/donate-to-play-779652" TargetMode="External" Id="rId89"/><Relationship Type="http://schemas.openxmlformats.org/officeDocument/2006/relationships/hyperlink" Target="https://ascentialcdn.filespin.io/api/v1/conversion/a82c99df25a94d7f8742813ef50d7ecf" TargetMode="External" Id="rId90"/><Relationship Type="http://schemas.openxmlformats.org/officeDocument/2006/relationships/hyperlink" Target="https://www.lovethework.com/work/entries/vaseline-and-the-real-nigerian-prince-789271" TargetMode="External" Id="rId91"/><Relationship Type="http://schemas.openxmlformats.org/officeDocument/2006/relationships/hyperlink" Target="https://ascentialcdn.filespin.io/api/v1/conversion/fa18ae2d14e84c4f8e589fb474f6cf2f" TargetMode="External" Id="rId92"/><Relationship Type="http://schemas.openxmlformats.org/officeDocument/2006/relationships/hyperlink" Target="https://www.lovethework.com/work/entries/arts-missing-period-789964" TargetMode="External" Id="rId93"/><Relationship Type="http://schemas.openxmlformats.org/officeDocument/2006/relationships/hyperlink" Target="https://ascentialcdn.filespin.io/api/v1/conversion/b29f9d5ae49141e2b4ae54ddbce135d6" TargetMode="External" Id="rId94"/><Relationship Type="http://schemas.openxmlformats.org/officeDocument/2006/relationships/hyperlink" Target="https://www.lovethework.com/work/entries/the-58-year-old-rookie-789815" TargetMode="External" Id="rId95"/><Relationship Type="http://schemas.openxmlformats.org/officeDocument/2006/relationships/hyperlink" Target="https://ascentialcdn.filespin.io/api/v1/conversion/301701a6ed124052b9856aad00f57e96" TargetMode="External" Id="rId96"/><Relationship Type="http://schemas.openxmlformats.org/officeDocument/2006/relationships/hyperlink" Target="https://www.lovethework.com/work/entries/hearapy-775558" TargetMode="External" Id="rId97"/><Relationship Type="http://schemas.openxmlformats.org/officeDocument/2006/relationships/hyperlink" Target="https://ascentialcdn.filespin.io/api/v1/conversion/5c8cd03e4ad746ab922a09102ec5d7ac" TargetMode="External" Id="rId98"/><Relationship Type="http://schemas.openxmlformats.org/officeDocument/2006/relationships/hyperlink" Target="https://www.lovethework.com/work/entries/no-frame-missed-777682" TargetMode="External" Id="rId99"/><Relationship Type="http://schemas.openxmlformats.org/officeDocument/2006/relationships/hyperlink" Target="https://ascentialcdn.filespin.io/api/v1/conversion/88d0116427ef44deb6aab1de39d75aea" TargetMode="External" Id="rId100"/><Relationship Type="http://schemas.openxmlformats.org/officeDocument/2006/relationships/hyperlink" Target="https://www.lovethework.com/work/entries/colorfood-779748" TargetMode="External" Id="rId101"/><Relationship Type="http://schemas.openxmlformats.org/officeDocument/2006/relationships/hyperlink" Target="https://ascentialcdn.filespin.io/api/v1/storyboard/538e0c3e8d3546ce8648e6891602950e/storyboard_000008.jpg" TargetMode="External" Id="rId102"/><Relationship Type="http://schemas.openxmlformats.org/officeDocument/2006/relationships/hyperlink" Target="https://www.lovethework.com/work/entries/escape-vehicle-790005" TargetMode="External" Id="rId103"/><Relationship Type="http://schemas.openxmlformats.org/officeDocument/2006/relationships/hyperlink" Target="https://ascentialcdn.filespin.io/api/v1/storyboard/631d3810fb234f9e96da7e75b811f444/storyboard_000008.jpg" TargetMode="External" Id="rId104"/><Relationship Type="http://schemas.openxmlformats.org/officeDocument/2006/relationships/hyperlink" Target="https://www.lovethework.com/work/entries/the-shooting-775763" TargetMode="External" Id="rId105"/><Relationship Type="http://schemas.openxmlformats.org/officeDocument/2006/relationships/hyperlink" Target="https://ascentialcdn.filespin.io/api/v1/storyboard/f840ad18f88245f099c2cb8cb59c3dc5/storyboard_000008.jpg" TargetMode="External" Id="rId106"/><Relationship Type="http://schemas.openxmlformats.org/officeDocument/2006/relationships/hyperlink" Target="https://www.lovethework.com/work/entries/unloved-789305" TargetMode="External" Id="rId107"/><Relationship Type="http://schemas.openxmlformats.org/officeDocument/2006/relationships/hyperlink" Target="https://ascentialcdn.filespin.io/api/v1/conversion/65f596aa9b584ef18846f7952595fa9b" TargetMode="External" Id="rId108"/><Relationship Type="http://schemas.openxmlformats.org/officeDocument/2006/relationships/hyperlink" Target="https://www.lovethework.com/work/entries/cerave-the-new-face-of-legs-790063" TargetMode="External" Id="rId109"/><Relationship Type="http://schemas.openxmlformats.org/officeDocument/2006/relationships/hyperlink" Target="https://ascentialcdn.filespin.io/api/v1/conversion/e10de6b252874bff954d07054112fa2a" TargetMode="External" Id="rId110"/><Relationship Type="http://schemas.openxmlformats.org/officeDocument/2006/relationships/hyperlink" Target="https://www.lovethework.com/work/entries/beat-cancer-off-789827" TargetMode="External" Id="rId111"/><Relationship Type="http://schemas.openxmlformats.org/officeDocument/2006/relationships/hyperlink" Target="https://ascentialcdn.filespin.io/api/v1/storyboard/d8e85f81210049a19b20416706fd12c4/storyboard_000008.jpg" TargetMode="External" Id="rId112"/><Relationship Type="http://schemas.openxmlformats.org/officeDocument/2006/relationships/hyperlink" Target="https://www.lovethework.com/work/entries/renu-vs-the-city-790070" TargetMode="External" Id="rId113"/><Relationship Type="http://schemas.openxmlformats.org/officeDocument/2006/relationships/hyperlink" Target="https://ascentialcdn.filespin.io/api/v1/conversion/0a091e19f5b24275be9e1ace70d87d4a" TargetMode="External" Id="rId114"/><Relationship Type="http://schemas.openxmlformats.org/officeDocument/2006/relationships/hyperlink" Target="https://www.lovethework.com/work/entries/the-swedish-prescription-789369" TargetMode="External" Id="rId115"/><Relationship Type="http://schemas.openxmlformats.org/officeDocument/2006/relationships/hyperlink" Target="https://ascentialcdn.filespin.io/api/v1/conversion/b0214ad7232144c599d153dcb4e2ac70" TargetMode="External" Id="rId116"/><Relationship Type="http://schemas.openxmlformats.org/officeDocument/2006/relationships/hyperlink" Target="https://www.lovethework.com/work/entries/pedigree-caramelo-789856" TargetMode="External" Id="rId117"/><Relationship Type="http://schemas.openxmlformats.org/officeDocument/2006/relationships/hyperlink" Target="https://ascentialcdn.filespin.io/api/v1/conversion/7561c930ebf14dc0bac91788c0286390" TargetMode="External" Id="rId118"/><Relationship Type="http://schemas.openxmlformats.org/officeDocument/2006/relationships/hyperlink" Target="https://www.lovethework.com/work/entries/protest-march-of-the-penguins-775536" TargetMode="External" Id="rId119"/></Relationships>
</file>

<file path=xl/worksheets/_rels/sheet30.xml.rels><Relationships xmlns="http://schemas.openxmlformats.org/package/2006/relationships"><Relationship Type="http://schemas.openxmlformats.org/officeDocument/2006/relationships/hyperlink" Target="https://www.lovethework.com/work/entries/the-best-place-in-the-world-to-have-herpes-767496" TargetMode="External" Id="rId1"/><Relationship Type="http://schemas.openxmlformats.org/officeDocument/2006/relationships/hyperlink" Target="https://ascentialcdn.filespin.io/api/v1/conversion/9975b14b1e7647b983bec25a3c5af021" TargetMode="External" Id="rId2"/><Relationship Type="http://schemas.openxmlformats.org/officeDocument/2006/relationships/hyperlink" Target="https://www.lovethework.com/work/entries/vehicle-of-hope-775600" TargetMode="External" Id="rId3"/></Relationships>
</file>

<file path=xl/worksheets/_rels/sheet31.xml.rels><Relationships xmlns="http://schemas.openxmlformats.org/package/2006/relationships"><Relationship Type="http://schemas.openxmlformats.org/officeDocument/2006/relationships/hyperlink" Target="https://www.lovethework.com/work/entries/make-love-last-bedroom-752901" TargetMode="External" Id="rId1"/><Relationship Type="http://schemas.openxmlformats.org/officeDocument/2006/relationships/hyperlink" Target="https://ascentialcdn.filespin.io/api/v1/conversion/fd234ce7b17e4ff083175e878a0dcc9e" TargetMode="External" Id="rId2"/><Relationship Type="http://schemas.openxmlformats.org/officeDocument/2006/relationships/hyperlink" Target="https://www.lovethework.com/work/entries/friedreichs-back-752797" TargetMode="External" Id="rId3"/><Relationship Type="http://schemas.openxmlformats.org/officeDocument/2006/relationships/hyperlink" Target="https://ascentialcdn.filespin.io/api/v1/conversion/890f5040eb2d4dbdbaa5b4f333e85719" TargetMode="External" Id="rId4"/><Relationship Type="http://schemas.openxmlformats.org/officeDocument/2006/relationships/hyperlink" Target="https://www.lovethework.com/work/entries/glowing-relief-764131" TargetMode="External" Id="rId5"/><Relationship Type="http://schemas.openxmlformats.org/officeDocument/2006/relationships/hyperlink" Target="https://ascentialcdn.filespin.io/api/v1/conversion/762f141aa6fc442dad023f1af28469d8" TargetMode="External" Id="rId6"/><Relationship Type="http://schemas.openxmlformats.org/officeDocument/2006/relationships/hyperlink" Target="https://www.lovethework.com/work/entries/dawai-reader-752957" TargetMode="External" Id="rId7"/><Relationship Type="http://schemas.openxmlformats.org/officeDocument/2006/relationships/hyperlink" Target="https://ascentialcdn.filespin.io/api/v1/conversion/823ab3c84f2544f5ba3ad5839f2d5e4b" TargetMode="External" Id="rId8"/><Relationship Type="http://schemas.openxmlformats.org/officeDocument/2006/relationships/hyperlink" Target="https://www.lovethework.com/work/entries/no-more-hippocrites-752770" TargetMode="External" Id="rId9"/><Relationship Type="http://schemas.openxmlformats.org/officeDocument/2006/relationships/hyperlink" Target="https://ascentialcdn.filespin.io/api/v1/conversion/624a82c03eb34a1e8a6359e0f28b8b71" TargetMode="External" Id="rId10"/><Relationship Type="http://schemas.openxmlformats.org/officeDocument/2006/relationships/hyperlink" Target="https://www.lovethework.com/work/entries/dont-stop-motion-752912" TargetMode="External" Id="rId11"/><Relationship Type="http://schemas.openxmlformats.org/officeDocument/2006/relationships/hyperlink" Target="https://ascentialcdn.filespin.io/api/v1/conversion/36a5e9332fc143ed9a375ed95c71f5d7" TargetMode="External" Id="rId12"/><Relationship Type="http://schemas.openxmlformats.org/officeDocument/2006/relationships/hyperlink" Target="https://www.lovethework.com/work/entries/painvisible-752908" TargetMode="External" Id="rId13"/><Relationship Type="http://schemas.openxmlformats.org/officeDocument/2006/relationships/hyperlink" Target="https://www.lovethework.com/work/entries/scratched-out-752900" TargetMode="External" Id="rId14"/><Relationship Type="http://schemas.openxmlformats.org/officeDocument/2006/relationships/hyperlink" Target="https://ascentialcdn.filespin.io/api/v1/conversion/cd58f44ccf4c418a98a0074ed522d7d6" TargetMode="External" Id="rId15"/><Relationship Type="http://schemas.openxmlformats.org/officeDocument/2006/relationships/hyperlink" Target="https://www.lovethework.com/work/entries/pick-up-your-poop-764312" TargetMode="External" Id="rId16"/></Relationships>
</file>

<file path=xl/worksheets/_rels/sheet32.xml.rels><Relationships xmlns="http://schemas.openxmlformats.org/package/2006/relationships"><Relationship Type="http://schemas.openxmlformats.org/officeDocument/2006/relationships/hyperlink" Target="https://ascentialcdn.filespin.io/api/v1/conversion/c125657ef0f84557825eba78ef7e3d63" TargetMode="External" Id="rId1"/><Relationship Type="http://schemas.openxmlformats.org/officeDocument/2006/relationships/hyperlink" Target="https://www.lovethework.com/work/entries/shot-on-iphone-765239" TargetMode="External" Id="rId2"/><Relationship Type="http://schemas.openxmlformats.org/officeDocument/2006/relationships/hyperlink" Target="https://ascentialcdn.filespin.io/api/v1/conversion/7c2d069dafe1485c9e355a842cdb238d" TargetMode="External" Id="rId3"/><Relationship Type="http://schemas.openxmlformats.org/officeDocument/2006/relationships/hyperlink" Target="https://www.lovethework.com/work/entries/the-everyday-tactician-how-getting-a-football-club-promoted-helped-xbox-take-a-step-closer-to-the-future-of-gaming-764812" TargetMode="External" Id="rId4"/><Relationship Type="http://schemas.openxmlformats.org/officeDocument/2006/relationships/hyperlink" Target="https://www.lovethework.com/work/entries/dont-drink-hertog-jan-761647" TargetMode="External" Id="rId5"/><Relationship Type="http://schemas.openxmlformats.org/officeDocument/2006/relationships/hyperlink" Target="https://ascentialcdn.filespin.io/api/v1/conversion/907772d8708748d5b4087c68c1b6fdf9" TargetMode="External" Id="rId6"/><Relationship Type="http://schemas.openxmlformats.org/officeDocument/2006/relationships/hyperlink" Target="https://www.lovethework.com/work/entries/the-misheard-version-751965" TargetMode="External" Id="rId7"/><Relationship Type="http://schemas.openxmlformats.org/officeDocument/2006/relationships/hyperlink" Target="https://ascentialcdn.filespin.io/api/v1/conversion/f046264282904c7b9cf6f37b69173ec2" TargetMode="External" Id="rId8"/><Relationship Type="http://schemas.openxmlformats.org/officeDocument/2006/relationships/hyperlink" Target="https://www.lovethework.com/work/entries/samsung-throwback-deals-752109" TargetMode="External" Id="rId9"/><Relationship Type="http://schemas.openxmlformats.org/officeDocument/2006/relationships/hyperlink" Target="https://ascentialcdn.filespin.io/api/v1/conversion/1c2573f5cf2c4b78af5a4b42f75ac2c2" TargetMode="External" Id="rId10"/><Relationship Type="http://schemas.openxmlformats.org/officeDocument/2006/relationships/hyperlink" Target="https://www.lovethework.com/work/entries/real-beauty-how-a-soap-brand-created-a-global-self-esteem-movement-765245" TargetMode="External" Id="rId11"/><Relationship Type="http://schemas.openxmlformats.org/officeDocument/2006/relationships/hyperlink" Target="https://ascentialcdn.filespin.io/api/v1/conversion/8bd771cfe9f74489a6ecf874a92cac25" TargetMode="External" Id="rId12"/><Relationship Type="http://schemas.openxmlformats.org/officeDocument/2006/relationships/hyperlink" Target="https://www.lovethework.com/work/entries/no-smiles-752049" TargetMode="External" Id="rId13"/><Relationship Type="http://schemas.openxmlformats.org/officeDocument/2006/relationships/hyperlink" Target="https://ascentialcdn.filespin.io/api/v1/conversion/fccf3dc65a7040fcbc382da62a1bcf0b" TargetMode="External" Id="rId14"/><Relationship Type="http://schemas.openxmlformats.org/officeDocument/2006/relationships/hyperlink" Target="https://www.lovethework.com/work/entries/find-your-summer-761700" TargetMode="External" Id="rId15"/><Relationship Type="http://schemas.openxmlformats.org/officeDocument/2006/relationships/hyperlink" Target="https://ascentialcdn.filespin.io/api/v1/conversion/79595be993234fda94d72414b4e673e2" TargetMode="External" Id="rId16"/><Relationship Type="http://schemas.openxmlformats.org/officeDocument/2006/relationships/hyperlink" Target="https://www.lovethework.com/work/entries/handshake-hunt-761683" TargetMode="External" Id="rId17"/><Relationship Type="http://schemas.openxmlformats.org/officeDocument/2006/relationships/hyperlink" Target="https://ascentialcdn.filespin.io/api/v1/conversion/0f9e4316f9644aad87356635e8f39cf3" TargetMode="External" Id="rId18"/><Relationship Type="http://schemas.openxmlformats.org/officeDocument/2006/relationships/hyperlink" Target="https://www.lovethework.com/work/entries/refurb-761714" TargetMode="External" Id="rId19"/><Relationship Type="http://schemas.openxmlformats.org/officeDocument/2006/relationships/hyperlink" Target="https://ascentialcdn.filespin.io/api/v1/conversion/d2ae25cdfd9c418185c6cac4e75b98fe" TargetMode="External" Id="rId20"/><Relationship Type="http://schemas.openxmlformats.org/officeDocument/2006/relationships/hyperlink" Target="https://www.lovethework.com/work/entries/a-piece-of-me-752147" TargetMode="External" Id="rId21"/><Relationship Type="http://schemas.openxmlformats.org/officeDocument/2006/relationships/hyperlink" Target="https://ascentialcdn.filespin.io/api/v1/conversion/a30647b18cf146969ce30881a640aca9" TargetMode="External" Id="rId22"/><Relationship Type="http://schemas.openxmlformats.org/officeDocument/2006/relationships/hyperlink" Target="https://www.lovethework.com/work/entries/michael-cerave-751766" TargetMode="External" Id="rId23"/><Relationship Type="http://schemas.openxmlformats.org/officeDocument/2006/relationships/hyperlink" Target="https://ascentialcdn.filespin.io/api/v1/conversion/038bde04baf641f5b86d5ffc16e16c00" TargetMode="External" Id="rId24"/><Relationship Type="http://schemas.openxmlformats.org/officeDocument/2006/relationships/hyperlink" Target="https://www.lovethework.com/work/entries/gravy-race-752096" TargetMode="External" Id="rId25"/><Relationship Type="http://schemas.openxmlformats.org/officeDocument/2006/relationships/hyperlink" Target="https://ascentialcdn.filespin.io/api/v1/conversion/d6e660ee3971457587da9b43b2d99c60" TargetMode="External" Id="rId26"/><Relationship Type="http://schemas.openxmlformats.org/officeDocument/2006/relationships/hyperlink" Target="https://www.lovethework.com/work/entries/transition-body-lotion-752021" TargetMode="External" Id="rId27"/><Relationship Type="http://schemas.openxmlformats.org/officeDocument/2006/relationships/hyperlink" Target="https://ascentialcdn.filespin.io/api/v1/conversion/837c7b2b781b41c9b041f7afafd7a9b2" TargetMode="External" Id="rId28"/><Relationship Type="http://schemas.openxmlformats.org/officeDocument/2006/relationships/hyperlink" Target="https://www.lovethework.com/work/entries/sightwalks-761736" TargetMode="External" Id="rId29"/><Relationship Type="http://schemas.openxmlformats.org/officeDocument/2006/relationships/hyperlink" Target="https://ascentialcdn.filespin.io/api/v1/conversion/989e071cb1954ab69e5f7405a82bdb43" TargetMode="External" Id="rId30"/><Relationship Type="http://schemas.openxmlformats.org/officeDocument/2006/relationships/hyperlink" Target="https://www.lovethework.com/work/entries/heinz-ketchup-seemingly-ranch-752139" TargetMode="External" Id="rId31"/><Relationship Type="http://schemas.openxmlformats.org/officeDocument/2006/relationships/hyperlink" Target="https://ascentialcdn.filespin.io/api/v1/conversion/7c2d069dafe1485c9e355a842cdb238d" TargetMode="External" Id="rId32"/><Relationship Type="http://schemas.openxmlformats.org/officeDocument/2006/relationships/hyperlink" Target="https://www.lovethework.com/work/entries/the-everyday-tactician-how-getting-a-football-club-promoted-helped-xbox-take-a-step-closer-to-the-future-of-gaming-764822" TargetMode="External" Id="rId33"/><Relationship Type="http://schemas.openxmlformats.org/officeDocument/2006/relationships/hyperlink" Target="https://ascentialcdn.filespin.io/api/v1/conversion/e1a85ff134e545c7b049791151432028" TargetMode="External" Id="rId34"/><Relationship Type="http://schemas.openxmlformats.org/officeDocument/2006/relationships/hyperlink" Target="https://www.lovethework.com/work/entries/three-words-788917" TargetMode="External" Id="rId35"/><Relationship Type="http://schemas.openxmlformats.org/officeDocument/2006/relationships/hyperlink" Target="https://ascentialcdn.filespin.io/api/v1/conversion/61f3c230a91e417397304be1d6a0ef2d" TargetMode="External" Id="rId36"/><Relationship Type="http://schemas.openxmlformats.org/officeDocument/2006/relationships/hyperlink" Target="https://www.lovethework.com/work/entries/pedigree-caramelo-788539" TargetMode="External" Id="rId37"/><Relationship Type="http://schemas.openxmlformats.org/officeDocument/2006/relationships/hyperlink" Target="https://ascentialcdn.filespin.io/api/v1/conversion/e1a85ff134e545c7b049791151432028" TargetMode="External" Id="rId38"/><Relationship Type="http://schemas.openxmlformats.org/officeDocument/2006/relationships/hyperlink" Target="https://www.lovethework.com/work/entries/three-words-788926" TargetMode="External" Id="rId39"/><Relationship Type="http://schemas.openxmlformats.org/officeDocument/2006/relationships/hyperlink" Target="https://ascentialcdn.filespin.io/api/v1/conversion/bdc3e17665e54318a6a9b4e6705f40a7" TargetMode="External" Id="rId40"/><Relationship Type="http://schemas.openxmlformats.org/officeDocument/2006/relationships/hyperlink" Target="https://www.lovethework.com/work/entries/football-is-for-food-788547" TargetMode="External" Id="rId41"/><Relationship Type="http://schemas.openxmlformats.org/officeDocument/2006/relationships/hyperlink" Target="https://ascentialcdn.filespin.io/api/v1/conversion/61f3c230a91e417397304be1d6a0ef2d" TargetMode="External" Id="rId42"/><Relationship Type="http://schemas.openxmlformats.org/officeDocument/2006/relationships/hyperlink" Target="https://www.lovethework.com/work/entries/pedigree-caramelo-788563" TargetMode="External" Id="rId43"/><Relationship Type="http://schemas.openxmlformats.org/officeDocument/2006/relationships/hyperlink" Target="https://ascentialcdn.filespin.io/api/v1/conversion/237ade5924eb407898bf58d19f58a52a" TargetMode="External" Id="rId44"/><Relationship Type="http://schemas.openxmlformats.org/officeDocument/2006/relationships/hyperlink" Target="https://ascentialcdn.filespin.io/api/v1/conversion/faf0755b0d4e4594ad93cb75d6288e3d" TargetMode="External" Id="rId45"/><Relationship Type="http://schemas.openxmlformats.org/officeDocument/2006/relationships/hyperlink" Target="https://www.lovethework.com/work/entries/vaseline-verified-788924" TargetMode="External" Id="rId46"/><Relationship Type="http://schemas.openxmlformats.org/officeDocument/2006/relationships/hyperlink" Target="https://ascentialcdn.filespin.io/api/v1/conversion/1890accae718466e8fd9b145811fd0c7" TargetMode="External" Id="rId47"/><Relationship Type="http://schemas.openxmlformats.org/officeDocument/2006/relationships/hyperlink" Target="https://www.lovethework.com/work/entries/my-japan-railway-789232" TargetMode="External" Id="rId48"/><Relationship Type="http://schemas.openxmlformats.org/officeDocument/2006/relationships/hyperlink" Target="https://ascentialcdn.filespin.io/api/v1/conversion/8223f25b769b40e3b665c4ec19e2e12c" TargetMode="External" Id="rId49"/><Relationship Type="http://schemas.openxmlformats.org/officeDocument/2006/relationships/hyperlink" Target="https://www.lovethework.com/work/entries/preserved-promos-789229" TargetMode="External" Id="rId50"/><Relationship Type="http://schemas.openxmlformats.org/officeDocument/2006/relationships/hyperlink" Target="https://ascentialcdn.filespin.io/api/v1/conversion/faf0755b0d4e4594ad93cb75d6288e3d" TargetMode="External" Id="rId51"/><Relationship Type="http://schemas.openxmlformats.org/officeDocument/2006/relationships/hyperlink" Target="https://www.lovethework.com/work/entries/vaseline-verified-788913" TargetMode="External" Id="rId52"/><Relationship Type="http://schemas.openxmlformats.org/officeDocument/2006/relationships/hyperlink" Target="https://ascentialcdn.filespin.io/api/v1/conversion/61f3c230a91e417397304be1d6a0ef2d" TargetMode="External" Id="rId53"/><Relationship Type="http://schemas.openxmlformats.org/officeDocument/2006/relationships/hyperlink" Target="https://www.lovethework.com/work/entries/pedigree-caramelo-788575" TargetMode="External" Id="rId54"/><Relationship Type="http://schemas.openxmlformats.org/officeDocument/2006/relationships/hyperlink" Target="https://ascentialcdn.filespin.io/api/v1/conversion/e1a85ff134e545c7b049791151432028" TargetMode="External" Id="rId55"/><Relationship Type="http://schemas.openxmlformats.org/officeDocument/2006/relationships/hyperlink" Target="https://www.lovethework.com/work/entries/three-words-788918" TargetMode="External" Id="rId56"/><Relationship Type="http://schemas.openxmlformats.org/officeDocument/2006/relationships/hyperlink" Target="https://ascentialcdn.filespin.io/api/v1/conversion/1d6f8cfcad1b47c9beaa5f403844ec8a" TargetMode="External" Id="rId57"/><Relationship Type="http://schemas.openxmlformats.org/officeDocument/2006/relationships/hyperlink" Target="https://www.lovethework.com/work/entries/u-up-788832" TargetMode="External" Id="rId58"/><Relationship Type="http://schemas.openxmlformats.org/officeDocument/2006/relationships/hyperlink" Target="https://ascentialcdn.filespin.io/api/v1/conversion/34b62cde994e47d49bb27f4b3e44ff90" TargetMode="External" Id="rId59"/><Relationship Type="http://schemas.openxmlformats.org/officeDocument/2006/relationships/hyperlink" Target="https://www.lovethework.com/work/entries/the-final-copy-of-ilon-specht-788602" TargetMode="External" Id="rId60"/></Relationships>
</file>

<file path=xl/worksheets/_rels/sheet33.xml.rels><Relationships xmlns="http://schemas.openxmlformats.org/package/2006/relationships"><Relationship Type="http://schemas.openxmlformats.org/officeDocument/2006/relationships/hyperlink" Target="https://www.lovethework.com/work/entries/real-beauty-how-a-soap-brand-created-a-global-self-esteem-movement-757207" TargetMode="External" Id="rId1"/><Relationship Type="http://schemas.openxmlformats.org/officeDocument/2006/relationships/hyperlink" Target="https://www.lovethework.com/work/entries/sato-2531-756616" TargetMode="External" Id="rId2"/><Relationship Type="http://schemas.openxmlformats.org/officeDocument/2006/relationships/hyperlink" Target="https://www.lovethework.com/work/entries/humanimal-tourism-756682" TargetMode="External" Id="rId3"/><Relationship Type="http://schemas.openxmlformats.org/officeDocument/2006/relationships/hyperlink" Target="https://www.lovethework.com/work/entries/axa-three-words-757080" TargetMode="External" Id="rId4"/><Relationship Type="http://schemas.openxmlformats.org/officeDocument/2006/relationships/hyperlink" Target="https://ascentialcdn.filespin.io/api/v1/conversion/04e3ef953a454b9da10f1982fa8553b3" TargetMode="External" Id="rId5"/><Relationship Type="http://schemas.openxmlformats.org/officeDocument/2006/relationships/hyperlink" Target="https://www.lovethework.com/work/entries/the-new-president-756636" TargetMode="External" Id="rId6"/><Relationship Type="http://schemas.openxmlformats.org/officeDocument/2006/relationships/hyperlink" Target="https://www.lovethework.com/work/entries/pedigree-caramelo-762215" TargetMode="External" Id="rId7"/><Relationship Type="http://schemas.openxmlformats.org/officeDocument/2006/relationships/hyperlink" Target="https://ascentialcdn.filespin.io/api/v1/conversion/fd2b448479ca41b7aa08b7d8a4bd8749" TargetMode="External" Id="rId8"/><Relationship Type="http://schemas.openxmlformats.org/officeDocument/2006/relationships/hyperlink" Target="https://www.lovethework.com/work/entries/choose-uber-762197" TargetMode="External" Id="rId9"/><Relationship Type="http://schemas.openxmlformats.org/officeDocument/2006/relationships/hyperlink" Target="https://ascentialcdn.filespin.io/api/v1/conversion/b4e46a523b114724a7376a0c7e970774" TargetMode="External" Id="rId10"/><Relationship Type="http://schemas.openxmlformats.org/officeDocument/2006/relationships/hyperlink" Target="https://www.lovethework.com/work/entries/annahars-active-journalism-757177" TargetMode="External" Id="rId11"/><Relationship Type="http://schemas.openxmlformats.org/officeDocument/2006/relationships/hyperlink" Target="https://www.lovethework.com/work/entries/daisy-vs-scammers-756893" TargetMode="External" Id="rId12"/><Relationship Type="http://schemas.openxmlformats.org/officeDocument/2006/relationships/hyperlink" Target="https://www.lovethework.com/work/entries/found-in-translation-757072" TargetMode="External" Id="rId13"/><Relationship Type="http://schemas.openxmlformats.org/officeDocument/2006/relationships/hyperlink" Target="https://www.lovethework.com/work/entries/the-last-barf-bag-756641" TargetMode="External" Id="rId14"/><Relationship Type="http://schemas.openxmlformats.org/officeDocument/2006/relationships/hyperlink" Target="https://www.lovethework.com/work/entries/its-a-cheetos-thing-757167" TargetMode="External" Id="rId15"/><Relationship Type="http://schemas.openxmlformats.org/officeDocument/2006/relationships/hyperlink" Target="https://www.lovethework.com/work/entries/axa-three-words-756914" TargetMode="External" Id="rId16"/><Relationship Type="http://schemas.openxmlformats.org/officeDocument/2006/relationships/hyperlink" Target="https://www.lovethework.com/work/entries/get-comfortable-756571" TargetMode="External" Id="rId17"/><Relationship Type="http://schemas.openxmlformats.org/officeDocument/2006/relationships/hyperlink" Target="https://www.lovethework.com/work/entries/the-princess-the-crown-756938" TargetMode="External" Id="rId18"/><Relationship Type="http://schemas.openxmlformats.org/officeDocument/2006/relationships/hyperlink" Target="https://www.lovethework.com/work/entries/guarded-bus-stop-762347" TargetMode="External" Id="rId19"/><Relationship Type="http://schemas.openxmlformats.org/officeDocument/2006/relationships/hyperlink" Target="https://www.lovethework.com/work/entries/meet-marina-prieto-756662" TargetMode="External" Id="rId20"/><Relationship Type="http://schemas.openxmlformats.org/officeDocument/2006/relationships/hyperlink" Target="https://www.lovethework.com/work/entries/transition-body-lotion-757003" TargetMode="External" Id="rId21"/><Relationship Type="http://schemas.openxmlformats.org/officeDocument/2006/relationships/hyperlink" Target="https://ascentialcdn.filespin.io/api/v1/conversion/86282110e23b4b43a6d78c517dc757a2" TargetMode="External" Id="rId22"/><Relationship Type="http://schemas.openxmlformats.org/officeDocument/2006/relationships/hyperlink" Target="https://www.lovethework.com/work/entries/pub-museums-756811" TargetMode="External" Id="rId23"/><Relationship Type="http://schemas.openxmlformats.org/officeDocument/2006/relationships/hyperlink" Target="https://ascentialcdn.filespin.io/api/v1/conversion/abc63dd6ae264a01a36dad6fe71eb424" TargetMode="External" Id="rId24"/><Relationship Type="http://schemas.openxmlformats.org/officeDocument/2006/relationships/hyperlink" Target="https://www.lovethework.com/work/entries/child-wedding-cards-756874" TargetMode="External" Id="rId25"/><Relationship Type="http://schemas.openxmlformats.org/officeDocument/2006/relationships/hyperlink" Target="https://www.lovethework.com/work/entries/michael-cerave-762224" TargetMode="External" Id="rId26"/><Relationship Type="http://schemas.openxmlformats.org/officeDocument/2006/relationships/hyperlink" Target="https://www.lovethework.com/work/entries/the-hidden-eye-test-756664" TargetMode="External" Id="rId27"/><Relationship Type="http://schemas.openxmlformats.org/officeDocument/2006/relationships/hyperlink" Target="https://www.lovethework.com/work/entries/sounds-right-756651" TargetMode="External" Id="rId28"/><Relationship Type="http://schemas.openxmlformats.org/officeDocument/2006/relationships/hyperlink" Target="https://www.lovethework.com/work/entries/football-is-for-food-756733" TargetMode="External" Id="rId29"/><Relationship Type="http://schemas.openxmlformats.org/officeDocument/2006/relationships/hyperlink" Target="https://www.lovethework.com/work/entries/waiting-to-live-756712" TargetMode="External" Id="rId30"/><Relationship Type="http://schemas.openxmlformats.org/officeDocument/2006/relationships/hyperlink" Target="https://www.lovethework.com/work/entries/the-26th-minute-756951" TargetMode="External" Id="rId31"/><Relationship Type="http://schemas.openxmlformats.org/officeDocument/2006/relationships/hyperlink" Target="https://ascentialcdn.filespin.io/api/v1/conversion/04e3ef953a454b9da10f1982fa8553b3" TargetMode="External" Id="rId32"/><Relationship Type="http://schemas.openxmlformats.org/officeDocument/2006/relationships/hyperlink" Target="https://www.lovethework.com/work/entries/the-new-president-757020" TargetMode="External" Id="rId33"/><Relationship Type="http://schemas.openxmlformats.org/officeDocument/2006/relationships/hyperlink" Target="https://www.lovethework.com/work/entries/sato-2531-757065" TargetMode="External" Id="rId34"/><Relationship Type="http://schemas.openxmlformats.org/officeDocument/2006/relationships/hyperlink" Target="https://ascentialcdn.filespin.io/api/v1/storyboard/2cecadcb1b5f4615b4ff88f738e7c9dd/storyboard_000008.jpg" TargetMode="External" Id="rId35"/><Relationship Type="http://schemas.openxmlformats.org/officeDocument/2006/relationships/hyperlink" Target="https://www.lovethework.com/work/entries/the-pub-that-refused-to-die-791532" TargetMode="External" Id="rId36"/><Relationship Type="http://schemas.openxmlformats.org/officeDocument/2006/relationships/hyperlink" Target="https://ascentialcdn.filespin.io/api/v1/storyboard/e61bc14ecb9642bcb97d04352513b9a5/storyboard_000008.jpg" TargetMode="External" Id="rId37"/><Relationship Type="http://schemas.openxmlformats.org/officeDocument/2006/relationships/hyperlink" Target="https://www.lovethework.com/work/entries/the-faroe-islands-space-program-791486" TargetMode="External" Id="rId38"/><Relationship Type="http://schemas.openxmlformats.org/officeDocument/2006/relationships/hyperlink" Target="https://ascentialcdn.filespin.io/api/v1/storyboard/14c1c5ca87d3487f82fb2312e143b396/storyboard_000008.jpg" TargetMode="External" Id="rId39"/><Relationship Type="http://schemas.openxmlformats.org/officeDocument/2006/relationships/hyperlink" Target="https://www.lovethework.com/work/entries/dove-real-reviews-790905" TargetMode="External" Id="rId40"/><Relationship Type="http://schemas.openxmlformats.org/officeDocument/2006/relationships/hyperlink" Target="https://ascentialcdn.filespin.io/api/v1/storyboard/f7a73c93773a47d084cf9137f57a799c/storyboard_000008.jpg" TargetMode="External" Id="rId41"/><Relationship Type="http://schemas.openxmlformats.org/officeDocument/2006/relationships/hyperlink" Target="https://www.lovethework.com/work/entries/the-swedish-prescription-790909" TargetMode="External" Id="rId42"/><Relationship Type="http://schemas.openxmlformats.org/officeDocument/2006/relationships/hyperlink" Target="https://ascentialcdn.filespin.io/api/v1/storyboard/dab9c362b0f54c98988d19bcab03eb27/storyboard_000008.jpg" TargetMode="External" Id="rId43"/><Relationship Type="http://schemas.openxmlformats.org/officeDocument/2006/relationships/hyperlink" Target="https://www.lovethework.com/work/entries/tocayos-792007" TargetMode="External" Id="rId44"/><Relationship Type="http://schemas.openxmlformats.org/officeDocument/2006/relationships/hyperlink" Target="https://ascentialcdn.filespin.io/api/v1/storyboard/da89e4d511b24fea876ff6b9a7778dc2/storyboard_000008.jpg" TargetMode="External" Id="rId45"/><Relationship Type="http://schemas.openxmlformats.org/officeDocument/2006/relationships/hyperlink" Target="https://www.lovethework.com/work/entries/made-to-share-779270" TargetMode="External" Id="rId46"/><Relationship Type="http://schemas.openxmlformats.org/officeDocument/2006/relationships/hyperlink" Target="https://ascentialcdn.filespin.io/api/v1/storyboard/eb2ac004c5294ae8bb53513ac53142a9/storyboard_000008.jpg" TargetMode="External" Id="rId47"/><Relationship Type="http://schemas.openxmlformats.org/officeDocument/2006/relationships/hyperlink" Target="https://www.lovethework.com/work/entries/uncensoryourhealth-780254" TargetMode="External" Id="rId48"/><Relationship Type="http://schemas.openxmlformats.org/officeDocument/2006/relationships/hyperlink" Target="https://ascentialcdn.filespin.io/api/v1/storyboard/627f586e68344c2eb9bdafd81dea005e/storyboard_000008.jpg" TargetMode="External" Id="rId49"/><Relationship Type="http://schemas.openxmlformats.org/officeDocument/2006/relationships/hyperlink" Target="https://www.lovethework.com/work/entries/vaseline-verified-791685" TargetMode="External" Id="rId50"/><Relationship Type="http://schemas.openxmlformats.org/officeDocument/2006/relationships/hyperlink" Target="https://ascentialcdn.filespin.io/api/v1/storyboard/d0eaa8ed591c40f88d2625216c897235/storyboard_000008.jpg" TargetMode="External" Id="rId51"/><Relationship Type="http://schemas.openxmlformats.org/officeDocument/2006/relationships/hyperlink" Target="https://www.lovethework.com/work/entries/a-time-and-a-place-791695" TargetMode="External" Id="rId52"/><Relationship Type="http://schemas.openxmlformats.org/officeDocument/2006/relationships/hyperlink" Target="https://ascentialcdn.filespin.io/api/v1/storyboard/0662a2484d424aab912e92a8c896ccd0/storyboard_000008.jpg" TargetMode="External" Id="rId53"/><Relationship Type="http://schemas.openxmlformats.org/officeDocument/2006/relationships/hyperlink" Target="https://www.lovethework.com/work/entries/u-up-791270" TargetMode="External" Id="rId54"/><Relationship Type="http://schemas.openxmlformats.org/officeDocument/2006/relationships/hyperlink" Target="https://ascentialcdn.filespin.io/api/v1/storyboard/dab9c362b0f54c98988d19bcab03eb27/storyboard_000008.jpg" TargetMode="External" Id="rId55"/><Relationship Type="http://schemas.openxmlformats.org/officeDocument/2006/relationships/hyperlink" Target="https://www.lovethework.com/work/entries/tocayos-792011" TargetMode="External" Id="rId56"/><Relationship Type="http://schemas.openxmlformats.org/officeDocument/2006/relationships/hyperlink" Target="https://ascentialcdn.filespin.io/api/v1/storyboard/6df98e2e70f54291a76c81b7954913db/storyboard_000008.jpg" TargetMode="External" Id="rId57"/><Relationship Type="http://schemas.openxmlformats.org/officeDocument/2006/relationships/hyperlink" Target="https://www.lovethework.com/work/entries/delivered-by-tetris-776607" TargetMode="External" Id="rId58"/><Relationship Type="http://schemas.openxmlformats.org/officeDocument/2006/relationships/hyperlink" Target="https://ascentialcdn.filespin.io/api/v1/storyboard/14c1c5ca87d3487f82fb2312e143b396/storyboard_000008.jpg" TargetMode="External" Id="rId59"/><Relationship Type="http://schemas.openxmlformats.org/officeDocument/2006/relationships/hyperlink" Target="https://www.lovethework.com/work/entries/dove-real-reviews-790829" TargetMode="External" Id="rId60"/><Relationship Type="http://schemas.openxmlformats.org/officeDocument/2006/relationships/hyperlink" Target="https://ascentialcdn.filespin.io/api/v1/storyboard/3edb0e6b7cfa4a479a06b0e41366380a/storyboard_000008.jpg" TargetMode="External" Id="rId61"/><Relationship Type="http://schemas.openxmlformats.org/officeDocument/2006/relationships/hyperlink" Target="https://www.lovethework.com/work/entries/paid-sick-leave-for-cows-791761" TargetMode="External" Id="rId62"/><Relationship Type="http://schemas.openxmlformats.org/officeDocument/2006/relationships/hyperlink" Target="https://ascentialcdn.filespin.io/api/v1/storyboard/af02f1c87f37475da330eaf43d3feeee/storyboard_000008.jpg" TargetMode="External" Id="rId63"/><Relationship Type="http://schemas.openxmlformats.org/officeDocument/2006/relationships/hyperlink" Target="https://www.lovethework.com/work/entries/preserved-promos-777728" TargetMode="External" Id="rId64"/><Relationship Type="http://schemas.openxmlformats.org/officeDocument/2006/relationships/hyperlink" Target="https://ascentialcdn.filespin.io/api/v1/storyboard/1bea711efc99451bb9a8adf38c581d00/storyboard_000008.jpg" TargetMode="External" Id="rId65"/><Relationship Type="http://schemas.openxmlformats.org/officeDocument/2006/relationships/hyperlink" Target="https://www.lovethework.com/work/entries/zip-code-exam-791493" TargetMode="External" Id="rId66"/><Relationship Type="http://schemas.openxmlformats.org/officeDocument/2006/relationships/hyperlink" Target="https://ascentialcdn.filespin.io/api/v1/storyboard/cff5af745b7a485da24abb9258a6aac5/storyboard_000008.jpg" TargetMode="External" Id="rId67"/><Relationship Type="http://schemas.openxmlformats.org/officeDocument/2006/relationships/hyperlink" Target="https://www.lovethework.com/work/entries/recipe-for-change-790932" TargetMode="External" Id="rId68"/><Relationship Type="http://schemas.openxmlformats.org/officeDocument/2006/relationships/hyperlink" Target="https://ascentialcdn.filespin.io/api/v1/storyboard/3130427443a3470bb87e53d95c4953f2/storyboard_000008.jpg" TargetMode="External" Id="rId69"/><Relationship Type="http://schemas.openxmlformats.org/officeDocument/2006/relationships/hyperlink" Target="https://www.lovethework.com/work/entries/the-period-uniform-791284" TargetMode="External" Id="rId70"/><Relationship Type="http://schemas.openxmlformats.org/officeDocument/2006/relationships/hyperlink" Target="https://ascentialcdn.filespin.io/api/v1/storyboard/58a678d2e0ad443c9bac29d3a38cf726/storyboard_000008.jpg" TargetMode="External" Id="rId71"/><Relationship Type="http://schemas.openxmlformats.org/officeDocument/2006/relationships/hyperlink" Target="https://www.lovethework.com/work/entries/no-frame-missed-777409" TargetMode="External" Id="rId72"/><Relationship Type="http://schemas.openxmlformats.org/officeDocument/2006/relationships/hyperlink" Target="https://ascentialcdn.filespin.io/api/v1/storyboard/ee5a51977461449ea425c5094c23ff1e/storyboard_000008.jpg" TargetMode="External" Id="rId73"/><Relationship Type="http://schemas.openxmlformats.org/officeDocument/2006/relationships/hyperlink" Target="https://www.lovethework.com/work/entries/explore-your-story-790966" TargetMode="External" Id="rId74"/><Relationship Type="http://schemas.openxmlformats.org/officeDocument/2006/relationships/hyperlink" Target="https://ascentialcdn.filespin.io/api/v1/storyboard/e73e03fef9b34e6ea0dc334a780327f6/storyboard_000008.jpg" TargetMode="External" Id="rId75"/><Relationship Type="http://schemas.openxmlformats.org/officeDocument/2006/relationships/hyperlink" Target="https://www.lovethework.com/work/entries/long-lasting-passport-791967" TargetMode="External" Id="rId76"/><Relationship Type="http://schemas.openxmlformats.org/officeDocument/2006/relationships/hyperlink" Target="https://ascentialcdn.filespin.io/api/v1/storyboard/ecd8151c6f764c36b7bd37393fdf96de/storyboard_000008.jpg" TargetMode="External" Id="rId77"/><Relationship Type="http://schemas.openxmlformats.org/officeDocument/2006/relationships/hyperlink" Target="https://www.lovethework.com/work/entries/columbia-792016" TargetMode="External" Id="rId78"/></Relationships>
</file>

<file path=xl/worksheets/_rels/sheet34.xml.rels><Relationships xmlns="http://schemas.openxmlformats.org/package/2006/relationships"><Relationship Type="http://schemas.openxmlformats.org/officeDocument/2006/relationships/hyperlink" Target="https://ascentialcdn.filespin.io/api/v1/conversion/e1a85ff134e545c7b049791151432028" TargetMode="External" Id="rId1"/><Relationship Type="http://schemas.openxmlformats.org/officeDocument/2006/relationships/hyperlink" Target="https://www.lovethework.com/work/entries/axa-three-words-748384" TargetMode="External" Id="rId2"/><Relationship Type="http://schemas.openxmlformats.org/officeDocument/2006/relationships/hyperlink" Target="https://ascentialcdn.filespin.io/api/v1/conversion/61f3c230a91e417397304be1d6a0ef2d" TargetMode="External" Id="rId3"/><Relationship Type="http://schemas.openxmlformats.org/officeDocument/2006/relationships/hyperlink" Target="https://www.lovethework.com/work/entries/pedigree-caramelo-758945" TargetMode="External" Id="rId4"/><Relationship Type="http://schemas.openxmlformats.org/officeDocument/2006/relationships/hyperlink" Target="https://ascentialcdn.filespin.io/api/v1/conversion/faf0755b0d4e4594ad93cb75d6288e3d" TargetMode="External" Id="rId5"/><Relationship Type="http://schemas.openxmlformats.org/officeDocument/2006/relationships/hyperlink" Target="https://www.lovethework.com/work/entries/vaseline-verified-758815" TargetMode="External" Id="rId6"/><Relationship Type="http://schemas.openxmlformats.org/officeDocument/2006/relationships/hyperlink" Target="https://ascentialcdn.filespin.io/api/v1/conversion/ec33dea7945841b0a0833542b60f5b36" TargetMode="External" Id="rId7"/><Relationship Type="http://schemas.openxmlformats.org/officeDocument/2006/relationships/hyperlink" Target="https://www.lovethework.com/work/entries/caption-with-intention-748572" TargetMode="External" Id="rId8"/></Relationships>
</file>

<file path=xl/worksheets/sheet1.xml><?xml version="1.0" encoding="utf-8"?>
<worksheet xmlns="http://schemas.openxmlformats.org/spreadsheetml/2006/main">
  <sheetPr>
    <outlinePr summaryBelow="1" summaryRight="1"/>
    <pageSetUpPr/>
  </sheetPr>
  <dimension ref="A1:H73"/>
  <sheetViews>
    <sheetView workbookViewId="0">
      <pane ySplit="2" topLeftCell="A3" activePane="bottomLeft" state="frozen"/>
      <selection pane="bottomLeft" activeCell="A1" sqref="A1"/>
    </sheetView>
  </sheetViews>
  <sheetFormatPr baseColWidth="8" defaultRowHeight="15"/>
  <cols>
    <col width="34" customWidth="1" style="34" min="1" max="1"/>
    <col width="12" customWidth="1" style="34" min="2" max="2"/>
    <col width="12" customWidth="1" style="34" min="3" max="3"/>
    <col width="12" customWidth="1" style="34" min="4" max="4"/>
    <col width="12" customWidth="1" style="34" min="5" max="5"/>
    <col width="12" customWidth="1" style="34" min="6" max="6"/>
    <col width="12" customWidth="1" style="34" min="7" max="7"/>
    <col width="9" customWidth="1" style="34" min="8" max="8"/>
  </cols>
  <sheetData>
    <row r="1">
      <c r="A1" s="114" t="inlineStr">
        <is>
          <t>BRAIN CANNESDY — WINNERS DATABASE</t>
        </is>
      </c>
    </row>
    <row r="2">
      <c r="A2" s="115" t="inlineStr">
        <is>
          <t>Awards summary · auto-generated by scripts/rebuild_summary.py · 2026-06-26</t>
        </is>
      </c>
    </row>
    <row r="4">
      <c r="A4" s="116" t="inlineStr">
        <is>
          <t>TOTALS BY YEAR</t>
        </is>
      </c>
    </row>
    <row r="5">
      <c r="A5" s="117" t="inlineStr">
        <is>
          <t>Year</t>
        </is>
      </c>
      <c r="B5" s="117" t="inlineStr">
        <is>
          <t>Grand Prix</t>
        </is>
      </c>
      <c r="C5" s="117" t="inlineStr">
        <is>
          <t>Gold</t>
        </is>
      </c>
      <c r="D5" s="117" t="inlineStr">
        <is>
          <t>Silver</t>
        </is>
      </c>
      <c r="E5" s="117" t="inlineStr">
        <is>
          <t>Bronze</t>
        </is>
      </c>
      <c r="F5" s="117" t="inlineStr">
        <is>
          <t>Titanium</t>
        </is>
      </c>
      <c r="G5" s="117" t="inlineStr">
        <is>
          <t>Total</t>
        </is>
      </c>
    </row>
    <row r="6">
      <c r="A6" s="118" t="n">
        <v>2025</v>
      </c>
      <c r="B6" s="119" t="n">
        <v>34</v>
      </c>
      <c r="C6" s="119" t="n">
        <v>148</v>
      </c>
      <c r="D6" s="119" t="n">
        <v>278</v>
      </c>
      <c r="E6" s="119" t="n">
        <v>414</v>
      </c>
      <c r="F6" s="119" t="n">
        <v>4</v>
      </c>
      <c r="G6" s="119" t="n">
        <v>878</v>
      </c>
    </row>
    <row r="7">
      <c r="A7" s="118" t="n">
        <v>2026</v>
      </c>
      <c r="B7" s="119" t="n">
        <v>25</v>
      </c>
      <c r="C7" s="119" t="n">
        <v>91</v>
      </c>
      <c r="D7" s="119" t="n">
        <v>171</v>
      </c>
      <c r="E7" s="119" t="n">
        <v>272</v>
      </c>
      <c r="F7" s="119" t="n">
        <v>0</v>
      </c>
      <c r="G7" s="119" t="n">
        <v>559</v>
      </c>
    </row>
    <row r="8">
      <c r="A8" s="120" t="inlineStr">
        <is>
          <t>All years</t>
        </is>
      </c>
      <c r="B8" s="121" t="n">
        <v>59</v>
      </c>
      <c r="C8" s="121" t="n">
        <v>239</v>
      </c>
      <c r="D8" s="121" t="n">
        <v>449</v>
      </c>
      <c r="E8" s="121" t="n">
        <v>686</v>
      </c>
      <c r="F8" s="121" t="n">
        <v>4</v>
      </c>
      <c r="G8" s="121" t="n">
        <v>1437</v>
      </c>
    </row>
    <row r="10">
      <c r="A10" s="116" t="inlineStr">
        <is>
          <t>BY CATEGORY (all years)</t>
        </is>
      </c>
    </row>
    <row r="11">
      <c r="A11" s="117" t="inlineStr">
        <is>
          <t>Category</t>
        </is>
      </c>
      <c r="B11" s="117" t="inlineStr">
        <is>
          <t>Grand Prix</t>
        </is>
      </c>
      <c r="C11" s="117" t="inlineStr">
        <is>
          <t>Gold</t>
        </is>
      </c>
      <c r="D11" s="117" t="inlineStr">
        <is>
          <t>Silver</t>
        </is>
      </c>
      <c r="E11" s="117" t="inlineStr">
        <is>
          <t>Bronze</t>
        </is>
      </c>
      <c r="F11" s="117" t="inlineStr">
        <is>
          <t>Titanium</t>
        </is>
      </c>
      <c r="G11" s="117" t="inlineStr">
        <is>
          <t>Total</t>
        </is>
      </c>
    </row>
    <row r="12">
      <c r="A12" s="118" t="inlineStr">
        <is>
          <t>Creative Brand</t>
        </is>
      </c>
      <c r="B12" s="119">
        <f>COUNTIF('Creative Brand'!$B:$B,"Grand Prix")</f>
        <v/>
      </c>
      <c r="C12" s="119">
        <f>COUNTIF('Creative Brand'!$B:$B,"Gold")</f>
        <v/>
      </c>
      <c r="D12" s="119">
        <f>COUNTIF('Creative Brand'!$B:$B,"Silver")</f>
        <v/>
      </c>
      <c r="E12" s="119">
        <f>COUNTIF('Creative Brand'!$B:$B,"Bronze")</f>
        <v/>
      </c>
      <c r="F12" s="119">
        <f>COUNTIF('Creative Brand'!$B:$B,"Titanium Grand Prix")+COUNTIF('Creative Brand'!$B:$B,"Titanium")</f>
        <v/>
      </c>
      <c r="G12" s="119">
        <f>SUM(B12:F12)</f>
        <v/>
      </c>
    </row>
    <row r="13">
      <c r="A13" s="118" t="inlineStr">
        <is>
          <t>Audio &amp; Radio</t>
        </is>
      </c>
      <c r="B13" s="119">
        <f>COUNTIF('Audio &amp; Radio'!$B:$B,"Grand Prix")</f>
        <v/>
      </c>
      <c r="C13" s="119">
        <f>COUNTIF('Audio &amp; Radio'!$B:$B,"Gold")</f>
        <v/>
      </c>
      <c r="D13" s="119">
        <f>COUNTIF('Audio &amp; Radio'!$B:$B,"Silver")</f>
        <v/>
      </c>
      <c r="E13" s="119">
        <f>COUNTIF('Audio &amp; Radio'!$B:$B,"Bronze")</f>
        <v/>
      </c>
      <c r="F13" s="119">
        <f>COUNTIF('Audio &amp; Radio'!$B:$B,"Titanium Grand Prix")+COUNTIF('Audio &amp; Radio'!$B:$B,"Titanium")</f>
        <v/>
      </c>
      <c r="G13" s="119">
        <f>SUM(B13:F13)</f>
        <v/>
      </c>
    </row>
    <row r="14">
      <c r="A14" s="118" t="inlineStr">
        <is>
          <t>Film</t>
        </is>
      </c>
      <c r="B14" s="119">
        <f>COUNTIF('Film'!$B:$B,"Grand Prix")</f>
        <v/>
      </c>
      <c r="C14" s="119">
        <f>COUNTIF('Film'!$B:$B,"Gold")</f>
        <v/>
      </c>
      <c r="D14" s="119">
        <f>COUNTIF('Film'!$B:$B,"Silver")</f>
        <v/>
      </c>
      <c r="E14" s="119">
        <f>COUNTIF('Film'!$B:$B,"Bronze")</f>
        <v/>
      </c>
      <c r="F14" s="119">
        <f>COUNTIF('Film'!$B:$B,"Titanium Grand Prix")+COUNTIF('Film'!$B:$B,"Titanium")</f>
        <v/>
      </c>
      <c r="G14" s="119">
        <f>SUM(B14:F14)</f>
        <v/>
      </c>
    </row>
    <row r="15">
      <c r="A15" s="118" t="inlineStr">
        <is>
          <t>Outdoor</t>
        </is>
      </c>
      <c r="B15" s="119">
        <f>COUNTIF('Outdoor'!$B:$B,"Grand Prix")</f>
        <v/>
      </c>
      <c r="C15" s="119">
        <f>COUNTIF('Outdoor'!$B:$B,"Gold")</f>
        <v/>
      </c>
      <c r="D15" s="119">
        <f>COUNTIF('Outdoor'!$B:$B,"Silver")</f>
        <v/>
      </c>
      <c r="E15" s="119">
        <f>COUNTIF('Outdoor'!$B:$B,"Bronze")</f>
        <v/>
      </c>
      <c r="F15" s="119">
        <f>COUNTIF('Outdoor'!$B:$B,"Titanium Grand Prix")+COUNTIF('Outdoor'!$B:$B,"Titanium")</f>
        <v/>
      </c>
      <c r="G15" s="119">
        <f>SUM(B15:F15)</f>
        <v/>
      </c>
    </row>
    <row r="16">
      <c r="A16" s="118" t="inlineStr">
        <is>
          <t>Print &amp; Publishing</t>
        </is>
      </c>
      <c r="B16" s="119">
        <f>COUNTIF('Print &amp; Publishing'!$B:$B,"Grand Prix")</f>
        <v/>
      </c>
      <c r="C16" s="119">
        <f>COUNTIF('Print &amp; Publishing'!$B:$B,"Gold")</f>
        <v/>
      </c>
      <c r="D16" s="119">
        <f>COUNTIF('Print &amp; Publishing'!$B:$B,"Silver")</f>
        <v/>
      </c>
      <c r="E16" s="119">
        <f>COUNTIF('Print &amp; Publishing'!$B:$B,"Bronze")</f>
        <v/>
      </c>
      <c r="F16" s="119">
        <f>COUNTIF('Print &amp; Publishing'!$B:$B,"Titanium Grand Prix")+COUNTIF('Print &amp; Publishing'!$B:$B,"Titanium")</f>
        <v/>
      </c>
      <c r="G16" s="119">
        <f>SUM(B16:F16)</f>
        <v/>
      </c>
    </row>
    <row r="17">
      <c r="A17" s="118" t="inlineStr">
        <is>
          <t>Design</t>
        </is>
      </c>
      <c r="B17" s="119">
        <f>COUNTIF('Design'!$B:$B,"Grand Prix")</f>
        <v/>
      </c>
      <c r="C17" s="119">
        <f>COUNTIF('Design'!$B:$B,"Gold")</f>
        <v/>
      </c>
      <c r="D17" s="119">
        <f>COUNTIF('Design'!$B:$B,"Silver")</f>
        <v/>
      </c>
      <c r="E17" s="119">
        <f>COUNTIF('Design'!$B:$B,"Bronze")</f>
        <v/>
      </c>
      <c r="F17" s="119">
        <f>COUNTIF('Design'!$B:$B,"Titanium Grand Prix")+COUNTIF('Design'!$B:$B,"Titanium")</f>
        <v/>
      </c>
      <c r="G17" s="119">
        <f>SUM(B17:F17)</f>
        <v/>
      </c>
    </row>
    <row r="18">
      <c r="A18" s="118" t="inlineStr">
        <is>
          <t>Digital Craft</t>
        </is>
      </c>
      <c r="B18" s="119">
        <f>COUNTIF('Digital Craft'!$B:$B,"Grand Prix")</f>
        <v/>
      </c>
      <c r="C18" s="119">
        <f>COUNTIF('Digital Craft'!$B:$B,"Gold")</f>
        <v/>
      </c>
      <c r="D18" s="119">
        <f>COUNTIF('Digital Craft'!$B:$B,"Silver")</f>
        <v/>
      </c>
      <c r="E18" s="119">
        <f>COUNTIF('Digital Craft'!$B:$B,"Bronze")</f>
        <v/>
      </c>
      <c r="F18" s="119">
        <f>COUNTIF('Digital Craft'!$B:$B,"Titanium Grand Prix")+COUNTIF('Digital Craft'!$B:$B,"Titanium")</f>
        <v/>
      </c>
      <c r="G18" s="119">
        <f>SUM(B18:F18)</f>
        <v/>
      </c>
    </row>
    <row r="19">
      <c r="A19" s="118" t="inlineStr">
        <is>
          <t>Film Craft</t>
        </is>
      </c>
      <c r="B19" s="119">
        <f>COUNTIF('Film Craft'!$B:$B,"Grand Prix")</f>
        <v/>
      </c>
      <c r="C19" s="119">
        <f>COUNTIF('Film Craft'!$B:$B,"Gold")</f>
        <v/>
      </c>
      <c r="D19" s="119">
        <f>COUNTIF('Film Craft'!$B:$B,"Silver")</f>
        <v/>
      </c>
      <c r="E19" s="119">
        <f>COUNTIF('Film Craft'!$B:$B,"Bronze")</f>
        <v/>
      </c>
      <c r="F19" s="119">
        <f>COUNTIF('Film Craft'!$B:$B,"Titanium Grand Prix")+COUNTIF('Film Craft'!$B:$B,"Titanium")</f>
        <v/>
      </c>
      <c r="G19" s="119">
        <f>SUM(B19:F19)</f>
        <v/>
      </c>
    </row>
    <row r="20">
      <c r="A20" s="118" t="inlineStr">
        <is>
          <t>Industry Craft</t>
        </is>
      </c>
      <c r="B20" s="119">
        <f>COUNTIF('Industry Craft'!$B:$B,"Grand Prix")</f>
        <v/>
      </c>
      <c r="C20" s="119">
        <f>COUNTIF('Industry Craft'!$B:$B,"Gold")</f>
        <v/>
      </c>
      <c r="D20" s="119">
        <f>COUNTIF('Industry Craft'!$B:$B,"Silver")</f>
        <v/>
      </c>
      <c r="E20" s="119">
        <f>COUNTIF('Industry Craft'!$B:$B,"Bronze")</f>
        <v/>
      </c>
      <c r="F20" s="119">
        <f>COUNTIF('Industry Craft'!$B:$B,"Titanium Grand Prix")+COUNTIF('Industry Craft'!$B:$B,"Titanium")</f>
        <v/>
      </c>
      <c r="G20" s="119">
        <f>SUM(B20:F20)</f>
        <v/>
      </c>
    </row>
    <row r="21">
      <c r="A21" s="118" t="inlineStr">
        <is>
          <t>Creative B2B</t>
        </is>
      </c>
      <c r="B21" s="119">
        <f>COUNTIF('Creative B2B'!$B:$B,"Grand Prix")</f>
        <v/>
      </c>
      <c r="C21" s="119">
        <f>COUNTIF('Creative B2B'!$B:$B,"Gold")</f>
        <v/>
      </c>
      <c r="D21" s="119">
        <f>COUNTIF('Creative B2B'!$B:$B,"Silver")</f>
        <v/>
      </c>
      <c r="E21" s="119">
        <f>COUNTIF('Creative B2B'!$B:$B,"Bronze")</f>
        <v/>
      </c>
      <c r="F21" s="119">
        <f>COUNTIF('Creative B2B'!$B:$B,"Titanium Grand Prix")+COUNTIF('Creative B2B'!$B:$B,"Titanium")</f>
        <v/>
      </c>
      <c r="G21" s="119">
        <f>SUM(B21:F21)</f>
        <v/>
      </c>
    </row>
    <row r="22">
      <c r="A22" s="118" t="inlineStr">
        <is>
          <t>Creative Data</t>
        </is>
      </c>
      <c r="B22" s="119">
        <f>COUNTIF('Creative Data'!$B:$B,"Grand Prix")</f>
        <v/>
      </c>
      <c r="C22" s="119">
        <f>COUNTIF('Creative Data'!$B:$B,"Gold")</f>
        <v/>
      </c>
      <c r="D22" s="119">
        <f>COUNTIF('Creative Data'!$B:$B,"Silver")</f>
        <v/>
      </c>
      <c r="E22" s="119">
        <f>COUNTIF('Creative Data'!$B:$B,"Bronze")</f>
        <v/>
      </c>
      <c r="F22" s="119">
        <f>COUNTIF('Creative Data'!$B:$B,"Titanium Grand Prix")+COUNTIF('Creative Data'!$B:$B,"Titanium")</f>
        <v/>
      </c>
      <c r="G22" s="119">
        <f>SUM(B22:F22)</f>
        <v/>
      </c>
    </row>
    <row r="23">
      <c r="A23" s="118" t="inlineStr">
        <is>
          <t>Direct</t>
        </is>
      </c>
      <c r="B23" s="119">
        <f>COUNTIF('Direct'!$B:$B,"Grand Prix")</f>
        <v/>
      </c>
      <c r="C23" s="119">
        <f>COUNTIF('Direct'!$B:$B,"Gold")</f>
        <v/>
      </c>
      <c r="D23" s="119">
        <f>COUNTIF('Direct'!$B:$B,"Silver")</f>
        <v/>
      </c>
      <c r="E23" s="119">
        <f>COUNTIF('Direct'!$B:$B,"Bronze")</f>
        <v/>
      </c>
      <c r="F23" s="119">
        <f>COUNTIF('Direct'!$B:$B,"Titanium Grand Prix")+COUNTIF('Direct'!$B:$B,"Titanium")</f>
        <v/>
      </c>
      <c r="G23" s="119">
        <f>SUM(B23:F23)</f>
        <v/>
      </c>
    </row>
    <row r="24">
      <c r="A24" s="118" t="inlineStr">
        <is>
          <t>Media</t>
        </is>
      </c>
      <c r="B24" s="119">
        <f>COUNTIF('Media'!$B:$B,"Grand Prix")</f>
        <v/>
      </c>
      <c r="C24" s="119">
        <f>COUNTIF('Media'!$B:$B,"Gold")</f>
        <v/>
      </c>
      <c r="D24" s="119">
        <f>COUNTIF('Media'!$B:$B,"Silver")</f>
        <v/>
      </c>
      <c r="E24" s="119">
        <f>COUNTIF('Media'!$B:$B,"Bronze")</f>
        <v/>
      </c>
      <c r="F24" s="119">
        <f>COUNTIF('Media'!$B:$B,"Titanium Grand Prix")+COUNTIF('Media'!$B:$B,"Titanium")</f>
        <v/>
      </c>
      <c r="G24" s="119">
        <f>SUM(B24:F24)</f>
        <v/>
      </c>
    </row>
    <row r="25">
      <c r="A25" s="118" t="inlineStr">
        <is>
          <t>PR</t>
        </is>
      </c>
      <c r="B25" s="119">
        <f>COUNTIF('PR'!$B:$B,"Grand Prix")</f>
        <v/>
      </c>
      <c r="C25" s="119">
        <f>COUNTIF('PR'!$B:$B,"Gold")</f>
        <v/>
      </c>
      <c r="D25" s="119">
        <f>COUNTIF('PR'!$B:$B,"Silver")</f>
        <v/>
      </c>
      <c r="E25" s="119">
        <f>COUNTIF('PR'!$B:$B,"Bronze")</f>
        <v/>
      </c>
      <c r="F25" s="119">
        <f>COUNTIF('PR'!$B:$B,"Titanium Grand Prix")+COUNTIF('PR'!$B:$B,"Titanium")</f>
        <v/>
      </c>
      <c r="G25" s="119">
        <f>SUM(B25:F25)</f>
        <v/>
      </c>
    </row>
    <row r="26">
      <c r="A26" s="118" t="inlineStr">
        <is>
          <t>Social &amp; Creator</t>
        </is>
      </c>
      <c r="B26" s="119">
        <f>COUNTIF('Social &amp; Creator'!$B:$B,"Grand Prix")</f>
        <v/>
      </c>
      <c r="C26" s="119">
        <f>COUNTIF('Social &amp; Creator'!$B:$B,"Gold")</f>
        <v/>
      </c>
      <c r="D26" s="119">
        <f>COUNTIF('Social &amp; Creator'!$B:$B,"Silver")</f>
        <v/>
      </c>
      <c r="E26" s="119">
        <f>COUNTIF('Social &amp; Creator'!$B:$B,"Bronze")</f>
        <v/>
      </c>
      <c r="F26" s="119">
        <f>COUNTIF('Social &amp; Creator'!$B:$B,"Titanium Grand Prix")+COUNTIF('Social &amp; Creator'!$B:$B,"Titanium")</f>
        <v/>
      </c>
      <c r="G26" s="119">
        <f>SUM(B26:F26)</f>
        <v/>
      </c>
    </row>
    <row r="27">
      <c r="A27" s="118" t="inlineStr">
        <is>
          <t>Entertainment</t>
        </is>
      </c>
      <c r="B27" s="119">
        <f>COUNTIF('Entertainment'!$B:$B,"Grand Prix")</f>
        <v/>
      </c>
      <c r="C27" s="119">
        <f>COUNTIF('Entertainment'!$B:$B,"Gold")</f>
        <v/>
      </c>
      <c r="D27" s="119">
        <f>COUNTIF('Entertainment'!$B:$B,"Silver")</f>
        <v/>
      </c>
      <c r="E27" s="119">
        <f>COUNTIF('Entertainment'!$B:$B,"Bronze")</f>
        <v/>
      </c>
      <c r="F27" s="119">
        <f>COUNTIF('Entertainment'!$B:$B,"Titanium Grand Prix")+COUNTIF('Entertainment'!$B:$B,"Titanium")</f>
        <v/>
      </c>
      <c r="G27" s="119">
        <f>SUM(B27:F27)</f>
        <v/>
      </c>
    </row>
    <row r="28">
      <c r="A28" s="118" t="inlineStr">
        <is>
          <t>Entertainment Lions for Gaming</t>
        </is>
      </c>
      <c r="B28" s="119">
        <f>COUNTIF('Entertainment Lions for Gaming'!$B:$B,"Grand Prix")</f>
        <v/>
      </c>
      <c r="C28" s="119">
        <f>COUNTIF('Entertainment Lions for Gaming'!$B:$B,"Gold")</f>
        <v/>
      </c>
      <c r="D28" s="119">
        <f>COUNTIF('Entertainment Lions for Gaming'!$B:$B,"Silver")</f>
        <v/>
      </c>
      <c r="E28" s="119">
        <f>COUNTIF('Entertainment Lions for Gaming'!$B:$B,"Bronze")</f>
        <v/>
      </c>
      <c r="F28" s="119">
        <f>COUNTIF('Entertainment Lions for Gaming'!$B:$B,"Titanium Grand Prix")+COUNTIF('Entertainment Lions for Gaming'!$B:$B,"Titanium")</f>
        <v/>
      </c>
      <c r="G28" s="119">
        <f>SUM(B28:F28)</f>
        <v/>
      </c>
    </row>
    <row r="29">
      <c r="A29" s="118" t="inlineStr">
        <is>
          <t>Entertainment Lions for Music</t>
        </is>
      </c>
      <c r="B29" s="119">
        <f>COUNTIF('Entertainment Lions for Music'!$B:$B,"Grand Prix")</f>
        <v/>
      </c>
      <c r="C29" s="119">
        <f>COUNTIF('Entertainment Lions for Music'!$B:$B,"Gold")</f>
        <v/>
      </c>
      <c r="D29" s="119">
        <f>COUNTIF('Entertainment Lions for Music'!$B:$B,"Silver")</f>
        <v/>
      </c>
      <c r="E29" s="119">
        <f>COUNTIF('Entertainment Lions for Music'!$B:$B,"Bronze")</f>
        <v/>
      </c>
      <c r="F29" s="119">
        <f>COUNTIF('Entertainment Lions for Music'!$B:$B,"Titanium Grand Prix")+COUNTIF('Entertainment Lions for Music'!$B:$B,"Titanium")</f>
        <v/>
      </c>
      <c r="G29" s="119">
        <f>SUM(B29:F29)</f>
        <v/>
      </c>
    </row>
    <row r="30">
      <c r="A30" s="118" t="inlineStr">
        <is>
          <t>Entertainment Lions for Sport</t>
        </is>
      </c>
      <c r="B30" s="119">
        <f>COUNTIF('Entertainment Lions for Sport'!$B:$B,"Grand Prix")</f>
        <v/>
      </c>
      <c r="C30" s="119">
        <f>COUNTIF('Entertainment Lions for Sport'!$B:$B,"Gold")</f>
        <v/>
      </c>
      <c r="D30" s="119">
        <f>COUNTIF('Entertainment Lions for Sport'!$B:$B,"Silver")</f>
        <v/>
      </c>
      <c r="E30" s="119">
        <f>COUNTIF('Entertainment Lions for Sport'!$B:$B,"Bronze")</f>
        <v/>
      </c>
      <c r="F30" s="119">
        <f>COUNTIF('Entertainment Lions for Sport'!$B:$B,"Titanium Grand Prix")+COUNTIF('Entertainment Lions for Sport'!$B:$B,"Titanium")</f>
        <v/>
      </c>
      <c r="G30" s="119">
        <f>SUM(B30:F30)</f>
        <v/>
      </c>
    </row>
    <row r="31">
      <c r="A31" s="118" t="inlineStr">
        <is>
          <t>Brand Experience &amp; Activation</t>
        </is>
      </c>
      <c r="B31" s="119">
        <f>COUNTIF('Brand Experience &amp; Activation'!$B:$B,"Grand Prix")</f>
        <v/>
      </c>
      <c r="C31" s="119">
        <f>COUNTIF('Brand Experience &amp; Activation'!$B:$B,"Gold")</f>
        <v/>
      </c>
      <c r="D31" s="119">
        <f>COUNTIF('Brand Experience &amp; Activation'!$B:$B,"Silver")</f>
        <v/>
      </c>
      <c r="E31" s="119">
        <f>COUNTIF('Brand Experience &amp; Activation'!$B:$B,"Bronze")</f>
        <v/>
      </c>
      <c r="F31" s="119">
        <f>COUNTIF('Brand Experience &amp; Activation'!$B:$B,"Titanium Grand Prix")+COUNTIF('Brand Experience &amp; Activation'!$B:$B,"Titanium")</f>
        <v/>
      </c>
      <c r="G31" s="119">
        <f>SUM(B31:F31)</f>
        <v/>
      </c>
    </row>
    <row r="32">
      <c r="A32" s="118" t="inlineStr">
        <is>
          <t>Creative Business Transformation</t>
        </is>
      </c>
      <c r="B32" s="119">
        <f>COUNTIF('Creative Bus. Transformation'!$B:$B,"Grand Prix")</f>
        <v/>
      </c>
      <c r="C32" s="119">
        <f>COUNTIF('Creative Bus. Transformation'!$B:$B,"Gold")</f>
        <v/>
      </c>
      <c r="D32" s="119">
        <f>COUNTIF('Creative Bus. Transformation'!$B:$B,"Silver")</f>
        <v/>
      </c>
      <c r="E32" s="119">
        <f>COUNTIF('Creative Bus. Transformation'!$B:$B,"Bronze")</f>
        <v/>
      </c>
      <c r="F32" s="119">
        <f>COUNTIF('Creative Bus. Transformation'!$B:$B,"Titanium Grand Prix")+COUNTIF('Creative Bus. Transformation'!$B:$B,"Titanium")</f>
        <v/>
      </c>
      <c r="G32" s="119">
        <f>SUM(B32:F32)</f>
        <v/>
      </c>
    </row>
    <row r="33">
      <c r="A33" s="118" t="inlineStr">
        <is>
          <t>Creative Commerce</t>
        </is>
      </c>
      <c r="B33" s="119">
        <f>COUNTIF('Creative Commerce'!$B:$B,"Grand Prix")</f>
        <v/>
      </c>
      <c r="C33" s="119">
        <f>COUNTIF('Creative Commerce'!$B:$B,"Gold")</f>
        <v/>
      </c>
      <c r="D33" s="119">
        <f>COUNTIF('Creative Commerce'!$B:$B,"Silver")</f>
        <v/>
      </c>
      <c r="E33" s="119">
        <f>COUNTIF('Creative Commerce'!$B:$B,"Bronze")</f>
        <v/>
      </c>
      <c r="F33" s="119">
        <f>COUNTIF('Creative Commerce'!$B:$B,"Titanium Grand Prix")+COUNTIF('Creative Commerce'!$B:$B,"Titanium")</f>
        <v/>
      </c>
      <c r="G33" s="119">
        <f>SUM(B33:F33)</f>
        <v/>
      </c>
    </row>
    <row r="34">
      <c r="A34" s="118" t="inlineStr">
        <is>
          <t>Innovation</t>
        </is>
      </c>
      <c r="B34" s="119">
        <f>COUNTIF('Innovation'!$B:$B,"Grand Prix")</f>
        <v/>
      </c>
      <c r="C34" s="119">
        <f>COUNTIF('Innovation'!$B:$B,"Gold")</f>
        <v/>
      </c>
      <c r="D34" s="119">
        <f>COUNTIF('Innovation'!$B:$B,"Silver")</f>
        <v/>
      </c>
      <c r="E34" s="119">
        <f>COUNTIF('Innovation'!$B:$B,"Bronze")</f>
        <v/>
      </c>
      <c r="F34" s="119">
        <f>COUNTIF('Innovation'!$B:$B,"Titanium Grand Prix")+COUNTIF('Innovation'!$B:$B,"Titanium")</f>
        <v/>
      </c>
      <c r="G34" s="119">
        <f>SUM(B34:F34)</f>
        <v/>
      </c>
    </row>
    <row r="35">
      <c r="A35" s="118" t="inlineStr">
        <is>
          <t>Luxury</t>
        </is>
      </c>
      <c r="B35" s="119">
        <f>COUNTIF('Luxury'!$B:$B,"Grand Prix")</f>
        <v/>
      </c>
      <c r="C35" s="119">
        <f>COUNTIF('Luxury'!$B:$B,"Gold")</f>
        <v/>
      </c>
      <c r="D35" s="119">
        <f>COUNTIF('Luxury'!$B:$B,"Silver")</f>
        <v/>
      </c>
      <c r="E35" s="119">
        <f>COUNTIF('Luxury'!$B:$B,"Bronze")</f>
        <v/>
      </c>
      <c r="F35" s="119">
        <f>COUNTIF('Luxury'!$B:$B,"Titanium Grand Prix")+COUNTIF('Luxury'!$B:$B,"Titanium")</f>
        <v/>
      </c>
      <c r="G35" s="119">
        <f>SUM(B35:F35)</f>
        <v/>
      </c>
    </row>
    <row r="36">
      <c r="A36" s="118" t="inlineStr">
        <is>
          <t>Glass: The Lion for Change</t>
        </is>
      </c>
      <c r="B36" s="119">
        <f>COUNTIF('Glass - The Lion for Change'!$B:$B,"Grand Prix")</f>
        <v/>
      </c>
      <c r="C36" s="119">
        <f>COUNTIF('Glass - The Lion for Change'!$B:$B,"Gold")</f>
        <v/>
      </c>
      <c r="D36" s="119">
        <f>COUNTIF('Glass - The Lion for Change'!$B:$B,"Silver")</f>
        <v/>
      </c>
      <c r="E36" s="119">
        <f>COUNTIF('Glass - The Lion for Change'!$B:$B,"Bronze")</f>
        <v/>
      </c>
      <c r="F36" s="119">
        <f>COUNTIF('Glass - The Lion for Change'!$B:$B,"Titanium Grand Prix")+COUNTIF('Glass - The Lion for Change'!$B:$B,"Titanium")</f>
        <v/>
      </c>
      <c r="G36" s="119">
        <f>SUM(B36:F36)</f>
        <v/>
      </c>
    </row>
    <row r="37">
      <c r="A37" s="118" t="inlineStr">
        <is>
          <t>Grand Prix for Good</t>
        </is>
      </c>
      <c r="B37" s="119">
        <f>COUNTIF('Grand Prix for Good'!$B:$B,"Grand Prix")</f>
        <v/>
      </c>
      <c r="C37" s="119">
        <f>COUNTIF('Grand Prix for Good'!$B:$B,"Gold")</f>
        <v/>
      </c>
      <c r="D37" s="119">
        <f>COUNTIF('Grand Prix for Good'!$B:$B,"Silver")</f>
        <v/>
      </c>
      <c r="E37" s="119">
        <f>COUNTIF('Grand Prix for Good'!$B:$B,"Bronze")</f>
        <v/>
      </c>
      <c r="F37" s="119">
        <f>COUNTIF('Grand Prix for Good'!$B:$B,"Titanium Grand Prix")+COUNTIF('Grand Prix for Good'!$B:$B,"Titanium")</f>
        <v/>
      </c>
      <c r="G37" s="119">
        <f>SUM(B37:F37)</f>
        <v/>
      </c>
    </row>
    <row r="38">
      <c r="A38" s="118" t="inlineStr">
        <is>
          <t>Sustainable Development Goals</t>
        </is>
      </c>
      <c r="B38" s="119">
        <f>COUNTIF('Sustainable Development Goals'!$B:$B,"Grand Prix")</f>
        <v/>
      </c>
      <c r="C38" s="119">
        <f>COUNTIF('Sustainable Development Goals'!$B:$B,"Gold")</f>
        <v/>
      </c>
      <c r="D38" s="119">
        <f>COUNTIF('Sustainable Development Goals'!$B:$B,"Silver")</f>
        <v/>
      </c>
      <c r="E38" s="119">
        <f>COUNTIF('Sustainable Development Goals'!$B:$B,"Bronze")</f>
        <v/>
      </c>
      <c r="F38" s="119">
        <f>COUNTIF('Sustainable Development Goals'!$B:$B,"Titanium Grand Prix")+COUNTIF('Sustainable Development Goals'!$B:$B,"Titanium")</f>
        <v/>
      </c>
      <c r="G38" s="119">
        <f>SUM(B38:F38)</f>
        <v/>
      </c>
    </row>
    <row r="39">
      <c r="A39" s="118" t="inlineStr">
        <is>
          <t>Health &amp; Wellness</t>
        </is>
      </c>
      <c r="B39" s="119">
        <f>COUNTIF('Health &amp; Wellness'!$B:$B,"Grand Prix")</f>
        <v/>
      </c>
      <c r="C39" s="119">
        <f>COUNTIF('Health &amp; Wellness'!$B:$B,"Gold")</f>
        <v/>
      </c>
      <c r="D39" s="119">
        <f>COUNTIF('Health &amp; Wellness'!$B:$B,"Silver")</f>
        <v/>
      </c>
      <c r="E39" s="119">
        <f>COUNTIF('Health &amp; Wellness'!$B:$B,"Bronze")</f>
        <v/>
      </c>
      <c r="F39" s="119">
        <f>COUNTIF('Health &amp; Wellness'!$B:$B,"Titanium Grand Prix")+COUNTIF('Health &amp; Wellness'!$B:$B,"Titanium")</f>
        <v/>
      </c>
      <c r="G39" s="119">
        <f>SUM(B39:F39)</f>
        <v/>
      </c>
    </row>
    <row r="40">
      <c r="A40" s="118" t="inlineStr">
        <is>
          <t>Lions Health Grand Prix for Good</t>
        </is>
      </c>
      <c r="B40" s="119">
        <f>COUNTIF('Health Grand Prix for Good'!$B:$B,"Grand Prix")</f>
        <v/>
      </c>
      <c r="C40" s="119">
        <f>COUNTIF('Health Grand Prix for Good'!$B:$B,"Gold")</f>
        <v/>
      </c>
      <c r="D40" s="119">
        <f>COUNTIF('Health Grand Prix for Good'!$B:$B,"Silver")</f>
        <v/>
      </c>
      <c r="E40" s="119">
        <f>COUNTIF('Health Grand Prix for Good'!$B:$B,"Bronze")</f>
        <v/>
      </c>
      <c r="F40" s="119">
        <f>COUNTIF('Health Grand Prix for Good'!$B:$B,"Titanium Grand Prix")+COUNTIF('Health Grand Prix for Good'!$B:$B,"Titanium")</f>
        <v/>
      </c>
      <c r="G40" s="119">
        <f>SUM(B40:F40)</f>
        <v/>
      </c>
    </row>
    <row r="41">
      <c r="A41" s="118" t="inlineStr">
        <is>
          <t>Pharma</t>
        </is>
      </c>
      <c r="B41" s="119">
        <f>COUNTIF('Pharma'!$B:$B,"Grand Prix")</f>
        <v/>
      </c>
      <c r="C41" s="119">
        <f>COUNTIF('Pharma'!$B:$B,"Gold")</f>
        <v/>
      </c>
      <c r="D41" s="119">
        <f>COUNTIF('Pharma'!$B:$B,"Silver")</f>
        <v/>
      </c>
      <c r="E41" s="119">
        <f>COUNTIF('Pharma'!$B:$B,"Bronze")</f>
        <v/>
      </c>
      <c r="F41" s="119">
        <f>COUNTIF('Pharma'!$B:$B,"Titanium Grand Prix")+COUNTIF('Pharma'!$B:$B,"Titanium")</f>
        <v/>
      </c>
      <c r="G41" s="119">
        <f>SUM(B41:F41)</f>
        <v/>
      </c>
    </row>
    <row r="42">
      <c r="A42" s="118" t="inlineStr">
        <is>
          <t>Creative Effectiveness</t>
        </is>
      </c>
      <c r="B42" s="119">
        <f>COUNTIF('Creative Effectiveness'!$B:$B,"Grand Prix")</f>
        <v/>
      </c>
      <c r="C42" s="119">
        <f>COUNTIF('Creative Effectiveness'!$B:$B,"Gold")</f>
        <v/>
      </c>
      <c r="D42" s="119">
        <f>COUNTIF('Creative Effectiveness'!$B:$B,"Silver")</f>
        <v/>
      </c>
      <c r="E42" s="119">
        <f>COUNTIF('Creative Effectiveness'!$B:$B,"Bronze")</f>
        <v/>
      </c>
      <c r="F42" s="119">
        <f>COUNTIF('Creative Effectiveness'!$B:$B,"Titanium Grand Prix")+COUNTIF('Creative Effectiveness'!$B:$B,"Titanium")</f>
        <v/>
      </c>
      <c r="G42" s="119">
        <f>SUM(B42:F42)</f>
        <v/>
      </c>
    </row>
    <row r="43">
      <c r="A43" s="118" t="inlineStr">
        <is>
          <t>Creative Strategy</t>
        </is>
      </c>
      <c r="B43" s="119">
        <f>COUNTIF('Creative Strategy'!$B:$B,"Grand Prix")</f>
        <v/>
      </c>
      <c r="C43" s="119">
        <f>COUNTIF('Creative Strategy'!$B:$B,"Gold")</f>
        <v/>
      </c>
      <c r="D43" s="119">
        <f>COUNTIF('Creative Strategy'!$B:$B,"Silver")</f>
        <v/>
      </c>
      <c r="E43" s="119">
        <f>COUNTIF('Creative Strategy'!$B:$B,"Bronze")</f>
        <v/>
      </c>
      <c r="F43" s="119">
        <f>COUNTIF('Creative Strategy'!$B:$B,"Titanium Grand Prix")+COUNTIF('Creative Strategy'!$B:$B,"Titanium")</f>
        <v/>
      </c>
      <c r="G43" s="119">
        <f>SUM(B43:F43)</f>
        <v/>
      </c>
    </row>
    <row r="44">
      <c r="A44" s="118" t="inlineStr">
        <is>
          <t>Titanium</t>
        </is>
      </c>
      <c r="B44" s="119">
        <f>COUNTIF('Titanium'!$B:$B,"Grand Prix")</f>
        <v/>
      </c>
      <c r="C44" s="119">
        <f>COUNTIF('Titanium'!$B:$B,"Gold")</f>
        <v/>
      </c>
      <c r="D44" s="119">
        <f>COUNTIF('Titanium'!$B:$B,"Silver")</f>
        <v/>
      </c>
      <c r="E44" s="119">
        <f>COUNTIF('Titanium'!$B:$B,"Bronze")</f>
        <v/>
      </c>
      <c r="F44" s="119">
        <f>COUNTIF('Titanium'!$B:$B,"Titanium Grand Prix")+COUNTIF('Titanium'!$B:$B,"Titanium")</f>
        <v/>
      </c>
      <c r="G44" s="119">
        <f>SUM(B44:F44)</f>
        <v/>
      </c>
    </row>
    <row r="45">
      <c r="A45" s="120" t="inlineStr">
        <is>
          <t>TOTAL</t>
        </is>
      </c>
      <c r="B45" s="121">
        <f>SUM(B12:B44)</f>
        <v/>
      </c>
      <c r="C45" s="121">
        <f>SUM(C12:C44)</f>
        <v/>
      </c>
      <c r="D45" s="121">
        <f>SUM(D12:D44)</f>
        <v/>
      </c>
      <c r="E45" s="121">
        <f>SUM(E12:E44)</f>
        <v/>
      </c>
      <c r="F45" s="121">
        <f>SUM(F12:F44)</f>
        <v/>
      </c>
      <c r="G45" s="121">
        <f>SUM(G12:G44)</f>
        <v/>
      </c>
    </row>
    <row r="47">
      <c r="A47" s="116" t="inlineStr">
        <is>
          <t>TOP 25 BRANDS BY TOTAL LIONS</t>
        </is>
      </c>
    </row>
    <row r="48">
      <c r="A48" s="117" t="inlineStr">
        <is>
          <t>Rank</t>
        </is>
      </c>
      <c r="B48" s="117" t="inlineStr">
        <is>
          <t>Brand</t>
        </is>
      </c>
      <c r="C48" s="117" t="inlineStr">
        <is>
          <t>Grand Prix</t>
        </is>
      </c>
      <c r="D48" s="117" t="inlineStr">
        <is>
          <t>Gold</t>
        </is>
      </c>
      <c r="E48" s="117" t="inlineStr">
        <is>
          <t>Silver</t>
        </is>
      </c>
      <c r="F48" s="117" t="inlineStr">
        <is>
          <t>Bronze</t>
        </is>
      </c>
      <c r="G48" s="117" t="inlineStr">
        <is>
          <t>Titanium</t>
        </is>
      </c>
      <c r="H48" s="117" t="inlineStr">
        <is>
          <t>Total</t>
        </is>
      </c>
    </row>
    <row r="49">
      <c r="A49" s="119" t="n">
        <v>1</v>
      </c>
      <c r="B49" s="118" t="inlineStr">
        <is>
          <t>Heineken</t>
        </is>
      </c>
      <c r="C49" s="119" t="n">
        <v>1</v>
      </c>
      <c r="D49" s="119" t="n">
        <v>7</v>
      </c>
      <c r="E49" s="119" t="n">
        <v>7</v>
      </c>
      <c r="F49" s="119" t="n">
        <v>18</v>
      </c>
      <c r="G49" s="119" t="n">
        <v>0</v>
      </c>
      <c r="H49" s="119" t="n">
        <v>33</v>
      </c>
    </row>
    <row r="50">
      <c r="A50" s="119" t="n">
        <v>2</v>
      </c>
      <c r="B50" s="118" t="inlineStr">
        <is>
          <t>Apple</t>
        </is>
      </c>
      <c r="C50" s="119" t="n">
        <v>2</v>
      </c>
      <c r="D50" s="119" t="n">
        <v>5</v>
      </c>
      <c r="E50" s="119" t="n">
        <v>10</v>
      </c>
      <c r="F50" s="119" t="n">
        <v>11</v>
      </c>
      <c r="G50" s="119" t="n">
        <v>0</v>
      </c>
      <c r="H50" s="119" t="n">
        <v>28</v>
      </c>
    </row>
    <row r="51">
      <c r="A51" s="119" t="n">
        <v>3</v>
      </c>
      <c r="B51" s="118" t="inlineStr">
        <is>
          <t>IKEA</t>
        </is>
      </c>
      <c r="C51" s="119" t="n">
        <v>0</v>
      </c>
      <c r="D51" s="119" t="n">
        <v>8</v>
      </c>
      <c r="E51" s="119" t="n">
        <v>6</v>
      </c>
      <c r="F51" s="119" t="n">
        <v>11</v>
      </c>
      <c r="G51" s="119" t="n">
        <v>0</v>
      </c>
      <c r="H51" s="119" t="n">
        <v>25</v>
      </c>
    </row>
    <row r="52">
      <c r="A52" s="119" t="n">
        <v>4</v>
      </c>
      <c r="B52" s="118" t="inlineStr">
        <is>
          <t>Coca-Cola</t>
        </is>
      </c>
      <c r="C52" s="119" t="n">
        <v>0</v>
      </c>
      <c r="D52" s="119" t="n">
        <v>3</v>
      </c>
      <c r="E52" s="119" t="n">
        <v>5</v>
      </c>
      <c r="F52" s="119" t="n">
        <v>16</v>
      </c>
      <c r="G52" s="119" t="n">
        <v>0</v>
      </c>
      <c r="H52" s="119" t="n">
        <v>24</v>
      </c>
    </row>
    <row r="53">
      <c r="A53" s="119" t="n">
        <v>5</v>
      </c>
      <c r="B53" s="118" t="inlineStr">
        <is>
          <t>McDonald's</t>
        </is>
      </c>
      <c r="C53" s="119" t="n">
        <v>0</v>
      </c>
      <c r="D53" s="119" t="n">
        <v>4</v>
      </c>
      <c r="E53" s="119" t="n">
        <v>5</v>
      </c>
      <c r="F53" s="119" t="n">
        <v>13</v>
      </c>
      <c r="G53" s="119" t="n">
        <v>0</v>
      </c>
      <c r="H53" s="119" t="n">
        <v>22</v>
      </c>
    </row>
    <row r="54">
      <c r="A54" s="119" t="n">
        <v>6</v>
      </c>
      <c r="B54" s="118" t="inlineStr">
        <is>
          <t>KitKat</t>
        </is>
      </c>
      <c r="C54" s="119" t="n">
        <v>4</v>
      </c>
      <c r="D54" s="119" t="n">
        <v>4</v>
      </c>
      <c r="E54" s="119" t="n">
        <v>7</v>
      </c>
      <c r="F54" s="119" t="n">
        <v>6</v>
      </c>
      <c r="G54" s="119" t="n">
        <v>0</v>
      </c>
      <c r="H54" s="119" t="n">
        <v>21</v>
      </c>
    </row>
    <row r="55">
      <c r="A55" s="119" t="n">
        <v>7</v>
      </c>
      <c r="B55" s="118" t="inlineStr">
        <is>
          <t>Dove</t>
        </is>
      </c>
      <c r="C55" s="119" t="n">
        <v>3</v>
      </c>
      <c r="D55" s="119" t="n">
        <v>5</v>
      </c>
      <c r="E55" s="119" t="n">
        <v>4</v>
      </c>
      <c r="F55" s="119" t="n">
        <v>7</v>
      </c>
      <c r="G55" s="119" t="n">
        <v>0</v>
      </c>
      <c r="H55" s="119" t="n">
        <v>19</v>
      </c>
    </row>
    <row r="56">
      <c r="A56" s="119" t="n">
        <v>8</v>
      </c>
      <c r="B56" s="118" t="inlineStr">
        <is>
          <t>Oreo</t>
        </is>
      </c>
      <c r="C56" s="119" t="n">
        <v>0</v>
      </c>
      <c r="D56" s="119" t="n">
        <v>3</v>
      </c>
      <c r="E56" s="119" t="n">
        <v>10</v>
      </c>
      <c r="F56" s="119" t="n">
        <v>5</v>
      </c>
      <c r="G56" s="119" t="n">
        <v>0</v>
      </c>
      <c r="H56" s="119" t="n">
        <v>18</v>
      </c>
    </row>
    <row r="57">
      <c r="A57" s="119" t="n">
        <v>9</v>
      </c>
      <c r="B57" s="118" t="inlineStr">
        <is>
          <t>Mercado Livre</t>
        </is>
      </c>
      <c r="C57" s="119" t="n">
        <v>2</v>
      </c>
      <c r="D57" s="119" t="n">
        <v>2</v>
      </c>
      <c r="E57" s="119" t="n">
        <v>7</v>
      </c>
      <c r="F57" s="119" t="n">
        <v>6</v>
      </c>
      <c r="G57" s="119" t="n">
        <v>0</v>
      </c>
      <c r="H57" s="119" t="n">
        <v>17</v>
      </c>
    </row>
    <row r="58">
      <c r="A58" s="119" t="n">
        <v>10</v>
      </c>
      <c r="B58" s="118" t="inlineStr">
        <is>
          <t>Stella Artois</t>
        </is>
      </c>
      <c r="C58" s="119" t="n">
        <v>0</v>
      </c>
      <c r="D58" s="119" t="n">
        <v>6</v>
      </c>
      <c r="E58" s="119" t="n">
        <v>4</v>
      </c>
      <c r="F58" s="119" t="n">
        <v>7</v>
      </c>
      <c r="G58" s="119" t="n">
        <v>0</v>
      </c>
      <c r="H58" s="119" t="n">
        <v>17</v>
      </c>
    </row>
    <row r="59">
      <c r="A59" s="119" t="n">
        <v>11</v>
      </c>
      <c r="B59" s="118" t="inlineStr">
        <is>
          <t>Penny</t>
        </is>
      </c>
      <c r="C59" s="119" t="n">
        <v>1</v>
      </c>
      <c r="D59" s="119" t="n">
        <v>3</v>
      </c>
      <c r="E59" s="119" t="n">
        <v>3</v>
      </c>
      <c r="F59" s="119" t="n">
        <v>8</v>
      </c>
      <c r="G59" s="119" t="n">
        <v>0</v>
      </c>
      <c r="H59" s="119" t="n">
        <v>15</v>
      </c>
    </row>
    <row r="60">
      <c r="A60" s="119" t="n">
        <v>12</v>
      </c>
      <c r="B60" s="118" t="inlineStr">
        <is>
          <t>Vaseline</t>
        </is>
      </c>
      <c r="C60" s="119" t="n">
        <v>0</v>
      </c>
      <c r="D60" s="119" t="n">
        <v>2</v>
      </c>
      <c r="E60" s="119" t="n">
        <v>5</v>
      </c>
      <c r="F60" s="119" t="n">
        <v>8</v>
      </c>
      <c r="G60" s="119" t="n">
        <v>0</v>
      </c>
      <c r="H60" s="119" t="n">
        <v>15</v>
      </c>
    </row>
    <row r="61">
      <c r="A61" s="119" t="n">
        <v>13</v>
      </c>
      <c r="B61" s="118" t="inlineStr">
        <is>
          <t>AXA</t>
        </is>
      </c>
      <c r="C61" s="119" t="n">
        <v>2</v>
      </c>
      <c r="D61" s="119" t="n">
        <v>4</v>
      </c>
      <c r="E61" s="119" t="n">
        <v>4</v>
      </c>
      <c r="F61" s="119" t="n">
        <v>3</v>
      </c>
      <c r="G61" s="119" t="n">
        <v>1</v>
      </c>
      <c r="H61" s="119" t="n">
        <v>14</v>
      </c>
    </row>
    <row r="62">
      <c r="A62" s="119" t="n">
        <v>14</v>
      </c>
      <c r="B62" s="118" t="inlineStr">
        <is>
          <t>Unilever</t>
        </is>
      </c>
      <c r="C62" s="119" t="n">
        <v>2</v>
      </c>
      <c r="D62" s="119" t="n">
        <v>1</v>
      </c>
      <c r="E62" s="119" t="n">
        <v>4</v>
      </c>
      <c r="F62" s="119" t="n">
        <v>5</v>
      </c>
      <c r="G62" s="119" t="n">
        <v>1</v>
      </c>
      <c r="H62" s="119" t="n">
        <v>13</v>
      </c>
    </row>
    <row r="63">
      <c r="A63" s="119" t="n">
        <v>15</v>
      </c>
      <c r="B63" s="118" t="inlineStr">
        <is>
          <t>Corona</t>
        </is>
      </c>
      <c r="C63" s="119" t="n">
        <v>0</v>
      </c>
      <c r="D63" s="119" t="n">
        <v>2</v>
      </c>
      <c r="E63" s="119" t="n">
        <v>5</v>
      </c>
      <c r="F63" s="119" t="n">
        <v>6</v>
      </c>
      <c r="G63" s="119" t="n">
        <v>0</v>
      </c>
      <c r="H63" s="119" t="n">
        <v>13</v>
      </c>
    </row>
    <row r="64">
      <c r="A64" s="119" t="n">
        <v>16</v>
      </c>
      <c r="B64" s="118" t="inlineStr">
        <is>
          <t>Cornetto</t>
        </is>
      </c>
      <c r="C64" s="119" t="n">
        <v>0</v>
      </c>
      <c r="D64" s="119" t="n">
        <v>0</v>
      </c>
      <c r="E64" s="119" t="n">
        <v>4</v>
      </c>
      <c r="F64" s="119" t="n">
        <v>8</v>
      </c>
      <c r="G64" s="119" t="n">
        <v>0</v>
      </c>
      <c r="H64" s="119" t="n">
        <v>12</v>
      </c>
    </row>
    <row r="65">
      <c r="A65" s="119" t="n">
        <v>17</v>
      </c>
      <c r="B65" s="118" t="inlineStr">
        <is>
          <t>Academy of Motion Picture Arts &amp; Sciences</t>
        </is>
      </c>
      <c r="C65" s="119" t="n">
        <v>3</v>
      </c>
      <c r="D65" s="119" t="n">
        <v>3</v>
      </c>
      <c r="E65" s="119" t="n">
        <v>2</v>
      </c>
      <c r="F65" s="119" t="n">
        <v>2</v>
      </c>
      <c r="G65" s="119" t="n">
        <v>1</v>
      </c>
      <c r="H65" s="119" t="n">
        <v>11</v>
      </c>
    </row>
    <row r="66">
      <c r="A66" s="119" t="n">
        <v>18</v>
      </c>
      <c r="B66" s="118" t="inlineStr">
        <is>
          <t>Uber Eats</t>
        </is>
      </c>
      <c r="C66" s="119" t="n">
        <v>1</v>
      </c>
      <c r="D66" s="119" t="n">
        <v>2</v>
      </c>
      <c r="E66" s="119" t="n">
        <v>3</v>
      </c>
      <c r="F66" s="119" t="n">
        <v>5</v>
      </c>
      <c r="G66" s="119" t="n">
        <v>0</v>
      </c>
      <c r="H66" s="119" t="n">
        <v>11</v>
      </c>
    </row>
    <row r="67">
      <c r="A67" s="119" t="n">
        <v>19</v>
      </c>
      <c r="B67" s="118" t="inlineStr">
        <is>
          <t>Tecate</t>
        </is>
      </c>
      <c r="C67" s="119" t="n">
        <v>0</v>
      </c>
      <c r="D67" s="119" t="n">
        <v>3</v>
      </c>
      <c r="E67" s="119" t="n">
        <v>6</v>
      </c>
      <c r="F67" s="119" t="n">
        <v>2</v>
      </c>
      <c r="G67" s="119" t="n">
        <v>0</v>
      </c>
      <c r="H67" s="119" t="n">
        <v>11</v>
      </c>
    </row>
    <row r="68">
      <c r="A68" s="119" t="n">
        <v>20</v>
      </c>
      <c r="B68" s="118" t="inlineStr">
        <is>
          <t>Kimberly-Clark</t>
        </is>
      </c>
      <c r="C68" s="119" t="n">
        <v>0</v>
      </c>
      <c r="D68" s="119" t="n">
        <v>2</v>
      </c>
      <c r="E68" s="119" t="n">
        <v>5</v>
      </c>
      <c r="F68" s="119" t="n">
        <v>3</v>
      </c>
      <c r="G68" s="119" t="n">
        <v>0</v>
      </c>
      <c r="H68" s="119" t="n">
        <v>10</v>
      </c>
    </row>
    <row r="69">
      <c r="A69" s="119" t="n">
        <v>21</v>
      </c>
      <c r="B69" s="118" t="inlineStr">
        <is>
          <t>Mastercard</t>
        </is>
      </c>
      <c r="C69" s="119" t="n">
        <v>0</v>
      </c>
      <c r="D69" s="119" t="n">
        <v>2</v>
      </c>
      <c r="E69" s="119" t="n">
        <v>4</v>
      </c>
      <c r="F69" s="119" t="n">
        <v>4</v>
      </c>
      <c r="G69" s="119" t="n">
        <v>0</v>
      </c>
      <c r="H69" s="119" t="n">
        <v>10</v>
      </c>
    </row>
    <row r="70">
      <c r="A70" s="119" t="n">
        <v>22</v>
      </c>
      <c r="B70" s="118" t="inlineStr">
        <is>
          <t>Indian Railways</t>
        </is>
      </c>
      <c r="C70" s="119" t="n">
        <v>1</v>
      </c>
      <c r="D70" s="119" t="n">
        <v>6</v>
      </c>
      <c r="E70" s="119" t="n">
        <v>1</v>
      </c>
      <c r="F70" s="119" t="n">
        <v>1</v>
      </c>
      <c r="G70" s="119" t="n">
        <v>0</v>
      </c>
      <c r="H70" s="119" t="n">
        <v>9</v>
      </c>
    </row>
    <row r="71">
      <c r="A71" s="119" t="n">
        <v>23</v>
      </c>
      <c r="B71" s="118" t="inlineStr">
        <is>
          <t>Budweiser</t>
        </is>
      </c>
      <c r="C71" s="119" t="n">
        <v>1</v>
      </c>
      <c r="D71" s="119" t="n">
        <v>2</v>
      </c>
      <c r="E71" s="119" t="n">
        <v>3</v>
      </c>
      <c r="F71" s="119" t="n">
        <v>3</v>
      </c>
      <c r="G71" s="119" t="n">
        <v>0</v>
      </c>
      <c r="H71" s="119" t="n">
        <v>9</v>
      </c>
    </row>
    <row r="72">
      <c r="A72" s="119" t="n">
        <v>24</v>
      </c>
      <c r="B72" s="118" t="inlineStr">
        <is>
          <t>Adidas</t>
        </is>
      </c>
      <c r="C72" s="119" t="n">
        <v>3</v>
      </c>
      <c r="D72" s="119" t="n">
        <v>3</v>
      </c>
      <c r="E72" s="119" t="n">
        <v>1</v>
      </c>
      <c r="F72" s="119" t="n">
        <v>1</v>
      </c>
      <c r="G72" s="119" t="n">
        <v>0</v>
      </c>
      <c r="H72" s="119" t="n">
        <v>8</v>
      </c>
    </row>
    <row r="73">
      <c r="A73" s="119" t="n">
        <v>25</v>
      </c>
      <c r="B73" s="118" t="inlineStr">
        <is>
          <t>Telstra</t>
        </is>
      </c>
      <c r="C73" s="119" t="n">
        <v>1</v>
      </c>
      <c r="D73" s="119" t="n">
        <v>3</v>
      </c>
      <c r="E73" s="119" t="n">
        <v>1</v>
      </c>
      <c r="F73" s="119" t="n">
        <v>3</v>
      </c>
      <c r="G73" s="119" t="n">
        <v>0</v>
      </c>
      <c r="H73" s="119" t="n">
        <v>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6" customWidth="1" style="34" min="1" max="1"/>
    <col width="16" customWidth="1" style="34" min="2" max="2"/>
    <col width="34" customWidth="1" style="34" min="3" max="3"/>
    <col width="22" customWidth="1" style="34" min="4" max="4"/>
    <col width="26" customWidth="1" style="34" min="5" max="5"/>
    <col width="28" customWidth="1" style="34" min="6" max="6"/>
    <col width="16" customWidth="1" style="34" min="7" max="7"/>
    <col width="34" customWidth="1" style="34" min="8" max="8"/>
    <col width="18" customWidth="1" style="34" min="9" max="9"/>
    <col width="16" customWidth="1" style="34" min="10" max="10"/>
    <col width="22" customWidth="1" style="34" min="11" max="11"/>
    <col width="20" customWidth="1" style="34" min="12" max="12"/>
    <col width="60" customWidth="1" style="34" min="13" max="13"/>
    <col width="40" customWidth="1" style="34" min="14" max="14"/>
  </cols>
  <sheetData>
    <row r="1">
      <c r="A1" s="122" t="inlineStr">
        <is>
          <t>Year</t>
        </is>
      </c>
      <c r="B1" s="122" t="inlineStr">
        <is>
          <t>Tier</t>
        </is>
      </c>
      <c r="C1" s="122" t="inlineStr">
        <is>
          <t>Campaign</t>
        </is>
      </c>
      <c r="D1" s="122" t="inlineStr">
        <is>
          <t>Brand</t>
        </is>
      </c>
      <c r="E1" s="122" t="inlineStr">
        <is>
          <t>Product/Service</t>
        </is>
      </c>
      <c r="F1" s="122" t="inlineStr">
        <is>
          <t>Agency</t>
        </is>
      </c>
      <c r="G1" s="122" t="inlineStr">
        <is>
          <t>Country</t>
        </is>
      </c>
      <c r="H1" s="122" t="inlineStr">
        <is>
          <t>Subcategory</t>
        </is>
      </c>
      <c r="I1" s="122" t="inlineStr">
        <is>
          <t>Image URL</t>
        </is>
      </c>
      <c r="J1" s="122" t="inlineStr">
        <is>
          <t>YouTube ID</t>
        </is>
      </c>
      <c r="K1" s="122" t="inlineStr">
        <is>
          <t>Campaign Group</t>
        </is>
      </c>
      <c r="L1" s="122" t="inlineStr">
        <is>
          <t>Entry URL</t>
        </is>
      </c>
      <c r="M1" s="122" t="inlineStr">
        <is>
          <t>Description</t>
        </is>
      </c>
      <c r="N1" s="122" t="inlineStr">
        <is>
          <t>Keywords</t>
        </is>
      </c>
    </row>
    <row r="2">
      <c r="A2" s="33" t="n">
        <v>2026</v>
      </c>
      <c r="B2" s="159" t="inlineStr">
        <is>
          <t>Grand Prix</t>
        </is>
      </c>
      <c r="C2" s="107" t="inlineStr">
        <is>
          <t>ABInBev: Creativity at Scale</t>
        </is>
      </c>
      <c r="D2" s="33" t="inlineStr">
        <is>
          <t>ABInBev</t>
        </is>
      </c>
      <c r="E2" s="33" t="inlineStr">
        <is>
          <t>Beer</t>
        </is>
      </c>
      <c r="F2" s="33" t="inlineStr">
        <is>
          <t>Anheuser-Busch InBev</t>
        </is>
      </c>
      <c r="G2" s="33" t="inlineStr">
        <is>
          <t>Belgium</t>
        </is>
      </c>
      <c r="H2" s="33" t="inlineStr">
        <is>
          <t>A01 - Talent &amp; Workplace Culture</t>
        </is>
      </c>
      <c r="I2" s="33" t="inlineStr">
        <is>
          <t>https://ascentialcdn.filespin.io/api/v1/conversion/6313b7c3fac0443297698d064dc6d5ed</t>
        </is>
      </c>
      <c r="L2" s="33" t="inlineStr">
        <is>
          <t>https://www.lovethework.com/work/entries/abinbev-creativity-at-scale-792758</t>
        </is>
      </c>
      <c r="M2" s="33" t="inlineStr">
        <is>
          <t>AB InBev's entry in the inaugural Creative Brand category, which judges the systems, culture and capabilities behind a brand's creative output rather than any single campaign. It lays out how the world's largest brewer turned creativity into a repeatable, company-wide discipline — shared creative principles, talent development and consistent ways of working embedded across its portfolio of beer brands and dozens of markets, so award-level work becomes a structured, ongoing growth capability rather than a one-off.</t>
        </is>
      </c>
      <c r="N2" s="33" t="inlineStr">
        <is>
          <t>creative-brand, talent, workplace-culture, creative-transformation, marketing-operations, organizational-culture, beer, alcohol, abinbev, global, belgium</t>
        </is>
      </c>
    </row>
    <row r="3">
      <c r="A3" s="33" t="n">
        <v>2026</v>
      </c>
      <c r="B3" s="159" t="inlineStr">
        <is>
          <t>Gold</t>
        </is>
      </c>
      <c r="C3" s="107" t="inlineStr">
        <is>
          <t>Mastercard</t>
        </is>
      </c>
      <c r="D3" s="33" t="inlineStr">
        <is>
          <t>Mastercard</t>
        </is>
      </c>
      <c r="E3" s="33" t="inlineStr">
        <is>
          <t>Mastercard</t>
        </is>
      </c>
      <c r="F3" s="33" t="inlineStr">
        <is>
          <t>Mastercard</t>
        </is>
      </c>
      <c r="G3" s="33" t="inlineStr">
        <is>
          <t>United States</t>
        </is>
      </c>
      <c r="H3" s="33" t="inlineStr">
        <is>
          <t>A02 - Collaboration and Partnership Models</t>
        </is>
      </c>
      <c r="I3" s="33" t="inlineStr">
        <is>
          <t>https://ascentialcdn.filespin.io/api/v1/conversion/d6b76a71d79a4ae68f925ead9e28a8eb</t>
        </is>
      </c>
      <c r="L3" s="33" t="inlineStr">
        <is>
          <t>https://www.lovethework.com/work/entries/mastercard-779685</t>
        </is>
      </c>
      <c r="M3" s="33" t="inlineStr">
        <is>
          <t>Mastercard's entry in the new Creative Brand category, recognising the operating model behind its marketing rather than a single execution. It centres on how the brand is built through long-term collaboration and partnership — sponsorships, cultural platforms and co-creation with outside organisations — turning those relationships into a consistent, repeatable system for staying culturally relevant and extending the brand across markets over time.</t>
        </is>
      </c>
      <c r="N3" s="33" t="inlineStr">
        <is>
          <t>creative-brand, collaboration, partnership, brand-platform, sponsorship, marketing-operations, payments, fintech, financial-services, finance, mastercard, united-states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5"/>
  <sheetViews>
    <sheetView workbookViewId="0">
      <pane ySplit="1" topLeftCell="A2" activePane="bottomLeft" state="frozen"/>
      <selection pane="bottomLeft" activeCell="A1" sqref="A1"/>
    </sheetView>
  </sheetViews>
  <sheetFormatPr baseColWidth="8" defaultRowHeight="15"/>
  <cols>
    <col width="6" customWidth="1" style="34" min="1" max="1"/>
    <col width="16" customWidth="1" style="34" min="2" max="2"/>
    <col width="34" customWidth="1" style="34" min="3" max="3"/>
    <col width="22" customWidth="1" style="34" min="4" max="4"/>
    <col width="26" customWidth="1" style="34" min="5" max="5"/>
    <col width="28" customWidth="1" style="34" min="6" max="6"/>
    <col width="16" customWidth="1" style="34" min="7" max="7"/>
    <col width="34" customWidth="1" style="34" min="8" max="8"/>
    <col width="18" customWidth="1" style="34" min="9" max="9"/>
    <col width="16" customWidth="1" style="34" min="10" max="10"/>
    <col width="22" customWidth="1" style="34" min="11" max="11"/>
    <col hidden="1" width="20" customWidth="1" style="34" min="12" max="12"/>
    <col width="60" customWidth="1" style="34" min="13" max="13"/>
    <col width="40" customWidth="1" style="34" min="14" max="14"/>
  </cols>
  <sheetData>
    <row r="1" ht="22" customHeight="1" s="34">
      <c r="A1" s="122" t="inlineStr">
        <is>
          <t>Year</t>
        </is>
      </c>
      <c r="B1" s="122" t="inlineStr">
        <is>
          <t>Tier</t>
        </is>
      </c>
      <c r="C1" s="122" t="inlineStr">
        <is>
          <t>Campaign</t>
        </is>
      </c>
      <c r="D1" s="122" t="inlineStr">
        <is>
          <t>Brand</t>
        </is>
      </c>
      <c r="E1" s="122" t="inlineStr">
        <is>
          <t>Product/Service</t>
        </is>
      </c>
      <c r="F1" s="122" t="inlineStr">
        <is>
          <t>Agency</t>
        </is>
      </c>
      <c r="G1" s="122" t="inlineStr">
        <is>
          <t>Country</t>
        </is>
      </c>
      <c r="H1" s="122" t="inlineStr">
        <is>
          <t>Subcategory</t>
        </is>
      </c>
      <c r="I1" s="122" t="inlineStr">
        <is>
          <t>Image URL</t>
        </is>
      </c>
      <c r="J1" s="122" t="inlineStr">
        <is>
          <t>YouTube ID</t>
        </is>
      </c>
      <c r="K1" s="122" t="inlineStr">
        <is>
          <t>Campaign Group</t>
        </is>
      </c>
      <c r="L1" s="122" t="inlineStr">
        <is>
          <t>Entry URL</t>
        </is>
      </c>
      <c r="M1" s="122" t="inlineStr">
        <is>
          <t>Description</t>
        </is>
      </c>
      <c r="N1" s="122" t="inlineStr">
        <is>
          <t>Keywords</t>
        </is>
      </c>
    </row>
    <row r="2">
      <c r="A2" s="123" t="n">
        <v>2025</v>
      </c>
      <c r="B2" s="124" t="inlineStr">
        <is>
          <t>Grand Prix</t>
        </is>
      </c>
      <c r="C2" s="125" t="inlineStr">
        <is>
          <t>One Second Ads</t>
        </is>
      </c>
      <c r="D2" s="123" t="inlineStr">
        <is>
          <t>Budweiser</t>
        </is>
      </c>
      <c r="E2" s="123" t="inlineStr">
        <is>
          <t>Beer</t>
        </is>
      </c>
      <c r="F2" s="123" t="inlineStr">
        <is>
          <t>Africa Creative DDB</t>
        </is>
      </c>
      <c r="G2" s="123" t="inlineStr">
        <is>
          <t>Brazil</t>
        </is>
      </c>
      <c r="H2" s="126" t="inlineStr">
        <is>
          <t>B01 - Use of Music</t>
        </is>
      </c>
      <c r="I2" s="123" t="inlineStr">
        <is>
          <t>digital-presentation-images/audio-and-radio-budweiser-one-second-ads.webp</t>
        </is>
      </c>
      <c r="J2" s="123" t="inlineStr">
        <is>
          <t>RpvlshoKIrE</t>
        </is>
      </c>
      <c r="K2" s="127" t="n"/>
      <c r="L2" s="128" t="inlineStr">
        <is>
          <t>https://www.lovethework.com/work/entries/one-second-ads-741948</t>
        </is>
      </c>
      <c r="M2" s="113" t="inlineStr">
        <is>
          <t>A series of one-second social media ads built around the opening note or two of globally recognized songs — from Beyoncé and Taylor Swift to The Beatles and Foo Fighters — short enough that true fans could identify the track but too brief to trigger music licensing fees. Budweiser challenged viewers on social media to name the song, rewarding correct guessers with a beer coupon sent via DM, which turned the comment sections into active guessing threads and kept viewers replaying the ads voluntarily.</t>
        </is>
      </c>
      <c r="N2" s="113" t="inlineStr">
        <is>
          <t>beer, alcohol, social-media, audio, music, entertainment, short-form-video, brazil, user-participation, mobile</t>
        </is>
      </c>
    </row>
    <row r="3">
      <c r="A3" s="123" t="n">
        <v>2025</v>
      </c>
      <c r="B3" s="129" t="inlineStr">
        <is>
          <t>Gold</t>
        </is>
      </c>
      <c r="C3" s="125" t="inlineStr">
        <is>
          <t>Name This Oreo</t>
        </is>
      </c>
      <c r="D3" s="123" t="inlineStr">
        <is>
          <t>Oreo</t>
        </is>
      </c>
      <c r="E3" s="123" t="inlineStr">
        <is>
          <t>Oreo</t>
        </is>
      </c>
      <c r="F3" s="123" t="inlineStr">
        <is>
          <t>VML</t>
        </is>
      </c>
      <c r="G3" s="123" t="inlineStr">
        <is>
          <t>United States</t>
        </is>
      </c>
      <c r="H3" s="126" t="inlineStr">
        <is>
          <t>A03 - Voice Activation</t>
        </is>
      </c>
      <c r="I3" s="123" t="inlineStr">
        <is>
          <t>digital-presentation-images/audio-and-radio-oreo-name-this-oreo.webp</t>
        </is>
      </c>
      <c r="J3" s="123" t="inlineStr">
        <is>
          <t>hRp6cBmbfIw</t>
        </is>
      </c>
      <c r="K3" s="127" t="n"/>
      <c r="L3" s="128" t="inlineStr">
        <is>
          <t>https://www.lovethework.com/work/entries/name-this-oreo-741853</t>
        </is>
      </c>
      <c r="M3" s="113" t="inlineStr">
        <is>
          <t>A voice-activated web game at namethisoreo.com that turns 'OREO Grammar' — a viral internet meme in which cookie-and-creme combinations are read aloud as sequences of 'O' (cookie) and 'RE' (creme) — into a timed naming challenge. Players speak the correct O-RE sequence for each stacked OREO combination shown on screen, build streaks, and unlock cookie offers.</t>
        </is>
      </c>
      <c r="N3" s="113" t="inlineStr">
        <is>
          <t>cookie, snack, food, packaged-goods, cpg, fmcg, voice-game, web-experience, meme-marketing, gamification, audio, united-states</t>
        </is>
      </c>
    </row>
    <row r="4">
      <c r="A4" s="123" t="n">
        <v>2025</v>
      </c>
      <c r="B4" s="129" t="inlineStr">
        <is>
          <t>Gold</t>
        </is>
      </c>
      <c r="C4" s="125" t="inlineStr">
        <is>
          <t>One Second Ads</t>
        </is>
      </c>
      <c r="D4" s="123" t="inlineStr">
        <is>
          <t>Budweiser</t>
        </is>
      </c>
      <c r="E4" s="123" t="inlineStr">
        <is>
          <t>Beer</t>
        </is>
      </c>
      <c r="F4" s="123" t="inlineStr">
        <is>
          <t>Africa Creative DDB</t>
        </is>
      </c>
      <c r="G4" s="123" t="inlineStr">
        <is>
          <t>Brazil</t>
        </is>
      </c>
      <c r="H4" s="126" t="inlineStr">
        <is>
          <t>A06 - Audio-Led Creativity</t>
        </is>
      </c>
      <c r="I4" s="123" t="inlineStr">
        <is>
          <t>digital-presentation-images/audio-and-radio-budweiser-one-second-ads.webp</t>
        </is>
      </c>
      <c r="J4" s="123" t="inlineStr">
        <is>
          <t>RpvlshoKIrE</t>
        </is>
      </c>
      <c r="K4" s="127" t="n"/>
      <c r="L4" s="128" t="inlineStr">
        <is>
          <t>https://www.lovethework.com/work/entries/one-second-ads-741888</t>
        </is>
      </c>
      <c r="M4" s="113" t="inlineStr">
        <is>
          <t>A series of one-second social media ads built around the opening note or two of globally recognized songs — from Beyoncé and Taylor Swift to The Beatles and Foo Fighters — short enough that true fans could identify the track but too brief to trigger music licensing fees. Budweiser challenged viewers on social media to name the song, rewarding correct guessers with a beer coupon sent via DM, which turned the comment sections into active guessing threads and kept viewers replaying the ads voluntarily.</t>
        </is>
      </c>
      <c r="N4" s="113" t="inlineStr">
        <is>
          <t>beer, alcohol, social-media, audio, music, entertainment, short-form-video, brazil, user-participation, mobile</t>
        </is>
      </c>
    </row>
    <row r="5">
      <c r="A5" s="123" t="n">
        <v>2025</v>
      </c>
      <c r="B5" s="129" t="inlineStr">
        <is>
          <t>Gold</t>
        </is>
      </c>
      <c r="C5" s="125" t="inlineStr">
        <is>
          <t>The Second Release</t>
        </is>
      </c>
      <c r="D5" s="123" t="inlineStr">
        <is>
          <t>Billboard Arabia</t>
        </is>
      </c>
      <c r="E5" s="123" t="inlineStr">
        <is>
          <t>Billboard Magazine</t>
        </is>
      </c>
      <c r="F5" s="123" t="inlineStr">
        <is>
          <t>SRMG Labs</t>
        </is>
      </c>
      <c r="G5" s="123" t="inlineStr">
        <is>
          <t>Saudi Arabia</t>
        </is>
      </c>
      <c r="H5" s="126" t="inlineStr">
        <is>
          <t>C03 - Single-Market Campaign</t>
        </is>
      </c>
      <c r="I5" s="123" t="inlineStr">
        <is>
          <t>digital-presentation-images/audio-and-radio-billboard-arabia-the-second-release.webp</t>
        </is>
      </c>
      <c r="J5" s="123" t="inlineStr">
        <is>
          <t>sH5Jk7ywBLc</t>
        </is>
      </c>
      <c r="K5" s="127" t="n"/>
      <c r="L5" s="128" t="inlineStr">
        <is>
          <t>https://www.lovethework.com/work/entries/the-second-release-742149</t>
        </is>
      </c>
      <c r="M5" s="113" t="inlineStr">
        <is>
          <t>A vinyl record pressing of 'Etab,' a 1988 Saudi classic by singer Tarouf Abdulkhair Adam Talal (stage name Etab), remastered and re-released in 2024 by Billboard Arabia to mark Saudi National Day — the song's first-ever physical release.</t>
        </is>
      </c>
      <c r="N5" s="113" t="inlineStr">
        <is>
          <t>music, entertainment, vinyl, audio, cultural-engagement, saudi-arabia, music-media, re-release, archival</t>
        </is>
      </c>
    </row>
    <row r="6">
      <c r="A6" s="123" t="n">
        <v>2025</v>
      </c>
      <c r="B6" s="130" t="inlineStr">
        <is>
          <t>Silver</t>
        </is>
      </c>
      <c r="C6" s="125" t="inlineStr">
        <is>
          <t>Name This Oreo</t>
        </is>
      </c>
      <c r="D6" s="123" t="inlineStr">
        <is>
          <t>Oreo</t>
        </is>
      </c>
      <c r="E6" s="123" t="inlineStr">
        <is>
          <t>Oreo</t>
        </is>
      </c>
      <c r="F6" s="123" t="inlineStr">
        <is>
          <t>VML</t>
        </is>
      </c>
      <c r="G6" s="123" t="inlineStr">
        <is>
          <t>United States</t>
        </is>
      </c>
      <c r="H6" s="126" t="inlineStr">
        <is>
          <t>A01 - Use of Audio &amp; Radio as a Medium</t>
        </is>
      </c>
      <c r="I6" s="123" t="inlineStr">
        <is>
          <t>digital-presentation-images/audio-and-radio-oreo-name-this-oreo.webp</t>
        </is>
      </c>
      <c r="J6" s="123" t="inlineStr">
        <is>
          <t>hRp6cBmbfIw</t>
        </is>
      </c>
      <c r="K6" s="127" t="n"/>
      <c r="L6" s="128" t="inlineStr">
        <is>
          <t>https://www.lovethework.com/work/entries/name-this-oreo-741778</t>
        </is>
      </c>
      <c r="M6" s="113" t="inlineStr">
        <is>
          <t>A voice-activated web game at namethisoreo.com that turns "OREO Grammar" — a viral internet meme in which cookie-and-creme combinations are read aloud as sequences of "O" (cookie) and "RE" (creme) — into a timed naming challenge. Players speak the correct O-RE sequence for each stacked OREO combination shown on screen, build streaks, and unlock cookie offers. The campaign launched in partnership with TikTok's 2024 Creator of the Year, @OHIOSATOYUBOSS, whose existing OREO Grammar content made him the natural host.</t>
        </is>
      </c>
      <c r="N6" s="113" t="inlineStr">
        <is>
          <t>snack, food, packaged-goods, cpg, fmcg, voice-activation, mobile-app, social-influencer, gamification, united-states, tiktok, audio</t>
        </is>
      </c>
    </row>
    <row r="7">
      <c r="A7" s="123" t="n">
        <v>2025</v>
      </c>
      <c r="B7" s="130" t="inlineStr">
        <is>
          <t>Silver</t>
        </is>
      </c>
      <c r="C7" s="125" t="inlineStr">
        <is>
          <t>Fishermen Storytellers</t>
        </is>
      </c>
      <c r="D7" s="123" t="inlineStr">
        <is>
          <t>Corona</t>
        </is>
      </c>
      <c r="E7" s="123" t="inlineStr">
        <is>
          <t>Beer</t>
        </is>
      </c>
      <c r="F7" s="123" t="inlineStr">
        <is>
          <t>Africa Creative DDB</t>
        </is>
      </c>
      <c r="G7" s="123" t="inlineStr">
        <is>
          <t>Brazil</t>
        </is>
      </c>
      <c r="H7" s="126" t="inlineStr">
        <is>
          <t>A04 - Branded Content/Podcasts</t>
        </is>
      </c>
      <c r="I7" s="123" t="inlineStr">
        <is>
          <t>digital-presentation-images/audio-and-radio-corona-fishermen-storytellers.webp</t>
        </is>
      </c>
      <c r="J7" s="123" t="inlineStr">
        <is>
          <t>vimeo:1090130974</t>
        </is>
      </c>
      <c r="K7" s="127" t="n"/>
      <c r="L7" s="128" t="inlineStr">
        <is>
          <t>https://www.lovethework.com/work/entries/fishermen-storytellers-764514</t>
        </is>
      </c>
      <c r="M7" s="113" t="inlineStr">
        <is>
          <t>A documentary and design project that helps Brazilian fishing communities replace lost income during the annual fishing ban by training fishermen as tour guides for their own folklore. The work culminates in a stop-motion film made from hand-carved wooden scenes and a book bound in salvaged boat wood, fishing nets, and cement.</t>
        </is>
      </c>
      <c r="N7" s="113" t="inlineStr">
        <is>
          <t>branded-content, social-good, craft, storytelling, beer, alcohol, brazil, sustainability, stop-motion</t>
        </is>
      </c>
    </row>
    <row r="8">
      <c r="A8" s="123" t="n">
        <v>2025</v>
      </c>
      <c r="B8" s="130" t="inlineStr">
        <is>
          <t>Silver</t>
        </is>
      </c>
      <c r="C8" s="125" t="inlineStr">
        <is>
          <t>1. High Energy Intern</t>
        </is>
      </c>
      <c r="D8" s="123" t="inlineStr">
        <is>
          <t>Fusion Energy Drink</t>
        </is>
      </c>
      <c r="E8" s="123" t="inlineStr">
        <is>
          <t>Energy Drink</t>
        </is>
      </c>
      <c r="F8" s="123" t="inlineStr">
        <is>
          <t>David</t>
        </is>
      </c>
      <c r="G8" s="123" t="inlineStr">
        <is>
          <t>Spain</t>
        </is>
      </c>
      <c r="H8" s="126" t="inlineStr">
        <is>
          <t>B03 - Script</t>
        </is>
      </c>
      <c r="I8" s="128" t="inlineStr">
        <is>
          <t>https://ascentialcdn.filespin.io/api/v1/storyboard/846afe3e468240929823119e42cf3b99/storyboard_000008.jpg</t>
        </is>
      </c>
      <c r="J8" s="123" t="inlineStr">
        <is>
          <t>vimeo:1105218555</t>
        </is>
      </c>
      <c r="K8" s="127" t="n"/>
      <c r="L8" s="128" t="inlineStr">
        <is>
          <t>https://www.lovethework.com/work/entries/1-high-energy-intern-762404</t>
        </is>
      </c>
      <c r="M8" s="113" t="inlineStr">
        <is>
          <t>A radio campaign for Fusion Energy Drink that flips the usual category logic: it's not for high-energy people, it's for the people who have to keep up with them. In this spot, 'High-Energy Intern' becomes a lovable but relentless office sunbeam—firing off endless questions, emoji-packed messages, and 'OMG amazing' reactions to even the dullest policy update. Fusion is energy for people who live with people with energy—or in this case, work 40 hours a week directly across from them.</t>
        </is>
      </c>
      <c r="N8" s="113" t="inlineStr">
        <is>
          <t>energy-drink, drinks, beverage, radio, audio, humor, workplace, brand-platform</t>
        </is>
      </c>
    </row>
    <row r="9">
      <c r="A9" s="123" t="n">
        <v>2025</v>
      </c>
      <c r="B9" s="130" t="inlineStr">
        <is>
          <t>Silver</t>
        </is>
      </c>
      <c r="C9" s="125" t="inlineStr">
        <is>
          <t>Chill Enough</t>
        </is>
      </c>
      <c r="D9" s="123" t="inlineStr">
        <is>
          <t>Coors Brewing Company</t>
        </is>
      </c>
      <c r="E9" s="123" t="inlineStr">
        <is>
          <t>Coors Light</t>
        </is>
      </c>
      <c r="F9" s="123" t="inlineStr">
        <is>
          <t>Alma Advertising Agency</t>
        </is>
      </c>
      <c r="G9" s="123" t="inlineStr">
        <is>
          <t>United States</t>
        </is>
      </c>
      <c r="H9" s="126" t="inlineStr">
        <is>
          <t>B04 - Casting &amp; Performance</t>
        </is>
      </c>
      <c r="I9" s="123" t="inlineStr">
        <is>
          <t>digital-presentation-images/audio-and-radio-coors-light-chill-enough.webp</t>
        </is>
      </c>
      <c r="J9" s="123" t="inlineStr">
        <is>
          <t>vimeo:1086177966</t>
        </is>
      </c>
      <c r="K9" s="127" t="n"/>
      <c r="L9" s="128" t="inlineStr">
        <is>
          <t>https://www.lovethework.com/work/entries/chill-enough-762433</t>
        </is>
      </c>
      <c r="M9" s="113" t="inlineStr">
        <is>
          <t>A radio campaign in which voiceover announcers recorded their scripts while fully submerged in ice plunge baths — the physical discomfort of the cold translating directly into audible distress, bleeps, and involuntary reactions in the final spots. The stunt mirrors Coors Light's cold-activated can, whose mountain label turns blue only when the beer reaches ice-cold temperature.</t>
        </is>
      </c>
      <c r="N9" s="113" t="inlineStr">
        <is>
          <t>beer, alcohol, radio, casting-and-performance, stunt, united-states, audio, brand-feature</t>
        </is>
      </c>
    </row>
    <row r="10">
      <c r="A10" s="123" t="n">
        <v>2025</v>
      </c>
      <c r="B10" s="130" t="inlineStr">
        <is>
          <t>Silver</t>
        </is>
      </c>
      <c r="C10" s="125" t="inlineStr">
        <is>
          <t>Burger to King</t>
        </is>
      </c>
      <c r="D10" s="123" t="inlineStr">
        <is>
          <t>Burger King</t>
        </is>
      </c>
      <c r="E10" s="123" t="inlineStr">
        <is>
          <t>Burger King</t>
        </is>
      </c>
      <c r="F10" s="123" t="inlineStr">
        <is>
          <t>Happiness, an FCB Alliance</t>
        </is>
      </c>
      <c r="G10" s="123" t="inlineStr">
        <is>
          <t>Belgium</t>
        </is>
      </c>
      <c r="H10" s="126" t="inlineStr">
        <is>
          <t>C02 - Challenger Brand</t>
        </is>
      </c>
      <c r="I10" s="123" t="inlineStr">
        <is>
          <t>digital-presentation-images/audio-and-radio-burger-king-burger-to-king.webp</t>
        </is>
      </c>
      <c r="J10" s="123" t="inlineStr">
        <is>
          <t>RQVaoU4CGRk</t>
        </is>
      </c>
      <c r="K10" s="127" t="n"/>
      <c r="L10" s="128" t="inlineStr">
        <is>
          <t>https://www.lovethework.com/work/entries/burger-to-king-763482</t>
        </is>
      </c>
      <c r="M10" s="113" t="inlineStr">
        <is>
          <t>A loophole in EA FC25's AI commentary system, which dynamically reads every real player's name aloud, exploited by Burger King. Fans were coached via influencers and social posts to build Ultimate Team squads using real FC25 players actually named 'Burger' (e.g. Wouter Burger, Stoke City) and 'King' (e.g. Joshua King, Toulouse), so that whenever the ball moved between them, the automated in-game commentator called out 'Burger... King' — without EA Sports' involvement.</t>
        </is>
      </c>
      <c r="N10" s="113" t="inlineStr">
        <is>
          <t>qsr, fast-food, restaurant, food, gaming, video-games, entertainment, football, soccer, sport, audio, in-game, social-media, ambient, hijack</t>
        </is>
      </c>
    </row>
    <row r="11">
      <c r="A11" s="123" t="n">
        <v>2025</v>
      </c>
      <c r="B11" s="130" t="inlineStr">
        <is>
          <t>Silver</t>
        </is>
      </c>
      <c r="C11" s="125" t="inlineStr">
        <is>
          <t>The Second Release</t>
        </is>
      </c>
      <c r="D11" s="123" t="inlineStr">
        <is>
          <t>Billboard Arabia</t>
        </is>
      </c>
      <c r="E11" s="123" t="inlineStr">
        <is>
          <t>Billboard Magazine</t>
        </is>
      </c>
      <c r="F11" s="123" t="inlineStr">
        <is>
          <t>SRMG Labs</t>
        </is>
      </c>
      <c r="G11" s="123" t="inlineStr">
        <is>
          <t>Saudi Arabia</t>
        </is>
      </c>
      <c r="H11" s="126" t="inlineStr">
        <is>
          <t>C04 - Social Behaviour</t>
        </is>
      </c>
      <c r="I11" s="123" t="inlineStr">
        <is>
          <t>digital-presentation-images/audio-and-radio-billboard-arabia-the-second-release.webp</t>
        </is>
      </c>
      <c r="J11" s="123" t="inlineStr">
        <is>
          <t>sH5Jk7ywBLc</t>
        </is>
      </c>
      <c r="K11" s="127" t="n"/>
      <c r="L11" s="128" t="inlineStr">
        <is>
          <t>https://www.lovethework.com/work/entries/the-second-release-742142</t>
        </is>
      </c>
      <c r="M11" s="113" t="inlineStr">
        <is>
          <t>A vinyl record pressing of "Etab," a 1988 Saudi classic by singer Tarouf Abdulkhair Adam Talal (stage name Etab), remastered and re-released in 2024 by Billboard Arabia to mark Saudi National Day — the song's first-ever physical release. The packaging, designed by SRMG Labs in Riyadh, pairs archival black-and-white portrait photography with neon-green Arabic and Latin typography across the sleeve, inner labels, and inserts.</t>
        </is>
      </c>
      <c r="N11" s="113" t="inlineStr">
        <is>
          <t>billboard-magazine, music, entertainment, vinyl, packaging, arabic-typography, heritage, saudi-arabia, single-market-campaign, print</t>
        </is>
      </c>
    </row>
    <row r="12">
      <c r="A12" s="123" t="n">
        <v>2025</v>
      </c>
      <c r="B12" s="130" t="inlineStr">
        <is>
          <t>Silver</t>
        </is>
      </c>
      <c r="C12" s="125" t="inlineStr">
        <is>
          <t>From Hurt to Hit</t>
        </is>
      </c>
      <c r="D12" s="123" t="inlineStr">
        <is>
          <t>Brahma</t>
        </is>
      </c>
      <c r="E12" s="123" t="inlineStr">
        <is>
          <t>Beer</t>
        </is>
      </c>
      <c r="F12" s="123" t="inlineStr">
        <is>
          <t>Africa Creative DDB</t>
        </is>
      </c>
      <c r="G12" s="123" t="inlineStr">
        <is>
          <t>Brazil</t>
        </is>
      </c>
      <c r="H12" s="126" t="inlineStr">
        <is>
          <t>C05 - Use of Humour</t>
        </is>
      </c>
      <c r="I12" s="128" t="inlineStr">
        <is>
          <t>https://ascentialcdn.filespin.io/api/v1/conversion/2c4c0601d34e42cf931304cf072f6fa8</t>
        </is>
      </c>
      <c r="J12" s="123" t="inlineStr">
        <is>
          <t>vimeo:1081566541</t>
        </is>
      </c>
      <c r="K12" s="127" t="n"/>
      <c r="L12" s="128" t="inlineStr">
        <is>
          <t>https://www.lovethework.com/work/entries/from-hurt-to-hit-742107</t>
        </is>
      </c>
      <c r="M12" s="113" t="inlineStr">
        <is>
          <t>A campaign built around the Brazilian sertanejo tradition of writing songs about heartbreak: Brahma collected real emotional stories from consumers and turned them into sertanejo tracks, connecting the brand to the country's most popular music genre through the raw material of personal pain. In Brazil, where alcohol advertising operates under a "dark market" restriction that bans direct product promotion, associating with music culture is one of the few open channels — making the emotional honesty of the mechanic both the creative idea and the regulatory workaround.</t>
        </is>
      </c>
      <c r="N12" s="113" t="inlineStr">
        <is>
          <t>beer, alcohol, audio, music, entertainment, sertanejo, humor, brazil, branded-content, user-generated-content</t>
        </is>
      </c>
    </row>
    <row r="13">
      <c r="A13" s="123" t="n">
        <v>2025</v>
      </c>
      <c r="B13" s="130" t="inlineStr">
        <is>
          <t>Silver</t>
        </is>
      </c>
      <c r="C13" s="125" t="inlineStr">
        <is>
          <t>Me Feat. Me</t>
        </is>
      </c>
      <c r="D13" s="123" t="inlineStr">
        <is>
          <t>Nosotras</t>
        </is>
      </c>
      <c r="E13" s="123" t="inlineStr">
        <is>
          <t>Nosotras</t>
        </is>
      </c>
      <c r="F13" s="123" t="inlineStr">
        <is>
          <t>DDB Chile</t>
        </is>
      </c>
      <c r="G13" s="123" t="inlineStr">
        <is>
          <t>Chile</t>
        </is>
      </c>
      <c r="H13" s="126" t="inlineStr">
        <is>
          <t>C09 - Cultural Engagement</t>
        </is>
      </c>
      <c r="I13" s="128" t="inlineStr">
        <is>
          <t>https://ascentialcdn.filespin.io/api/v1/conversion/a6ac5c5dd4fc4487966ae01ac52f95ff</t>
        </is>
      </c>
      <c r="J13" s="123" t="inlineStr">
        <is>
          <t>KBcSEzHf5DA</t>
        </is>
      </c>
      <c r="K13" s="127" t="n"/>
      <c r="L13" s="128" t="inlineStr">
        <is>
          <t>https://www.lovethework.com/work/entries/me-feat-me-742031</t>
        </is>
      </c>
      <c r="M13" s="113" t="inlineStr">
        <is>
          <t>A music track in which Nosotras recruited women to collaborate with themselves — each artist featured as both the lead and the featured act, credited as "Me feat. Me" — to express self-confidence as a solo identity rather than one defined in relation to others. The format borrowed the standard music-industry "feat." credit convention to make the idea literal: the only collaborator worth naming is yourself.</t>
        </is>
      </c>
      <c r="N13" s="113" t="inlineStr">
        <is>
          <t>feminine-hygiene, audio, music, entertainment, cultural-engagement, womens-empowerment, chile</t>
        </is>
      </c>
    </row>
    <row r="14">
      <c r="A14" s="123" t="n">
        <v>2025</v>
      </c>
      <c r="B14" s="131" t="inlineStr">
        <is>
          <t>Bronze</t>
        </is>
      </c>
      <c r="C14" s="125" t="inlineStr">
        <is>
          <t>The Future Fan Stage</t>
        </is>
      </c>
      <c r="D14" s="123" t="inlineStr">
        <is>
          <t>Way Out West</t>
        </is>
      </c>
      <c r="E14" s="123" t="inlineStr">
        <is>
          <t>Music Festival</t>
        </is>
      </c>
      <c r="F14" s="123" t="inlineStr">
        <is>
          <t>Nord DDB</t>
        </is>
      </c>
      <c r="G14" s="123" t="inlineStr">
        <is>
          <t>Sweden</t>
        </is>
      </c>
      <c r="H14" s="126" t="inlineStr">
        <is>
          <t>A04 - Branded Content/Podcasts</t>
        </is>
      </c>
      <c r="I14" s="128" t="inlineStr">
        <is>
          <t>https://ascentialcdn.filespin.io/api/v1/conversion/4e75651ba0a54a7fbba80de2e2684670</t>
        </is>
      </c>
      <c r="J14" s="123" t="inlineStr">
        <is>
          <t>UkdMtj9108s</t>
        </is>
      </c>
      <c r="K14" s="127" t="n"/>
      <c r="L14" s="128" t="inlineStr">
        <is>
          <t>https://www.lovethework.com/work/entries/the-future-fan-stage-741957</t>
        </is>
      </c>
      <c r="M14" s="113" t="inlineStr">
        <is>
          <t>A live music stage built inside a fertility clinic, where tracks performed by Way Out West festival artists were played directly to sperm and egg cells during IVF treatment — based on research suggesting sound vibrations can support fertilization. The "Future Fan Stage" framed the clinic sessions as early concerts for the next generation of festival-goers.</t>
        </is>
      </c>
      <c r="N14" s="113" t="inlineStr">
        <is>
          <t>music-festival, branded-content, audio, fertility, sweden, experiential, nord-ddb</t>
        </is>
      </c>
    </row>
    <row r="15">
      <c r="A15" s="123" t="n">
        <v>2025</v>
      </c>
      <c r="B15" s="131" t="inlineStr">
        <is>
          <t>Bronze</t>
        </is>
      </c>
      <c r="C15" s="125" t="inlineStr">
        <is>
          <t>Roobadge</t>
        </is>
      </c>
      <c r="D15" s="123" t="inlineStr">
        <is>
          <t>Volkswagen</t>
        </is>
      </c>
      <c r="E15" s="123" t="inlineStr">
        <is>
          <t>Automotive Accessory</t>
        </is>
      </c>
      <c r="F15" s="123" t="inlineStr">
        <is>
          <t>DDB Sydney</t>
        </is>
      </c>
      <c r="G15" s="123" t="inlineStr">
        <is>
          <t>Australia</t>
        </is>
      </c>
      <c r="H15" s="126" t="inlineStr">
        <is>
          <t>A06 - Audio-Led Creativity</t>
        </is>
      </c>
      <c r="I15" s="123" t="inlineStr">
        <is>
          <t>digital-presentation-images/audio-and-radio-volkswagen-roobadge.webp</t>
        </is>
      </c>
      <c r="J15" s="123" t="inlineStr">
        <is>
          <t>vimeo:1093418498</t>
        </is>
      </c>
      <c r="K15" s="127" t="n"/>
      <c r="L15" s="128" t="inlineStr">
        <is>
          <t>https://www.lovethework.com/work/entries/roobadge-741761</t>
        </is>
      </c>
      <c r="M15" s="113" t="inlineStr">
        <is>
          <t>A drop-in replacement Volkswagen badge that doubles as a directional ultrasound speaker. A paired app cross-references the car's GPS with kangaroo distribution data, identifies which species you're driving through, and plays a deterrent sound tuned to that species' hearing. Developed with the University of Melbourne and wildlife group WIRES.</t>
        </is>
      </c>
      <c r="N15" s="113" t="inlineStr">
        <is>
          <t>automotive, cars, transport, product-innovation, wildlife, audio, machine-learning, ai, technology, australia, road-safety, partnership</t>
        </is>
      </c>
    </row>
    <row r="16">
      <c r="A16" s="123" t="n">
        <v>2025</v>
      </c>
      <c r="B16" s="131" t="inlineStr">
        <is>
          <t>Bronze</t>
        </is>
      </c>
      <c r="C16" s="125" t="inlineStr">
        <is>
          <t>The Sound of Divorce</t>
        </is>
      </c>
      <c r="D16" s="123" t="inlineStr">
        <is>
          <t>Calm</t>
        </is>
      </c>
      <c r="E16" s="123" t="inlineStr">
        <is>
          <t>Calm</t>
        </is>
      </c>
      <c r="F16" s="123" t="inlineStr">
        <is>
          <t>Ogilvy Argentina</t>
        </is>
      </c>
      <c r="G16" s="123" t="inlineStr">
        <is>
          <t>Argentina</t>
        </is>
      </c>
      <c r="H16" s="126" t="inlineStr">
        <is>
          <t>A06 - Audio-Led Creativity</t>
        </is>
      </c>
      <c r="I16" s="123" t="inlineStr">
        <is>
          <t>digital-presentation-images/audio-and-radio-calm-the-sound-of-divorce.webp</t>
        </is>
      </c>
      <c r="J16" s="123" t="inlineStr">
        <is>
          <t>FVsx6MQYNRc</t>
        </is>
      </c>
      <c r="K16" s="127" t="n"/>
      <c r="L16" s="128" t="inlineStr">
        <is>
          <t>https://www.lovethework.com/work/entries/the-sound-of-divorce-764375</t>
        </is>
      </c>
      <c r="M16" s="113" t="inlineStr">
        <is>
          <t>A WhatsApp bot built by Ogilvy Argentina for Calm mattresses that converts a partner's recorded snoring into a discount — the louder the snore, the steeper the price drop. Gemini 2.0 AI analyzes each audio clip sent through WhatsApp and returns a personalized percentage off, playing on the "sleep divorce" trend in which couples in Argentina increasingly choose separate bedrooms to protect their sleep and their relationships.</t>
        </is>
      </c>
      <c r="N16" s="113" t="inlineStr">
        <is>
          <t>mattress, whatsapp, mobile-app, ai, technology, audio, argentina, promotion, conversational-bot, ogilvy</t>
        </is>
      </c>
    </row>
    <row r="17">
      <c r="A17" s="123" t="n">
        <v>2025</v>
      </c>
      <c r="B17" s="131" t="inlineStr">
        <is>
          <t>Bronze</t>
        </is>
      </c>
      <c r="C17" s="125" t="inlineStr">
        <is>
          <t>Megan Thee [____]</t>
        </is>
      </c>
      <c r="D17" s="123" t="inlineStr">
        <is>
          <t>Amazon</t>
        </is>
      </c>
      <c r="E17" s="123" t="inlineStr">
        <is>
          <t>Amazon Prime Day</t>
        </is>
      </c>
      <c r="F17" s="123" t="inlineStr">
        <is>
          <t>Amazon XCM</t>
        </is>
      </c>
      <c r="G17" s="123" t="inlineStr">
        <is>
          <t>United States</t>
        </is>
      </c>
      <c r="H17" s="126" t="inlineStr">
        <is>
          <t>B01 - Use of Music</t>
        </is>
      </c>
      <c r="I17" s="123" t="inlineStr">
        <is>
          <t>digital-presentation-images/audio-and-radio-amazon-megan-thee.webp</t>
        </is>
      </c>
      <c r="J17" s="123" t="inlineStr">
        <is>
          <t>vimeo:1082442482</t>
        </is>
      </c>
      <c r="K17" s="127" t="n"/>
      <c r="L17" s="128" t="inlineStr">
        <is>
          <t>https://www.lovethework.com/work/entries/megan-thee-741954</t>
        </is>
      </c>
      <c r="M17" s="113" t="inlineStr">
        <is>
          <t>A bonus track written by Megan Thee Stallion, titled "It's Prime Day," dropped as part of her new album in summer 2024 — its lyrics literally replacing her last name with Amazon Prime Day deals curated from her real-life interests. The track's official music video, released as a fully shoppable ad before the album, cast Megan in five personas — Cosplayer, Daredevil, Lifeguard, Stylist, and Gamer — each tied to a category of Prime Day deals.</t>
        </is>
      </c>
      <c r="N17" s="113" t="inlineStr">
        <is>
          <t>e-commerce, music, entertainment, branded-content, video, celebrity-partnership, retail, united-states, in-house, shoppable</t>
        </is>
      </c>
    </row>
    <row r="18">
      <c r="A18" s="123" t="n">
        <v>2025</v>
      </c>
      <c r="B18" s="131" t="inlineStr">
        <is>
          <t>Bronze</t>
        </is>
      </c>
      <c r="C18" s="125" t="inlineStr">
        <is>
          <t>Me Feat. Me</t>
        </is>
      </c>
      <c r="D18" s="123" t="inlineStr">
        <is>
          <t>Nosotras</t>
        </is>
      </c>
      <c r="E18" s="123" t="inlineStr">
        <is>
          <t>Nosotras</t>
        </is>
      </c>
      <c r="F18" s="123" t="inlineStr">
        <is>
          <t>DDB Chile</t>
        </is>
      </c>
      <c r="G18" s="123" t="inlineStr">
        <is>
          <t>Chile</t>
        </is>
      </c>
      <c r="H18" s="126" t="inlineStr">
        <is>
          <t>B01 - Use of Music</t>
        </is>
      </c>
      <c r="I18" s="128" t="inlineStr">
        <is>
          <t>https://ascentialcdn.filespin.io/api/v1/conversion/a6ac5c5dd4fc4487966ae01ac52f95ff</t>
        </is>
      </c>
      <c r="J18" s="123" t="inlineStr">
        <is>
          <t>KBcSEzHf5DA</t>
        </is>
      </c>
      <c r="K18" s="127" t="n"/>
      <c r="L18" s="128" t="inlineStr">
        <is>
          <t>https://www.lovethework.com/work/entries/me-feat-me-741958</t>
        </is>
      </c>
      <c r="M18" s="113" t="inlineStr">
        <is>
          <t>A music track in which Nosotras recruited women to collaborate with themselves — each artist featured as both the lead and the featured act, credited as "Me feat. Me" — to express self-confidence as a solo identity rather than one defined in relation to others. The format borrowed the standard music-industry "feat." credit convention to make the idea literal: the only collaborator worth naming is yourself.</t>
        </is>
      </c>
      <c r="N18" s="113" t="inlineStr">
        <is>
          <t>feminine-hygiene, audio, music, entertainment, cultural-engagement, womens-empowerment, chile</t>
        </is>
      </c>
    </row>
    <row r="19">
      <c r="A19" s="123" t="n">
        <v>2025</v>
      </c>
      <c r="B19" s="131" t="inlineStr">
        <is>
          <t>Bronze</t>
        </is>
      </c>
      <c r="C19" s="125" t="inlineStr">
        <is>
          <t>What's Gucci?</t>
        </is>
      </c>
      <c r="D19" s="123" t="inlineStr">
        <is>
          <t>Hansa Pilsener</t>
        </is>
      </c>
      <c r="E19" s="123" t="inlineStr">
        <is>
          <t>Hansa Pilsener</t>
        </is>
      </c>
      <c r="F19" s="123" t="inlineStr">
        <is>
          <t>Joe Public</t>
        </is>
      </c>
      <c r="G19" s="123" t="inlineStr">
        <is>
          <t>South Africa</t>
        </is>
      </c>
      <c r="H19" s="126" t="inlineStr">
        <is>
          <t>B03 - Script</t>
        </is>
      </c>
      <c r="I19" s="128" t="inlineStr">
        <is>
          <t>https://ascentialcdn.filespin.io/api/v1/storyboard/0bca684772274dd9a6e2c0c6cd401876/storyboard_000008.jpg</t>
        </is>
      </c>
      <c r="J19" s="123" t="inlineStr">
        <is>
          <t>vimeo:1082457043</t>
        </is>
      </c>
      <c r="K19" s="127" t="n"/>
      <c r="L19" s="128" t="inlineStr">
        <is>
          <t>https://www.lovethework.com/work/entries/whats-gucci-741935</t>
        </is>
      </c>
      <c r="M19" s="113" t="inlineStr">
        <is>
          <t>A radio campaign from Hansa Pilsner, which positions itself as the beer for grown men by lovingly roasting younger guys and their try-hard trends—from crypto dreams to fashion flexes to slang nobody over 30 should legally say. The spot builds a funny exclusionary platform: there may be 'a beer for you,' but Hansa is reserved for men with a little more life experience.</t>
        </is>
      </c>
      <c r="N19" s="113" t="inlineStr">
        <is>
          <t>beer, alcohol, radio, audio, humor, south-africa, brand-platform</t>
        </is>
      </c>
    </row>
    <row r="20">
      <c r="A20" s="123" t="n">
        <v>2025</v>
      </c>
      <c r="B20" s="131" t="inlineStr">
        <is>
          <t>Bronze</t>
        </is>
      </c>
      <c r="C20" s="125" t="inlineStr">
        <is>
          <t>Harmoniser</t>
        </is>
      </c>
      <c r="D20" s="123" t="inlineStr">
        <is>
          <t>Twix</t>
        </is>
      </c>
      <c r="E20" s="123" t="inlineStr">
        <is>
          <t>Twix</t>
        </is>
      </c>
      <c r="F20" s="123" t="inlineStr">
        <is>
          <t>adam&amp;eveDDB</t>
        </is>
      </c>
      <c r="G20" s="123" t="inlineStr">
        <is>
          <t>United Kingdom</t>
        </is>
      </c>
      <c r="H20" s="126" t="inlineStr">
        <is>
          <t>C04 - Social Behaviour</t>
        </is>
      </c>
      <c r="I20" s="123" t="inlineStr">
        <is>
          <t>digital-presentation-images/audio-and-radio-twix-harmoniser.webp</t>
        </is>
      </c>
      <c r="J20" s="123" t="inlineStr">
        <is>
          <t>OFY3DkMtpEk</t>
        </is>
      </c>
      <c r="K20" s="127" t="n"/>
      <c r="L20" s="128" t="inlineStr">
        <is>
          <t>https://www.lovethework.com/work/entries/harmoniser-742056</t>
        </is>
      </c>
      <c r="M20" s="113" t="inlineStr">
        <is>
          <t>A WhatsApp feature, built with Meta, that detects when a voicenote is being recorded and harmonises the speaker's voice with itself — turning ordinary 18-to-34 voice messaging into impromptu duets. Launched across Europe as part of Twix's 'Two is more than One' platform.</t>
        </is>
      </c>
      <c r="N20" s="113" t="inlineStr">
        <is>
          <t>social, mobile, audio, ai, technology, voice, partnership, confectionery, candy, snack, packaged-goods, food, cpg, fmcg, europe</t>
        </is>
      </c>
    </row>
    <row r="21">
      <c r="A21" s="123" t="n">
        <v>2025</v>
      </c>
      <c r="B21" s="131" t="inlineStr">
        <is>
          <t>Bronze</t>
        </is>
      </c>
      <c r="C21" s="125" t="inlineStr">
        <is>
          <t>Football Lover FM</t>
        </is>
      </c>
      <c r="D21" s="123" t="inlineStr">
        <is>
          <t>So Foot</t>
        </is>
      </c>
      <c r="E21" s="123" t="inlineStr">
        <is>
          <t>So Foot</t>
        </is>
      </c>
      <c r="F21" s="123" t="inlineStr">
        <is>
          <t>BETC</t>
        </is>
      </c>
      <c r="G21" s="123" t="inlineStr">
        <is>
          <t>France</t>
        </is>
      </c>
      <c r="H21" s="126" t="inlineStr">
        <is>
          <t>C05 - Use of Humour</t>
        </is>
      </c>
      <c r="I21" s="128" t="inlineStr">
        <is>
          <t>https://ascentialcdn.filespin.io/api/v1/conversion/0b397234b3d74a5aa798ad871042c23c</t>
        </is>
      </c>
      <c r="J21" s="123" t="inlineStr">
        <is>
          <t>j0eeoSEDFn0</t>
        </is>
      </c>
      <c r="K21" s="127" t="n"/>
      <c r="L21" s="128" t="inlineStr">
        <is>
          <t>https://www.lovethework.com/work/entries/football-lover-fm-741973</t>
        </is>
      </c>
      <c r="M21" s="113" t="inlineStr">
        <is>
          <t>A pop-up radio station created by BETC Paris for So Foot, France's football magazine, that transformed live match commentary into romantic love songs in real time on Valentine's Day. The station was designed to resolve the conflict fans face when a fixture falls on February 14th — letting them watch the game while their partner hears it as a love song.</t>
        </is>
      </c>
      <c r="N21" s="113" t="inlineStr">
        <is>
          <t>magazine, radio, live-event, valentines-day, football, soccer, sport, france, humour, audio</t>
        </is>
      </c>
    </row>
    <row r="22">
      <c r="A22" s="123" t="n">
        <v>2025</v>
      </c>
      <c r="B22" s="131" t="inlineStr">
        <is>
          <t>Bronze</t>
        </is>
      </c>
      <c r="C22" s="125" t="inlineStr">
        <is>
          <t>Sounds Right</t>
        </is>
      </c>
      <c r="D22" s="123" t="inlineStr">
        <is>
          <t>Museum for the United Nations - UN Live</t>
        </is>
      </c>
      <c r="E22" s="123" t="inlineStr">
        <is>
          <t>Music</t>
        </is>
      </c>
      <c r="F22" s="123" t="inlineStr">
        <is>
          <t>AKQA</t>
        </is>
      </c>
      <c r="G22" s="123" t="inlineStr">
        <is>
          <t>Denmark</t>
        </is>
      </c>
      <c r="H22" s="126" t="inlineStr">
        <is>
          <t>C07 - Corporate Purpose &amp; Social Responsibility</t>
        </is>
      </c>
      <c r="I22" s="123" t="inlineStr">
        <is>
          <t>digital-presentation-images/audio-and-radio-museum-for-the-united-nations-sounds-right.webp</t>
        </is>
      </c>
      <c r="J22" s="123" t="inlineStr">
        <is>
          <t>5newTxSZ9bU</t>
        </is>
      </c>
      <c r="K22" s="127" t="n"/>
      <c r="L22" s="128" t="inlineStr">
        <is>
          <t>https://www.lovethework.com/work/entries/sounds-right-759882</t>
        </is>
      </c>
      <c r="M22" s="113" t="inlineStr">
        <is>
          <t>A Spotify initiative, developed by AKQA for Museum for the United Nations – UN Live, that registers NATURE as an official credited artist on the platform — so that existing songs featuring natural soundscapes, from artists including V of BTS, David Bowie, Brian Eno, AURORA, and Ellie Goulding, list NATURE as a collaborator with its own verified artist profile. Streaming royalties attributed to NATURE's credit are directed toward nature conservation funding.</t>
        </is>
      </c>
      <c r="N22" s="113" t="inlineStr">
        <is>
          <t>music, entertainment, streaming, tv, spotify, mobile-app, conservation, public-service, corporate-social-responsibility, denmark, akqa</t>
        </is>
      </c>
    </row>
    <row r="23">
      <c r="A23" s="127" t="n">
        <v>2025</v>
      </c>
      <c r="B23" s="132" t="inlineStr">
        <is>
          <t>Silver</t>
        </is>
      </c>
      <c r="C23" s="127" t="inlineStr">
        <is>
          <t>2. High Energy Boyfriend</t>
        </is>
      </c>
      <c r="D23" s="127" t="inlineStr">
        <is>
          <t>Fusion Energy Drink</t>
        </is>
      </c>
      <c r="E23" s="127" t="n"/>
      <c r="F23" s="127" t="inlineStr">
        <is>
          <t>David</t>
        </is>
      </c>
      <c r="G23" s="127" t="inlineStr">
        <is>
          <t>Spain</t>
        </is>
      </c>
      <c r="H23" s="113" t="inlineStr">
        <is>
          <t>B03 - Script</t>
        </is>
      </c>
      <c r="I23" s="128" t="inlineStr">
        <is>
          <t>https://ascentialcdn.filespin.io/api/v1/storyboard/846afe3e468240929823119e42cf3b99/storyboard_000008.jpg</t>
        </is>
      </c>
      <c r="J23" s="127" t="inlineStr">
        <is>
          <t>vimeo:1105218613</t>
        </is>
      </c>
      <c r="K23" s="127" t="n"/>
      <c r="L23" s="127" t="n"/>
      <c r="M23" s="113" t="inlineStr">
        <is>
          <t>A radio campaign for Fusion Energy Drink that flips the usual category logic: it's not for high-energy people, it's for the people who have to keep up with them. In this spot, 'High-Energy Boyfriend' becomes a lovable but exhausting social tornado—filling your apartment with friends, turning every weekend into an event, and somehow volunteering you both for Dimitri's wedding and a neighbor's pregnant cat. Fusion is energy for people who live with people with energy—and their friends, and their friends' friends.</t>
        </is>
      </c>
      <c r="N23" s="113" t="inlineStr">
        <is>
          <t>energy-drink, drinks, beverage, radio, audio, humor, brand-platform</t>
        </is>
      </c>
    </row>
    <row r="24">
      <c r="A24" s="127" t="n">
        <v>2025</v>
      </c>
      <c r="B24" s="132" t="inlineStr">
        <is>
          <t>Silver</t>
        </is>
      </c>
      <c r="C24" s="127" t="inlineStr">
        <is>
          <t>3. High Energy Dad</t>
        </is>
      </c>
      <c r="D24" s="127" t="inlineStr">
        <is>
          <t>Fusion Energy Drink</t>
        </is>
      </c>
      <c r="E24" s="127" t="n"/>
      <c r="F24" s="127" t="inlineStr">
        <is>
          <t>David</t>
        </is>
      </c>
      <c r="G24" s="127" t="inlineStr">
        <is>
          <t>Spain</t>
        </is>
      </c>
      <c r="H24" s="113" t="inlineStr">
        <is>
          <t>B03 - Script</t>
        </is>
      </c>
      <c r="I24" s="128" t="inlineStr">
        <is>
          <t>https://ascentialcdn.filespin.io/api/v1/storyboard/846afe3e468240929823119e42cf3b99/storyboard_000008.jpg</t>
        </is>
      </c>
      <c r="J24" s="127" t="inlineStr">
        <is>
          <t>vimeo:1105218658</t>
        </is>
      </c>
      <c r="K24" s="127" t="n"/>
      <c r="L24" s="127" t="n"/>
      <c r="M24" s="113" t="inlineStr">
        <is>
          <t>A radio campaign for Fusion Energy Drink that flips the usual category logic: it's not for high-energy people, it's for the people who have to keep up with them. In this spot, 'High-Energy Dad' becomes a lovable but exhausting force of nature—turning errands, chores and life lessons into full-body cardio. Fusion is energy for people who live with people with energy.</t>
        </is>
      </c>
      <c r="N24" s="113" t="inlineStr">
        <is>
          <t>energy-drink, drinks, beverage, radio, audio, humor, family, brand-platform</t>
        </is>
      </c>
    </row>
    <row r="25">
      <c r="A25" s="127" t="n">
        <v>2025</v>
      </c>
      <c r="B25" s="132" t="inlineStr">
        <is>
          <t>Silver</t>
        </is>
      </c>
      <c r="C25" s="127" t="inlineStr">
        <is>
          <t>Cold Detector</t>
        </is>
      </c>
      <c r="D25" s="127" t="inlineStr">
        <is>
          <t>Coors Brewing Company</t>
        </is>
      </c>
      <c r="E25" s="127" t="n"/>
      <c r="F25" s="127" t="inlineStr">
        <is>
          <t>Alma Advertising Agency</t>
        </is>
      </c>
      <c r="G25" s="127" t="inlineStr">
        <is>
          <t>United States</t>
        </is>
      </c>
      <c r="H25" s="113" t="inlineStr">
        <is>
          <t>B04 - Casting &amp; Performance</t>
        </is>
      </c>
      <c r="I25" s="127" t="inlineStr">
        <is>
          <t>digital-presentation-images/audio-and-radio-coors-light-chill-enough.webp</t>
        </is>
      </c>
      <c r="J25" s="127" t="inlineStr">
        <is>
          <t>vimeo:1086178012</t>
        </is>
      </c>
      <c r="K25" s="127" t="n"/>
      <c r="L25" s="127" t="n"/>
      <c r="M25" s="113" t="inlineStr">
        <is>
          <t>A radio campaign in which voiceover announcers recorded their scripts while submerged in ice plunge baths — a live demonstration of the cold the Coors Light cold-activated can is designed to signal. The physical shock of the ice water produced involuntary reactions, bleeps, and audibly frozen delivery across three finished spots.</t>
        </is>
      </c>
      <c r="N25" s="113" t="inlineStr">
        <is>
          <t>beer, alcohol, radio, casting, united-states, audio, experiential-production, cold-activation, packaging-tie-in</t>
        </is>
      </c>
    </row>
    <row r="26">
      <c r="A26" s="127" t="n">
        <v>2025</v>
      </c>
      <c r="B26" s="132" t="inlineStr">
        <is>
          <t>Silver</t>
        </is>
      </c>
      <c r="C26" s="127" t="inlineStr">
        <is>
          <t>Mountain Cold</t>
        </is>
      </c>
      <c r="D26" s="127" t="inlineStr">
        <is>
          <t>Coors Brewing Company</t>
        </is>
      </c>
      <c r="E26" s="127" t="n"/>
      <c r="F26" s="127" t="inlineStr">
        <is>
          <t>Alma Advertising Agency</t>
        </is>
      </c>
      <c r="G26" s="127" t="inlineStr">
        <is>
          <t>United States</t>
        </is>
      </c>
      <c r="H26" s="113" t="inlineStr">
        <is>
          <t>B04 - Casting &amp; Performance</t>
        </is>
      </c>
      <c r="I26" s="127" t="inlineStr">
        <is>
          <t>digital-presentation-images/audio-and-radio-coors-light-chill-enough.webp</t>
        </is>
      </c>
      <c r="J26" s="127" t="inlineStr">
        <is>
          <t>vimeo:1086178036</t>
        </is>
      </c>
      <c r="K26" s="127" t="n"/>
      <c r="L26" s="127" t="n"/>
      <c r="M26" s="113" t="inlineStr">
        <is>
          <t>A radio campaign in which voiceover announcers record Coors Light scripts from inside an ice plunge — submerged to the shoulders in ice-cold water for the duration of each take. Three spots were produced, each capturing the involuntary reactions, strained delivery, and bleeped expletives of announcers trying to maintain professional composure while experiencing the same cold the brand's color-changing mountain label is designed to signal.</t>
        </is>
      </c>
      <c r="N26" s="113" t="inlineStr">
        <is>
          <t>beer, alcohol, radio, casting-and-performance, stunt, united-states, audio, coors-light</t>
        </is>
      </c>
    </row>
    <row r="27">
      <c r="A27" s="127" t="n">
        <v>2025</v>
      </c>
      <c r="B27" s="133" t="inlineStr">
        <is>
          <t>Bronze</t>
        </is>
      </c>
      <c r="C27" s="127" t="inlineStr">
        <is>
          <t>Spill the Tea</t>
        </is>
      </c>
      <c r="D27" s="127" t="inlineStr">
        <is>
          <t>Hansa Pilsener</t>
        </is>
      </c>
      <c r="E27" s="127" t="n"/>
      <c r="F27" s="127" t="inlineStr">
        <is>
          <t>Joe Public</t>
        </is>
      </c>
      <c r="G27" s="127" t="inlineStr">
        <is>
          <t>South Africa</t>
        </is>
      </c>
      <c r="H27" s="113" t="inlineStr">
        <is>
          <t>B03 - Script</t>
        </is>
      </c>
      <c r="I27" s="128" t="inlineStr">
        <is>
          <t>https://ascentialcdn.filespin.io/api/v1/storyboard/0bca684772274dd9a6e2c0c6cd401876/storyboard_000008.jpg</t>
        </is>
      </c>
      <c r="J27" s="127" t="inlineStr">
        <is>
          <t>vimeo:1032236549</t>
        </is>
      </c>
      <c r="K27" s="127" t="n"/>
      <c r="L27" s="127" t="n"/>
      <c r="M27" s="113" t="inlineStr">
        <is>
          <t>A radio campaign from Hansa Pilsner, which positions itself as the beer for grown men by lovingly roasting younger guys and their try-hard trends—from 'spill the tea' to gaming streams, sneaker collecting and ASMR sleep videos. The spot builds a funny exclusionary platform: there may be 'a beer for you,' but Hansa is reserved for men with a little more life experience.</t>
        </is>
      </c>
      <c r="N27" s="113" t="inlineStr">
        <is>
          <t>beer, alcohol, radio, audio, humor, south-africa, brand-platform</t>
        </is>
      </c>
    </row>
    <row r="28">
      <c r="A28" s="127" t="n">
        <v>2025</v>
      </c>
      <c r="B28" s="133" t="inlineStr">
        <is>
          <t>Bronze</t>
        </is>
      </c>
      <c r="C28" s="127" t="inlineStr">
        <is>
          <t>Okrrr</t>
        </is>
      </c>
      <c r="D28" s="127" t="inlineStr">
        <is>
          <t>Hansa Pilsener</t>
        </is>
      </c>
      <c r="E28" s="127" t="n"/>
      <c r="F28" s="127" t="inlineStr">
        <is>
          <t>Joe Public</t>
        </is>
      </c>
      <c r="G28" s="127" t="inlineStr">
        <is>
          <t>South Africa</t>
        </is>
      </c>
      <c r="H28" s="113" t="inlineStr">
        <is>
          <t>B03 - Script</t>
        </is>
      </c>
      <c r="I28" s="128" t="inlineStr">
        <is>
          <t>https://ascentialcdn.filespin.io/api/v1/storyboard/0bca684772274dd9a6e2c0c6cd401876/storyboard_000008.jpg</t>
        </is>
      </c>
      <c r="J28" s="127" t="inlineStr">
        <is>
          <t>vimeo:1022471976</t>
        </is>
      </c>
      <c r="K28" s="127" t="n"/>
      <c r="L28" s="127" t="n"/>
      <c r="M28" s="113" t="inlineStr">
        <is>
          <t>A radio campaign from Hansa Pilsner, which positions itself as the beer for grown men by lovingly roasting younger guys and their try-hard trends—from personal brands, oversized fits, TikTok challenges, and get-ready-with-me culture. The spot builds a funny exclusionary platform: there may be 'a beer for you,' but Hansa is reserved for men with a little more life experience.</t>
        </is>
      </c>
      <c r="N28" s="113" t="inlineStr">
        <is>
          <t>beer, alcohol, radio, audio, humor, south-africa, brand-platform</t>
        </is>
      </c>
    </row>
    <row r="29">
      <c r="A29" s="33" t="n">
        <v>2026</v>
      </c>
      <c r="B29" s="160" t="inlineStr">
        <is>
          <t>Grand Prix</t>
        </is>
      </c>
      <c r="C29" s="107" t="inlineStr">
        <is>
          <t>Coquí Alarmed</t>
        </is>
      </c>
      <c r="D29" s="33" t="inlineStr">
        <is>
          <t>Hyundai Puerto Rico</t>
        </is>
      </c>
      <c r="E29" s="33" t="inlineStr">
        <is>
          <t>Hyundai</t>
        </is>
      </c>
      <c r="F29" s="33" t="inlineStr">
        <is>
          <t>BBDO Puerto Rico</t>
        </is>
      </c>
      <c r="G29" s="33" t="inlineStr">
        <is>
          <t>Puerto Rico</t>
        </is>
      </c>
      <c r="H29" s="33" t="inlineStr">
        <is>
          <t>C03 - Single-Market Campaign</t>
        </is>
      </c>
      <c r="I29" s="33" t="inlineStr">
        <is>
          <t>https://ascentialcdn.filespin.io/api/v1/conversion/6d4d0b7e5bcc4ec58a29958dcba0a0c2</t>
        </is>
      </c>
      <c r="J29" s="33" t="inlineStr">
        <is>
          <t>55knFa5zP6g</t>
        </is>
      </c>
      <c r="L29" s="33" t="inlineStr">
        <is>
          <t>https://www.lovethework.com/work/entries/coqu-alarmed-780472</t>
        </is>
      </c>
      <c r="M29" s="33" t="inlineStr">
        <is>
          <t>After a tourist complained online about the noise of Puerto Rico's coquí, Hyundai replaced the standard lock and unlock chirp in its rental cars at Avis, Enterprise and Charlie Car Rental with the real recorded call of the tiny tree frog. Neck hangers in each car explained the coquí's place in Puerto Rican identity, turning a functional alert sound into a piece of national pride.</t>
        </is>
      </c>
      <c r="N29" s="33" t="inlineStr">
        <is>
          <t>automotive, cars, transport, car-rental, vehicles, audio, sound-design, sonic-branding, cultural-identity, tourism, travel, wildlife, nature, hyundai, puerto-rico</t>
        </is>
      </c>
    </row>
    <row r="30">
      <c r="A30" s="33" t="n">
        <v>2026</v>
      </c>
      <c r="B30" s="161" t="inlineStr">
        <is>
          <t>Gold</t>
        </is>
      </c>
      <c r="C30" s="107" t="inlineStr">
        <is>
          <t>Sleep Talk Reviews</t>
        </is>
      </c>
      <c r="D30" s="33" t="inlineStr">
        <is>
          <t>IKEA</t>
        </is>
      </c>
      <c r="E30" s="33" t="inlineStr">
        <is>
          <t>IKEA</t>
        </is>
      </c>
      <c r="F30" s="33" t="inlineStr">
        <is>
          <t>Rethink</t>
        </is>
      </c>
      <c r="G30" s="33" t="inlineStr">
        <is>
          <t>Canada</t>
        </is>
      </c>
      <c r="H30" s="33" t="inlineStr">
        <is>
          <t>A06 - Audio-Led Creativity</t>
        </is>
      </c>
      <c r="I30" s="33" t="inlineStr">
        <is>
          <t>https://ascentialcdn.filespin.io/api/v1/conversion/29d5e6beff5343f4a75840aacad3165f</t>
        </is>
      </c>
      <c r="J30" s="33" t="inlineStr">
        <is>
          <t>BNAfX0lKSjg</t>
        </is>
      </c>
      <c r="L30" s="33" t="inlineStr">
        <is>
          <t>https://www.lovethework.com/work/entries/sleep-talk-reviews-780352</t>
        </is>
      </c>
      <c r="M30" s="33" t="inlineStr">
        <is>
          <t>IKEA invited real sleep talkers to spend the night on its mattresses inside the store, with hidden mics capturing their mumbles, snores and sleep-talk as honest reviews of how deeply they slept. The recordings ran on radio, streaming audio, social and out-of-home, reframing deep sleep itself as proof of comfort.</t>
        </is>
      </c>
      <c r="N30" s="33" t="inlineStr">
        <is>
          <t>furniture, home, homeware, retail, mattresses, bedding, audio, sound-recording, product-reviews, sleep, ikea, canada</t>
        </is>
      </c>
    </row>
    <row r="31">
      <c r="A31" s="33" t="n">
        <v>2026</v>
      </c>
      <c r="B31" s="161" t="inlineStr">
        <is>
          <t>Gold</t>
        </is>
      </c>
      <c r="C31" s="107" t="inlineStr">
        <is>
          <t>Searching For Birds On Wires</t>
        </is>
      </c>
      <c r="D31" s="33" t="inlineStr">
        <is>
          <t>Abradee</t>
        </is>
      </c>
      <c r="E31" s="33" t="inlineStr">
        <is>
          <t>Institutional</t>
        </is>
      </c>
      <c r="F31" s="33" t="inlineStr">
        <is>
          <t>Africa Creative</t>
        </is>
      </c>
      <c r="G31" s="33" t="inlineStr">
        <is>
          <t>Brazil</t>
        </is>
      </c>
      <c r="H31" s="33" t="inlineStr">
        <is>
          <t>B01 - Use of Music</t>
        </is>
      </c>
      <c r="I31" s="33" t="inlineStr">
        <is>
          <t>https://ascentialcdn.filespin.io/api/v1/conversion/5b453c1cca9944e59a8d6df49dabd9f2</t>
        </is>
      </c>
      <c r="J31" s="33" t="inlineStr">
        <is>
          <t>vimeo:1202133381</t>
        </is>
      </c>
      <c r="L31" s="33" t="inlineStr">
        <is>
          <t>https://www.lovethework.com/work/entries/searching-for-birds-on-wires-780318</t>
        </is>
      </c>
      <c r="M31" s="33" t="inlineStr">
        <is>
          <t>For Brazil's electricity-distribution association, Africa Creative turned photographs of birds perched on power lines into music, reading each bird's position on the wires as a note on a musical staff and composing an original piece from the patterns the birds formed.</t>
        </is>
      </c>
      <c r="N31" s="33" t="inlineStr">
        <is>
          <t>energy, electricity, utilities, power, institutional, audio, music, entertainment, composition, birds, nature, power-lines, abradee, brazil</t>
        </is>
      </c>
    </row>
    <row r="32">
      <c r="A32" s="33" t="n">
        <v>2026</v>
      </c>
      <c r="B32" s="162" t="inlineStr">
        <is>
          <t>Silver</t>
        </is>
      </c>
      <c r="C32" s="107" t="inlineStr">
        <is>
          <t>A Mother's Commentary</t>
        </is>
      </c>
      <c r="D32" s="33" t="inlineStr">
        <is>
          <t>Reporters Without Borders (RSF)</t>
        </is>
      </c>
      <c r="E32" s="33" t="inlineStr">
        <is>
          <t>Press Freedom Advocacy</t>
        </is>
      </c>
      <c r="F32" s="33" t="inlineStr">
        <is>
          <t>The Good Company</t>
        </is>
      </c>
      <c r="G32" s="33" t="inlineStr">
        <is>
          <t>France</t>
        </is>
      </c>
      <c r="H32" s="33" t="inlineStr">
        <is>
          <t>A01 - Use of Audio &amp; Radio as a Medium</t>
        </is>
      </c>
      <c r="I32" s="33" t="inlineStr">
        <is>
          <t>https://ascentialcdn.filespin.io/api/v1/conversion/e5b4c80d95974dff83d0dba8bc80f740</t>
        </is>
      </c>
      <c r="J32" s="33" t="inlineStr">
        <is>
          <t>a4ZCQDgxW0U</t>
        </is>
      </c>
      <c r="L32" s="33" t="inlineStr">
        <is>
          <t>https://www.lovethework.com/work/entries/a-mothers-commentary-780310</t>
        </is>
      </c>
      <c r="M32" s="33" t="inlineStr">
        <is>
          <t>During a Paris Saint-Germain match on beIN Sports, the broadcast's live commentary cut out at the seventh minute - one minute for each year of his sentence - and was replaced by the voice of Sylvie Godard, mother of detained French sports journalist Christophe Gleizes. She spoke to viewers and then to her son, who can only follow football from his Algerian prison cell, as part of RSF's push for his release.</t>
        </is>
      </c>
      <c r="N32" s="33" t="inlineStr">
        <is>
          <t>non-profit, ngo, not-for-profit, charity, social-good, press-freedom, journalism, human-rights, advocacy, audio, radio, broadcast, entertainment, sports, football, soccer, sport, rsf, france</t>
        </is>
      </c>
    </row>
    <row r="33">
      <c r="A33" s="33" t="n">
        <v>2026</v>
      </c>
      <c r="B33" s="162" t="inlineStr">
        <is>
          <t>Silver</t>
        </is>
      </c>
      <c r="C33" s="107" t="inlineStr">
        <is>
          <t>The Unofficial Official Sound Of F1</t>
        </is>
      </c>
      <c r="D33" s="33" t="inlineStr">
        <is>
          <t>Sting</t>
        </is>
      </c>
      <c r="E33" s="33" t="inlineStr">
        <is>
          <t>Sting</t>
        </is>
      </c>
      <c r="F33" s="33" t="inlineStr">
        <is>
          <t>Leo India</t>
        </is>
      </c>
      <c r="G33" s="33" t="inlineStr">
        <is>
          <t>India</t>
        </is>
      </c>
      <c r="H33" s="33" t="inlineStr">
        <is>
          <t>C02 - Challenger Brand</t>
        </is>
      </c>
      <c r="I33" s="33" t="inlineStr">
        <is>
          <t>https://ascentialcdn.filespin.io/api/v1/conversion/c8ed916715884400910e742f565dc00e</t>
        </is>
      </c>
      <c r="J33" s="33" t="inlineStr">
        <is>
          <t>MteFVMaD-0M</t>
        </is>
      </c>
      <c r="L33" s="33" t="inlineStr">
        <is>
          <t>https://www.lovethework.com/work/entries/the-unofficial-official-sound-of-f1-774255</t>
        </is>
      </c>
      <c r="M33" s="33" t="inlineStr">
        <is>
          <t>To launch Sting's Formula 1 partnership, the brand seized on a fan observation that an F1 engine's roar sounds like the word 'Sting.' DJ Armin van Buuren claimed he could hear 'Stinggg' hidden in the engine noise, sparking remixes and debate, and the idea extended into a track built from real race audio.</t>
        </is>
      </c>
      <c r="N33" s="33" t="inlineStr">
        <is>
          <t>beverage, drinks, energy-drink, soft-drink, audio, sound, music, entertainment, sports, motorsport, sport, racing, formula-1, sponsorship, sting, india</t>
        </is>
      </c>
    </row>
    <row r="34">
      <c r="A34" s="33" t="n">
        <v>2026</v>
      </c>
      <c r="B34" s="162" t="inlineStr">
        <is>
          <t>Silver</t>
        </is>
      </c>
      <c r="C34" s="107" t="inlineStr">
        <is>
          <t>Could Have Been A Heineken</t>
        </is>
      </c>
      <c r="D34" s="33" t="inlineStr">
        <is>
          <t>Heineken</t>
        </is>
      </c>
      <c r="E34" s="33" t="inlineStr">
        <is>
          <t>Heineken Beer</t>
        </is>
      </c>
      <c r="F34" s="33" t="inlineStr">
        <is>
          <t>LePub</t>
        </is>
      </c>
      <c r="G34" s="33" t="inlineStr">
        <is>
          <t>Italy</t>
        </is>
      </c>
      <c r="H34" s="33" t="inlineStr">
        <is>
          <t>C04 - Social Behaviour</t>
        </is>
      </c>
      <c r="I34" s="33" t="inlineStr">
        <is>
          <t>https://ascentialcdn.filespin.io/api/v1/conversion/325cbd01df444a49a6a09ac2bc5dd3fa</t>
        </is>
      </c>
      <c r="J34" s="33" t="inlineStr">
        <is>
          <t>vimeo:1203492482</t>
        </is>
      </c>
      <c r="L34" s="33" t="inlineStr">
        <is>
          <t>https://www.lovethework.com/work/entries/could-have-been-a-heineken-780519</t>
        </is>
      </c>
      <c r="M34" s="33" t="inlineStr">
        <is>
          <t>To nudge people off endless voice notes and back into face-to-face conversation, Heineken let users forward any voice message longer than three minutes to a private WhatsApp bot. The bot replied 'Could have been a Heineken' with a voucher for a free beer and suggestions for nearby bars.</t>
        </is>
      </c>
      <c r="N34" s="33" t="inlineStr">
        <is>
          <t>beer, alcohol, beverage, drinks, audio, voice-messaging, messaging, technology, social-connection, heineken, italy</t>
        </is>
      </c>
    </row>
    <row r="35">
      <c r="A35" s="33" t="n">
        <v>2026</v>
      </c>
      <c r="B35" s="162" t="inlineStr">
        <is>
          <t>Silver</t>
        </is>
      </c>
      <c r="C35" s="107" t="inlineStr">
        <is>
          <t>Doorbell Ads</t>
        </is>
      </c>
      <c r="D35" s="33" t="inlineStr">
        <is>
          <t>Mercado Libre</t>
        </is>
      </c>
      <c r="E35" s="33" t="inlineStr">
        <is>
          <t>Mercado Libre</t>
        </is>
      </c>
      <c r="F35" s="33" t="inlineStr">
        <is>
          <t>GUT</t>
        </is>
      </c>
      <c r="G35" s="33" t="inlineStr">
        <is>
          <t>Argentina</t>
        </is>
      </c>
      <c r="H35" s="33" t="inlineStr">
        <is>
          <t>C06 - Breakthrough on a Budget</t>
        </is>
      </c>
      <c r="I35" s="33" t="inlineStr">
        <is>
          <t>https://ascentialcdn.filespin.io/api/v1/conversion/7b5cd9b3d33e45f7a2d41fc540a4f415</t>
        </is>
      </c>
      <c r="J35" s="33" t="inlineStr">
        <is>
          <t>vimeo:1187878678</t>
        </is>
      </c>
      <c r="L35" s="33" t="inlineStr">
        <is>
          <t>https://www.lovethework.com/work/entries/doorbell-ads-780499</t>
        </is>
      </c>
      <c r="M35" s="33" t="inlineStr">
        <is>
          <t>Mercado Libre bought radio spots as short as a doorbell chime and placed them to run last in the ad break, so the brief 'ding' reframed every commercial before it: whatever had just been advertised could be found on Mercado Libre.</t>
        </is>
      </c>
      <c r="N35" s="33" t="inlineStr">
        <is>
          <t>ecommerce, retail, online-shopping, marketplace, shopping, audio, radio, media-placement, mercado-libre, argentina</t>
        </is>
      </c>
    </row>
    <row r="36">
      <c r="A36" s="33" t="n">
        <v>2026</v>
      </c>
      <c r="B36" s="162" t="inlineStr">
        <is>
          <t>Silver</t>
        </is>
      </c>
      <c r="C36" s="107" t="inlineStr">
        <is>
          <t>The Yangzhou Qiao Bei Musical Suite</t>
        </is>
      </c>
      <c r="D36" s="33" t="inlineStr">
        <is>
          <t>Yangzhou Municipal Bureau of Culture, Radio, TV and Tourism, China</t>
        </is>
      </c>
      <c r="E36" s="33" t="inlineStr">
        <is>
          <t>To Promote Bathhouse Culture and the City of Yangzhou</t>
        </is>
      </c>
      <c r="F36" s="33" t="inlineStr">
        <is>
          <t>TBWA\China</t>
        </is>
      </c>
      <c r="G36" s="33" t="inlineStr">
        <is>
          <t>China</t>
        </is>
      </c>
      <c r="H36" s="33" t="inlineStr">
        <is>
          <t>D04 - Travel, Leisure, Retail, Restaurants &amp; Fast-Food Chains</t>
        </is>
      </c>
      <c r="I36" s="33" t="inlineStr">
        <is>
          <t>https://www.brandinginasia.com/wp-content/uploads/2026/05/Yangzhou-Qiao-Bei-Musical-Suite_board-copy.webp</t>
        </is>
      </c>
      <c r="J36" s="33" t="inlineStr">
        <is>
          <t>2mH41-1bJVA</t>
        </is>
      </c>
      <c r="L36" s="33" t="inlineStr">
        <is>
          <t>https://www.lovethework.com/work/entries/the-yangzhou-qiao-bei-musical-suite-778657</t>
        </is>
      </c>
      <c r="M36" s="33" t="inlineStr">
        <is>
          <t>TBWA China turned the towels of Yangzhou's 1,200-year-old Qiao Bei back-tapping bath ritual into percussion instruments, recording four original 'towel percussion' compositions from the massage rhythms. An NFC chip in the towel packaging let people unlock the music and learn the rhythms at home, promoting the city's bathhouse heritage and tourism.</t>
        </is>
      </c>
      <c r="N36" s="33" t="inlineStr">
        <is>
          <t>tourism, travel, government, culture, heritage, audio, music, entertainment, percussion, sound, china, yangzhou</t>
        </is>
      </c>
    </row>
    <row r="37">
      <c r="A37" s="33" t="n">
        <v>2026</v>
      </c>
      <c r="B37" s="163" t="inlineStr">
        <is>
          <t>Bronze</t>
        </is>
      </c>
      <c r="C37" s="107" t="inlineStr">
        <is>
          <t>Played By Humans</t>
        </is>
      </c>
      <c r="D37" s="33" t="inlineStr">
        <is>
          <t>Jazz Is Dead</t>
        </is>
      </c>
      <c r="E37" s="33" t="inlineStr">
        <is>
          <t>Played By Humans</t>
        </is>
      </c>
      <c r="F37" s="33" t="inlineStr">
        <is>
          <t>TBWA\Chiat\Day</t>
        </is>
      </c>
      <c r="G37" s="33" t="inlineStr">
        <is>
          <t>United States</t>
        </is>
      </c>
      <c r="H37" s="33" t="inlineStr">
        <is>
          <t>B01 - Use of Music</t>
        </is>
      </c>
      <c r="I37" s="33" t="inlineStr">
        <is>
          <t>https://i.ytimg.com/vi/bz1r-JIEdzU/maxresdefault.jpg</t>
        </is>
      </c>
      <c r="J37" s="33" t="inlineStr">
        <is>
          <t>1lZ696Kd6ic</t>
        </is>
      </c>
      <c r="L37" s="33" t="inlineStr">
        <is>
          <t>https://www.lovethework.com/work/entries/played-by-humans-774278</t>
        </is>
      </c>
      <c r="M37" s="33" t="inlineStr">
        <is>
          <t>In response to AI-generated tracks flooding streaming platforms, Jazz Is Dead and TBWA\Chiat\Day created 'Played By Humans,' a stamp of authenticity and public verification platform that lets artists and listeners certify music as human-made. It launched with a documentary short and a human-made cover of an AI-generated song.</t>
        </is>
      </c>
      <c r="N37" s="33" t="inlineStr">
        <is>
          <t>music, entertainment, arts, culture, audio, ai, technology, artificial-intelligence, authenticity, verification, jazz-is-dead, united-states</t>
        </is>
      </c>
    </row>
    <row r="38">
      <c r="A38" s="33" t="n">
        <v>2026</v>
      </c>
      <c r="B38" s="163" t="inlineStr">
        <is>
          <t>Bronze</t>
        </is>
      </c>
      <c r="C38" s="107" t="inlineStr">
        <is>
          <t>Healing Era</t>
        </is>
      </c>
      <c r="D38" s="33" t="inlineStr">
        <is>
          <t>Hansa Pilsener</t>
        </is>
      </c>
      <c r="E38" s="33" t="inlineStr">
        <is>
          <t>Hansa Pilsener</t>
        </is>
      </c>
      <c r="F38" s="33" t="inlineStr">
        <is>
          <t>Joe Public</t>
        </is>
      </c>
      <c r="G38" s="33" t="inlineStr">
        <is>
          <t>South Africa</t>
        </is>
      </c>
      <c r="H38" s="33" t="inlineStr">
        <is>
          <t>B03 - Script</t>
        </is>
      </c>
      <c r="I38" s="33" t="inlineStr">
        <is>
          <t>https://ascentialcdn.filespin.io/api/v1/storyboard/3e5b42d9dfa54b8da6f479b1e9630e4e/storyboard_000008.jpg</t>
        </is>
      </c>
      <c r="J38" s="33" t="inlineStr">
        <is>
          <t>cjAwhbK_ZBQ</t>
        </is>
      </c>
      <c r="L38" s="33" t="inlineStr">
        <is>
          <t>https://www.lovethework.com/work/entries/healing-era-780405</t>
        </is>
      </c>
      <c r="M38" s="33" t="inlineStr">
        <is>
          <t>Part of Hansa Pilsener's over-30s 'You Deserve a Beer' platform, this radio script - voiced by South African comedian Mojak in an epic, affirming locker-room style - appears to celebrate Gen Z's 'healing era' of self-care as hard work, before a dry twist concludes they deserve a beer, just not a Hansa.</t>
        </is>
      </c>
      <c r="N38" s="33" t="inlineStr">
        <is>
          <t>beer, alcohol, beverage, drinks, audio, radio, script, humour, comedy, gen-z, hansa-pilsener, south-africa</t>
        </is>
      </c>
    </row>
    <row r="39">
      <c r="A39" s="33" t="n">
        <v>2026</v>
      </c>
      <c r="B39" s="163" t="inlineStr">
        <is>
          <t>Bronze</t>
        </is>
      </c>
      <c r="C39" s="107" t="inlineStr">
        <is>
          <t>The Hustle</t>
        </is>
      </c>
      <c r="D39" s="33" t="inlineStr">
        <is>
          <t>Hansa Pilsener</t>
        </is>
      </c>
      <c r="E39" s="33" t="inlineStr">
        <is>
          <t>Hansa Pilsener</t>
        </is>
      </c>
      <c r="F39" s="33" t="inlineStr">
        <is>
          <t>Joe Public</t>
        </is>
      </c>
      <c r="G39" s="33" t="inlineStr">
        <is>
          <t>South Africa</t>
        </is>
      </c>
      <c r="H39" s="33" t="inlineStr">
        <is>
          <t>B03 - Script</t>
        </is>
      </c>
      <c r="I39" s="33" t="inlineStr">
        <is>
          <t>https://ascentialcdn.filespin.io/api/v1/storyboard/3ea2629528df4e4a87566afecb98c392/storyboard_000008.jpg</t>
        </is>
      </c>
      <c r="J39" s="33" t="inlineStr">
        <is>
          <t>cqUa2mLcc5o</t>
        </is>
      </c>
      <c r="L39" s="33" t="inlineStr">
        <is>
          <t>https://www.lovethework.com/work/entries/the-hustle-780321</t>
        </is>
      </c>
      <c r="M39" s="33" t="inlineStr">
        <is>
          <t>Part of Hansa Pilsener's over-30s 'You Deserve a Beer' platform, this radio script - voiced by comedian Mojak in a grand, motivational tone - mock-celebrates Gen Z's idea of 'the hustle' as hard work, before a dry twist lands that they deserve a beer, just not a Hansa.</t>
        </is>
      </c>
      <c r="N39" s="33" t="inlineStr">
        <is>
          <t>beer, alcohol, beverage, drinks, audio, radio, script, humour, comedy, gen-z, hansa-pilsener, south-africa</t>
        </is>
      </c>
    </row>
    <row r="40">
      <c r="A40" s="33" t="n">
        <v>2026</v>
      </c>
      <c r="B40" s="163" t="inlineStr">
        <is>
          <t>Bronze</t>
        </is>
      </c>
      <c r="C40" s="107" t="inlineStr">
        <is>
          <t>Delulu Is The Solulu</t>
        </is>
      </c>
      <c r="D40" s="33" t="inlineStr">
        <is>
          <t>Hansa Pilsener</t>
        </is>
      </c>
      <c r="E40" s="33" t="inlineStr">
        <is>
          <t>Hansa Pilsener</t>
        </is>
      </c>
      <c r="F40" s="33" t="inlineStr">
        <is>
          <t>Joe Public</t>
        </is>
      </c>
      <c r="G40" s="33" t="inlineStr">
        <is>
          <t>South Africa</t>
        </is>
      </c>
      <c r="H40" s="33" t="inlineStr">
        <is>
          <t>B03 - Script</t>
        </is>
      </c>
      <c r="I40" s="33" t="inlineStr">
        <is>
          <t>https://ascentialcdn.filespin.io/api/v1/storyboard/fdf7d8da65e240369ca734caac94542b/storyboard_000008.jpg</t>
        </is>
      </c>
      <c r="J40" s="33" t="inlineStr">
        <is>
          <t>mI3rWxtcblQ</t>
        </is>
      </c>
      <c r="L40" s="33" t="inlineStr">
        <is>
          <t>https://www.lovethework.com/work/entries/delulu-is-the-solulu-780328</t>
        </is>
      </c>
      <c r="M40" s="33" t="inlineStr">
        <is>
          <t>Part of Hansa Pilsener's over-30s 'You Deserve a Beer' platform, this radio script leans on the Gen Z phrase 'delulu is the solulu,' voiced by comedian Mojak as a heroic affirmation of manifesting as effort, before the dry twist that they deserve a beer, just not a Hansa.</t>
        </is>
      </c>
      <c r="N40" s="33" t="inlineStr">
        <is>
          <t>beer, alcohol, beverage, drinks, audio, radio, script, humour, comedy, gen-z, slang, hansa-pilsener, south-africa</t>
        </is>
      </c>
    </row>
    <row r="41">
      <c r="A41" s="33" t="n">
        <v>2026</v>
      </c>
      <c r="B41" s="163" t="inlineStr">
        <is>
          <t>Bronze</t>
        </is>
      </c>
      <c r="C41" s="107" t="inlineStr">
        <is>
          <t>Beat Cancer Off</t>
        </is>
      </c>
      <c r="D41" s="33" t="inlineStr">
        <is>
          <t>Fuck Cancer</t>
        </is>
      </c>
      <c r="E41" s="33" t="inlineStr">
        <is>
          <t>Beat Cancer Off</t>
        </is>
      </c>
      <c r="F41" s="33" t="inlineStr">
        <is>
          <t>VML</t>
        </is>
      </c>
      <c r="G41" s="33" t="inlineStr">
        <is>
          <t>United States</t>
        </is>
      </c>
      <c r="H41" s="33" t="inlineStr">
        <is>
          <t>C05 - Use of Humour</t>
        </is>
      </c>
      <c r="I41" s="33" t="inlineStr">
        <is>
          <t>https://ascentialcdn.filespin.io/api/v1/conversion/e10de6b252874bff954d07054112fa2a</t>
        </is>
      </c>
      <c r="J41" s="33" t="inlineStr">
        <is>
          <t>vimeo:1179609250</t>
        </is>
      </c>
      <c r="L41" s="33" t="inlineStr">
        <is>
          <t>https://www.lovethework.com/work/entries/beat-cancer-off-780427</t>
        </is>
      </c>
      <c r="M41" s="33" t="inlineStr">
        <is>
          <t>Building on research linking frequent ejaculation to lower prostate-cancer risk, Fuck Cancer and VML turned global euphemisms for male masturbation into a catchy animated music film and call to action, using humour to get men talking about prostate health.</t>
        </is>
      </c>
      <c r="N41" s="33" t="inlineStr">
        <is>
          <t>non-profit, charity, health, healthcare, mens-health, cancer, medical, prostate-cancer, awareness, audio, music, entertainment, song, humour, fuck-cancer, united-states</t>
        </is>
      </c>
    </row>
    <row r="42">
      <c r="A42" s="33" t="n">
        <v>2026</v>
      </c>
      <c r="B42" s="163" t="inlineStr">
        <is>
          <t>Bronze</t>
        </is>
      </c>
      <c r="C42" s="107" t="inlineStr">
        <is>
          <t>Ads In My Phone Call</t>
        </is>
      </c>
      <c r="D42" s="33" t="inlineStr">
        <is>
          <t>Skinny</t>
        </is>
      </c>
      <c r="E42" s="33" t="inlineStr">
        <is>
          <t>Skinny Mobile</t>
        </is>
      </c>
      <c r="F42" s="33" t="inlineStr">
        <is>
          <t>Colenso BBDO</t>
        </is>
      </c>
      <c r="G42" s="33" t="inlineStr">
        <is>
          <t>New Zealand</t>
        </is>
      </c>
      <c r="H42" s="33" t="inlineStr">
        <is>
          <t>C05 - Use of Humour</t>
        </is>
      </c>
      <c r="I42" s="33" t="inlineStr">
        <is>
          <t>https://ascentialcdn.filespin.io/api/v1/conversion/c52453f70e304026beb89abb000c4d0d</t>
        </is>
      </c>
      <c r="J42" s="33" t="inlineStr">
        <is>
          <t>vimeo:1189899289</t>
        </is>
      </c>
      <c r="L42" s="33" t="inlineStr">
        <is>
          <t>https://www.lovethework.com/work/entries/ads-in-my-phone-call-780461</t>
        </is>
      </c>
      <c r="M42" s="33" t="inlineStr">
        <is>
          <t>Skinny let customers text HAPPY to 414 to route their own phone calls through a system that drops short Skinny ads of up to ten seconds into the live conversation, turning customers' private calls into a playful new ad channel with prize incentives.</t>
        </is>
      </c>
      <c r="N42" s="33" t="inlineStr">
        <is>
          <t>telecom, telco, mobile, phone, audio, phone-calls, media-placement, humour, skinny, new-zealand</t>
        </is>
      </c>
    </row>
    <row r="43">
      <c r="A43" s="33" t="n">
        <v>2026</v>
      </c>
      <c r="B43" s="163" t="inlineStr">
        <is>
          <t>Bronze</t>
        </is>
      </c>
      <c r="C43" s="107" t="inlineStr">
        <is>
          <t>Duobell</t>
        </is>
      </c>
      <c r="D43" s="33" t="inlineStr">
        <is>
          <t>Skoda</t>
        </is>
      </c>
      <c r="E43" s="33" t="inlineStr">
        <is>
          <t>Skoda</t>
        </is>
      </c>
      <c r="F43" s="33" t="inlineStr">
        <is>
          <t>Abbott Mead Vickers BBDO</t>
        </is>
      </c>
      <c r="G43" s="33" t="inlineStr">
        <is>
          <t>United Kingdom</t>
        </is>
      </c>
      <c r="H43" s="33" t="inlineStr">
        <is>
          <t>C07 - Corporate Purpose &amp; Social Responsibility</t>
        </is>
      </c>
      <c r="I43" s="33" t="inlineStr">
        <is>
          <t>https://ascentialcdn.filespin.io/api/v1/conversion/3bd16cb8bf3e4457931fa9fb0f229dc5</t>
        </is>
      </c>
      <c r="J43" s="33" t="inlineStr">
        <is>
          <t>vimeo:1189880268</t>
        </is>
      </c>
      <c r="L43" s="33" t="inlineStr">
        <is>
          <t>https://www.lovethework.com/work/entries/duobell-780466</t>
        </is>
      </c>
      <c r="M43" s="33" t="inlineStr">
        <is>
          <t>Working with acousticians at the University of Salford, Skoda and AMV BBDO engineered a bicycle bell tuned to a 750-780Hz band that slips through active noise-cancelling headphones, paired with an irregular striking mechanism so distracted pedestrians hear cyclists in time. The acoustic research was released as an open-source whitepaper.</t>
        </is>
      </c>
      <c r="N43" s="33" t="inlineStr">
        <is>
          <t>automotive, cars, transport, mobility, cycling, bicycles, audio, sound-engineering, acoustics, safety, innovation, skoda, united-kingdom</t>
        </is>
      </c>
    </row>
    <row r="44">
      <c r="A44" s="33" t="n">
        <v>2026</v>
      </c>
      <c r="B44" s="163" t="inlineStr">
        <is>
          <t>Bronze</t>
        </is>
      </c>
      <c r="C44" s="107" t="inlineStr">
        <is>
          <t>Voice Of Food</t>
        </is>
      </c>
      <c r="D44" s="33" t="inlineStr">
        <is>
          <t>Ajinomoto Co., Inc.</t>
        </is>
      </c>
      <c r="E44" s="33" t="inlineStr">
        <is>
          <t>Voice Of Food</t>
        </is>
      </c>
      <c r="F44" s="33" t="inlineStr">
        <is>
          <t>Dentsu</t>
        </is>
      </c>
      <c r="G44" s="33" t="inlineStr">
        <is>
          <t>Japan</t>
        </is>
      </c>
      <c r="H44" s="33" t="inlineStr">
        <is>
          <t>C07 - Corporate Purpose &amp; Social Responsibility</t>
        </is>
      </c>
      <c r="I44" s="33" t="inlineStr">
        <is>
          <t>https://ascentialcdn.filespin.io/api/v1/conversion/990b23397ce3487eb4552d486704f17b</t>
        </is>
      </c>
      <c r="J44" s="33" t="inlineStr">
        <is>
          <t>sPCiIZnvyGg</t>
        </is>
      </c>
      <c r="L44" s="33" t="inlineStr">
        <is>
          <t>https://www.lovethework.com/work/entries/voice-of-food-780503</t>
        </is>
      </c>
      <c r="M44" s="33" t="inlineStr">
        <is>
          <t>Ajinomoto rebuilt its recipes around sound, replacing sight-based cues like 'golden brown' with audio ones - sizzling, bubbling and shifts in cooking rhythm - so blind and sighted cooks alike can follow a dish by ear through a 'soundful' recipe collection.</t>
        </is>
      </c>
      <c r="N44" s="33" t="inlineStr">
        <is>
          <t>food, seasoning, cpg, cooking, kitchen, audio, voice-technology, sound, accessibility, recipe, ajinomoto, japan</t>
        </is>
      </c>
    </row>
    <row r="45">
      <c r="A45" s="33" t="n">
        <v>2026</v>
      </c>
      <c r="B45" s="163" t="inlineStr">
        <is>
          <t>Bronze</t>
        </is>
      </c>
      <c r="C45" s="107" t="inlineStr">
        <is>
          <t>Bedtime Donations</t>
        </is>
      </c>
      <c r="D45" s="33" t="inlineStr">
        <is>
          <t>Royal Society For Blind Children</t>
        </is>
      </c>
      <c r="E45" s="33" t="inlineStr">
        <is>
          <t>Bedtime Donations App</t>
        </is>
      </c>
      <c r="F45" s="33" t="inlineStr">
        <is>
          <t>Innocean</t>
        </is>
      </c>
      <c r="G45" s="33" t="inlineStr">
        <is>
          <t>Germany</t>
        </is>
      </c>
      <c r="H45" s="33" t="inlineStr">
        <is>
          <t>D07 - Not-for-Profit / Charity / Government</t>
        </is>
      </c>
      <c r="I45" s="33" t="inlineStr">
        <is>
          <t>https://ascentialcdn.filespin.io/api/v1/conversion/f4c9dafd39714b8c96da0d7dd9e055ea</t>
        </is>
      </c>
      <c r="J45" s="33" t="inlineStr">
        <is>
          <t>nw12Kyu0wqQ</t>
        </is>
      </c>
      <c r="L45" s="33" t="inlineStr">
        <is>
          <t>https://www.lovethework.com/work/entries/bedtime-donations-780400</t>
        </is>
      </c>
      <c r="M45" s="33" t="inlineStr">
        <is>
          <t>Innocean Berlin and the Royal Society for Blind Children built the Bedtime Donations app: when a parent reads a story from its library aloud, safe AI turns the reading into a free audiobook for blind and vision-impaired children to listen to anytime, crowdsourcing a growing library of bedtime stories.</t>
        </is>
      </c>
      <c r="N45" s="33" t="inlineStr">
        <is>
          <t>non-profit, charity, ngo, not-for-profit, social-good, accessibility, blindness, disability, children, audio, audiobooks, app, ai, technology, rsbc, germany</t>
        </is>
      </c>
    </row>
  </sheetData>
  <autoFilter ref="A1:N28"/>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I8" r:id="rId7"/>
    <hyperlink xmlns:r="http://schemas.openxmlformats.org/officeDocument/2006/relationships" ref="L8" r:id="rId8"/>
    <hyperlink xmlns:r="http://schemas.openxmlformats.org/officeDocument/2006/relationships" ref="L9" r:id="rId9"/>
    <hyperlink xmlns:r="http://schemas.openxmlformats.org/officeDocument/2006/relationships" ref="L10" r:id="rId10"/>
    <hyperlink xmlns:r="http://schemas.openxmlformats.org/officeDocument/2006/relationships" ref="L11" r:id="rId11"/>
    <hyperlink xmlns:r="http://schemas.openxmlformats.org/officeDocument/2006/relationships" ref="I12" r:id="rId12"/>
    <hyperlink xmlns:r="http://schemas.openxmlformats.org/officeDocument/2006/relationships" ref="L12" r:id="rId13"/>
    <hyperlink xmlns:r="http://schemas.openxmlformats.org/officeDocument/2006/relationships" ref="I13" r:id="rId14"/>
    <hyperlink xmlns:r="http://schemas.openxmlformats.org/officeDocument/2006/relationships" ref="L13" r:id="rId15"/>
    <hyperlink xmlns:r="http://schemas.openxmlformats.org/officeDocument/2006/relationships" ref="I14" r:id="rId16"/>
    <hyperlink xmlns:r="http://schemas.openxmlformats.org/officeDocument/2006/relationships" ref="L14" r:id="rId17"/>
    <hyperlink xmlns:r="http://schemas.openxmlformats.org/officeDocument/2006/relationships" ref="L15" r:id="rId18"/>
    <hyperlink xmlns:r="http://schemas.openxmlformats.org/officeDocument/2006/relationships" ref="L16" r:id="rId19"/>
    <hyperlink xmlns:r="http://schemas.openxmlformats.org/officeDocument/2006/relationships" ref="L17" r:id="rId20"/>
    <hyperlink xmlns:r="http://schemas.openxmlformats.org/officeDocument/2006/relationships" ref="I18" r:id="rId21"/>
    <hyperlink xmlns:r="http://schemas.openxmlformats.org/officeDocument/2006/relationships" ref="L18" r:id="rId22"/>
    <hyperlink xmlns:r="http://schemas.openxmlformats.org/officeDocument/2006/relationships" ref="I19" r:id="rId23"/>
    <hyperlink xmlns:r="http://schemas.openxmlformats.org/officeDocument/2006/relationships" ref="L19" r:id="rId24"/>
    <hyperlink xmlns:r="http://schemas.openxmlformats.org/officeDocument/2006/relationships" ref="L20" r:id="rId25"/>
    <hyperlink xmlns:r="http://schemas.openxmlformats.org/officeDocument/2006/relationships" ref="I21" r:id="rId26"/>
    <hyperlink xmlns:r="http://schemas.openxmlformats.org/officeDocument/2006/relationships" ref="L21" r:id="rId27"/>
    <hyperlink xmlns:r="http://schemas.openxmlformats.org/officeDocument/2006/relationships" ref="L22" r:id="rId28"/>
    <hyperlink xmlns:r="http://schemas.openxmlformats.org/officeDocument/2006/relationships" ref="I23" r:id="rId29"/>
    <hyperlink xmlns:r="http://schemas.openxmlformats.org/officeDocument/2006/relationships" ref="I24" r:id="rId30"/>
    <hyperlink xmlns:r="http://schemas.openxmlformats.org/officeDocument/2006/relationships" ref="I27" r:id="rId31"/>
    <hyperlink xmlns:r="http://schemas.openxmlformats.org/officeDocument/2006/relationships" ref="I28" r:id="rId32"/>
    <hyperlink xmlns:r="http://schemas.openxmlformats.org/officeDocument/2006/relationships" ref="I29" r:id="rId33"/>
    <hyperlink xmlns:r="http://schemas.openxmlformats.org/officeDocument/2006/relationships" ref="L29" r:id="rId34"/>
    <hyperlink xmlns:r="http://schemas.openxmlformats.org/officeDocument/2006/relationships" ref="I30" r:id="rId35"/>
    <hyperlink xmlns:r="http://schemas.openxmlformats.org/officeDocument/2006/relationships" ref="L30" r:id="rId36"/>
    <hyperlink xmlns:r="http://schemas.openxmlformats.org/officeDocument/2006/relationships" ref="I31" r:id="rId37"/>
    <hyperlink xmlns:r="http://schemas.openxmlformats.org/officeDocument/2006/relationships" ref="L31" r:id="rId38"/>
    <hyperlink xmlns:r="http://schemas.openxmlformats.org/officeDocument/2006/relationships" ref="I32" r:id="rId39"/>
    <hyperlink xmlns:r="http://schemas.openxmlformats.org/officeDocument/2006/relationships" ref="L32" r:id="rId40"/>
    <hyperlink xmlns:r="http://schemas.openxmlformats.org/officeDocument/2006/relationships" ref="I33" r:id="rId41"/>
    <hyperlink xmlns:r="http://schemas.openxmlformats.org/officeDocument/2006/relationships" ref="L33" r:id="rId42"/>
    <hyperlink xmlns:r="http://schemas.openxmlformats.org/officeDocument/2006/relationships" ref="I34" r:id="rId43"/>
    <hyperlink xmlns:r="http://schemas.openxmlformats.org/officeDocument/2006/relationships" ref="L34" r:id="rId44"/>
    <hyperlink xmlns:r="http://schemas.openxmlformats.org/officeDocument/2006/relationships" ref="I35" r:id="rId45"/>
    <hyperlink xmlns:r="http://schemas.openxmlformats.org/officeDocument/2006/relationships" ref="L35" r:id="rId46"/>
    <hyperlink xmlns:r="http://schemas.openxmlformats.org/officeDocument/2006/relationships" ref="I36" r:id="rId47"/>
    <hyperlink xmlns:r="http://schemas.openxmlformats.org/officeDocument/2006/relationships" ref="L36" r:id="rId48"/>
    <hyperlink xmlns:r="http://schemas.openxmlformats.org/officeDocument/2006/relationships" ref="I37" r:id="rId49"/>
    <hyperlink xmlns:r="http://schemas.openxmlformats.org/officeDocument/2006/relationships" ref="L37" r:id="rId50"/>
    <hyperlink xmlns:r="http://schemas.openxmlformats.org/officeDocument/2006/relationships" ref="I38" r:id="rId51"/>
    <hyperlink xmlns:r="http://schemas.openxmlformats.org/officeDocument/2006/relationships" ref="L38" r:id="rId52"/>
    <hyperlink xmlns:r="http://schemas.openxmlformats.org/officeDocument/2006/relationships" ref="I39" r:id="rId53"/>
    <hyperlink xmlns:r="http://schemas.openxmlformats.org/officeDocument/2006/relationships" ref="L39" r:id="rId54"/>
    <hyperlink xmlns:r="http://schemas.openxmlformats.org/officeDocument/2006/relationships" ref="I40" r:id="rId55"/>
    <hyperlink xmlns:r="http://schemas.openxmlformats.org/officeDocument/2006/relationships" ref="L40" r:id="rId56"/>
    <hyperlink xmlns:r="http://schemas.openxmlformats.org/officeDocument/2006/relationships" ref="I41" r:id="rId57"/>
    <hyperlink xmlns:r="http://schemas.openxmlformats.org/officeDocument/2006/relationships" ref="L41" r:id="rId58"/>
    <hyperlink xmlns:r="http://schemas.openxmlformats.org/officeDocument/2006/relationships" ref="I42" r:id="rId59"/>
    <hyperlink xmlns:r="http://schemas.openxmlformats.org/officeDocument/2006/relationships" ref="L42" r:id="rId60"/>
    <hyperlink xmlns:r="http://schemas.openxmlformats.org/officeDocument/2006/relationships" ref="I43" r:id="rId61"/>
    <hyperlink xmlns:r="http://schemas.openxmlformats.org/officeDocument/2006/relationships" ref="L43" r:id="rId62"/>
    <hyperlink xmlns:r="http://schemas.openxmlformats.org/officeDocument/2006/relationships" ref="I44" r:id="rId63"/>
    <hyperlink xmlns:r="http://schemas.openxmlformats.org/officeDocument/2006/relationships" ref="L44" r:id="rId64"/>
    <hyperlink xmlns:r="http://schemas.openxmlformats.org/officeDocument/2006/relationships" ref="I45" r:id="rId65"/>
    <hyperlink xmlns:r="http://schemas.openxmlformats.org/officeDocument/2006/relationships" ref="L45" r:id="rId6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06"/>
  <sheetViews>
    <sheetView workbookViewId="0">
      <pane ySplit="1" topLeftCell="A2" activePane="bottomLeft" state="frozen"/>
      <selection pane="bottomLeft" activeCell="A1" sqref="A1"/>
    </sheetView>
  </sheetViews>
  <sheetFormatPr baseColWidth="8" defaultRowHeight="15"/>
  <cols>
    <col width="6" customWidth="1" style="34" min="1" max="1"/>
    <col width="16" customWidth="1" style="34" min="2" max="2"/>
    <col width="34" customWidth="1" style="34" min="3" max="3"/>
    <col width="22" customWidth="1" style="34" min="4" max="4"/>
    <col width="26" customWidth="1" style="34" min="5" max="5"/>
    <col width="28" customWidth="1" style="34" min="6" max="6"/>
    <col width="16" customWidth="1" style="34" min="7" max="7"/>
    <col width="34" customWidth="1" style="34" min="8" max="8"/>
    <col width="18" customWidth="1" style="34" min="9" max="9"/>
    <col width="16" customWidth="1" style="34" min="10" max="10"/>
    <col width="22" customWidth="1" style="34" min="11" max="11"/>
    <col hidden="1" width="20" customWidth="1" style="34" min="12" max="12"/>
    <col width="60" customWidth="1" style="34" min="13" max="13"/>
    <col width="40" customWidth="1" style="34" min="14" max="14"/>
  </cols>
  <sheetData>
    <row r="1" ht="22" customHeight="1" s="34">
      <c r="A1" s="122" t="inlineStr">
        <is>
          <t>Year</t>
        </is>
      </c>
      <c r="B1" s="122" t="inlineStr">
        <is>
          <t>Tier</t>
        </is>
      </c>
      <c r="C1" s="122" t="inlineStr">
        <is>
          <t>Campaign</t>
        </is>
      </c>
      <c r="D1" s="122" t="inlineStr">
        <is>
          <t>Brand</t>
        </is>
      </c>
      <c r="E1" s="122" t="inlineStr">
        <is>
          <t>Product/Service</t>
        </is>
      </c>
      <c r="F1" s="122" t="inlineStr">
        <is>
          <t>Agency</t>
        </is>
      </c>
      <c r="G1" s="122" t="inlineStr">
        <is>
          <t>Country</t>
        </is>
      </c>
      <c r="H1" s="122" t="inlineStr">
        <is>
          <t>Subcategory</t>
        </is>
      </c>
      <c r="I1" s="122" t="inlineStr">
        <is>
          <t>Image URL</t>
        </is>
      </c>
      <c r="J1" s="122" t="inlineStr">
        <is>
          <t>YouTube ID</t>
        </is>
      </c>
      <c r="K1" s="122" t="inlineStr">
        <is>
          <t>Campaign Group</t>
        </is>
      </c>
      <c r="L1" s="122" t="inlineStr">
        <is>
          <t>Entry URL</t>
        </is>
      </c>
      <c r="M1" s="122" t="inlineStr">
        <is>
          <t>Description</t>
        </is>
      </c>
      <c r="N1" s="122" t="inlineStr">
        <is>
          <t>Keywords</t>
        </is>
      </c>
    </row>
    <row r="2" ht="30" customHeight="1" s="34">
      <c r="A2" s="127" t="n">
        <v>2025</v>
      </c>
      <c r="B2" s="134" t="inlineStr">
        <is>
          <t>Grand Prix</t>
        </is>
      </c>
      <c r="C2" s="135" t="inlineStr">
        <is>
          <t>Paris Paralympics 2024: Considering What?</t>
        </is>
      </c>
      <c r="D2" s="127" t="inlineStr">
        <is>
          <t>Channel 4</t>
        </is>
      </c>
      <c r="E2" s="127" t="inlineStr">
        <is>
          <t>Channel 4</t>
        </is>
      </c>
      <c r="F2" s="127" t="inlineStr">
        <is>
          <t>Channel 4</t>
        </is>
      </c>
      <c r="G2" s="127" t="inlineStr">
        <is>
          <t>United Kingdom</t>
        </is>
      </c>
      <c r="H2" s="113" t="inlineStr">
        <is>
          <t>A05 - Media/Entertainment</t>
        </is>
      </c>
      <c r="I2" s="127" t="inlineStr">
        <is>
          <t>digital-presentation-images/film-channel-4-paris-paralympic-2024-considering-what.webp</t>
        </is>
      </c>
      <c r="J2" s="127" t="inlineStr">
        <is>
          <t>bUs_mNTNwvE</t>
        </is>
      </c>
      <c r="K2" s="127" t="n"/>
      <c r="L2" s="128" t="inlineStr">
        <is>
          <t>https://www.lovethework.com/work/entries/paris-paralympics-2024-considering-what-738686</t>
        </is>
      </c>
      <c r="M2" s="113" t="inlineStr">
        <is>
          <t>A Channel 4 campaign for the Paris 2024 Paralympic Games, made by in-house agency 4Creative and production company Biscuit Filmworks, built around the patronising language real viewers use about Paralympic athletes — phrases like "she's incredibly fast for someone in a wheelchair" and "amazing... considering" — which appeared as OOH billboards with the condescending caveats crossed out by the athletes' actual sporting achievements. On social, the same treatment was flipped: patronising comments typically aimed at Paralympians were redirected at non-disabled Olympians, exposing the double standard. The campaign responded to research showing that 60% of viewers still watch the Paralympics primarily to see athletes "overcome" their disabilities rather than compete as elite sportspeople.</t>
        </is>
      </c>
      <c r="N2" s="113" t="inlineStr">
        <is>
          <t>broadcaster, ooh, social-media, paralympics, disability, sport, film, cinema, entertainment, united-kingdom, 4creative</t>
        </is>
      </c>
    </row>
    <row r="3" ht="30" customHeight="1" s="34">
      <c r="A3" s="127" t="n">
        <v>2025</v>
      </c>
      <c r="B3" s="134" t="inlineStr">
        <is>
          <t>Grand Prix</t>
        </is>
      </c>
      <c r="C3" s="135" t="inlineStr">
        <is>
          <t>The Final Copy of Ilon Specht</t>
        </is>
      </c>
      <c r="D3" s="127" t="inlineStr">
        <is>
          <t>L'oréal Paris</t>
        </is>
      </c>
      <c r="E3" s="127" t="inlineStr">
        <is>
          <t>L'oréal Paris</t>
        </is>
      </c>
      <c r="F3" s="127" t="inlineStr">
        <is>
          <t>McCANN</t>
        </is>
      </c>
      <c r="G3" s="127" t="inlineStr">
        <is>
          <t>France</t>
        </is>
      </c>
      <c r="H3" s="113" t="inlineStr">
        <is>
          <t>F07 - Corporate Purpose &amp; Social Responsibility</t>
        </is>
      </c>
      <c r="I3" s="127" t="inlineStr">
        <is>
          <t>digital-presentation-images/film-loreal-paris-the-final-copy-of-ilona-specht.webp</t>
        </is>
      </c>
      <c r="J3" s="127" t="inlineStr">
        <is>
          <t>vimeo:1094956645</t>
        </is>
      </c>
      <c r="K3" s="127" t="n"/>
      <c r="L3" s="128" t="inlineStr">
        <is>
          <t>https://www.lovethework.com/work/entries/the-final-copy-of-ilon-specht-739568</t>
        </is>
      </c>
      <c r="M3" s="113" t="inlineStr">
        <is>
          <t>An 18-minute documentary released on International Women's Day across Prime Video, AMC+, and YouTube, telling the story of Ilon Specht — the copywriter who wrote "Because I'm Worth It" for L'Oréal Paris in 1973 — through an intimate, deathbed-style account. Made by McCann Paris with Proudfoot's Breakwater Studios and production company Traverse 32, the film launched across 20+ countries alongside OOH, screenings, and interactive installations, leaving the original tagline's four words entirely unchanged.</t>
        </is>
      </c>
      <c r="N3" s="113" t="inlineStr">
        <is>
          <t>cosmetics, personal-care, beauty, documentary, film, entertainment, cinema, ooh, interactive-installation, streaming, tv, france, corporate-purpose, womens-rights, branded-content, social-media</t>
        </is>
      </c>
    </row>
    <row r="4" ht="30" customHeight="1" s="34">
      <c r="A4" s="127" t="n">
        <v>2025</v>
      </c>
      <c r="B4" s="136" t="inlineStr">
        <is>
          <t>Gold</t>
        </is>
      </c>
      <c r="C4" s="135" t="inlineStr">
        <is>
          <t>Find Your Friends</t>
        </is>
      </c>
      <c r="D4" s="127" t="inlineStr">
        <is>
          <t>Apple</t>
        </is>
      </c>
      <c r="E4" s="127" t="inlineStr">
        <is>
          <t>Precision Finding</t>
        </is>
      </c>
      <c r="F4" s="127" t="inlineStr">
        <is>
          <t>Apple</t>
        </is>
      </c>
      <c r="G4" s="127" t="inlineStr">
        <is>
          <t>United States</t>
        </is>
      </c>
      <c r="H4" s="113" t="inlineStr">
        <is>
          <t>B01 - Consumer Goods</t>
        </is>
      </c>
      <c r="I4" s="127" t="inlineStr">
        <is>
          <t>digital-presentation-images/film-apple-find-your-friends.webp</t>
        </is>
      </c>
      <c r="J4" s="127" t="inlineStr">
        <is>
          <t>vimeo:1068530073</t>
        </is>
      </c>
      <c r="K4" s="127" t="n"/>
      <c r="L4" s="128" t="inlineStr">
        <is>
          <t>https://www.lovethework.com/work/entries/find-your-friends-738592</t>
        </is>
      </c>
      <c r="M4" s="113" t="inlineStr">
        <is>
          <t>A film shot at a Star Wars fan convention in which a lone attendee, dressed in Mandalorian armor, uses the Precision Finding feature on his iPhone 15 to locate his friends in a crowd of identically helmeted cosplayers. Designed and released on May 4th as a love letter to the fan community, the film's sound was built at Skywalker Sound and background signage was seeded with details for fans to decode.</t>
        </is>
      </c>
      <c r="N4" s="113" t="inlineStr">
        <is>
          <t>smartphone, film, cinema, entertainment, precision-finding, fan-culture, star-wars, cosplay, united-states, sound-design, casting</t>
        </is>
      </c>
    </row>
    <row r="5" ht="30" customHeight="1" s="34">
      <c r="A5" s="127" t="n">
        <v>2025</v>
      </c>
      <c r="B5" s="136" t="inlineStr">
        <is>
          <t>Gold</t>
        </is>
      </c>
      <c r="C5" s="135" t="inlineStr">
        <is>
          <t>Never Just a Period</t>
        </is>
      </c>
      <c r="D5" s="127" t="inlineStr">
        <is>
          <t>Bodyform</t>
        </is>
      </c>
      <c r="E5" s="127" t="inlineStr">
        <is>
          <t>Bodyform</t>
        </is>
      </c>
      <c r="F5" s="127" t="inlineStr">
        <is>
          <t>AMV BBDO</t>
        </is>
      </c>
      <c r="G5" s="127" t="inlineStr">
        <is>
          <t>United Kingdom</t>
        </is>
      </c>
      <c r="H5" s="113" t="inlineStr">
        <is>
          <t>B02 - Healthcare</t>
        </is>
      </c>
      <c r="I5" s="127" t="inlineStr">
        <is>
          <t>digital-presentation-images/film-bodyform-never-just-a-period.webp</t>
        </is>
      </c>
      <c r="J5" s="127" t="inlineStr">
        <is>
          <t>EQW59KR3c4U</t>
        </is>
      </c>
      <c r="K5" s="127" t="n"/>
      <c r="L5" s="128" t="inlineStr">
        <is>
          <t>https://www.lovethework.com/work/entries/never-just-a-period-738863</t>
        </is>
      </c>
      <c r="M5" s="113" t="inlineStr">
        <is>
          <t>A film and integrated campaign for Bodyform/Libresse, created by AMV BBDO London, that dramatises the gap between what women are told about their bodies and what they actually experience — staging rarely discussed moments like getting a period while breastfeeding, large perimenopausal clots, and periods that disappear for months after stopping contraception. An online conversation thread prompted audiences with "What do you wish you'd been told?", opening a space for women+ to share experiences spanning first period to last.</t>
        </is>
      </c>
      <c r="N5" s="113" t="inlineStr">
        <is>
          <t>femcare, film, cinema, entertainment, integrated-campaign, healthcare, womens-health, social, united-kingdom, menstrual-health, amv-bbdo</t>
        </is>
      </c>
    </row>
    <row r="6" ht="30" customHeight="1" s="34">
      <c r="A6" s="127" t="n">
        <v>2025</v>
      </c>
      <c r="B6" s="136" t="inlineStr">
        <is>
          <t>Gold</t>
        </is>
      </c>
      <c r="C6" s="135" t="inlineStr">
        <is>
          <t>Let There Be Cake</t>
        </is>
      </c>
      <c r="D6" s="127" t="inlineStr">
        <is>
          <t>KFC Thailand</t>
        </is>
      </c>
      <c r="E6" s="127" t="inlineStr">
        <is>
          <t>KFC 40th</t>
        </is>
      </c>
      <c r="F6" s="127" t="inlineStr">
        <is>
          <t>Bananas</t>
        </is>
      </c>
      <c r="G6" s="127" t="inlineStr">
        <is>
          <t>South Africa</t>
        </is>
      </c>
      <c r="H6" s="113" t="inlineStr">
        <is>
          <t>B04 - Travel, Leisure, Retail, Restaurants &amp; Fast-Food Chains</t>
        </is>
      </c>
      <c r="I6" s="128" t="inlineStr">
        <is>
          <t>https://ascentialcdn.filespin.io/api/v1/storyboard/880f481b580e4ddbb51427137d8c2233/storyboard_000008.jpg</t>
        </is>
      </c>
      <c r="J6" s="127" t="inlineStr">
        <is>
          <t>YDaAgeyVXiw</t>
        </is>
      </c>
      <c r="K6" s="127" t="n"/>
      <c r="L6" s="128" t="inlineStr">
        <is>
          <t>https://www.lovethework.com/work/entries/let-there-be-cake-759113</t>
        </is>
      </c>
      <c r="M6" s="113" t="inlineStr">
        <is>
          <t>A 40th anniversary film for KFC Thailand that reimagines the brand's milestone as a cake-centric celebration, produced by Bananas Johannesburg and Brains &amp; Brawn Bangkok. The spot uses the visual and ritual language of a birthday cake — candles, layers, the act of cutting — to mark four decades of KFC in Thailand.</t>
        </is>
      </c>
      <c r="N6" s="113" t="inlineStr">
        <is>
          <t>qsr, fast-food, restaurant, food, film, cinema, entertainment, brand-anniversary, thailand, birthday, celebration, south-africa</t>
        </is>
      </c>
    </row>
    <row r="7" ht="30" customHeight="1" s="34">
      <c r="A7" s="127" t="n">
        <v>2025</v>
      </c>
      <c r="B7" s="136" t="inlineStr">
        <is>
          <t>Gold</t>
        </is>
      </c>
      <c r="C7" s="135" t="inlineStr">
        <is>
          <t>The Last Birthday</t>
        </is>
      </c>
      <c r="D7" s="127" t="inlineStr">
        <is>
          <t>Association Valentin Haüy</t>
        </is>
      </c>
      <c r="E7" s="127" t="inlineStr">
        <is>
          <t>Non Profit Organization - Defense of the Rights of Blind and Visually Impaired People</t>
        </is>
      </c>
      <c r="F7" s="127" t="inlineStr">
        <is>
          <t>Josiane</t>
        </is>
      </c>
      <c r="G7" s="127" t="inlineStr">
        <is>
          <t>France</t>
        </is>
      </c>
      <c r="H7" s="113" t="inlineStr">
        <is>
          <t>B07 - Not-For-Profit / Charity / Government</t>
        </is>
      </c>
      <c r="I7" s="127" t="inlineStr">
        <is>
          <t>digital-presentation-images/film-association-valentin-hauy-the-last-birthday.webp</t>
        </is>
      </c>
      <c r="J7" s="127" t="inlineStr">
        <is>
          <t>E4mGmGE8fC0</t>
        </is>
      </c>
      <c r="K7" s="127" t="n"/>
      <c r="L7" s="128" t="inlineStr">
        <is>
          <t>https://www.lovethework.com/work/entries/the-last-birthday-739026</t>
        </is>
      </c>
      <c r="M7" s="113" t="inlineStr">
        <is>
          <t>A dark-comedy film set at a birthday party where guests approaching 60 frantically attempt to destroy their own eyesight — scored to Charles Aznavour's "Ces yeux-là" — built to expose a French law that cuts off disability assistance to anyone who loses their sight after age 60. The film was banned from both TV and YouTube before circulating online, produced by Josiane and Hiersoir for the Association Valentin Haüy.</t>
        </is>
      </c>
      <c r="N7" s="113" t="inlineStr">
        <is>
          <t>non-profit, online-film, disability-rights, france, public-health, dark-comedy, advocacy, visual-impairment</t>
        </is>
      </c>
    </row>
    <row r="8" ht="30" customHeight="1" s="34">
      <c r="A8" s="127" t="n">
        <v>2025</v>
      </c>
      <c r="B8" s="136" t="inlineStr">
        <is>
          <t>Gold</t>
        </is>
      </c>
      <c r="C8" s="135" t="inlineStr">
        <is>
          <t>Telstra - Better on a Better Network</t>
        </is>
      </c>
      <c r="D8" s="127" t="inlineStr">
        <is>
          <t>Telstra</t>
        </is>
      </c>
      <c r="E8" s="127" t="inlineStr">
        <is>
          <t>Telstra</t>
        </is>
      </c>
      <c r="F8" s="127" t="inlineStr">
        <is>
          <t>Bear Meets Eagle on Fire</t>
        </is>
      </c>
      <c r="G8" s="127" t="inlineStr">
        <is>
          <t>Australia</t>
        </is>
      </c>
      <c r="H8" s="113" t="inlineStr">
        <is>
          <t>F03 - Single-Market Campaign</t>
        </is>
      </c>
      <c r="I8" s="127" t="inlineStr">
        <is>
          <t>digital-presentation-images/film-telstra-telstra-better-on-a-better-network.webp</t>
        </is>
      </c>
      <c r="J8" s="127" t="inlineStr">
        <is>
          <t>L8wOtakkr28</t>
        </is>
      </c>
      <c r="K8" s="127" t="n"/>
      <c r="L8" s="128" t="inlineStr">
        <is>
          <t>https://www.lovethework.com/work/entries/telstra-better-on-a-better-network-739331</t>
        </is>
      </c>
      <c r="M8" s="113" t="inlineStr">
        <is>
          <t>A suite of 26 short films, each set in a different lesser-known regional town or remote area of Australia, brought to life through 56 puppets voiced by 42 actors — each film representing a local story and community that benefits from Telstra's network coverage. The spots aired across Channel 9's Olympics and Paralympics broadcast, replacing the single repeated sponsor spot with a rotating cast of regional characters and landscapes.</t>
        </is>
      </c>
      <c r="N8" s="113" t="inlineStr">
        <is>
          <t>telecommunications, film, cinema, entertainment, puppets, craft, regional, australia, broadcast, olympics, sport, multi-spot</t>
        </is>
      </c>
    </row>
    <row r="9" ht="30" customHeight="1" s="34">
      <c r="A9" s="127" t="n">
        <v>2025</v>
      </c>
      <c r="B9" s="136" t="inlineStr">
        <is>
          <t>Gold</t>
        </is>
      </c>
      <c r="C9" s="135" t="inlineStr">
        <is>
          <t>The Best Place in the World to Have Herpes</t>
        </is>
      </c>
      <c r="D9" s="127" t="inlineStr">
        <is>
          <t>New Zealand Herpes Foundation</t>
        </is>
      </c>
      <c r="E9" s="127" t="inlineStr">
        <is>
          <t>New Zealand Herpes Foundation</t>
        </is>
      </c>
      <c r="F9" s="127" t="inlineStr">
        <is>
          <t>Finch</t>
        </is>
      </c>
      <c r="G9" s="127" t="inlineStr">
        <is>
          <t>Australia</t>
        </is>
      </c>
      <c r="H9" s="113" t="inlineStr">
        <is>
          <t>F05 - Use of Humour</t>
        </is>
      </c>
      <c r="I9" s="127" t="inlineStr">
        <is>
          <t>digital-presentation-images/film-new-zealand-herpes-foundation-the-best-place-in-the-world-to-have-herpes.webp</t>
        </is>
      </c>
      <c r="J9" s="127" t="inlineStr">
        <is>
          <t>vimeo:1081954251</t>
        </is>
      </c>
      <c r="K9" s="127" t="n"/>
      <c r="L9" s="128" t="inlineStr">
        <is>
          <t>https://www.lovethework.com/work/entries/the-best-place-in-the-world-to-have-herpes-739431</t>
        </is>
      </c>
      <c r="M9" s="113" t="inlineStr">
        <is>
          <t>A tourism-style campaign for the New Zealand Herpes Foundation, created by Finch in Sydney and Motion Sickness in Auckland, that repositioned herpes stigma reduction as a matter of national pride — framing it as a competition New Zealand could win. A live Herpes Stigma Index on the campaign website tracked New Zealand's ranking against 77 other countries, while a five-lesson "Herpes Destigmatisation Course" used humour to walk participants through misconceptions, awarding points that contributed to the national leaderboard position. The work drew on the fact that 30% of New Zealanders diagnosed with herpes experience depressive or suicidal thoughts, and that the virus — despite being common and largely harmless — is rarely discussed openly.</t>
        </is>
      </c>
      <c r="N9" s="113" t="inlineStr">
        <is>
          <t>public-health, digital, health-education, humour, new-zealand, australia, e-learning, website, stigma, ooh</t>
        </is>
      </c>
    </row>
    <row r="10" ht="30" customHeight="1" s="34">
      <c r="A10" s="127" t="n">
        <v>2025</v>
      </c>
      <c r="B10" s="136" t="inlineStr">
        <is>
          <t>Gold</t>
        </is>
      </c>
      <c r="C10" s="135" t="inlineStr">
        <is>
          <t>Brian Cox Goes to College</t>
        </is>
      </c>
      <c r="D10" s="127" t="inlineStr">
        <is>
          <t>Uber One</t>
        </is>
      </c>
      <c r="E10" s="127" t="inlineStr">
        <is>
          <t>Uber One for Students</t>
        </is>
      </c>
      <c r="F10" s="127" t="inlineStr">
        <is>
          <t>Special</t>
        </is>
      </c>
      <c r="G10" s="127" t="inlineStr">
        <is>
          <t>United States</t>
        </is>
      </c>
      <c r="H10" s="113" t="inlineStr">
        <is>
          <t>F05 - Use of Humour</t>
        </is>
      </c>
      <c r="I10" s="127" t="inlineStr">
        <is>
          <t>digital-presentation-images/film-uber-one-brian-cox-goes-to-college.webp</t>
        </is>
      </c>
      <c r="J10" s="127" t="inlineStr">
        <is>
          <t>vimeo:1035756667</t>
        </is>
      </c>
      <c r="K10" s="127" t="n"/>
      <c r="L10" s="128" t="inlineStr">
        <is>
          <t>https://www.lovethework.com/work/entries/brian-cox-goes-to-college-739411</t>
        </is>
      </c>
      <c r="M10" s="113" t="inlineStr">
        <is>
          <t>A TV spot for Uber One's student membership tier that casts 78-year-old Brian Cox — playing a gruff, curmudgeonly version of himself — as an unlikely college student willing to re-enroll just to access $4.99/month perks: $0 delivery fees, 10% off orders, and 6% cash back on rides. The joke is that the deal is so good it makes even a billionaire actor consider going back to campus, with Cox's talent for playing cantankerous authority lending the premise a dry, self-aware irony.</t>
        </is>
      </c>
      <c r="N10" s="113" t="inlineStr">
        <is>
          <t>ride-hailing, film, cinema, entertainment, humor, celebrity-casting, student-audience, subscription, united-states, uber-eats, food-delivery, food, restaurant, ecommerce, retail, online-shopping</t>
        </is>
      </c>
    </row>
    <row r="11" ht="30" customHeight="1" s="34">
      <c r="A11" s="127" t="n">
        <v>2025</v>
      </c>
      <c r="B11" s="136" t="inlineStr">
        <is>
          <t>Gold</t>
        </is>
      </c>
      <c r="C11" s="135" t="inlineStr">
        <is>
          <t>Group Therapy</t>
        </is>
      </c>
      <c r="D11" s="127" t="inlineStr">
        <is>
          <t>AXA</t>
        </is>
      </c>
      <c r="E11" s="127" t="inlineStr">
        <is>
          <t>AXA</t>
        </is>
      </c>
      <c r="F11" s="127" t="inlineStr">
        <is>
          <t>VML</t>
        </is>
      </c>
      <c r="G11" s="127" t="inlineStr">
        <is>
          <t>France</t>
        </is>
      </c>
      <c r="H11" s="113" t="inlineStr">
        <is>
          <t>F05 - Use of Humour</t>
        </is>
      </c>
      <c r="I11" s="127" t="inlineStr">
        <is>
          <t>digital-presentation-images/film-axa-group-therapy.webp</t>
        </is>
      </c>
      <c r="J11" s="127" t="inlineStr">
        <is>
          <t>vimeo:1158349533</t>
        </is>
      </c>
      <c r="K11" s="127" t="n"/>
      <c r="L11" s="128" t="inlineStr">
        <is>
          <t>https://www.lovethework.com/work/entries/group-therapy-739424</t>
        </is>
      </c>
      <c r="M11" s="113" t="inlineStr">
        <is>
          <t>A feature-length documentary produced with Kevin Hart's Hartbeat company, in which six comedians — Mike Birbiglia, Nicole Byer, Gary Gulman, London Hughes, Tig Notaro, and Atsuko Okatsuka — participate in a candid group therapy session led by Neil Patrick Harris, built on the insight that comedians routinely process personal pain in front of audiences. Released on Prime Video and supported by a multimedia campaign across Twitch, Fire TV, and Meta, it anchors a global AXA initiative directing viewers to a free Mind Health Self-Check tool — motivated by survey findings that only 4 in 10 people with preventable mental health conditions seek professional help, and that 39% of 18–24 year-olds experience severe anxiety, stress, or depression.</t>
        </is>
      </c>
      <c r="N11" s="113" t="inlineStr">
        <is>
          <t>health-insurance, documentary, film, entertainment, cinema, mental-health, healthcare, medical, comedy, prime-video, streaming, tv, global, public-health, branded-content</t>
        </is>
      </c>
    </row>
    <row r="12" ht="30" customHeight="1" s="34">
      <c r="A12" s="127" t="n">
        <v>2025</v>
      </c>
      <c r="B12" s="137" t="inlineStr">
        <is>
          <t>Silver</t>
        </is>
      </c>
      <c r="C12" s="135" t="inlineStr">
        <is>
          <t>Flock</t>
        </is>
      </c>
      <c r="D12" s="127" t="inlineStr">
        <is>
          <t>Apple</t>
        </is>
      </c>
      <c r="E12" s="127" t="inlineStr">
        <is>
          <t>iPhone</t>
        </is>
      </c>
      <c r="F12" s="127" t="inlineStr">
        <is>
          <t>TBWA\Media Arts Lab</t>
        </is>
      </c>
      <c r="G12" s="127" t="inlineStr">
        <is>
          <t>United States</t>
        </is>
      </c>
      <c r="H12" s="113" t="inlineStr">
        <is>
          <t>A01 - Consumer Goods</t>
        </is>
      </c>
      <c r="I12" s="127" t="inlineStr">
        <is>
          <t>digital-presentation-images/film-apple-flock.webp</t>
        </is>
      </c>
      <c r="J12" s="127" t="inlineStr">
        <is>
          <t>vimeo:1006144786</t>
        </is>
      </c>
      <c r="K12" s="127" t="n"/>
      <c r="L12" s="128" t="inlineStr">
        <is>
          <t>https://www.lovethework.com/work/entries/flock-738495</t>
        </is>
      </c>
      <c r="M12" s="113" t="inlineStr">
        <is>
          <t>A dystopian short film, made by TBWA\Media Arts Lab, in which surveillance cameras built to look like birds and bats — pigeons, seagulls, ravens, owls, and bats, each crafted as physical models before being composited into live-action footage — hunt people's browsing data across everyday online moments. Safari's privacy protections intervene to scatter the flock, drawing a contrast between iPhone and browsers that monetize every click, swipe, and scroll.</t>
        </is>
      </c>
      <c r="N12" s="113" t="inlineStr">
        <is>
          <t>iphone, consumer-electronics, film, cinema, entertainment, privacy, vfx, creature-design, united-states, safari, online-tracking</t>
        </is>
      </c>
    </row>
    <row r="13" ht="30" customHeight="1" s="34">
      <c r="A13" s="127" t="n">
        <v>2025</v>
      </c>
      <c r="B13" s="137" t="inlineStr">
        <is>
          <t>Silver</t>
        </is>
      </c>
      <c r="C13" s="135" t="inlineStr">
        <is>
          <t>Jordan Can't Ban Greatness</t>
        </is>
      </c>
      <c r="D13" s="127" t="inlineStr">
        <is>
          <t>Nike</t>
        </is>
      </c>
      <c r="E13" s="127" t="inlineStr">
        <is>
          <t>Nike</t>
        </is>
      </c>
      <c r="F13" s="127" t="inlineStr">
        <is>
          <t>Wieden+Kennedy</t>
        </is>
      </c>
      <c r="G13" s="127" t="inlineStr">
        <is>
          <t>United States</t>
        </is>
      </c>
      <c r="H13" s="113" t="inlineStr">
        <is>
          <t>A01 - Consumer Goods</t>
        </is>
      </c>
      <c r="I13" s="127" t="inlineStr">
        <is>
          <t>digital-presentation-images/film-nike-jordan-cant-ban-greatness.webp</t>
        </is>
      </c>
      <c r="J13" s="127" t="inlineStr">
        <is>
          <t>vimeo:1053855569</t>
        </is>
      </c>
      <c r="K13" s="127" t="n"/>
      <c r="L13" s="128" t="inlineStr">
        <is>
          <t>https://www.lovethework.com/work/entries/jordan-cant-ban-greatness-738501</t>
        </is>
      </c>
      <c r="M13" s="113" t="inlineStr">
        <is>
          <t>A staged "ban" rollout launched on NBA Christmas Day 2024, using the 40th anniversary of the NBA's 1985 fine on the Air Jordan I as its premise — asking what the world would look like if Nike had never paid it. Over the following weeks, Jordan Brand's own Instagram account disappeared, Air Jordans were pulled from Nike.com, Jalen Hurts was positioned as fined by the NFL for wearing "unapproved colors," the Jumpman was blacked out on Michael Jordan's Chicago statue, lyrics referencing Air Jordan were removed from Genius, the shoe was banned from NBA2K, a Jordan NASCAR wrap carried a "Banned" theme, and the Jumpman logo was projected into the sky via drone show above the Jordan Brand fan fest in Oakland.</t>
        </is>
      </c>
      <c r="N13" s="113" t="inlineStr">
        <is>
          <t>footwear, integrated-campaign, social-media, stunt, sports-marketing, united-states, basketball, film, cinema, entertainment</t>
        </is>
      </c>
    </row>
    <row r="14" ht="30" customHeight="1" s="34">
      <c r="A14" s="127" t="n">
        <v>2025</v>
      </c>
      <c r="B14" s="137" t="inlineStr">
        <is>
          <t>Silver</t>
        </is>
      </c>
      <c r="C14" s="135" t="inlineStr">
        <is>
          <t>Winning Isn't for Everyone</t>
        </is>
      </c>
      <c r="D14" s="127" t="inlineStr">
        <is>
          <t>Nike</t>
        </is>
      </c>
      <c r="E14" s="127" t="inlineStr">
        <is>
          <t>Nike</t>
        </is>
      </c>
      <c r="F14" s="127" t="inlineStr">
        <is>
          <t>Wieden+Kennedy</t>
        </is>
      </c>
      <c r="G14" s="127" t="inlineStr">
        <is>
          <t>United States</t>
        </is>
      </c>
      <c r="H14" s="113" t="inlineStr">
        <is>
          <t>A01 - Consumer Goods</t>
        </is>
      </c>
      <c r="I14" s="127" t="inlineStr">
        <is>
          <t>digital-presentation-images/film-nike-winning-isnt-for-everyone.webp</t>
        </is>
      </c>
      <c r="J14" s="127" t="inlineStr">
        <is>
          <t>vimeo:1059963620</t>
        </is>
      </c>
      <c r="K14" s="127" t="n"/>
      <c r="L14" s="128" t="inlineStr">
        <is>
          <t>https://www.lovethework.com/work/entries/winning-isnt-for-everyone-738402</t>
        </is>
      </c>
      <c r="M14" s="113" t="inlineStr">
        <is>
          <t>A global brand campaign built around the provocation that a winning mentality makes some people uncomfortable — and arguing that discomfort is precisely the point. OOH executions across major cities carried blunt, single-thought lines ("If you don't want to win, you've already lost," "Ambition needs no permission") while film, produced by Somesuch LA with Wieden+Kennedy Portland, showed Olympic, Paralympic, and Refugee athletes — LeBron, Sha'Carri Richardson, Giannis Antetokounmpo among them — demonstrating the psychological lengths they go to in pursuit of first place. The campaign was timed to the Paris Olympics, when Nike research found that the broader culture had begun framing the desire to win as a character flaw.</t>
        </is>
      </c>
      <c r="N14" s="113" t="inlineStr">
        <is>
          <t>sportswear, film, cinema, entertainment, ooh, global, olympics, sport, united-states, athlete-talent, wieden-kennedy</t>
        </is>
      </c>
    </row>
    <row r="15" ht="30" customHeight="1" s="34">
      <c r="A15" s="127" t="n">
        <v>2025</v>
      </c>
      <c r="B15" s="137" t="inlineStr">
        <is>
          <t>Silver</t>
        </is>
      </c>
      <c r="C15" s="135" t="inlineStr">
        <is>
          <t>Snitch</t>
        </is>
      </c>
      <c r="D15" s="127" t="inlineStr">
        <is>
          <t>Axion</t>
        </is>
      </c>
      <c r="E15" s="127" t="inlineStr">
        <is>
          <t>Castrol Lubricants</t>
        </is>
      </c>
      <c r="F15" s="127" t="inlineStr">
        <is>
          <t>Gut</t>
        </is>
      </c>
      <c r="G15" s="127" t="inlineStr">
        <is>
          <t>Argentina</t>
        </is>
      </c>
      <c r="H15" s="113" t="inlineStr">
        <is>
          <t>A03 - Automotive</t>
        </is>
      </c>
      <c r="I15" s="128" t="inlineStr">
        <is>
          <t>https://ascentialcdn.filespin.io/api/v1/storyboard/9b40129018d74d94bf27680ed70fddbf/storyboard_000008.jpg</t>
        </is>
      </c>
      <c r="J15" s="127" t="inlineStr">
        <is>
          <t>vimeo:1095860505</t>
        </is>
      </c>
      <c r="K15" s="127" t="n"/>
      <c r="L15" s="128" t="inlineStr">
        <is>
          <t>https://www.lovethework.com/work/entries/snitch-760290</t>
        </is>
      </c>
      <c r="M15" s="113" t="inlineStr">
        <is>
          <t>A film campaign for Castrol lubricants, sold under the Axion brand in Argentina, built around the idea of the engine itself as an informant — revealing the truth about a driver's behavior rather than foregrounding technical fuel specs. The narrative puts the audience inside the moral tension of a car that "snitches," framing the product's performance-monitoring properties through a cinematic, story-driven lens developed by GUT Buenos Aires.</t>
        </is>
      </c>
      <c r="N15" s="113" t="inlineStr">
        <is>
          <t>castrol-lubricants, automotive, cars, transport, film, cinema, entertainment, argentina, branded-content, gut-buenos-aires</t>
        </is>
      </c>
    </row>
    <row r="16" ht="30" customHeight="1" s="34">
      <c r="A16" s="127" t="n">
        <v>2025</v>
      </c>
      <c r="B16" s="137" t="inlineStr">
        <is>
          <t>Silver</t>
        </is>
      </c>
      <c r="C16" s="135" t="inlineStr">
        <is>
          <t>A Tale as Old as Websites</t>
        </is>
      </c>
      <c r="D16" s="127" t="inlineStr">
        <is>
          <t>Squarespace</t>
        </is>
      </c>
      <c r="E16" s="127" t="inlineStr">
        <is>
          <t>Squarespace</t>
        </is>
      </c>
      <c r="F16" s="127" t="inlineStr">
        <is>
          <t>Squarespace</t>
        </is>
      </c>
      <c r="G16" s="127" t="inlineStr">
        <is>
          <t>United States</t>
        </is>
      </c>
      <c r="H16" s="113" t="inlineStr">
        <is>
          <t>A06 - Consumer Services/Business to Business</t>
        </is>
      </c>
      <c r="I16" s="127" t="inlineStr">
        <is>
          <t>digital-presentation-images/film-squarespace-a-tale-as-old-as-websites.webp</t>
        </is>
      </c>
      <c r="J16" s="127" t="inlineStr">
        <is>
          <t>vimeo:1053465598</t>
        </is>
      </c>
      <c r="K16" s="127" t="n"/>
      <c r="L16" s="128" t="inlineStr">
        <is>
          <t>https://www.lovethework.com/work/entries/a-tale-as-old-as-websites-738642</t>
        </is>
      </c>
      <c r="M16" s="113" t="inlineStr">
        <is>
          <t>A Super Bowl spot set in rural Ireland, where Barry Keoghan plays a door-to-door website deliveryman in a bygone era — riding on horseback and by donkey to bring freshly built Squarespace sites to farmers, pub owners, and wool knitters. The campaign extended beyond the game-day ad into short films, movie-style posters, a storybook, and a dedicated website for Keoghan's donkey co-star, Mosley.</t>
        </is>
      </c>
      <c r="N16" s="113" t="inlineStr">
        <is>
          <t>website-builder, super-bowl, television, film, cinema, entertainment, united-states, ireland, celebrity, consumer-services, period-setting, entrepreneurship</t>
        </is>
      </c>
    </row>
    <row r="17" ht="30" customHeight="1" s="34">
      <c r="A17" s="127" t="n">
        <v>2025</v>
      </c>
      <c r="B17" s="137" t="inlineStr">
        <is>
          <t>Silver</t>
        </is>
      </c>
      <c r="C17" s="135" t="inlineStr">
        <is>
          <t>Warren</t>
        </is>
      </c>
      <c r="D17" s="127" t="inlineStr">
        <is>
          <t>Apple</t>
        </is>
      </c>
      <c r="E17" s="127" t="inlineStr">
        <is>
          <t>iPhone 16 / Apple Intelligence</t>
        </is>
      </c>
      <c r="F17" s="127" t="inlineStr">
        <is>
          <t>Apple</t>
        </is>
      </c>
      <c r="G17" s="127" t="inlineStr">
        <is>
          <t>United States</t>
        </is>
      </c>
      <c r="H17" s="113" t="inlineStr">
        <is>
          <t>B01 - Consumer Goods</t>
        </is>
      </c>
      <c r="I17" s="128" t="inlineStr">
        <is>
          <t>https://ascentialcdn.filespin.io/api/v1/storyboard/2775467c7cd54c3d9baa72e25671a229/storyboard_000008.jpg</t>
        </is>
      </c>
      <c r="J17" s="127" t="inlineStr">
        <is>
          <t>vimeo:1026354274</t>
        </is>
      </c>
      <c r="K17" s="127" t="n"/>
      <c r="L17" s="128" t="inlineStr">
        <is>
          <t>https://www.lovethework.com/work/entries/warren-738574</t>
        </is>
      </c>
      <c r="M17" s="113" t="inlineStr">
        <is>
          <t>Directed by Emmy Award-winning David Shane, Apple's 'Warren' shows a bored office worker, using Apple Intelligence to turn an overly casual email into a polished, professional note to his boss. The spot highlights the Writing Tools feature as an easy way to refine your tone—and impress people with one tap.</t>
        </is>
      </c>
      <c r="N17" s="113" t="inlineStr">
        <is>
          <t>technology, ai, consumer-electronics, film, cinema, entertainment, humor, productivity, united-states</t>
        </is>
      </c>
    </row>
    <row r="18" ht="30" customHeight="1" s="34">
      <c r="A18" s="127" t="n">
        <v>2025</v>
      </c>
      <c r="B18" s="137" t="inlineStr">
        <is>
          <t>Silver</t>
        </is>
      </c>
      <c r="C18" s="135" t="inlineStr">
        <is>
          <t>100 Years of Meisterstück, Montblanc X Wes Anderson</t>
        </is>
      </c>
      <c r="D18" s="127" t="inlineStr">
        <is>
          <t>Montblanc International Gmbh</t>
        </is>
      </c>
      <c r="E18" s="127" t="inlineStr">
        <is>
          <t>Writing Instruments</t>
        </is>
      </c>
      <c r="F18" s="127" t="inlineStr">
        <is>
          <t>Solomon Winter</t>
        </is>
      </c>
      <c r="G18" s="127" t="inlineStr">
        <is>
          <t>Germany</t>
        </is>
      </c>
      <c r="H18" s="113" t="inlineStr">
        <is>
          <t>B01 - Consumer Goods</t>
        </is>
      </c>
      <c r="I18" s="127" t="inlineStr">
        <is>
          <t>digital-presentation-images/film-montblanc-international-gmbh-100-years-of-meisterstuck-montblanc-x-wes-anderson.webp</t>
        </is>
      </c>
      <c r="J18" s="127" t="inlineStr">
        <is>
          <t>vimeo:1094958124</t>
        </is>
      </c>
      <c r="K18" s="127" t="n"/>
      <c r="L18" s="128" t="inlineStr">
        <is>
          <t>https://www.lovethework.com/work/entries/100-years-of-meisterstck-montblanc-x-wes-anderson-738682</t>
        </is>
      </c>
      <c r="M18" s="113" t="inlineStr">
        <is>
          <t>A short film directed by Wes Anderson — starring Rupert Friend, Jason Schwartzman, and Anderson himself — set at a fictional Montblanc Headquarters atop the Mont Blanc mountain, made to mark the 100th anniversary of the Meisterstück pen.</t>
        </is>
      </c>
      <c r="N18" s="113" t="inlineStr">
        <is>
          <t>luxury, pen, stationery, film, cinema, entertainment, branded-content, partnership, anniversary, craft, germany</t>
        </is>
      </c>
    </row>
    <row r="19" ht="30" customHeight="1" s="34">
      <c r="A19" s="127" t="n">
        <v>2025</v>
      </c>
      <c r="B19" s="137" t="inlineStr">
        <is>
          <t>Silver</t>
        </is>
      </c>
      <c r="C19" s="135" t="inlineStr">
        <is>
          <t>Is It Even a City?</t>
        </is>
      </c>
      <c r="D19" s="127" t="inlineStr">
        <is>
          <t>Visit Oslo</t>
        </is>
      </c>
      <c r="E19" s="127" t="inlineStr">
        <is>
          <t>Visit Oslo</t>
        </is>
      </c>
      <c r="F19" s="127" t="inlineStr">
        <is>
          <t>Newslab</t>
        </is>
      </c>
      <c r="G19" s="127" t="inlineStr">
        <is>
          <t>Norway</t>
        </is>
      </c>
      <c r="H19" s="113" t="inlineStr">
        <is>
          <t>B04 - Travel, Leisure, Retail, Restaurants &amp; Fast-Food Chains</t>
        </is>
      </c>
      <c r="I19" s="128" t="inlineStr">
        <is>
          <t>https://ascentialcdn.filespin.io/api/v1/storyboard/b0649b3b520e450ca4b8d80fb3fb66ca/storyboard_000008.jpg</t>
        </is>
      </c>
      <c r="J19" s="127" t="inlineStr">
        <is>
          <t>8vhD59ac7nw</t>
        </is>
      </c>
      <c r="K19" s="127" t="n"/>
      <c r="L19" s="128" t="inlineStr">
        <is>
          <t>https://www.lovethework.com/work/entries/is-it-even-a-city-738902</t>
        </is>
      </c>
      <c r="M19" s="113" t="inlineStr">
        <is>
          <t>A short film for VisitOSLO in which a deadpan character named Halfdan, played by Bendik Aunan, actively discourages viewers from visiting Oslo — questioning whether it even qualifies as a city while the footage shows its culture and scenery. The joke is carried by Norwegian self-irony: the reluctant pitch lands precisely because it never tries to sell anything.</t>
        </is>
      </c>
      <c r="N19" s="113" t="inlineStr">
        <is>
          <t>tourism, travel, film, cinema, entertainment, social-video, norway, self-irony, tiktok, comedy</t>
        </is>
      </c>
    </row>
    <row r="20" ht="30" customHeight="1" s="34">
      <c r="A20" s="127" t="n">
        <v>2025</v>
      </c>
      <c r="B20" s="137" t="inlineStr">
        <is>
          <t>Silver</t>
        </is>
      </c>
      <c r="C20" s="135" t="inlineStr">
        <is>
          <t>The Shooting</t>
        </is>
      </c>
      <c r="D20" s="127" t="inlineStr">
        <is>
          <t>La Unión Newspaper</t>
        </is>
      </c>
      <c r="E20" s="127" t="inlineStr">
        <is>
          <t>La Unión Newspaper / Articulo 19</t>
        </is>
      </c>
      <c r="F20" s="127" t="inlineStr">
        <is>
          <t>Grey</t>
        </is>
      </c>
      <c r="G20" s="127" t="inlineStr">
        <is>
          <t>Mexico</t>
        </is>
      </c>
      <c r="H20" s="113" t="inlineStr">
        <is>
          <t>B05 - Media/Entertainment</t>
        </is>
      </c>
      <c r="I20" s="127" t="inlineStr">
        <is>
          <t>digital-presentation-images/film-la-union-newspaper-the-shooting.webp</t>
        </is>
      </c>
      <c r="J20" s="127" t="inlineStr">
        <is>
          <t>-saAXmItj_U</t>
        </is>
      </c>
      <c r="K20" s="127" t="n"/>
      <c r="L20" s="128" t="inlineStr">
        <is>
          <t>https://www.lovethework.com/work/entries/the-shooting-759301</t>
        </is>
      </c>
      <c r="M20" s="113" t="inlineStr">
        <is>
          <t>A short film produced by Grey México for La Unión newspaper and Article 19 in which a journalist holding a camera and a gunman holding a pistol face each other across the same frame — built around the double meaning that journalists "shoot" to expose truth while others shoot to silence them. Shot entirely on real locations in Mexico with actors who had personal ties to violence and journalism, the film responds to a context in which more than 200 journalists have been murdered or disappeared in Mexico since 2000, including La Unión founder Moisés Sánchez.</t>
        </is>
      </c>
      <c r="N20" s="113" t="inlineStr">
        <is>
          <t>newspaper, film, cinema, entertainment, public-service, press-freedom, mexico, short-film, social-issue, grey-mexico</t>
        </is>
      </c>
    </row>
    <row r="21" ht="30" customHeight="1" s="34">
      <c r="A21" s="127" t="n">
        <v>2025</v>
      </c>
      <c r="B21" s="137" t="inlineStr">
        <is>
          <t>Silver</t>
        </is>
      </c>
      <c r="C21" s="135" t="inlineStr">
        <is>
          <t>Everything, Covered – 100 Years of the New Yorker</t>
        </is>
      </c>
      <c r="D21" s="127" t="inlineStr">
        <is>
          <t>The New Yorker</t>
        </is>
      </c>
      <c r="E21" s="127" t="inlineStr">
        <is>
          <t>The New Yorker</t>
        </is>
      </c>
      <c r="F21" s="127" t="inlineStr">
        <is>
          <t>Le Truc</t>
        </is>
      </c>
      <c r="G21" s="127" t="inlineStr">
        <is>
          <t>United States</t>
        </is>
      </c>
      <c r="H21" s="113" t="inlineStr">
        <is>
          <t>B05 - Media/Entertainment</t>
        </is>
      </c>
      <c r="I21" s="128" t="inlineStr">
        <is>
          <t>https://ascentialcdn.filespin.io/api/v1/storyboard/e88276602e7e4dcc875c78f16cb77a65/storyboard_000008.jpg</t>
        </is>
      </c>
      <c r="J21" s="127" t="inlineStr">
        <is>
          <t>ZNXawJuIkMY</t>
        </is>
      </c>
      <c r="K21" s="127" t="n"/>
      <c r="L21" s="128" t="inlineStr">
        <is>
          <t>https://www.lovethework.com/work/entries/everything-covered-100-years-of-the-new-yorker-760528</t>
        </is>
      </c>
      <c r="M21" s="113" t="inlineStr">
        <is>
          <t>A web film created with animation studio Roof that animates a century of The New Yorker's covers, moving through notable illustrations alongside the societal moments they captured — from the laughable to the politically charged. The magazine's first-ever video campaign, made to mark its centenary.</t>
        </is>
      </c>
      <c r="N21" s="113" t="inlineStr">
        <is>
          <t>magazine, web-film, animation, print-heritage, media-entertainment, united-states, centenary, illustration</t>
        </is>
      </c>
    </row>
    <row r="22" ht="30" customHeight="1" s="34">
      <c r="A22" s="127" t="n">
        <v>2025</v>
      </c>
      <c r="B22" s="137" t="inlineStr">
        <is>
          <t>Silver</t>
        </is>
      </c>
      <c r="C22" s="135" t="inlineStr">
        <is>
          <t>The Count</t>
        </is>
      </c>
      <c r="D22" s="127" t="inlineStr">
        <is>
          <t>Sickkids Foundation</t>
        </is>
      </c>
      <c r="E22" s="127" t="inlineStr">
        <is>
          <t>Sickkids Foundation</t>
        </is>
      </c>
      <c r="F22" s="127" t="inlineStr">
        <is>
          <t>FCB Toronto</t>
        </is>
      </c>
      <c r="G22" s="127" t="inlineStr">
        <is>
          <t>Canada</t>
        </is>
      </c>
      <c r="H22" s="113" t="inlineStr">
        <is>
          <t>B07 - Not-For-Profit / Charity / Government</t>
        </is>
      </c>
      <c r="I22" s="127" t="inlineStr">
        <is>
          <t>digital-presentation-images/film-sickkids-foundation-the-count.webp</t>
        </is>
      </c>
      <c r="J22" s="127" t="inlineStr">
        <is>
          <t>qNF34ZROR8s</t>
        </is>
      </c>
      <c r="K22" s="127" t="n"/>
      <c r="L22" s="128" t="inlineStr">
        <is>
          <t>https://www.lovethework.com/work/entries/the-count-738967</t>
        </is>
      </c>
      <c r="M22" s="113" t="inlineStr">
        <is>
          <t>A two-minute film built around "How Old Are You," the counting chant sung at children's birthday parties after "Happy Birthday" — rerecorded as a full orchestral anthem by real SickKids patients whose birthdays are uncertain, counting not to their current age but into their forties, fifties, and beyond, toward the hospital's own age of 150. Each child is identified on screen by name, age, and diagnosis — Aurora, 6, VACTERL Syndrome and Liver Transplant; Jaxon, 4, born premature at 23 weeks — so the familiar song carries the weight of each child's fight to reach the next number. Created by FCB Toronto with production company Iconoclast to mark SickKids Hospital's 150th anniversary.</t>
        </is>
      </c>
      <c r="N22" s="113" t="inlineStr">
        <is>
          <t>charity, film, cinema, entertainment, healthcare, canada, music, fundraising, children, orchestral, sickkids-foundation</t>
        </is>
      </c>
    </row>
    <row r="23" ht="30" customHeight="1" s="34">
      <c r="A23" s="127" t="n">
        <v>2025</v>
      </c>
      <c r="B23" s="137" t="inlineStr">
        <is>
          <t>Silver</t>
        </is>
      </c>
      <c r="C23" s="135" t="inlineStr">
        <is>
          <t>The Comments Section</t>
        </is>
      </c>
      <c r="D23" s="127" t="inlineStr">
        <is>
          <t>Meat &amp; Livestock Australia</t>
        </is>
      </c>
      <c r="E23" s="127" t="inlineStr">
        <is>
          <t>Australian Lamb</t>
        </is>
      </c>
      <c r="F23" s="127" t="inlineStr">
        <is>
          <t>Droga5 Anz, Part of Accenture Song</t>
        </is>
      </c>
      <c r="G23" s="127" t="inlineStr">
        <is>
          <t>Australia</t>
        </is>
      </c>
      <c r="H23" s="113" t="inlineStr">
        <is>
          <t>C01 - Viral Film</t>
        </is>
      </c>
      <c r="I23" s="127" t="inlineStr">
        <is>
          <t>digital-presentation-images/film-meat-and-livestock-australia-the-comments-section.webp</t>
        </is>
      </c>
      <c r="J23" s="127" t="inlineStr">
        <is>
          <t>vimeo:1152992898</t>
        </is>
      </c>
      <c r="K23" s="127" t="n"/>
      <c r="L23" s="128" t="inlineStr">
        <is>
          <t>https://www.lovethework.com/work/entries/the-comments-section-739054</t>
        </is>
      </c>
      <c r="M23" s="113" t="inlineStr">
        <is>
          <t>A film built entirely from real Australian social media comments — flame wars about cereal, democracy, and climate change — staged as a single chaotic real-world crowd scene set at an Australian Lamb BBQ, directed by Max Barden from The Sweetshop. Comments posted about the ad were then repurposed as OOH placements, GIFs, and social ads, turning the comment sections of the campaign itself into media inventory for Meat &amp; Livestock Australia and Droga5 ANZ.</t>
        </is>
      </c>
      <c r="N23" s="113" t="inlineStr">
        <is>
          <t>lamb, australia, viral-film, social-media, ooh, user-generated-content, crowd, droga5</t>
        </is>
      </c>
    </row>
    <row r="24" ht="30" customHeight="1" s="34">
      <c r="A24" s="127" t="n">
        <v>2025</v>
      </c>
      <c r="B24" s="137" t="inlineStr">
        <is>
          <t>Silver</t>
        </is>
      </c>
      <c r="C24" s="135" t="inlineStr">
        <is>
          <t>Someday</t>
        </is>
      </c>
      <c r="D24" s="127" t="inlineStr">
        <is>
          <t>Apple</t>
        </is>
      </c>
      <c r="E24" s="127" t="inlineStr">
        <is>
          <t>Airpods</t>
        </is>
      </c>
      <c r="F24" s="127" t="inlineStr">
        <is>
          <t>TBWA\Media Arts Lab</t>
        </is>
      </c>
      <c r="G24" s="127" t="inlineStr">
        <is>
          <t>United States</t>
        </is>
      </c>
      <c r="H24" s="113" t="inlineStr">
        <is>
          <t>C01 - Viral Film</t>
        </is>
      </c>
      <c r="I24" s="127" t="inlineStr">
        <is>
          <t>digital-presentation-images/film-apple-someday.webp</t>
        </is>
      </c>
      <c r="J24" s="127" t="inlineStr">
        <is>
          <t>vimeo:1067749538</t>
        </is>
      </c>
      <c r="K24" s="127" t="n"/>
      <c r="L24" s="128" t="inlineStr">
        <is>
          <t>https://www.lovethework.com/work/entries/someday-739091</t>
        </is>
      </c>
      <c r="M24" s="113" t="inlineStr">
        <is>
          <t>A short film directed by Spike Jonze in which Pedro Pascal, isolated in a frozen winter landscape after a breakup, taps Active Noise Cancellation on his AirPods 4 and is pulled into a warm, choreographed world in full color. Made with TBWA\Media Arts Lab Los Angeles, it marks Jonze's second collaboration with Apple after his 2018 HomePod film featuring FKA Twigs.</t>
        </is>
      </c>
      <c r="N24" s="113" t="inlineStr">
        <is>
          <t>airpods, consumer-electronics, online-film, viral-film, celebrity, choreography, united-states, spike-jonze, tbwa-media-arts-lab</t>
        </is>
      </c>
    </row>
    <row r="25" ht="30" customHeight="1" s="34">
      <c r="A25" s="127" t="n">
        <v>2025</v>
      </c>
      <c r="B25" s="137" t="inlineStr">
        <is>
          <t>Silver</t>
        </is>
      </c>
      <c r="C25" s="135" t="inlineStr">
        <is>
          <t>Night Fishing</t>
        </is>
      </c>
      <c r="D25" s="127" t="inlineStr">
        <is>
          <t>Hyundai Motor Company</t>
        </is>
      </c>
      <c r="E25" s="127" t="inlineStr">
        <is>
          <t>Ioniq</t>
        </is>
      </c>
      <c r="F25" s="127" t="inlineStr">
        <is>
          <t>Innocean</t>
        </is>
      </c>
      <c r="G25" s="127" t="inlineStr">
        <is>
          <t>South Korea</t>
        </is>
      </c>
      <c r="H25" s="113" t="inlineStr">
        <is>
          <t>E01 - TV/Cinema Film</t>
        </is>
      </c>
      <c r="I25" s="127" t="inlineStr">
        <is>
          <t>digital-presentation-images/film-hyundai-motor-company-night-fishing.webp</t>
        </is>
      </c>
      <c r="J25" s="127" t="inlineStr">
        <is>
          <t>BTcsn4aLOkQ</t>
        </is>
      </c>
      <c r="K25" s="127" t="n"/>
      <c r="L25" s="128" t="inlineStr">
        <is>
          <t>https://www.lovethework.com/work/entries/night-fishing-739123</t>
        </is>
      </c>
      <c r="M25" s="113" t="inlineStr">
        <is>
          <t>A 13-minute short film shot entirely using the seven built-in cameras of the Hyundai IONIQ, theatrically released in South Korean CGV cinemas as a $1 ticketed feature — the first branded film to go through formal rating classification and charge admission. Made in partnership with CGV, the world's fifth-largest theater chain, which had faced a prolonged attendance slump since the pandemic, the film screened between feature films to draw audiences back to otherwise empty seats.</t>
        </is>
      </c>
      <c r="N25" s="113" t="inlineStr">
        <is>
          <t>automotive, cars, transport, branded-content, cinema, short-film, south-korea, in-vehicle-cameras, theatrical-release, ev, hyundai-ioniq</t>
        </is>
      </c>
    </row>
    <row r="26" ht="30" customHeight="1" s="34">
      <c r="A26" s="127" t="n">
        <v>2025</v>
      </c>
      <c r="B26" s="137" t="inlineStr">
        <is>
          <t>Silver</t>
        </is>
      </c>
      <c r="C26" s="135" t="inlineStr">
        <is>
          <t>Love Captured</t>
        </is>
      </c>
      <c r="D26" s="127" t="inlineStr">
        <is>
          <t>The Exodus Road</t>
        </is>
      </c>
      <c r="E26" s="127" t="inlineStr">
        <is>
          <t>Human Trafficking Awareness</t>
        </is>
      </c>
      <c r="F26" s="127" t="inlineStr">
        <is>
          <t>Klick Health</t>
        </is>
      </c>
      <c r="G26" s="127" t="inlineStr">
        <is>
          <t>Canada</t>
        </is>
      </c>
      <c r="H26" s="113" t="inlineStr">
        <is>
          <t>E02 - Online &amp; Viral Film</t>
        </is>
      </c>
      <c r="I26" s="127" t="inlineStr">
        <is>
          <t>digital-presentation-images/film-the-exodus-road-love-captured.webp</t>
        </is>
      </c>
      <c r="J26" s="127" t="inlineStr">
        <is>
          <t>vimeo:1092244065</t>
        </is>
      </c>
      <c r="K26" s="127" t="n"/>
      <c r="L26" s="128" t="inlineStr">
        <is>
          <t>https://www.lovethework.com/work/entries/love-captured-739069</t>
        </is>
      </c>
      <c r="M26" s="113" t="inlineStr">
        <is>
          <t>A dual-screen short film created for The Exodus Road in which a desktop displays what appears to be a romantic weekend escape — while a mobile phone, synced via QR code, shows a hidden-camera view of the same scene revealing the manipulation and control tactics of human trafficking. After the film, viewers can explore each trafficking warning sign in detail to reinforce recognition of what they've just watched.</t>
        </is>
      </c>
      <c r="N26" s="113" t="inlineStr">
        <is>
          <t>nonprofit, film, cinema, entertainment, dual-screen, mobile, human-trafficking, public-awareness, canada, interactive-film, social-issue</t>
        </is>
      </c>
    </row>
    <row r="27" ht="30" customHeight="1" s="34">
      <c r="A27" s="127" t="n">
        <v>2025</v>
      </c>
      <c r="B27" s="138" t="inlineStr">
        <is>
          <t>Bronze</t>
        </is>
      </c>
      <c r="C27" s="135" t="inlineStr">
        <is>
          <t>So Win</t>
        </is>
      </c>
      <c r="D27" s="127" t="inlineStr">
        <is>
          <t>Nike</t>
        </is>
      </c>
      <c r="E27" s="127" t="inlineStr">
        <is>
          <t>Nike</t>
        </is>
      </c>
      <c r="F27" s="127" t="inlineStr">
        <is>
          <t>Wieden+Kennedy</t>
        </is>
      </c>
      <c r="G27" s="127" t="inlineStr">
        <is>
          <t>United States</t>
        </is>
      </c>
      <c r="H27" s="113" t="inlineStr">
        <is>
          <t>A01 - Consumer Goods</t>
        </is>
      </c>
      <c r="I27" s="127" t="inlineStr">
        <is>
          <t>digital-presentation-images/film-nike-so-win.webp</t>
        </is>
      </c>
      <c r="J27" s="127" t="inlineStr">
        <is>
          <t>vimeo:1055257520</t>
        </is>
      </c>
      <c r="K27" s="127" t="n"/>
      <c r="L27" s="128" t="inlineStr">
        <is>
          <t>https://www.lovethework.com/work/entries/so-win-738552</t>
        </is>
      </c>
      <c r="M27" s="113" t="inlineStr">
        <is>
          <t>A 60-second Super Bowl spot placed just before halftime, in which Nike's female athletes — Sha'Carri Richardson, A'ja Wilson, Caitlin Clark, Jordan Chiles, Sabrina Ionescu, and others — are named for the exact behaviors the world criticizes them for: dominance, physicality, ambition, and celebration. Voiced by Grammy-winning rapper and former gymnast Doechii over Led Zeppelin's "Whole Lotta Love," the ad ends with "You can't win. So win." The campaign extended across major U.S. cities in large-format OOH and hand-painted murals, and individual films for each athlete were released through spring, timed to events including NBA All-Star Weekend, the Oscars, March Madness, the Champions League, and NWSL kickoff.</t>
        </is>
      </c>
      <c r="N27" s="113" t="inlineStr">
        <is>
          <t>sportswear, super-bowl, tv-film, ooh, women-in-sport, united-states, multi-platform, athlete-led</t>
        </is>
      </c>
    </row>
    <row r="28" ht="30" customHeight="1" s="34">
      <c r="A28" s="127" t="n">
        <v>2025</v>
      </c>
      <c r="B28" s="138" t="inlineStr">
        <is>
          <t>Bronze</t>
        </is>
      </c>
      <c r="C28" s="135" t="inlineStr">
        <is>
          <t>Go Further</t>
        </is>
      </c>
      <c r="D28" s="127" t="inlineStr">
        <is>
          <t>7-Eleven</t>
        </is>
      </c>
      <c r="E28" s="127" t="inlineStr">
        <is>
          <t>Mobil Fuels</t>
        </is>
      </c>
      <c r="F28" s="127" t="inlineStr">
        <is>
          <t>Clemenger BBDO</t>
        </is>
      </c>
      <c r="G28" s="127" t="inlineStr">
        <is>
          <t>Australia</t>
        </is>
      </c>
      <c r="H28" s="113" t="inlineStr">
        <is>
          <t>A01 - Consumer Goods</t>
        </is>
      </c>
      <c r="I28" s="128" t="inlineStr">
        <is>
          <t>https://ascentialcdn.filespin.io/api/v1/storyboard/21b5a87a37054403bf6297def115d30e/storyboard_000008.jpg</t>
        </is>
      </c>
      <c r="J28" s="127" t="inlineStr">
        <is>
          <t>vimeo:997540972</t>
        </is>
      </c>
      <c r="K28" s="127" t="n"/>
      <c r="L28" s="128" t="inlineStr">
        <is>
          <t>https://www.lovethework.com/work/entries/go-further-738542</t>
        </is>
      </c>
      <c r="M28" s="113" t="inlineStr">
        <is>
          <t>A television spot for 7-Eleven promoting Mobil fuels under the line "Go further with Mobil's best ever fuel at 7-Eleven." Created by Clemenger BBDO Melbourne, the ad positions the fuel as capable of extending the distance drivers can travel on a tank.</t>
        </is>
      </c>
      <c r="N28" s="113" t="inlineStr">
        <is>
          <t>fuel, television, automotive, cars, transport, australia, consumer-goods, cpg, fmcg</t>
        </is>
      </c>
    </row>
    <row r="29" ht="30" customHeight="1" s="34">
      <c r="A29" s="127" t="n">
        <v>2025</v>
      </c>
      <c r="B29" s="138" t="inlineStr">
        <is>
          <t>Bronze</t>
        </is>
      </c>
      <c r="C29" s="135" t="inlineStr">
        <is>
          <t>Century of Cravings</t>
        </is>
      </c>
      <c r="D29" s="127" t="inlineStr">
        <is>
          <t>Uber Eats</t>
        </is>
      </c>
      <c r="E29" s="127" t="inlineStr">
        <is>
          <t>Uber Eats</t>
        </is>
      </c>
      <c r="F29" s="127" t="inlineStr">
        <is>
          <t>Special</t>
        </is>
      </c>
      <c r="G29" s="127" t="inlineStr">
        <is>
          <t>United States</t>
        </is>
      </c>
      <c r="H29" s="113" t="inlineStr">
        <is>
          <t>A04 - Travel, Leisure, Retail, Restaurants &amp; Fast-Food Chains</t>
        </is>
      </c>
      <c r="I29" s="128" t="inlineStr">
        <is>
          <t>https://ascentialcdn.filespin.io/api/v1/storyboard/e82a1b3a62ff4635b7d927f608411604/storyboard_000008.jpg</t>
        </is>
      </c>
      <c r="J29" s="127" t="inlineStr">
        <is>
          <t>vimeo:1055406573</t>
        </is>
      </c>
      <c r="K29" s="127" t="n"/>
      <c r="L29" s="128" t="inlineStr">
        <is>
          <t>https://www.lovethework.com/work/entries/century-of-cravings-738462</t>
        </is>
      </c>
      <c r="M29" s="113" t="inlineStr">
        <is>
          <t>A Super Bowl spot in which Matthew McConaughey builds a spoof conspiracy theory — piecing together food references hidden across a century of football history — to argue the sport was invented solely to make people hungry. Greta Gerwig, Kevin Bacon, Charli XCX, and Martha Stewart appear alongside him as the theory unfolds, created by Special Group U.S.</t>
        </is>
      </c>
      <c r="N29" s="113" t="inlineStr">
        <is>
          <t>food-delivery, food, restaurant, ecommerce, retail, online-shopping, film, cinema, entertainment, super-bowl, celebrity, united-states, long-form, comedy, television</t>
        </is>
      </c>
    </row>
    <row r="30" ht="30" customHeight="1" s="34">
      <c r="A30" s="127" t="n">
        <v>2025</v>
      </c>
      <c r="B30" s="138" t="inlineStr">
        <is>
          <t>Bronze</t>
        </is>
      </c>
      <c r="C30" s="135" t="inlineStr">
        <is>
          <t>Obsession</t>
        </is>
      </c>
      <c r="D30" s="127" t="inlineStr">
        <is>
          <t>Riyadh Season</t>
        </is>
      </c>
      <c r="E30" s="127" t="inlineStr">
        <is>
          <t>Boxing Fight</t>
        </is>
      </c>
      <c r="F30" s="127" t="inlineStr">
        <is>
          <t>Bigtime Creative Shop</t>
        </is>
      </c>
      <c r="G30" s="127" t="inlineStr">
        <is>
          <t>Saudi Arabia</t>
        </is>
      </c>
      <c r="H30" s="113" t="inlineStr">
        <is>
          <t>A05 - Media/Entertainment</t>
        </is>
      </c>
      <c r="I30" s="127" t="inlineStr">
        <is>
          <t>digital-presentation-images/film-riyadh-season-obsession.webp</t>
        </is>
      </c>
      <c r="J30" s="127" t="inlineStr">
        <is>
          <t>B687Xux1-Bs</t>
        </is>
      </c>
      <c r="K30" s="127" t="n"/>
      <c r="L30" s="128" t="inlineStr">
        <is>
          <t>https://www.lovethework.com/work/entries/obsession-738673</t>
        </is>
      </c>
      <c r="M30" s="113" t="inlineStr">
        <is>
          <t>A hero film for Riyadh Season's Usyk vs. Fury 2 fight that placed the two boxers' own trash talk, press conference quotes, and viral moments into surreal AI-assisted scenarios where each fighter is haunted by the other throughout daily life — training, home, routines. Built by BigTime Creative Shop, the campaign seeded hidden Easter eggs across multiple platforms and used a coordinated influencer rollout to turn key frames into shareable memes, fueling the pre-fight rivalry as an ongoing social phenomenon.</t>
        </is>
      </c>
      <c r="N30" s="113" t="inlineStr">
        <is>
          <t>sports-entertainment, film, cinema, entertainment, social-media, boxing, ai, technology, saudi-arabia, meme-marketing, influencer, pre-fight-promotion</t>
        </is>
      </c>
    </row>
    <row r="31" ht="30" customHeight="1" s="34">
      <c r="A31" s="127" t="n">
        <v>2025</v>
      </c>
      <c r="B31" s="138" t="inlineStr">
        <is>
          <t>Bronze</t>
        </is>
      </c>
      <c r="C31" s="135" t="inlineStr">
        <is>
          <t>Together Is for Christmas</t>
        </is>
      </c>
      <c r="D31" s="127" t="inlineStr">
        <is>
          <t>Telstra</t>
        </is>
      </c>
      <c r="E31" s="127" t="inlineStr">
        <is>
          <t>Telstra</t>
        </is>
      </c>
      <c r="F31" s="127" t="inlineStr">
        <is>
          <t>Bear Meets Eagle on Fire</t>
        </is>
      </c>
      <c r="G31" s="127" t="inlineStr">
        <is>
          <t>Australia</t>
        </is>
      </c>
      <c r="H31" s="113" t="inlineStr">
        <is>
          <t>A06 - Consumer Services/Business to Business</t>
        </is>
      </c>
      <c r="I31" s="127" t="inlineStr">
        <is>
          <t>digital-presentation-images/film-telstra-together-is-for-christmas.webp</t>
        </is>
      </c>
      <c r="J31" s="127" t="inlineStr">
        <is>
          <t>vimeo:1028285893</t>
        </is>
      </c>
      <c r="K31" s="127" t="n"/>
      <c r="L31" s="128" t="inlineStr">
        <is>
          <t>https://www.lovethework.com/work/entries/together-is-for-christmas-738755</t>
        </is>
      </c>
      <c r="M31" s="113" t="inlineStr">
        <is>
          <t>A Christmas film for Australian telco Telstra, developed by Bear Meets Eagle On Fire and +61, that follows a singing donkey who accidentally becomes a stage star before homesickness pulls her back to her family. The narrative runs through retail extensions into Telstra's physical stores under the line "Together is for Christmas."</t>
        </is>
      </c>
      <c r="N31" s="113" t="inlineStr">
        <is>
          <t>telecommunications, film, cinema, entertainment, christmas, retail, australia, seasonal, narrative, consumer-services</t>
        </is>
      </c>
    </row>
    <row r="32" ht="30" customHeight="1" s="34">
      <c r="A32" s="127" t="n">
        <v>2025</v>
      </c>
      <c r="B32" s="138" t="inlineStr">
        <is>
          <t>Bronze</t>
        </is>
      </c>
      <c r="C32" s="135" t="inlineStr">
        <is>
          <t>Orange - The Greatest Run</t>
        </is>
      </c>
      <c r="D32" s="127" t="inlineStr">
        <is>
          <t>Orange</t>
        </is>
      </c>
      <c r="E32" s="127" t="inlineStr">
        <is>
          <t>Paralympics Games</t>
        </is>
      </c>
      <c r="F32" s="127" t="inlineStr">
        <is>
          <t>Publicis Conseil</t>
        </is>
      </c>
      <c r="G32" s="127" t="inlineStr">
        <is>
          <t>France</t>
        </is>
      </c>
      <c r="H32" s="113" t="inlineStr">
        <is>
          <t>A06 - Consumer Services/Business to Business</t>
        </is>
      </c>
      <c r="I32" s="127" t="inlineStr">
        <is>
          <t>digital-presentation-images/film-orange-orange-the-greatest-run.webp</t>
        </is>
      </c>
      <c r="J32" s="127" t="inlineStr">
        <is>
          <t>P-45kC6zwlE</t>
        </is>
      </c>
      <c r="K32" s="127" t="n"/>
      <c r="L32" s="128" t="inlineStr">
        <is>
          <t>https://www.lovethework.com/work/entries/orange-the-greatest-run-738603</t>
        </is>
      </c>
      <c r="M32" s="113" t="inlineStr">
        <is>
          <t>A split-screen film placing the Olympic 1500m final and the Paralympic 1500m final side by side, synchronized so the two races appear to run at the same pace — before the finishing times reveal that four Paralympic athletes crossed the line faster than the Olympic gold medalist. Made for Orange ahead of the Paris 2024 Paralympic Games, when only about a third of tickets had sold and 27% of people viewed para-sports as performance-focused.</t>
        </is>
      </c>
      <c r="N32" s="113" t="inlineStr">
        <is>
          <t>telecom, film, cinema, entertainment, paralympics, sports, france, social-video, paris-2024, side-by-side</t>
        </is>
      </c>
    </row>
    <row r="33" ht="30" customHeight="1" s="34">
      <c r="A33" s="127" t="n">
        <v>2025</v>
      </c>
      <c r="B33" s="138" t="inlineStr">
        <is>
          <t>Bronze</t>
        </is>
      </c>
      <c r="C33" s="135" t="inlineStr">
        <is>
          <t>The Ugliest Sweater</t>
        </is>
      </c>
      <c r="D33" s="127" t="inlineStr">
        <is>
          <t>ILAS</t>
        </is>
      </c>
      <c r="E33" s="127" t="inlineStr">
        <is>
          <t>Child Abuse Foundation</t>
        </is>
      </c>
      <c r="F33" s="127" t="inlineStr">
        <is>
          <t>Made</t>
        </is>
      </c>
      <c r="G33" s="127" t="inlineStr">
        <is>
          <t>Mexico</t>
        </is>
      </c>
      <c r="H33" s="113" t="inlineStr">
        <is>
          <t>A07 - Not-For-Profit / Charity / Government</t>
        </is>
      </c>
      <c r="I33" s="128" t="inlineStr">
        <is>
          <t>https://ascentialcdn.filespin.io/api/v1/storyboard/1912e691abfe4b2ea4037335ca76487c/storyboard_000008.jpg</t>
        </is>
      </c>
      <c r="J33" s="127" t="inlineStr">
        <is>
          <t>0mfkxE8e2HI</t>
        </is>
      </c>
      <c r="K33" s="127" t="n"/>
      <c r="L33" s="128" t="inlineStr">
        <is>
          <t>https://www.lovethework.com/work/entries/the-ugliest-sweater-764667</t>
        </is>
      </c>
      <c r="M33" s="113" t="inlineStr">
        <is>
          <t>A short film built around the Christmas ugly sweater tradition, produced by The Maestros for the child abuse foundation ILAS, in which a child's peers wear deliberately mismatched, "ugly" sweaters in solidarity with him — using a familiar seasonal symbol to open a conversation about abuse, difference, and empathy. The film was directed with advisory from Sebastián Arrechedera.</t>
        </is>
      </c>
      <c r="N33" s="113" t="inlineStr">
        <is>
          <t>child-abuse-foundation, film, cinema, entertainment, not-for-profit, charity, ngo, social-good, christmas, mexico, seasonal, children, social-cause</t>
        </is>
      </c>
    </row>
    <row r="34" ht="30" customHeight="1" s="34">
      <c r="A34" s="127" t="n">
        <v>2025</v>
      </c>
      <c r="B34" s="138" t="inlineStr">
        <is>
          <t>Bronze</t>
        </is>
      </c>
      <c r="C34" s="135" t="inlineStr">
        <is>
          <t>Dog</t>
        </is>
      </c>
      <c r="D34" s="127" t="inlineStr">
        <is>
          <t>Axe/Lynx</t>
        </is>
      </c>
      <c r="E34" s="127" t="inlineStr">
        <is>
          <t>Deodorant</t>
        </is>
      </c>
      <c r="F34" s="127" t="inlineStr">
        <is>
          <t>Lola MullenLowe</t>
        </is>
      </c>
      <c r="G34" s="127" t="inlineStr">
        <is>
          <t>Spain</t>
        </is>
      </c>
      <c r="H34" s="113" t="inlineStr">
        <is>
          <t>B01 - Consumer Goods</t>
        </is>
      </c>
      <c r="I34" s="128" t="inlineStr">
        <is>
          <t>https://ascentialcdn.filespin.io/api/v1/storyboard/cee60b478e9e4b1cbf40f1225c244475/storyboard_000008.jpg</t>
        </is>
      </c>
      <c r="J34" s="127" t="inlineStr">
        <is>
          <t>-Vk5cTxiMfA</t>
        </is>
      </c>
      <c r="K34" s="127" t="n"/>
      <c r="L34" s="128" t="inlineStr">
        <is>
          <t>https://www.lovethework.com/work/entries/dog-738683</t>
        </is>
      </c>
      <c r="M34" s="113" t="inlineStr">
        <is>
          <t>A film for AXE deodorant, directed by Belgian duo Lionel Goldstein (Joe Vanhoutteghem and Koen Mortier), that explores the theme of sweetness with an unexpected twist — a man's dog turns hostile toward him after he applies the body spray, played for deadpan comic effect. Part of a three-spot campaign alongside "Bear" and "Baby," produced by CZAR Brussels for LOLA MullenLowe Madrid.</t>
        </is>
      </c>
      <c r="N34" s="113" t="inlineStr">
        <is>
          <t>deodorant, personal-care, beauty, film, cinema, entertainment, humor, gen-z, spain, consumer-goods, cpg, fmcg, craft</t>
        </is>
      </c>
    </row>
    <row r="35" ht="30" customHeight="1" s="34">
      <c r="A35" s="127" t="n">
        <v>2025</v>
      </c>
      <c r="B35" s="138" t="inlineStr">
        <is>
          <t>Bronze</t>
        </is>
      </c>
      <c r="C35" s="135" t="inlineStr">
        <is>
          <t>Call Me When You Need Me</t>
        </is>
      </c>
      <c r="D35" s="127" t="inlineStr">
        <is>
          <t>Vivo</t>
        </is>
      </c>
      <c r="E35" s="127" t="inlineStr">
        <is>
          <t>Vivo X100 Ultra</t>
        </is>
      </c>
      <c r="F35" s="127" t="inlineStr">
        <is>
          <t>Havas Beijing</t>
        </is>
      </c>
      <c r="G35" s="127" t="inlineStr">
        <is>
          <t>China</t>
        </is>
      </c>
      <c r="H35" s="113" t="inlineStr">
        <is>
          <t>B01 - Consumer Goods</t>
        </is>
      </c>
      <c r="I35" s="127" t="inlineStr">
        <is>
          <t>digital-presentation-images/film-vivo-call-me-when-you-need-me.webp</t>
        </is>
      </c>
      <c r="J35" s="127" t="inlineStr">
        <is>
          <t>vimeo:1090341135</t>
        </is>
      </c>
      <c r="K35" s="127" t="n"/>
      <c r="L35" s="128" t="inlineStr">
        <is>
          <t>https://www.lovethework.com/work/entries/call-me-when-you-need-me-738636</t>
        </is>
      </c>
      <c r="M35" s="113" t="inlineStr">
        <is>
          <t>A short film shot entirely on the vivo X100 Ultra, following three generations of a Chinese family and using phone calls as the connective thread between emotionally reserved fathers and sons. Made as part of vivo's annual film program, it addresses the cultural shift away from traditionally restrained father-son relationships in China, where affection has rarely been expressed openly.</t>
        </is>
      </c>
      <c r="N35" s="113" t="inlineStr">
        <is>
          <t>smartphone, branded-film, long-form-video, china, father-son, generational, branded-entertainment, havas-beijing</t>
        </is>
      </c>
    </row>
    <row r="36" ht="30" customHeight="1" s="34">
      <c r="A36" s="127" t="n">
        <v>2025</v>
      </c>
      <c r="B36" s="138" t="inlineStr">
        <is>
          <t>Bronze</t>
        </is>
      </c>
      <c r="C36" s="135" t="inlineStr">
        <is>
          <t>Invisible Stain</t>
        </is>
      </c>
      <c r="D36" s="127" t="inlineStr">
        <is>
          <t>Vanish</t>
        </is>
      </c>
      <c r="E36" s="127" t="inlineStr">
        <is>
          <t>Bullying Awareness</t>
        </is>
      </c>
      <c r="F36" s="127" t="inlineStr">
        <is>
          <t>BETC Havas</t>
        </is>
      </c>
      <c r="G36" s="127" t="inlineStr">
        <is>
          <t>Brazil</t>
        </is>
      </c>
      <c r="H36" s="113" t="inlineStr">
        <is>
          <t>B01 - Consumer Goods</t>
        </is>
      </c>
      <c r="I36" s="127" t="inlineStr">
        <is>
          <t>digital-presentation-images/film-vanish-invisible-stain.webp</t>
        </is>
      </c>
      <c r="J36" s="127" t="inlineStr">
        <is>
          <t>vimeo:1099522427</t>
        </is>
      </c>
      <c r="K36" s="127" t="n"/>
      <c r="L36" s="128" t="inlineStr">
        <is>
          <t>https://www.lovethework.com/work/entries/invisible-stain-738669</t>
        </is>
      </c>
      <c r="M36" s="113" t="inlineStr">
        <is>
          <t>A 3D-animated film for Vanish built around the metaphor of a stain on a school uniform that only the bullied child can see — a creature born from a prank that grows as it feeds on the boy's self-esteem. Developed with the Abrace Bullying Prevention Institute in Curitiba, the story extended beyond film into a children's book, laundromat activations, movie theater placements, and a presentation at UNESCO's World Anti-Bullying Forum.</t>
        </is>
      </c>
      <c r="N36" s="113" t="inlineStr">
        <is>
          <t>laundry-detergent, film, cinema, entertainment, animation, anti-bullying, public-service, children, brazil, integrated-campaign, children's-book</t>
        </is>
      </c>
    </row>
    <row r="37" ht="30" customHeight="1" s="34">
      <c r="A37" s="127" t="n">
        <v>2025</v>
      </c>
      <c r="B37" s="138" t="inlineStr">
        <is>
          <t>Bronze</t>
        </is>
      </c>
      <c r="C37" s="135" t="inlineStr">
        <is>
          <t>Cats Lose Their Cool | DJ Cat</t>
        </is>
      </c>
      <c r="D37" s="127" t="inlineStr">
        <is>
          <t>Temptations</t>
        </is>
      </c>
      <c r="E37" s="127" t="inlineStr">
        <is>
          <t>Temptations Lickable Spoons</t>
        </is>
      </c>
      <c r="F37" s="127" t="inlineStr">
        <is>
          <t>adam&amp;eveDDB</t>
        </is>
      </c>
      <c r="G37" s="127" t="inlineStr">
        <is>
          <t>United Kingdom</t>
        </is>
      </c>
      <c r="H37" s="113" t="inlineStr">
        <is>
          <t>B01 - Consumer Goods</t>
        </is>
      </c>
      <c r="I37" s="128" t="inlineStr">
        <is>
          <t>https://ascentialcdn.filespin.io/api/v1/storyboard/9fa88b83d0b8433088c04fb2f6724d65/storyboard_000008.jpg</t>
        </is>
      </c>
      <c r="J37" s="127" t="inlineStr">
        <is>
          <t>vimeo:935890559</t>
        </is>
      </c>
      <c r="K37" s="127" t="n"/>
      <c r="L37" s="128" t="inlineStr">
        <is>
          <t>https://www.lovethework.com/work/entries/cats-lose-their-cool-dj-cat-738942</t>
        </is>
      </c>
      <c r="M37" s="113" t="inlineStr">
        <is>
          <t>Temptations knows cats can sometimes be too cool for their humans. In this spot, a cat owner discovers his cat, Patches, has become so cool he's literally DJing for a room of human friends. Luckily, new Temptations Lickable Spoons are irresistible enough to make even the coolest cat lose all chill.</t>
        </is>
      </c>
      <c r="N37" s="113" t="inlineStr">
        <is>
          <t>pet-food, packaged-goods, cpg, fmcg, humor, film, cinema, entertainment, cats, product-launch, united-states</t>
        </is>
      </c>
    </row>
    <row r="38" ht="30" customHeight="1" s="34">
      <c r="A38" s="127" t="n">
        <v>2025</v>
      </c>
      <c r="B38" s="138" t="inlineStr">
        <is>
          <t>Bronze</t>
        </is>
      </c>
      <c r="C38" s="135" t="inlineStr">
        <is>
          <t>Lynx with Catnip</t>
        </is>
      </c>
      <c r="D38" s="127" t="inlineStr">
        <is>
          <t>Axe/Lynx</t>
        </is>
      </c>
      <c r="E38" s="127" t="inlineStr">
        <is>
          <t>Deodorant</t>
        </is>
      </c>
      <c r="F38" s="127" t="inlineStr">
        <is>
          <t>Lola MullenLowe</t>
        </is>
      </c>
      <c r="G38" s="127" t="inlineStr">
        <is>
          <t>Spain</t>
        </is>
      </c>
      <c r="H38" s="113" t="inlineStr">
        <is>
          <t>B01 - Consumer Goods</t>
        </is>
      </c>
      <c r="I38" s="127" t="inlineStr">
        <is>
          <t>digital-presentation-images/film-axe-lynx-with-catnip.webp</t>
        </is>
      </c>
      <c r="J38" s="127" t="inlineStr">
        <is>
          <t>CHHeZrjP87w</t>
        </is>
      </c>
      <c r="K38" s="127" t="n"/>
      <c r="L38" s="128" t="inlineStr">
        <is>
          <t>https://www.lovethework.com/work/entries/lynx-with-catnip-738842</t>
        </is>
      </c>
      <c r="M38" s="113" t="inlineStr">
        <is>
          <t>A limited-edition Lynx body spray infused with nepetalactone — the compound that makes cats roll on catnip — designed to win over a date's cat. Built around the insight that a majority of cat owners say a cat's reaction can break a dating prospect.</t>
        </is>
      </c>
      <c r="N38" s="113" t="inlineStr">
        <is>
          <t>fragrance, personal-care, beauty, product-launch, pets, packaged-goods, cpg, fmcg, humor, spain, social, gen-z</t>
        </is>
      </c>
    </row>
    <row r="39" ht="30" customHeight="1" s="34">
      <c r="A39" s="127" t="n">
        <v>2025</v>
      </c>
      <c r="B39" s="138" t="inlineStr">
        <is>
          <t>Bronze</t>
        </is>
      </c>
      <c r="C39" s="135" t="inlineStr">
        <is>
          <t>The Reinfall</t>
        </is>
      </c>
      <c r="D39" s="127" t="inlineStr">
        <is>
          <t>The Norwegian Postal Service</t>
        </is>
      </c>
      <c r="E39" s="127" t="inlineStr">
        <is>
          <t>Post Delivery</t>
        </is>
      </c>
      <c r="F39" s="127" t="inlineStr">
        <is>
          <t>POL</t>
        </is>
      </c>
      <c r="G39" s="127" t="inlineStr">
        <is>
          <t>Norway</t>
        </is>
      </c>
      <c r="H39" s="113" t="inlineStr">
        <is>
          <t>B06 - Consumer Services/Business to Business</t>
        </is>
      </c>
      <c r="I39" s="128" t="inlineStr">
        <is>
          <t>https://ascentialcdn.filespin.io/api/v1/storyboard/5ed8965efd35470096adab00a480bd1c/storyboard_000008.jpg</t>
        </is>
      </c>
      <c r="J39" s="127" t="inlineStr">
        <is>
          <t>RCyAAsOn70Y</t>
        </is>
      </c>
      <c r="K39" s="127" t="n"/>
      <c r="L39" s="128" t="inlineStr">
        <is>
          <t>https://www.lovethework.com/work/entries/the-reinfall-738770</t>
        </is>
      </c>
      <c r="M39" s="113" t="inlineStr">
        <is>
          <t>A Netflix-style short film, directed by Kasper Häggström through Bacon, that follows Rudolph the Red-Nosed Reindeer as a washed-up has-been — opening with him face-down on a beach, his celebrity faded after Santa's sleigh no longer needs a nose-lamp guide. Created by POL for the Norwegian Postal Service as a Christmas campaign, the film recasts one of the season's most recognizable characters as a cautionary tale about relevance.</t>
        </is>
      </c>
      <c r="N39" s="113" t="inlineStr">
        <is>
          <t>post-delivery, film, cinema, entertainment, christmas, norway, branded-content, short-film, consumer-services</t>
        </is>
      </c>
    </row>
    <row r="40" ht="30" customHeight="1" s="34">
      <c r="A40" s="127" t="n">
        <v>2025</v>
      </c>
      <c r="B40" s="138" t="inlineStr">
        <is>
          <t>Bronze</t>
        </is>
      </c>
      <c r="C40" s="135" t="inlineStr">
        <is>
          <t>Irmela vs. Nazis</t>
        </is>
      </c>
      <c r="D40" s="127" t="inlineStr">
        <is>
          <t>Toom DIY Market</t>
        </is>
      </c>
      <c r="E40" s="127" t="inlineStr">
        <is>
          <t>Toom Products</t>
        </is>
      </c>
      <c r="F40" s="127" t="inlineStr">
        <is>
          <t>Scholz &amp; Friends</t>
        </is>
      </c>
      <c r="G40" s="127" t="inlineStr">
        <is>
          <t>Germany</t>
        </is>
      </c>
      <c r="H40" s="113" t="inlineStr">
        <is>
          <t>D02 - Microfilm</t>
        </is>
      </c>
      <c r="I40" s="127" t="inlineStr">
        <is>
          <t>digital-presentation-images/film-toom-diy-market-irmela-vs-nazis.webp</t>
        </is>
      </c>
      <c r="J40" s="127" t="inlineStr">
        <is>
          <t>62AGpToKLuk</t>
        </is>
      </c>
      <c r="K40" s="127" t="n"/>
      <c r="L40" s="128" t="inlineStr">
        <is>
          <t>https://www.lovethework.com/work/entries/irmela-vs-nazis-739076</t>
        </is>
      </c>
      <c r="M40" s="113" t="inlineStr">
        <is>
          <t>Three documentary-style short films, aired on national TV and across social media and accompanied by an outdoor series, built around Irmela Mensah-Schramm — an 80-year-old German activist who has spent decades scraping and painting over Nazi symbols in public spaces across Germany. The films show her using ordinary toom DIY tools — a €2.59 scraper, a €3.79 brush, spray paint — to remove hate graffiti, connecting the retailer's "Respect for doing it yourself" positioning to a real, ongoing act of civic resistance.</t>
        </is>
      </c>
      <c r="N40" s="113" t="inlineStr">
        <is>
          <t>diy-retail, film, cinema, entertainment, documentary, social-media, ooh, germany, activism, social-good, anti-hate, public-space</t>
        </is>
      </c>
    </row>
    <row r="41" ht="30" customHeight="1" s="34">
      <c r="A41" s="127" t="n">
        <v>2025</v>
      </c>
      <c r="B41" s="138" t="inlineStr">
        <is>
          <t>Bronze</t>
        </is>
      </c>
      <c r="C41" s="135" t="inlineStr">
        <is>
          <t>You Have What It Takes</t>
        </is>
      </c>
      <c r="D41" s="127" t="inlineStr">
        <is>
          <t>Försvarsmakten</t>
        </is>
      </c>
      <c r="E41" s="127" t="inlineStr">
        <is>
          <t>Swedish Armed Force</t>
        </is>
      </c>
      <c r="F41" s="127" t="inlineStr">
        <is>
          <t>Nord DDB</t>
        </is>
      </c>
      <c r="G41" s="127" t="inlineStr">
        <is>
          <t>Sweden</t>
        </is>
      </c>
      <c r="H41" s="113" t="inlineStr">
        <is>
          <t>D02 - Microfilm</t>
        </is>
      </c>
      <c r="I41" s="128" t="inlineStr">
        <is>
          <t>https://ascentialcdn.filespin.io/api/v1/storyboard/e26b3466ac96451cb63011afdbc16dc4/storyboard_000008.jpg</t>
        </is>
      </c>
      <c r="J41" s="127" t="inlineStr">
        <is>
          <t>jBg5Cpabq8Q</t>
        </is>
      </c>
      <c r="K41" s="127" t="n"/>
      <c r="L41" s="128" t="inlineStr">
        <is>
          <t>https://www.lovethework.com/work/entries/you-have-what-it-takes-738975</t>
        </is>
      </c>
      <c r="M41" s="113" t="inlineStr">
        <is>
          <t>A short film made by the Swedish Armed Forces and Nord DDB, Stockholm, to recruit young women into military service — a demographic underrepresented despite conscription being legally mandatory for both sexes in Sweden. The film addresses the gap between official policy and practice by speaking directly to women who haven't seen themselves in traditional camouflage-and-combat recruitment imagery.</t>
        </is>
      </c>
      <c r="N41" s="113" t="inlineStr">
        <is>
          <t>swedish-armed-forces, recruitment, short-film, microfilm, women-in-military, sweden, nord-ddb, defense</t>
        </is>
      </c>
    </row>
    <row r="42" ht="30" customHeight="1" s="34">
      <c r="A42" s="127" t="n">
        <v>2025</v>
      </c>
      <c r="B42" s="138" t="inlineStr">
        <is>
          <t>Bronze</t>
        </is>
      </c>
      <c r="C42" s="135" t="inlineStr">
        <is>
          <t>Submerged</t>
        </is>
      </c>
      <c r="D42" s="127" t="inlineStr">
        <is>
          <t>Apple</t>
        </is>
      </c>
      <c r="E42" s="127" t="inlineStr">
        <is>
          <t>Apple Vision Pro</t>
        </is>
      </c>
      <c r="F42" s="127" t="inlineStr">
        <is>
          <t>Apple</t>
        </is>
      </c>
      <c r="G42" s="127" t="inlineStr">
        <is>
          <t>United States</t>
        </is>
      </c>
      <c r="H42" s="113" t="inlineStr">
        <is>
          <t>D03 - New Realities &amp; Emerging Tech</t>
        </is>
      </c>
      <c r="I42" s="127" t="inlineStr">
        <is>
          <t>digital-presentation-images/film-apple-submerged.webp</t>
        </is>
      </c>
      <c r="J42" s="127" t="inlineStr">
        <is>
          <t>vimeo:1124774457</t>
        </is>
      </c>
      <c r="K42" s="127" t="n"/>
      <c r="L42" s="128" t="inlineStr">
        <is>
          <t>https://www.lovethework.com/work/entries/submerged-765078</t>
        </is>
      </c>
      <c r="M42" s="113" t="inlineStr">
        <is>
          <t>A 17-minute scripted short film shot across the United States, Belgium, Czech Republic, and Malta using a 180-degree proprietary immersive camera — the first narrative work captured in Apple Immersive Video, designed exclusively for playback on Apple Vision Pro. Directed by Edward Berger, the submarine thriller was produced with fully immersive sets, custom rigs, and new post-production pipelines built specifically to meet the spatial storytelling demands of the headset's volumetric display.</t>
        </is>
      </c>
      <c r="N42" s="113" t="inlineStr">
        <is>
          <t>consumer-electronics, short-film, immersive-video, spatial-computing, emerging-tech, united-states, belgium, czech-republic, malta, production-design</t>
        </is>
      </c>
    </row>
    <row r="43" ht="30" customHeight="1" s="34">
      <c r="A43" s="127" t="n">
        <v>2025</v>
      </c>
      <c r="B43" s="138" t="inlineStr">
        <is>
          <t>Bronze</t>
        </is>
      </c>
      <c r="C43" s="135" t="inlineStr">
        <is>
          <t>Gambol "Dare to Step"</t>
        </is>
      </c>
      <c r="D43" s="127" t="inlineStr">
        <is>
          <t>Gambol</t>
        </is>
      </c>
      <c r="E43" s="127" t="inlineStr">
        <is>
          <t>Gambol Sandals</t>
        </is>
      </c>
      <c r="F43" s="127" t="inlineStr">
        <is>
          <t>YDM Thailand</t>
        </is>
      </c>
      <c r="G43" s="127" t="inlineStr">
        <is>
          <t>Thailand</t>
        </is>
      </c>
      <c r="H43" s="113" t="inlineStr">
        <is>
          <t>F01 - Local Brand</t>
        </is>
      </c>
      <c r="I43" s="127" t="inlineStr">
        <is>
          <t>digital-presentation-images/film-gambol-gambol-dare-to-step.webp</t>
        </is>
      </c>
      <c r="J43" s="127" t="inlineStr">
        <is>
          <t>428dy-MQabg</t>
        </is>
      </c>
      <c r="K43" s="127" t="n"/>
      <c r="L43" s="128" t="inlineStr">
        <is>
          <t>https://www.lovethework.com/work/entries/gambol-dare-to-step-758622</t>
        </is>
      </c>
      <c r="M43" s="113" t="inlineStr">
        <is>
          <t>A satirical film series set five million years ago, when apes ruled the land, each episode staging a contemporary Thai social ill — domestic violence, political corruption, air pollution — as prehistoric scenes interrupted by a misfit ape wearing Gambol sandals who steps in and demands accountability. The campaign is built around a Thai-language pun: "Klar-Tae," the sign-off line, means both "dare to step" and "dare to sandal," with "tae" being the Thai word for both action and footwear. Produced by YDM Thailand and Suneta House in Bangkok, the trilogy uses the sandal's physical comfort as a metaphor for moral courage — the idea that ease underfoot quiets the conscience.</t>
        </is>
      </c>
      <c r="N43" s="113" t="inlineStr">
        <is>
          <t>sandal, film, cinema, entertainment, satire, social-commentary, thailand, wordplay, brand-film, local-brand</t>
        </is>
      </c>
    </row>
    <row r="44" ht="30" customHeight="1" s="34">
      <c r="A44" s="127" t="n">
        <v>2025</v>
      </c>
      <c r="B44" s="138" t="inlineStr">
        <is>
          <t>Bronze</t>
        </is>
      </c>
      <c r="C44" s="135" t="inlineStr">
        <is>
          <t>Steal</t>
        </is>
      </c>
      <c r="D44" s="127" t="inlineStr">
        <is>
          <t>Mandaue Foam Home Store</t>
        </is>
      </c>
      <c r="E44" s="127" t="inlineStr">
        <is>
          <t>Mandaue Foam Home Store</t>
        </is>
      </c>
      <c r="F44" s="127" t="inlineStr">
        <is>
          <t>Gigil</t>
        </is>
      </c>
      <c r="G44" s="127" t="inlineStr">
        <is>
          <t>The Philippines</t>
        </is>
      </c>
      <c r="H44" s="113" t="inlineStr">
        <is>
          <t>F02 - Challenger Brand</t>
        </is>
      </c>
      <c r="I44" s="128" t="inlineStr">
        <is>
          <t>https://ascentialcdn.filespin.io/api/v1/storyboard/9ec1161c272f499ea887c4236fda3363/storyboard_000008.jpg</t>
        </is>
      </c>
      <c r="J44" s="127" t="inlineStr">
        <is>
          <t>pB69hy7B2TY</t>
        </is>
      </c>
      <c r="K44" s="127" t="n"/>
      <c r="L44" s="128" t="inlineStr">
        <is>
          <t>https://www.lovethework.com/work/entries/steal-739321</t>
        </is>
      </c>
      <c r="M44" s="113" t="inlineStr">
        <is>
          <t>A TV and online film for Mandaue Foam Home Store — a Philippines-based furniture and home goods retailer with over 50 showrooms — built around the explicit ambition of stealing customers from IKEA. Created by GIGIL, the spot repositions a brand known primarily for mattresses as a full home products destination, framing its challenger status as the entire creative premise.</t>
        </is>
      </c>
      <c r="N44" s="113" t="inlineStr">
        <is>
          <t>home-store, tv-film, challenger-brand, retail, philippines, vod, furniture, home</t>
        </is>
      </c>
    </row>
    <row r="45" ht="30" customHeight="1" s="34">
      <c r="A45" s="127" t="n">
        <v>2025</v>
      </c>
      <c r="B45" s="138" t="inlineStr">
        <is>
          <t>Bronze</t>
        </is>
      </c>
      <c r="C45" s="135" t="inlineStr">
        <is>
          <t>Miracle</t>
        </is>
      </c>
      <c r="D45" s="127" t="inlineStr">
        <is>
          <t>Rc Cola</t>
        </is>
      </c>
      <c r="E45" s="127" t="inlineStr">
        <is>
          <t>Rc Cola</t>
        </is>
      </c>
      <c r="F45" s="127" t="inlineStr">
        <is>
          <t>Gigil</t>
        </is>
      </c>
      <c r="G45" s="127" t="inlineStr">
        <is>
          <t>The Philippines</t>
        </is>
      </c>
      <c r="H45" s="113" t="inlineStr">
        <is>
          <t>F03 - Single-Market Campaign</t>
        </is>
      </c>
      <c r="I45" s="127" t="inlineStr">
        <is>
          <t>digital-presentation-images/film-rc-cola-miracle.webp</t>
        </is>
      </c>
      <c r="J45" s="127" t="inlineStr">
        <is>
          <t>u0c7pO99Ysw</t>
        </is>
      </c>
      <c r="K45" s="127" t="n"/>
      <c r="L45" s="128" t="inlineStr">
        <is>
          <t>https://www.lovethework.com/work/entries/miracle-739313</t>
        </is>
      </c>
      <c r="M45" s="113" t="inlineStr">
        <is>
          <t>A film ad for RC Cola's Mega variant that recreates scenes from Himala (1982), Ishmael Bernal's classic Filipino film — matching the acting, costumes, sets, color grading, and grain of the original — then inserts RC Cola as the source of the miracles. The RC Mega bottle, sized to serve up to four people, replaces the film's central supernatural element, positioning the product's value as the everyday miracle.</t>
        </is>
      </c>
      <c r="N45" s="113" t="inlineStr">
        <is>
          <t>cola, film, cinema, entertainment, philippines, online-video, cultural-reference, parody, single-market-campaign, gigil</t>
        </is>
      </c>
    </row>
    <row r="46" ht="30" customHeight="1" s="34">
      <c r="A46" s="127" t="n">
        <v>2025</v>
      </c>
      <c r="B46" s="138" t="inlineStr">
        <is>
          <t>Bronze</t>
        </is>
      </c>
      <c r="C46" s="135" t="inlineStr">
        <is>
          <t>Hey Jude</t>
        </is>
      </c>
      <c r="D46" s="127" t="inlineStr">
        <is>
          <t>Adidas Football</t>
        </is>
      </c>
      <c r="E46" s="127" t="inlineStr">
        <is>
          <t>Adidas</t>
        </is>
      </c>
      <c r="F46" s="127" t="inlineStr">
        <is>
          <t>Johannes Leonardo</t>
        </is>
      </c>
      <c r="G46" s="127" t="inlineStr">
        <is>
          <t>United States</t>
        </is>
      </c>
      <c r="H46" s="113" t="inlineStr">
        <is>
          <t>F03 - Single-Market Campaign</t>
        </is>
      </c>
      <c r="I46" s="127" t="inlineStr">
        <is>
          <t>digital-presentation-images/film-adidas-football-hey-jude.webp</t>
        </is>
      </c>
      <c r="J46" s="127" t="inlineStr">
        <is>
          <t>vimeo:974346956</t>
        </is>
      </c>
      <c r="K46" s="127" t="n"/>
      <c r="L46" s="128" t="inlineStr">
        <is>
          <t>https://www.lovethework.com/work/entries/hey-jude-739186</t>
        </is>
      </c>
      <c r="M46" s="113" t="inlineStr">
        <is>
          <t>A film set to The Beatles' "Hey Jude" that recasts the song as an England football anthem for Euro 2024 — adidas built it around Jude Bellingham, whose name made the double meaning literal, threading archival footage of 58 years of England tournament losses with present-day scenes of fans singing in stadiums, pubs, and neighborhoods. Because adidas held no official England national team sponsorship, the campaign operated entirely outside standard sports sponsorship territory, enlisting ex-players David Beckham, Frank Lampard, and Ian Wright alongside musician Stormzy and pundit Laura Woods to carry the message.</t>
        </is>
      </c>
      <c r="N46" s="113" t="inlineStr">
        <is>
          <t>sportswear, film, cinema, entertainment, football, soccer, sport, music-licensing, united-kingdom, euro-2024, celebrity, sports-sponsorship</t>
        </is>
      </c>
    </row>
    <row r="47" ht="30" customHeight="1" s="34">
      <c r="A47" s="127" t="n">
        <v>2025</v>
      </c>
      <c r="B47" s="138" t="inlineStr">
        <is>
          <t>Bronze</t>
        </is>
      </c>
      <c r="C47" s="135" t="inlineStr">
        <is>
          <t>Fer</t>
        </is>
      </c>
      <c r="D47" s="127" t="inlineStr">
        <is>
          <t>Save the Children, Mexico</t>
        </is>
      </c>
      <c r="E47" s="127" t="inlineStr">
        <is>
          <t>Save the Children</t>
        </is>
      </c>
      <c r="F47" s="127" t="inlineStr">
        <is>
          <t>Anonimo</t>
        </is>
      </c>
      <c r="G47" s="127" t="inlineStr">
        <is>
          <t>Mexico</t>
        </is>
      </c>
      <c r="H47" s="113" t="inlineStr">
        <is>
          <t>F04 - Social Behaviour</t>
        </is>
      </c>
      <c r="I47" s="127" t="inlineStr">
        <is>
          <t>digital-presentation-images/film-save-the-children-mexico-fer.webp</t>
        </is>
      </c>
      <c r="J47" s="127" t="inlineStr">
        <is>
          <t>vimeo:1017294125</t>
        </is>
      </c>
      <c r="K47" s="127" t="n"/>
      <c r="L47" s="128" t="inlineStr">
        <is>
          <t>https://www.lovethework.com/work/entries/fer-739197</t>
        </is>
      </c>
      <c r="M47" s="113" t="inlineStr">
        <is>
          <t>A six-minute short film, directed by Laura Baumeister through Catatonia, that follows Fer — a child in Mexico City running errands and witnessing the daily harassment and violence faced by women. The film withholds until its final moments that Fer is a girl whose mother has cut her hair and dressed her as a boy to keep her safe — a survival strategy used by real families in marginalized communities across Mexico, where women are twice as likely to experience violence as men.</t>
        </is>
      </c>
      <c r="N47" s="113" t="inlineStr">
        <is>
          <t>nonprofit, short-film, gender-based-violence, public-health, mexico, children, social-behaviour, online-video</t>
        </is>
      </c>
    </row>
    <row r="48" ht="30" customHeight="1" s="34">
      <c r="A48" s="127" t="n">
        <v>2025</v>
      </c>
      <c r="B48" s="138" t="inlineStr">
        <is>
          <t>Bronze</t>
        </is>
      </c>
      <c r="C48" s="135" t="inlineStr">
        <is>
          <t>18 Months</t>
        </is>
      </c>
      <c r="D48" s="127" t="inlineStr">
        <is>
          <t>Second Nurture</t>
        </is>
      </c>
      <c r="E48" s="127" t="inlineStr">
        <is>
          <t>Charity</t>
        </is>
      </c>
      <c r="F48" s="127" t="inlineStr">
        <is>
          <t>Klick Health</t>
        </is>
      </c>
      <c r="G48" s="127" t="inlineStr">
        <is>
          <t>Canada</t>
        </is>
      </c>
      <c r="H48" s="113" t="inlineStr">
        <is>
          <t>F04 - Social Behaviour</t>
        </is>
      </c>
      <c r="I48" s="127" t="inlineStr">
        <is>
          <t>digital-presentation-images/film-second-nurture-18-months.webp</t>
        </is>
      </c>
      <c r="J48" s="127" t="inlineStr">
        <is>
          <t>vimeo:1092249009</t>
        </is>
      </c>
      <c r="K48" s="127" t="n"/>
      <c r="L48" s="128" t="inlineStr">
        <is>
          <t>https://www.lovethework.com/work/entries/18-months-739267</t>
        </is>
      </c>
      <c r="M48" s="113" t="inlineStr">
        <is>
          <t>A stop-motion animated short whose sets were built entirely from the pages of outdated pregnancy books — the illustrated diagrams and text physically cut and constructed into six miniature environments by 180 artists, including Oscar and BAFTA-winning animators. The film, produced by Klick Health in Toronto for Second Nurture, follows a non-traditional family's journey to parenthood, using the medium of the books that exclude their story as the literal material of that story.</t>
        </is>
      </c>
      <c r="N48" s="113" t="inlineStr">
        <is>
          <t>charity, stop-motion, animation, film, cinema, entertainment, canada, non-profit, family-building, craft, klick-health</t>
        </is>
      </c>
    </row>
    <row r="49" ht="30" customHeight="1" s="34">
      <c r="A49" s="127" t="n">
        <v>2025</v>
      </c>
      <c r="B49" s="138" t="inlineStr">
        <is>
          <t>Bronze</t>
        </is>
      </c>
      <c r="C49" s="135" t="inlineStr">
        <is>
          <t>Read Better</t>
        </is>
      </c>
      <c r="D49" s="127" t="inlineStr">
        <is>
          <t>Waterstones</t>
        </is>
      </c>
      <c r="E49" s="127" t="inlineStr">
        <is>
          <t>Books</t>
        </is>
      </c>
      <c r="F49" s="127" t="inlineStr">
        <is>
          <t>FP7 McCann</t>
        </is>
      </c>
      <c r="G49" s="127" t="inlineStr">
        <is>
          <t>United Arab Emirates</t>
        </is>
      </c>
      <c r="H49" s="113" t="inlineStr">
        <is>
          <t>F04 - Social Behaviour</t>
        </is>
      </c>
      <c r="I49" s="128" t="inlineStr">
        <is>
          <t>https://ascentialcdn.filespin.io/api/v1/conversion/fdf308fea817428794e5b51cfe09d79e</t>
        </is>
      </c>
      <c r="J49" s="127" t="inlineStr">
        <is>
          <t>vimeo:1104424991</t>
        </is>
      </c>
      <c r="K49" s="127" t="n"/>
      <c r="L49" s="128" t="inlineStr">
        <is>
          <t>https://www.lovethework.com/work/entries/read-better-762379</t>
        </is>
      </c>
      <c r="M49" s="113" t="inlineStr">
        <is>
          <t>A film and digital campaign for Waterstones, created with McCann Bristol and UM Central, built around the idea that reading books makes you better at interpreting the world around you. The work delivers a social-behaviour message — that regular reading sharpens comprehension and critical thinking — through demonstration rather than instruction.</t>
        </is>
      </c>
      <c r="N49" s="113" t="inlineStr">
        <is>
          <t>books, film, cinema, entertainment, digital, social-behaviour, united-arab-emirates, united-kingdom, reading, retail</t>
        </is>
      </c>
    </row>
    <row r="50" ht="30" customHeight="1" s="34">
      <c r="A50" s="127" t="n">
        <v>2025</v>
      </c>
      <c r="B50" s="138" t="inlineStr">
        <is>
          <t>Bronze</t>
        </is>
      </c>
      <c r="C50" s="135" t="inlineStr">
        <is>
          <t>Telstra - Better on a Better Network</t>
        </is>
      </c>
      <c r="D50" s="127" t="inlineStr">
        <is>
          <t>Telstra</t>
        </is>
      </c>
      <c r="E50" s="127" t="inlineStr">
        <is>
          <t>Telstra</t>
        </is>
      </c>
      <c r="F50" s="127" t="inlineStr">
        <is>
          <t>Bear Meets Eagle on Fire</t>
        </is>
      </c>
      <c r="G50" s="127" t="inlineStr">
        <is>
          <t>Australia</t>
        </is>
      </c>
      <c r="H50" s="113" t="inlineStr">
        <is>
          <t>F05 - Use of Humour</t>
        </is>
      </c>
      <c r="I50" s="127" t="inlineStr">
        <is>
          <t>digital-presentation-images/film-telstra-telstra-better-on-a-better-network.webp</t>
        </is>
      </c>
      <c r="J50" s="127" t="inlineStr">
        <is>
          <t>L8wOtakkr28</t>
        </is>
      </c>
      <c r="K50" s="127" t="n"/>
      <c r="L50" s="128" t="inlineStr">
        <is>
          <t>https://www.lovethework.com/work/entries/telstra-better-on-a-better-network-739394</t>
        </is>
      </c>
      <c r="M50" s="113" t="inlineStr">
        <is>
          <t>A suite of 26 short films, each set in a different lesser-known regional town or remote area of Australia, brought to life through 56 puppets voiced by 42 actors — each film representing a local story and community that benefits from Telstra's network coverage. The spots aired across Channel 9's Olympics and Paralympics broadcast, replacing the single repeated sponsor spot with a rotating cast of regional characters and landscapes.</t>
        </is>
      </c>
      <c r="N50" s="113" t="inlineStr">
        <is>
          <t>telecommunications, film, cinema, entertainment, puppets, craft, regional, australia, broadcast, olympics, sport, multi-spot</t>
        </is>
      </c>
    </row>
    <row r="51" ht="30" customHeight="1" s="34">
      <c r="A51" s="127" t="n">
        <v>2025</v>
      </c>
      <c r="B51" s="138" t="inlineStr">
        <is>
          <t>Bronze</t>
        </is>
      </c>
      <c r="C51" s="135" t="inlineStr">
        <is>
          <t>Squad Up</t>
        </is>
      </c>
      <c r="D51" s="127" t="inlineStr">
        <is>
          <t>Supercell</t>
        </is>
      </c>
      <c r="E51" s="127" t="inlineStr">
        <is>
          <t>Entertainment</t>
        </is>
      </c>
      <c r="F51" s="127" t="inlineStr">
        <is>
          <t>Uncommon Creative Studio</t>
        </is>
      </c>
      <c r="G51" s="127" t="inlineStr">
        <is>
          <t>United Kingdom</t>
        </is>
      </c>
      <c r="H51" s="113" t="inlineStr">
        <is>
          <t>F05 - Use of Humour</t>
        </is>
      </c>
      <c r="I51" s="128" t="inlineStr">
        <is>
          <t>https://ascentialcdn.filespin.io/api/v1/conversion/d7137ce2bd54485cbcd0f8ed8ef89240</t>
        </is>
      </c>
      <c r="J51" s="127" t="inlineStr">
        <is>
          <t>vimeo:951306460</t>
        </is>
      </c>
      <c r="K51" s="127" t="n"/>
      <c r="L51" s="128" t="inlineStr">
        <is>
          <t>https://www.lovethework.com/work/entries/squad-up-739443</t>
        </is>
      </c>
      <c r="M51" s="113" t="inlineStr">
        <is>
          <t>A five-minute film launching Squad Busters — Supercell's first new global game in more than five years — in which Chris Hemsworth, Christina Ricci, Ken Jeong, Will Arnett, and Auli'i Cravalho each embody a character from the game. Directed by Jody Hill and produced by Caviar Content, the casting maps each celebrity's established comic persona to a specific in-game character type.</t>
        </is>
      </c>
      <c r="N51" s="113" t="inlineStr">
        <is>
          <t>mobile-gaming, film, cinema, entertainment, celebrity-casting, humor, united-kingdom, global</t>
        </is>
      </c>
    </row>
    <row r="52" ht="30" customHeight="1" s="34">
      <c r="A52" s="127" t="n">
        <v>2025</v>
      </c>
      <c r="B52" s="138" t="inlineStr">
        <is>
          <t>Bronze</t>
        </is>
      </c>
      <c r="C52" s="135" t="inlineStr">
        <is>
          <t>Paris Paralympics 2024: Considering What?</t>
        </is>
      </c>
      <c r="D52" s="127" t="inlineStr">
        <is>
          <t>Channel 4</t>
        </is>
      </c>
      <c r="E52" s="127" t="inlineStr">
        <is>
          <t>Channel 4</t>
        </is>
      </c>
      <c r="F52" s="127" t="inlineStr">
        <is>
          <t>Channel 4</t>
        </is>
      </c>
      <c r="G52" s="127" t="inlineStr">
        <is>
          <t>United Kingdom</t>
        </is>
      </c>
      <c r="H52" s="113" t="inlineStr">
        <is>
          <t>F07 - Corporate Purpose &amp; Social Responsibility</t>
        </is>
      </c>
      <c r="I52" s="127" t="inlineStr">
        <is>
          <t>digital-presentation-images/film-channel-4-paris-paralympic-2024-considering-what.webp</t>
        </is>
      </c>
      <c r="J52" s="127" t="inlineStr">
        <is>
          <t>bUs_mNTNwvE</t>
        </is>
      </c>
      <c r="K52" s="127" t="n"/>
      <c r="L52" s="128" t="inlineStr">
        <is>
          <t>https://www.lovethework.com/work/entries/paris-paralympics-2024-considering-what-739501</t>
        </is>
      </c>
      <c r="M52" s="113" t="inlineStr">
        <is>
          <t>A Channel 4 campaign for the Paris 2024 Paralympic Games, made by in-house agency 4Creative and production company Biscuit Filmworks, built around the patronising language real viewers use about Paralympic athletes — phrases like "she's incredibly fast for someone in a wheelchair" and "amazing... considering" — which appeared as OOH billboards with the condescending caveats crossed out by the athletes' actual sporting achievements. On social, the same treatment was flipped: patronising comments typically aimed at Paralympians were redirected at non-disabled Olympians, exposing the double standard. The campaign responded to research showing that 60% of viewers still watch the Paralympics primarily to see athletes "overcome" their disabilities rather than compete as elite sportspeople.</t>
        </is>
      </c>
      <c r="N52" s="113" t="inlineStr">
        <is>
          <t>broadcaster, ooh, social-media, paralympics, disability, sport, film, cinema, entertainment, united-kingdom, 4creative</t>
        </is>
      </c>
    </row>
    <row r="53" ht="30" customHeight="1" s="34">
      <c r="A53" s="127" t="n">
        <v>2025</v>
      </c>
      <c r="B53" s="138" t="inlineStr">
        <is>
          <t>Bronze</t>
        </is>
      </c>
      <c r="C53" s="135" t="inlineStr">
        <is>
          <t>Skin</t>
        </is>
      </c>
      <c r="D53" s="127" t="inlineStr">
        <is>
          <t>Raça Magazine</t>
        </is>
      </c>
      <c r="E53" s="127" t="inlineStr">
        <is>
          <t>Institutional</t>
        </is>
      </c>
      <c r="F53" s="127" t="inlineStr">
        <is>
          <t>LePub</t>
        </is>
      </c>
      <c r="G53" s="127" t="inlineStr">
        <is>
          <t>Brazil</t>
        </is>
      </c>
      <c r="H53" s="113" t="inlineStr">
        <is>
          <t>F09 - Cultural Engagement</t>
        </is>
      </c>
      <c r="I53" s="127" t="inlineStr">
        <is>
          <t>digital-presentation-images/film-raca-magazine-skin.webp</t>
        </is>
      </c>
      <c r="J53" s="127" t="inlineStr">
        <is>
          <t>vimeo:1088284685</t>
        </is>
      </c>
      <c r="K53" s="127" t="n"/>
      <c r="L53" s="128" t="inlineStr">
        <is>
          <t>https://www.lovethework.com/work/entries/skin-739661</t>
        </is>
      </c>
      <c r="M53" s="113" t="inlineStr">
        <is>
          <t>A print and film ad for RAÇA Magazine, Brazil's Black press publication, built around the handwritten testimony of Carlos Palmeira — a Brazilian man with vitiligo whose skin shifted from completely Black to completely White, a condition affecting 0.009% of Brazilians. His account, written in his own hand and overlaid across his portrait, describes how the same people who once profiled, ignored, or feared him began treating him with warmth as his pigmentation changed — a firsthand account of racism operating through appearance alone.</t>
        </is>
      </c>
      <c r="N53" s="113" t="inlineStr">
        <is>
          <t>print, film, cinema, entertainment, magazine, anti-racism, brazil, handwritten, institutional, racial-equity, portrait</t>
        </is>
      </c>
    </row>
    <row r="54">
      <c r="A54" s="33" t="n">
        <v>2026</v>
      </c>
      <c r="B54" s="33" t="inlineStr">
        <is>
          <t>Gold</t>
        </is>
      </c>
      <c r="C54" s="33" t="inlineStr">
        <is>
          <t>Hope</t>
        </is>
      </c>
      <c r="D54" s="33" t="inlineStr">
        <is>
          <t>IKEA</t>
        </is>
      </c>
      <c r="E54" s="33" t="inlineStr">
        <is>
          <t>IKEA Home Furnishings</t>
        </is>
      </c>
      <c r="F54" s="33" t="inlineStr">
        <is>
          <t>TRY</t>
        </is>
      </c>
      <c r="G54" s="33" t="inlineStr">
        <is>
          <t>Norway</t>
        </is>
      </c>
      <c r="H54" s="33" t="inlineStr">
        <is>
          <t>A01 - Consumer Goods</t>
        </is>
      </c>
      <c r="I54" s="33" t="inlineStr">
        <is>
          <t>https://ascentialcdn.filespin.io/api/v1/storyboard/05eb6c2bef6f405cb9e64fa464be0ee5/storyboard_000008.jpg</t>
        </is>
      </c>
      <c r="J54" s="33" t="inlineStr">
        <is>
          <t>vimeo:1096194558</t>
        </is>
      </c>
      <c r="K54" s="33" t="inlineStr"/>
      <c r="L54" s="33" t="inlineStr"/>
      <c r="M54" s="33" t="inlineStr">
        <is>
          <t>Part of a TRY, Oslo print series for IKEA built on sharp copywriting and art direction, the 'Hope' execution turns an everyday domestic moment into a crafted home-furnishings ad.</t>
        </is>
      </c>
      <c r="N54" s="33" t="inlineStr">
        <is>
          <t>ikea, home furnishings, furniture, home, retail, print, copywriting, art direction, design, try, oslo, norway</t>
        </is>
      </c>
    </row>
    <row r="55">
      <c r="A55" s="33" t="n">
        <v>2026</v>
      </c>
      <c r="B55" s="33" t="inlineStr">
        <is>
          <t>Gold</t>
        </is>
      </c>
      <c r="C55" s="33" t="inlineStr">
        <is>
          <t>Mornings</t>
        </is>
      </c>
      <c r="D55" s="33" t="inlineStr">
        <is>
          <t>IKEA</t>
        </is>
      </c>
      <c r="E55" s="33" t="inlineStr">
        <is>
          <t>IKEA Home Furnishings</t>
        </is>
      </c>
      <c r="F55" s="33" t="inlineStr">
        <is>
          <t>TRY</t>
        </is>
      </c>
      <c r="G55" s="33" t="inlineStr">
        <is>
          <t>Norway</t>
        </is>
      </c>
      <c r="H55" s="33" t="inlineStr">
        <is>
          <t>A01 - Consumer Goods</t>
        </is>
      </c>
      <c r="I55" s="33" t="inlineStr">
        <is>
          <t>https://ascentialcdn.filespin.io/api/v1/storyboard/b73a8e6bb7864c92bfc36217a62b9e07/storyboard_000008.jpg</t>
        </is>
      </c>
      <c r="J55" s="33" t="inlineStr">
        <is>
          <t>vimeo:1096194558</t>
        </is>
      </c>
      <c r="K55" s="33" t="inlineStr"/>
      <c r="L55" s="33" t="inlineStr"/>
      <c r="M55" s="33" t="inlineStr">
        <is>
          <t>Part of a TRY, Oslo print series for IKEA built on sharp copywriting and art direction, the 'Mornings' execution turns an everyday domestic moment into a crafted home-furnishings ad.</t>
        </is>
      </c>
      <c r="N55" s="33" t="inlineStr">
        <is>
          <t>ikea, home furnishings, furniture, home, retail, print, copywriting, art direction, design, try, oslo, norway</t>
        </is>
      </c>
    </row>
    <row r="56">
      <c r="A56" s="33" t="n">
        <v>2026</v>
      </c>
      <c r="B56" s="33" t="inlineStr">
        <is>
          <t>Gold</t>
        </is>
      </c>
      <c r="C56" s="33" t="inlineStr">
        <is>
          <t>Picky</t>
        </is>
      </c>
      <c r="D56" s="33" t="inlineStr">
        <is>
          <t>IKEA</t>
        </is>
      </c>
      <c r="E56" s="33" t="inlineStr">
        <is>
          <t>IKEA Home Furnishings</t>
        </is>
      </c>
      <c r="F56" s="33" t="inlineStr">
        <is>
          <t>TRY</t>
        </is>
      </c>
      <c r="G56" s="33" t="inlineStr">
        <is>
          <t>Norway</t>
        </is>
      </c>
      <c r="H56" s="33" t="inlineStr">
        <is>
          <t>A01 - Consumer Goods</t>
        </is>
      </c>
      <c r="I56" s="33" t="inlineStr">
        <is>
          <t>https://ascentialcdn.filespin.io/api/v1/storyboard/0bf25309251246599f87bd442bae7502/storyboard_000008.jpg</t>
        </is>
      </c>
      <c r="J56" s="33" t="inlineStr">
        <is>
          <t>vimeo:1096194558</t>
        </is>
      </c>
      <c r="K56" s="33" t="inlineStr"/>
      <c r="L56" s="33" t="inlineStr"/>
      <c r="M56" s="33" t="inlineStr">
        <is>
          <t>Part of a TRY, Oslo print series for IKEA built on sharp copywriting and art direction, the 'Picky' execution turns an everyday domestic moment into a crafted home-furnishings ad.</t>
        </is>
      </c>
      <c r="N56" s="33" t="inlineStr">
        <is>
          <t>ikea, home furnishings, furniture, home, retail, print, copywriting, art direction, design, try, oslo, norway</t>
        </is>
      </c>
    </row>
    <row r="57">
      <c r="A57" s="33" t="n">
        <v>2026</v>
      </c>
      <c r="B57" s="33" t="inlineStr">
        <is>
          <t>Gold</t>
        </is>
      </c>
      <c r="C57" s="33" t="inlineStr">
        <is>
          <t>Awake</t>
        </is>
      </c>
      <c r="D57" s="33" t="inlineStr">
        <is>
          <t>IKEA</t>
        </is>
      </c>
      <c r="E57" s="33" t="inlineStr">
        <is>
          <t>IKEA Home Furnishings</t>
        </is>
      </c>
      <c r="F57" s="33" t="inlineStr">
        <is>
          <t>TRY</t>
        </is>
      </c>
      <c r="G57" s="33" t="inlineStr">
        <is>
          <t>Norway</t>
        </is>
      </c>
      <c r="H57" s="33" t="inlineStr">
        <is>
          <t>A01 - Consumer Goods</t>
        </is>
      </c>
      <c r="I57" s="33" t="inlineStr">
        <is>
          <t>https://ascentialcdn.filespin.io/api/v1/storyboard/cbd032d6bd4d42cc843cc6b8ae5595f0/storyboard_000008.jpg</t>
        </is>
      </c>
      <c r="J57" s="33" t="inlineStr">
        <is>
          <t>vimeo:1096194558</t>
        </is>
      </c>
      <c r="K57" s="33" t="inlineStr"/>
      <c r="L57" s="33" t="inlineStr"/>
      <c r="M57" s="33" t="inlineStr">
        <is>
          <t>One of IKEA's run of brand films from TRY built on simple, recognisable moments of life at home, where an everyday domestic scene becomes a quiet reminder of how the home shapes daily life.</t>
        </is>
      </c>
      <c r="N57" s="33" t="inlineStr">
        <is>
          <t>ikea, home furnishings, home, family, everyday life, furniture, norway, slice of life</t>
        </is>
      </c>
    </row>
    <row r="58">
      <c r="A58" s="33" t="n">
        <v>2026</v>
      </c>
      <c r="B58" s="33" t="inlineStr">
        <is>
          <t>Bronze</t>
        </is>
      </c>
      <c r="C58" s="33" t="inlineStr">
        <is>
          <t>Slide</t>
        </is>
      </c>
      <c r="D58" s="33" t="inlineStr">
        <is>
          <t>Apple</t>
        </is>
      </c>
      <c r="E58" s="33" t="inlineStr">
        <is>
          <t>iPhone 17</t>
        </is>
      </c>
      <c r="F58" s="33" t="inlineStr">
        <is>
          <t>Apple</t>
        </is>
      </c>
      <c r="G58" s="33" t="inlineStr">
        <is>
          <t>United States</t>
        </is>
      </c>
      <c r="H58" s="33" t="inlineStr">
        <is>
          <t>A01 - Consumer Goods</t>
        </is>
      </c>
      <c r="I58" s="33" t="inlineStr">
        <is>
          <t>https://i.ytimg.com/vi/PBrYMBacnyM/maxresdefault.jpg</t>
        </is>
      </c>
      <c r="J58" s="33" t="inlineStr">
        <is>
          <t>vimeo:1168177137</t>
        </is>
      </c>
      <c r="K58" s="33" t="inlineStr"/>
      <c r="L58" s="33" t="inlineStr">
        <is>
          <t>https://www.lovethework.com/work/entries/slide-780526</t>
        </is>
      </c>
      <c r="M58" s="33" t="inlineStr">
        <is>
          <t>A demonstration film for the iPhone 17's Ceramic Shield 2 scratch resistance. Across a tense, wordless business negotiation, an iPhone 17 Pro is slid face-down back and forth along a long boardroom table, turning a durability claim into a single sustained piece of tabletop tension.</t>
        </is>
      </c>
      <c r="N58" s="33" t="inlineStr">
        <is>
          <t>apple, iphone, smartphone, technology, product demo, durability, screen, negotiation</t>
        </is>
      </c>
    </row>
    <row r="59">
      <c r="A59" s="33" t="n">
        <v>2026</v>
      </c>
      <c r="B59" s="33" t="inlineStr">
        <is>
          <t>Silver</t>
        </is>
      </c>
      <c r="C59" s="33" t="inlineStr">
        <is>
          <t>A Critter Carol</t>
        </is>
      </c>
      <c r="D59" s="33" t="inlineStr">
        <is>
          <t>Apple</t>
        </is>
      </c>
      <c r="E59" s="33" t="inlineStr">
        <is>
          <t>iPhone</t>
        </is>
      </c>
      <c r="F59" s="33" t="inlineStr">
        <is>
          <t>TBWA\Media Arts Lab</t>
        </is>
      </c>
      <c r="G59" s="33" t="inlineStr">
        <is>
          <t>United States</t>
        </is>
      </c>
      <c r="H59" s="33" t="inlineStr">
        <is>
          <t>A01 - Consumer Goods</t>
        </is>
      </c>
      <c r="I59" s="33" t="inlineStr">
        <is>
          <t>https://beastgrip.com/cdn/shop/articles/shot-on-iphone-17-pro-a-critter-carol-beastgrip-gear-behind-the-magic_10ea192b-ee14-4514-915e-2d46daad1ef4.jpg</t>
        </is>
      </c>
      <c r="J59" s="33" t="inlineStr">
        <is>
          <t>h7v2YtzPag4</t>
        </is>
      </c>
      <c r="K59" s="33" t="inlineStr"/>
      <c r="L59" s="33" t="inlineStr">
        <is>
          <t>https://www.lovethework.com/work/entries/a-critter-carol-782154</t>
        </is>
      </c>
      <c r="M59" s="33" t="inlineStr">
        <is>
          <t>Apple's holiday 'Shot on iPhone' film: after a hiker drops an iPhone in a snowy forest, a group of handmade puppet critters — a raccoon, bear, owl, deer and others — find it and film themselves in a joyful musical number celebrating friendship and craft. Directed by Mark Molloy. (Cross-Channel Storytelling entry.)</t>
        </is>
      </c>
      <c r="N59" s="33" t="inlineStr">
        <is>
          <t>apple, iphone, smartphone, technology, holiday, christmas, puppets, animation, film, cinema, entertainment, storytelling, cross-channel, music, digital craft, tbwa media arts lab, united states</t>
        </is>
      </c>
    </row>
    <row r="60">
      <c r="A60" s="33" t="n">
        <v>2026</v>
      </c>
      <c r="B60" s="33" t="inlineStr">
        <is>
          <t>Bronze</t>
        </is>
      </c>
      <c r="C60" s="33" t="inlineStr">
        <is>
          <t>Never Over</t>
        </is>
      </c>
      <c r="D60" s="33" t="inlineStr">
        <is>
          <t>Eli Lilly</t>
        </is>
      </c>
      <c r="E60" s="33" t="inlineStr">
        <is>
          <t>Eli Lilly</t>
        </is>
      </c>
      <c r="F60" s="33" t="inlineStr">
        <is>
          <t>Wieden+Kennedy</t>
        </is>
      </c>
      <c r="G60" s="33" t="inlineStr">
        <is>
          <t>United States</t>
        </is>
      </c>
      <c r="H60" s="33" t="inlineStr">
        <is>
          <t>A02 - Healthcare</t>
        </is>
      </c>
      <c r="I60" s="33" t="inlineStr">
        <is>
          <t>https://qtxasset.com/quartz/qcloud5/media/image/lilly-neverover.jpg</t>
        </is>
      </c>
      <c r="J60" s="33" t="inlineStr">
        <is>
          <t>CtxdhnieTCQ</t>
        </is>
      </c>
      <c r="K60" s="33" t="inlineStr"/>
      <c r="L60" s="33" t="inlineStr">
        <is>
          <t>https://www.lovethework.com/work/entries/never-over-780835</t>
        </is>
      </c>
      <c r="M60" s="33" t="inlineStr">
        <is>
          <t>A short film that draws a parallel between Olympic sport and scientific research, setting the relentless, never-finished pursuit of athletic greatness against the equally unending work of medical discovery.</t>
        </is>
      </c>
      <c r="N60" s="33" t="inlineStr">
        <is>
          <t>eli lilly, pharma, healthcare, olympics, sport, science, research, perseverance</t>
        </is>
      </c>
    </row>
    <row r="61">
      <c r="A61" s="33" t="n">
        <v>2026</v>
      </c>
      <c r="B61" s="33" t="inlineStr">
        <is>
          <t>Bronze</t>
        </is>
      </c>
      <c r="C61" s="33" t="inlineStr">
        <is>
          <t>Good Days</t>
        </is>
      </c>
      <c r="D61" s="33" t="inlineStr">
        <is>
          <t>Lilly</t>
        </is>
      </c>
      <c r="E61" s="33" t="inlineStr">
        <is>
          <t>Pharma</t>
        </is>
      </c>
      <c r="F61" s="33" t="inlineStr">
        <is>
          <t>Wieden+Kennedy</t>
        </is>
      </c>
      <c r="G61" s="33" t="inlineStr">
        <is>
          <t>United States</t>
        </is>
      </c>
      <c r="H61" s="33" t="inlineStr">
        <is>
          <t>A02 - Healthcare</t>
        </is>
      </c>
      <c r="I61" s="33" t="inlineStr">
        <is>
          <t>https://ascentialcdn.filespin.io/api/v1/storyboard/907717afa6174727846d909d942e5a11/storyboard_000008.jpg</t>
        </is>
      </c>
      <c r="J61" s="33" t="inlineStr">
        <is>
          <t>vimeo:1150526756</t>
        </is>
      </c>
      <c r="K61" s="33" t="inlineStr"/>
      <c r="L61" s="33" t="inlineStr">
        <is>
          <t>https://www.lovethework.com/work/entries/good-days-776865</t>
        </is>
      </c>
      <c r="M61" s="33" t="inlineStr">
        <is>
          <t>A short film about Alzheimer's that dramatises the stark, unpredictable contrast between the good and bad days people living with the disease experience, holding the two against each other to convey how much an ordinary good day can mean.</t>
        </is>
      </c>
      <c r="N61" s="33" t="inlineStr">
        <is>
          <t>lilly, pharma, healthcare, alzheimers, dementia, memory, caregiving, awareness</t>
        </is>
      </c>
    </row>
    <row r="62">
      <c r="A62" s="33" t="n">
        <v>2026</v>
      </c>
      <c r="B62" s="33" t="inlineStr">
        <is>
          <t>Gold</t>
        </is>
      </c>
      <c r="C62" s="33" t="inlineStr">
        <is>
          <t>No Project Without Drama</t>
        </is>
      </c>
      <c r="D62" s="33" t="inlineStr">
        <is>
          <t>Hornbach</t>
        </is>
      </c>
      <c r="E62" s="33" t="inlineStr">
        <is>
          <t>Home Improvement Superstore</t>
        </is>
      </c>
      <c r="F62" s="33" t="inlineStr">
        <is>
          <t>Heimat\TBWA</t>
        </is>
      </c>
      <c r="G62" s="33" t="inlineStr">
        <is>
          <t>Germany</t>
        </is>
      </c>
      <c r="H62" s="33" t="inlineStr">
        <is>
          <t>A04 - Travel, Leisure, Retail, Restaurants &amp; Fast-Food Chains</t>
        </is>
      </c>
      <c r="I62" s="33" t="inlineStr">
        <is>
          <t>https://i.ytimg.com/vi/FN5yqNreuTU/maxresdefault.jpg</t>
        </is>
      </c>
      <c r="J62" s="33" t="inlineStr">
        <is>
          <t>OOgaqXlaH2Q</t>
        </is>
      </c>
      <c r="K62" s="33" t="inlineStr"/>
      <c r="L62" s="33" t="inlineStr"/>
      <c r="M62" s="33" t="inlineStr">
        <is>
          <t>A cinematic homage to the beauty and chaos of do-it-yourself life for German home-improvement retailer Hornbach, treating ordinary renovation projects with movie-grade tension, scale and craft.</t>
        </is>
      </c>
      <c r="N62" s="33" t="inlineStr">
        <is>
          <t>hornbach, home improvement, diy, retail, hardware store, germany, film, cinema, entertainment, direction, sound design, production design, achievement in production, film craft, heimat tbwa, drama</t>
        </is>
      </c>
    </row>
    <row r="63">
      <c r="A63" s="33" t="n">
        <v>2026</v>
      </c>
      <c r="B63" s="33" t="inlineStr">
        <is>
          <t>Bronze</t>
        </is>
      </c>
      <c r="C63" s="33" t="inlineStr">
        <is>
          <t>Tableau</t>
        </is>
      </c>
      <c r="D63" s="33" t="inlineStr">
        <is>
          <t>John Lewis</t>
        </is>
      </c>
      <c r="E63" s="33" t="inlineStr">
        <is>
          <t>John Lewis</t>
        </is>
      </c>
      <c r="F63" s="33" t="inlineStr">
        <is>
          <t>Saatchi &amp; Saatchi</t>
        </is>
      </c>
      <c r="G63" s="33" t="inlineStr">
        <is>
          <t>United Kingdom</t>
        </is>
      </c>
      <c r="H63" s="33" t="inlineStr">
        <is>
          <t>A04 - Travel, Leisure, Retail, Restaurants &amp; Fast-Food Chains</t>
        </is>
      </c>
      <c r="I63" s="33" t="inlineStr">
        <is>
          <t>https://ascentialcdn.filespin.io/api/v1/storyboard/2be90f6054584758b96b99e0381a6947/storyboard_000008.jpg</t>
        </is>
      </c>
      <c r="J63" s="33" t="inlineStr"/>
      <c r="K63" s="33" t="inlineStr"/>
      <c r="L63" s="33" t="inlineStr">
        <is>
          <t>https://www.lovethework.com/work/entries/tableau-773408</t>
        </is>
      </c>
      <c r="M63" s="33" t="inlineStr">
        <is>
          <t>Marking 100 years of John Lewis's 'Never Knowingly Undersold' promise, a highly choreographed single moving portrait that turns a century of British life into one continuous tableau.</t>
        </is>
      </c>
      <c r="N63" s="33" t="inlineStr">
        <is>
          <t>john lewis, retail, department store, christmas, britain, heritage, saatchi saatchi, somesuch, production design, licensed music, use of licensed adapted music, achievement in production, film craft, united kingdom</t>
        </is>
      </c>
    </row>
    <row r="64">
      <c r="A64" s="33" t="n">
        <v>2026</v>
      </c>
      <c r="B64" s="33" t="inlineStr">
        <is>
          <t>Bronze</t>
        </is>
      </c>
      <c r="C64" s="33" t="inlineStr">
        <is>
          <t>Unloved</t>
        </is>
      </c>
      <c r="D64" s="33" t="inlineStr">
        <is>
          <t>Intermarché</t>
        </is>
      </c>
      <c r="E64" s="33" t="inlineStr">
        <is>
          <t>Retail</t>
        </is>
      </c>
      <c r="F64" s="33" t="inlineStr">
        <is>
          <t>Romance</t>
        </is>
      </c>
      <c r="G64" s="33" t="inlineStr">
        <is>
          <t>France</t>
        </is>
      </c>
      <c r="H64" s="33" t="inlineStr">
        <is>
          <t>A04 - Travel, Leisure, Retail, Restaurants &amp; Fast-Food Chains</t>
        </is>
      </c>
      <c r="I64" s="33" t="inlineStr">
        <is>
          <t>https://ascentialcdn.filespin.io/api/v1/storyboard/f840ad18f88245f099c2cb8cb59c3dc5/storyboard_000008.jpg</t>
        </is>
      </c>
      <c r="J64" s="33" t="inlineStr">
        <is>
          <t>2p62no4LBg8</t>
        </is>
      </c>
      <c r="K64" s="33" t="inlineStr"/>
      <c r="L64" s="33" t="inlineStr">
        <is>
          <t>https://www.lovethework.com/work/entries/unloved-773428</t>
        </is>
      </c>
      <c r="M64" s="33" t="inlineStr">
        <is>
          <t>A two-and-a-half-minute Christmas film for supermarket Intermarche, created by Romance, telling the story of an unloved wolf shunned by the forest who finds belonging by learning to eat well. Blending live action and 3D animation, 'Le Mal-Aime' sells a heartfelt holiday tale about healthy eating rather than the produce itself.</t>
        </is>
      </c>
      <c r="N64" s="33" t="inlineStr">
        <is>
          <t>intermarche, retail, supermarket, grocery, healthy eating, nutrition, healthcare, france, christmas, film, cinema, entertainment, animation, storytelling, wolf, romance, bronze</t>
        </is>
      </c>
    </row>
    <row r="65">
      <c r="A65" s="33" t="n">
        <v>2026</v>
      </c>
      <c r="B65" s="33" t="inlineStr">
        <is>
          <t>Bronze</t>
        </is>
      </c>
      <c r="C65" s="33" t="inlineStr">
        <is>
          <t>Bring a Book to Life</t>
        </is>
      </c>
      <c r="D65" s="33" t="inlineStr">
        <is>
          <t>Amazon</t>
        </is>
      </c>
      <c r="E65" s="33" t="inlineStr">
        <is>
          <t>Amazon Books</t>
        </is>
      </c>
      <c r="F65" s="33" t="inlineStr">
        <is>
          <t>Droga5</t>
        </is>
      </c>
      <c r="G65" s="33" t="inlineStr">
        <is>
          <t>United Kingdom</t>
        </is>
      </c>
      <c r="H65" s="33" t="inlineStr">
        <is>
          <t>A05 - Media/Entertainment</t>
        </is>
      </c>
      <c r="I65" s="33" t="inlineStr">
        <is>
          <t>https://ascentialcdn.filespin.io/api/v1/storyboard/d18719e0933443d7bebd1a7fdd001889/storyboard_000008.jpg</t>
        </is>
      </c>
      <c r="J65" s="33" t="inlineStr">
        <is>
          <t>vimeo:1103797486</t>
        </is>
      </c>
      <c r="K65" s="33" t="inlineStr"/>
      <c r="L65" s="33" t="inlineStr">
        <is>
          <t>https://www.lovethework.com/work/entries/bring-a-book-to-life-773361</t>
        </is>
      </c>
      <c r="M65" s="33" t="inlineStr">
        <is>
          <t>A campaign for Amazon Books and Kindle built on the idea that a story doesn't move on its own; it needs the reader's imagination to give it life. The film takes viewers on a visual adventure through thrillers, romances and historic tales as readers conjure them into being.</t>
        </is>
      </c>
      <c r="N65" s="33" t="inlineStr">
        <is>
          <t>amazon, books, kindle, reading, imagination, publishing, literature, retail</t>
        </is>
      </c>
    </row>
    <row r="66">
      <c r="A66" s="33" t="n">
        <v>2026</v>
      </c>
      <c r="B66" s="33" t="inlineStr">
        <is>
          <t>Bronze</t>
        </is>
      </c>
      <c r="C66" s="33" t="inlineStr">
        <is>
          <t>Bullet Machine</t>
        </is>
      </c>
      <c r="D66" s="33" t="inlineStr">
        <is>
          <t>La Unión Newspaper and Article 19</t>
        </is>
      </c>
      <c r="E66" s="33" t="inlineStr">
        <is>
          <t>La Unión Newspaper and Article 19</t>
        </is>
      </c>
      <c r="F66" s="33" t="inlineStr">
        <is>
          <t>Grey</t>
        </is>
      </c>
      <c r="G66" s="33" t="inlineStr">
        <is>
          <t>Mexico</t>
        </is>
      </c>
      <c r="H66" s="33" t="inlineStr">
        <is>
          <t>A05 - Media/Entertainment</t>
        </is>
      </c>
      <c r="I66" s="33" t="inlineStr">
        <is>
          <t>https://ascentialcdn.filespin.io/api/v1/conversion/df6cf4fa9847452db1e19199cd182928</t>
        </is>
      </c>
      <c r="J66" s="33" t="inlineStr">
        <is>
          <t>9vpZNqaMVaQ</t>
        </is>
      </c>
      <c r="K66" s="33" t="inlineStr"/>
      <c r="L66" s="33" t="inlineStr">
        <is>
          <t>https://www.lovethework.com/work/entries/bullet-machine-776914</t>
        </is>
      </c>
      <c r="M66" s="33" t="inlineStr">
        <is>
          <t>Released to coincide with World Press Freedom Day, a short film for La Unión Newspaper and Article 19 exposing how violence against journalists in Mexico also threatens their families and communities.</t>
        </is>
      </c>
      <c r="N66" s="33" t="inlineStr">
        <is>
          <t>article 19, la union, journalism, press freedom, mexico, human rights, violence, social cause, sound design, direction, film craft, grey, world press freedom day</t>
        </is>
      </c>
    </row>
    <row r="67">
      <c r="A67" s="33" t="n">
        <v>2026</v>
      </c>
      <c r="B67" s="33" t="inlineStr">
        <is>
          <t>Bronze</t>
        </is>
      </c>
      <c r="C67" s="33" t="inlineStr">
        <is>
          <t>Dish</t>
        </is>
      </c>
      <c r="D67" s="33" t="inlineStr">
        <is>
          <t>OpenAI</t>
        </is>
      </c>
      <c r="E67" s="33" t="inlineStr">
        <is>
          <t>ChatGPT</t>
        </is>
      </c>
      <c r="F67" s="33" t="inlineStr">
        <is>
          <t>Isle of Any</t>
        </is>
      </c>
      <c r="G67" s="33" t="inlineStr">
        <is>
          <t>United States</t>
        </is>
      </c>
      <c r="H67" s="33" t="inlineStr">
        <is>
          <t>A06 - Consumer Services/Business to Business</t>
        </is>
      </c>
      <c r="I67" s="33" t="inlineStr">
        <is>
          <t>https://ascentialcdn.filespin.io/api/v1/storyboard/2e6f760af8624a3bbe2776efef6b2c2e/storyboard_000008.jpg</t>
        </is>
      </c>
      <c r="J67" s="33" t="inlineStr">
        <is>
          <t>vimeo:1135476314</t>
        </is>
      </c>
      <c r="K67" s="33" t="inlineStr"/>
      <c r="L67" s="33" t="inlineStr">
        <is>
          <t>https://www.lovethework.com/work/entries/dish-780559</t>
        </is>
      </c>
      <c r="M67" s="33" t="inlineStr">
        <is>
          <t>Part of ChatGPT's first large-scale brand campaign: short, cinematic films shot on 35mm that each end like a movie's final scene and rely on the viewer's knowledge of cinema to fill in what came before. 'Dish' follows a character using ChatGPT to cook.</t>
        </is>
      </c>
      <c r="N67" s="33" t="inlineStr">
        <is>
          <t>openai, chatgpt, ai, technology, artificial intelligence, cooking, cinematic, film series</t>
        </is>
      </c>
    </row>
    <row r="68">
      <c r="A68" s="33" t="n">
        <v>2026</v>
      </c>
      <c r="B68" s="33" t="inlineStr">
        <is>
          <t>Bronze</t>
        </is>
      </c>
      <c r="C68" s="33" t="inlineStr">
        <is>
          <t>Pull Up</t>
        </is>
      </c>
      <c r="D68" s="33" t="inlineStr">
        <is>
          <t>OpenAI</t>
        </is>
      </c>
      <c r="E68" s="33" t="inlineStr">
        <is>
          <t>ChatGPT</t>
        </is>
      </c>
      <c r="F68" s="33" t="inlineStr">
        <is>
          <t>Isle of Any</t>
        </is>
      </c>
      <c r="G68" s="33" t="inlineStr">
        <is>
          <t>United States</t>
        </is>
      </c>
      <c r="H68" s="33" t="inlineStr">
        <is>
          <t>A06 - Consumer Services/Business to Business</t>
        </is>
      </c>
      <c r="I68" s="33" t="inlineStr">
        <is>
          <t>https://ascentialcdn.filespin.io/api/v1/storyboard/e6ee7a2d8238436f8c0f02cc0ab2e9a3/storyboard_000008.jpg</t>
        </is>
      </c>
      <c r="J68" s="33" t="inlineStr">
        <is>
          <t>IqC3YrIzbQw</t>
        </is>
      </c>
      <c r="K68" s="33" t="inlineStr"/>
      <c r="L68" s="33" t="inlineStr">
        <is>
          <t>https://www.lovethework.com/work/entries/pull-up-773350</t>
        </is>
      </c>
      <c r="M68" s="33" t="inlineStr">
        <is>
          <t>Part of ChatGPT's first large-scale brand campaign: short, cinematic films shot on 35mm that each end like a movie's final scene and trust the audience to imagine the rest. 'Pull Up' shows ChatGPT lending a hand to an everyday moment.</t>
        </is>
      </c>
      <c r="N68" s="33" t="inlineStr">
        <is>
          <t>openai, chatgpt, ai, technology, artificial intelligence, cinematic, film series</t>
        </is>
      </c>
    </row>
    <row r="69">
      <c r="A69" s="33" t="n">
        <v>2026</v>
      </c>
      <c r="B69" s="33" t="inlineStr">
        <is>
          <t>Bronze</t>
        </is>
      </c>
      <c r="C69" s="33" t="inlineStr">
        <is>
          <t>Trip</t>
        </is>
      </c>
      <c r="D69" s="33" t="inlineStr">
        <is>
          <t>OpenAI</t>
        </is>
      </c>
      <c r="E69" s="33" t="inlineStr">
        <is>
          <t>ChatGPT</t>
        </is>
      </c>
      <c r="F69" s="33" t="inlineStr">
        <is>
          <t>Isle of Any</t>
        </is>
      </c>
      <c r="G69" s="33" t="inlineStr">
        <is>
          <t>United States</t>
        </is>
      </c>
      <c r="H69" s="33" t="inlineStr">
        <is>
          <t>A06 - Consumer Services/Business to Business</t>
        </is>
      </c>
      <c r="I69" s="33" t="inlineStr">
        <is>
          <t>https://ascentialcdn.filespin.io/api/v1/storyboard/d70b203a977b4daca0bd57bcad94e4f8/storyboard_000008.jpg</t>
        </is>
      </c>
      <c r="J69" s="33" t="inlineStr">
        <is>
          <t>vimeo:1122948088</t>
        </is>
      </c>
      <c r="K69" s="33" t="inlineStr"/>
      <c r="L69" s="33" t="inlineStr">
        <is>
          <t>https://www.lovethework.com/work/entries/trip-780560</t>
        </is>
      </c>
      <c r="M69" s="33" t="inlineStr">
        <is>
          <t>Part of ChatGPT's first large-scale brand campaign: short, cinematic films shot on 35mm. 'Trip' follows a character using ChatGPT to plan and navigate travel, ending at the journey's final beat and leaving the audience to picture the rest.</t>
        </is>
      </c>
      <c r="N69" s="33" t="inlineStr">
        <is>
          <t>openai, chatgpt, ai, technology, artificial intelligence, travel, tourism, cinematic, film series</t>
        </is>
      </c>
    </row>
    <row r="70">
      <c r="A70" s="33" t="n">
        <v>2026</v>
      </c>
      <c r="B70" s="33" t="inlineStr">
        <is>
          <t>Bronze</t>
        </is>
      </c>
      <c r="C70" s="33" t="inlineStr">
        <is>
          <t>In Good Time</t>
        </is>
      </c>
      <c r="D70" s="33" t="inlineStr">
        <is>
          <t>Uber</t>
        </is>
      </c>
      <c r="E70" s="33" t="inlineStr">
        <is>
          <t>Service / Automotive</t>
        </is>
      </c>
      <c r="F70" s="33" t="inlineStr">
        <is>
          <t>Mother</t>
        </is>
      </c>
      <c r="G70" s="33" t="inlineStr">
        <is>
          <t>United States</t>
        </is>
      </c>
      <c r="H70" s="33" t="inlineStr">
        <is>
          <t>A06 - Consumer Services/Business to Business</t>
        </is>
      </c>
      <c r="I70" s="33" t="inlineStr">
        <is>
          <t>https://i.ytimg.com/vi/CafQC20v8Kw/maxresdefault.jpg</t>
        </is>
      </c>
      <c r="J70" s="33" t="inlineStr">
        <is>
          <t>vimeo:1127387388</t>
        </is>
      </c>
      <c r="K70" s="33" t="inlineStr"/>
      <c r="L70" s="33" t="inlineStr">
        <is>
          <t>https://www.lovethework.com/work/entries/in-good-time-780298</t>
        </is>
      </c>
      <c r="M70" s="33" t="inlineStr">
        <is>
          <t>A long-form film that turns Uber's ride tracker into a storytelling device, counting down the fleeting moments before each ride arrives as it follows a couple through a slice-of-life love story from a suburban bar to a life-changing moment outside a costume party.</t>
        </is>
      </c>
      <c r="N70" s="33" t="inlineStr">
        <is>
          <t>uber, ride hailing, transport, love story, suburbs, slice of life, eta, technology</t>
        </is>
      </c>
    </row>
    <row r="71">
      <c r="A71" s="33" t="n">
        <v>2026</v>
      </c>
      <c r="B71" s="33" t="inlineStr">
        <is>
          <t>Grand Prix</t>
        </is>
      </c>
      <c r="C71" s="33" t="inlineStr">
        <is>
          <t>Can I Get a Six Pack Quickly?</t>
        </is>
      </c>
      <c r="D71" s="33" t="inlineStr">
        <is>
          <t>Claude</t>
        </is>
      </c>
      <c r="E71" s="33" t="inlineStr">
        <is>
          <t>Claude</t>
        </is>
      </c>
      <c r="F71" s="33" t="inlineStr">
        <is>
          <t>Mother London</t>
        </is>
      </c>
      <c r="G71" s="33" t="inlineStr">
        <is>
          <t>United Kingdom</t>
        </is>
      </c>
      <c r="H71" s="33" t="inlineStr">
        <is>
          <t>A06 - Consumer Services/Business to Business</t>
        </is>
      </c>
      <c r="I71" s="33" t="inlineStr">
        <is>
          <t>https://ascentialcdn.filespin.io/api/v1/storyboard/0d44bcbacd244b2bb8c30a2604f3a64b/storyboard_000008.jpg</t>
        </is>
      </c>
      <c r="J71" s="33" t="inlineStr">
        <is>
          <t>NuEXYfbV_PA</t>
        </is>
      </c>
      <c r="K71" s="33" t="inlineStr"/>
      <c r="L71" s="33" t="inlineStr"/>
      <c r="M71" s="33" t="inlineStr">
        <is>
          <t>One of Claude's first brand films, a darkly comedic spot in which a man struggling with pull-ups asks a muscular stranger how to get a six pack quickly, only for the stranger to start shoving ads into his replies; a pointed jab at AI assistants that blur the line between helping and selling.</t>
        </is>
      </c>
      <c r="N71" s="33" t="inlineStr">
        <is>
          <t>claude, anthropic, ai, technology, artificial intelligence, advertising, humour, super bowl</t>
        </is>
      </c>
    </row>
    <row r="72">
      <c r="A72" s="33" t="n">
        <v>2026</v>
      </c>
      <c r="B72" s="33" t="inlineStr">
        <is>
          <t>Grand Prix</t>
        </is>
      </c>
      <c r="C72" s="33" t="inlineStr">
        <is>
          <t>How Can I Communicate Better With My Mom?</t>
        </is>
      </c>
      <c r="D72" s="33" t="inlineStr">
        <is>
          <t>Claude</t>
        </is>
      </c>
      <c r="E72" s="33" t="inlineStr">
        <is>
          <t>Claude</t>
        </is>
      </c>
      <c r="F72" s="33" t="inlineStr">
        <is>
          <t>Mother London</t>
        </is>
      </c>
      <c r="G72" s="33" t="inlineStr">
        <is>
          <t>United Kingdom</t>
        </is>
      </c>
      <c r="H72" s="33" t="inlineStr">
        <is>
          <t>A06 - Consumer Services/Business to Business</t>
        </is>
      </c>
      <c r="I72" s="33" t="inlineStr">
        <is>
          <t>https://ascentialcdn.filespin.io/api/v1/storyboard/a2e0a30e8993406ab779e1b13e17ee28/storyboard_000008.jpg</t>
        </is>
      </c>
      <c r="J72" s="33" t="inlineStr">
        <is>
          <t>8ZnGqg87FEo</t>
        </is>
      </c>
      <c r="K72" s="33" t="inlineStr"/>
      <c r="L72" s="33" t="inlineStr"/>
      <c r="M72" s="33" t="inlineStr">
        <is>
          <t>One of Claude's first brand films, named after a real question people ask AI. The darkly comedic spot imagines what happens when an assistant built to help is instead primed to sell, exposing the risk of ads creeping into AI answers.</t>
        </is>
      </c>
      <c r="N72" s="33" t="inlineStr">
        <is>
          <t>claude, anthropic, ai, technology, artificial intelligence, advertising, humour, super bowl</t>
        </is>
      </c>
    </row>
    <row r="73">
      <c r="A73" s="33" t="n">
        <v>2026</v>
      </c>
      <c r="B73" s="33" t="inlineStr">
        <is>
          <t>Bronze</t>
        </is>
      </c>
      <c r="C73" s="33" t="inlineStr">
        <is>
          <t>Help!</t>
        </is>
      </c>
      <c r="D73" s="33" t="inlineStr">
        <is>
          <t>Santalucía</t>
        </is>
      </c>
      <c r="E73" s="33" t="inlineStr">
        <is>
          <t>Santalucía Insurance</t>
        </is>
      </c>
      <c r="F73" s="33" t="inlineStr">
        <is>
          <t>Oriol Villar</t>
        </is>
      </c>
      <c r="G73" s="33" t="inlineStr">
        <is>
          <t>Spain</t>
        </is>
      </c>
      <c r="H73" s="33" t="inlineStr">
        <is>
          <t>A06 - Consumer Services/Business to Business</t>
        </is>
      </c>
      <c r="I73" s="33" t="inlineStr">
        <is>
          <t>https://i.ytimg.com/vi/eGqMrzR9Z3c/maxresdefault.jpg</t>
        </is>
      </c>
      <c r="J73" s="33" t="inlineStr">
        <is>
          <t>vimeo:1204811319</t>
        </is>
      </c>
      <c r="K73" s="33" t="inlineStr"/>
      <c r="L73" s="33" t="inlineStr">
        <is>
          <t>https://www.lovethework.com/work/entries/help-778437</t>
        </is>
      </c>
      <c r="M73" s="33" t="inlineStr">
        <is>
          <t>A film for Spanish insurer Santalucia from Oriol Villar that dramatises a moment of need to make the case for the reassurance and support an insurer is meant to provide.</t>
        </is>
      </c>
      <c r="N73" s="33" t="inlineStr">
        <is>
          <t>santalucia, insurance, financial-services, finance, spain, financial services, support, reassurance</t>
        </is>
      </c>
    </row>
    <row r="74">
      <c r="A74" s="33" t="n">
        <v>2026</v>
      </c>
      <c r="B74" s="33" t="inlineStr">
        <is>
          <t>Silver</t>
        </is>
      </c>
      <c r="C74" s="33" t="inlineStr">
        <is>
          <t>L'Ultimo Uomo Reale ("The Last Real Man")</t>
        </is>
      </c>
      <c r="D74" s="33" t="inlineStr">
        <is>
          <t>Team One</t>
        </is>
      </c>
      <c r="E74" s="33" t="inlineStr">
        <is>
          <t>Luxury Resale Authentication</t>
        </is>
      </c>
      <c r="F74" s="33" t="inlineStr">
        <is>
          <t>Team One</t>
        </is>
      </c>
      <c r="G74" s="33" t="inlineStr">
        <is>
          <t>United States</t>
        </is>
      </c>
      <c r="H74" s="33" t="inlineStr">
        <is>
          <t>B01 - Consumer Goods</t>
        </is>
      </c>
      <c r="I74" s="33" t="inlineStr">
        <is>
          <t>https://ascentialcdn.filespin.io/api/v1/storyboard/7ec728894e3b4d52904dc3236ff69c4c/storyboard_000008.jpg</t>
        </is>
      </c>
      <c r="J74" s="33" t="inlineStr">
        <is>
          <t>bAivc_GuTTA</t>
        </is>
      </c>
      <c r="K74" s="33" t="inlineStr"/>
      <c r="L74" s="33" t="inlineStr">
        <is>
          <t>https://www.lovethework.com/work/entries/lultimo-uomo-reale-the-last-real-man-780570</t>
        </is>
      </c>
      <c r="M74" s="33" t="inlineStr">
        <is>
          <t>An AI-generated film for luxury resale-authentication brand The RealReal that pokes fun at the pitfalls of AI while celebrating what's 'real'; entered in AI Craft.</t>
        </is>
      </c>
      <c r="N74" s="33" t="inlineStr">
        <is>
          <t>the realreal, team one, luxury, resale, authentication, ai, technology, artificial intelligence, ai craft, generative, film craft, united states</t>
        </is>
      </c>
    </row>
    <row r="75">
      <c r="A75" s="33" t="n">
        <v>2026</v>
      </c>
      <c r="B75" s="33" t="inlineStr">
        <is>
          <t>Gold</t>
        </is>
      </c>
      <c r="C75" s="33" t="inlineStr">
        <is>
          <t>I Think of You Dying</t>
        </is>
      </c>
      <c r="D75" s="33" t="inlineStr">
        <is>
          <t>Life360</t>
        </is>
      </c>
      <c r="E75" s="33" t="inlineStr">
        <is>
          <t>Life360</t>
        </is>
      </c>
      <c r="F75" s="33" t="inlineStr">
        <is>
          <t>Alto</t>
        </is>
      </c>
      <c r="G75" s="33" t="inlineStr">
        <is>
          <t>United States</t>
        </is>
      </c>
      <c r="H75" s="33" t="inlineStr">
        <is>
          <t>B01 - Consumer Goods</t>
        </is>
      </c>
      <c r="I75" s="33" t="inlineStr">
        <is>
          <t>https://i.vimeocdn.com/video/2010937384-516d276f3ecaa7e95ecdc6d192f631ac4356ecf8e8b686f7c92c4d33f3dc9c96-d</t>
        </is>
      </c>
      <c r="J75" s="33" t="inlineStr"/>
      <c r="K75" s="33" t="inlineStr"/>
      <c r="L75" s="33" t="inlineStr"/>
      <c r="M75" s="33" t="inlineStr">
        <is>
          <t>A fiction short film with an original composition for the family-safety app Life360, built around the anxious what-ifs a parent runs through about a loved one's safety — the kind of worry the app is designed to ease.</t>
        </is>
      </c>
      <c r="N75" s="33" t="inlineStr">
        <is>
          <t>life360, app, technology, family safety, location tracking, music, entertainment, original composition, song, fiction film, alto, united states, bronze</t>
        </is>
      </c>
    </row>
    <row r="76">
      <c r="A76" s="33" t="n">
        <v>2026</v>
      </c>
      <c r="B76" s="33" t="inlineStr">
        <is>
          <t>Bronze</t>
        </is>
      </c>
      <c r="C76" s="33" t="inlineStr">
        <is>
          <t>Mother Strike</t>
        </is>
      </c>
      <c r="D76" s="33" t="inlineStr">
        <is>
          <t>Snack Jack</t>
        </is>
      </c>
      <c r="E76" s="33" t="inlineStr">
        <is>
          <t>Snack Jack Ring</t>
        </is>
      </c>
      <c r="F76" s="33" t="inlineStr">
        <is>
          <t>Hanami Food</t>
        </is>
      </c>
      <c r="G76" s="33" t="inlineStr">
        <is>
          <t>Thailand</t>
        </is>
      </c>
      <c r="H76" s="33" t="inlineStr">
        <is>
          <t>B01 - Consumer Goods</t>
        </is>
      </c>
      <c r="I76" s="33" t="inlineStr">
        <is>
          <t>https://agenda-note.com/files/user/202604090007_2.png</t>
        </is>
      </c>
      <c r="J76" s="33" t="inlineStr">
        <is>
          <t>MU6XGbpTAQY</t>
        </is>
      </c>
      <c r="K76" s="33" t="inlineStr"/>
      <c r="L76" s="33" t="inlineStr"/>
      <c r="M76" s="33" t="inlineStr">
        <is>
          <t>A film for Thai snack brand Snack Jack Ring from Hanami Food that plays a everyday domestic standoff for comic effect to put its product at the centre of the moment.</t>
        </is>
      </c>
      <c r="N76" s="33" t="inlineStr">
        <is>
          <t>snack jack, snacks, food, thailand, humour, family, consumer goods</t>
        </is>
      </c>
    </row>
    <row r="77">
      <c r="A77" s="33" t="n">
        <v>2026</v>
      </c>
      <c r="B77" s="33" t="inlineStr">
        <is>
          <t>Bronze</t>
        </is>
      </c>
      <c r="C77" s="33" t="inlineStr">
        <is>
          <t>A Critter Carol</t>
        </is>
      </c>
      <c r="D77" s="33" t="inlineStr">
        <is>
          <t>Apple</t>
        </is>
      </c>
      <c r="E77" s="33" t="inlineStr">
        <is>
          <t>iPhone</t>
        </is>
      </c>
      <c r="F77" s="33" t="inlineStr">
        <is>
          <t>TBWA\Media Arts Lab</t>
        </is>
      </c>
      <c r="G77" s="33" t="inlineStr">
        <is>
          <t>United States</t>
        </is>
      </c>
      <c r="H77" s="33" t="inlineStr">
        <is>
          <t>B01 - Consumer Goods</t>
        </is>
      </c>
      <c r="I77" s="33" t="inlineStr">
        <is>
          <t>https://beastgrip.com/cdn/shop/articles/shot-on-iphone-17-pro-a-critter-carol-beastgrip-gear-behind-the-magic_10ea192b-ee14-4514-915e-2d46daad1ef4.jpg</t>
        </is>
      </c>
      <c r="J77" s="33" t="inlineStr">
        <is>
          <t>h7v2YtzPag4</t>
        </is>
      </c>
      <c r="K77" s="33" t="inlineStr"/>
      <c r="L77" s="33" t="inlineStr">
        <is>
          <t>https://www.lovethework.com/work/entries/a-critter-carol-782155</t>
        </is>
      </c>
      <c r="M77" s="33" t="inlineStr">
        <is>
          <t>Apple's holiday 'Shot on iPhone' film: after a hiker drops an iPhone in a snowy forest, a group of handmade puppet critters — a raccoon, bear, owl, deer and others — find it and film themselves in a joyful musical number celebrating friendship and craft. Directed by Mark Molloy. (Cross-Channel Storytelling entry.)</t>
        </is>
      </c>
      <c r="N77" s="33" t="inlineStr">
        <is>
          <t>apple, iphone, smartphone, technology, holiday, christmas, puppets, animation, film, cinema, entertainment, storytelling, cross-channel, music, digital craft, tbwa media arts lab, united states</t>
        </is>
      </c>
    </row>
    <row r="78">
      <c r="A78" s="33" t="n">
        <v>2026</v>
      </c>
      <c r="B78" s="33" t="inlineStr">
        <is>
          <t>Bronze</t>
        </is>
      </c>
      <c r="C78" s="33" t="inlineStr">
        <is>
          <t>Love Hurts</t>
        </is>
      </c>
      <c r="D78" s="33" t="inlineStr">
        <is>
          <t>Vaseline</t>
        </is>
      </c>
      <c r="E78" s="33" t="inlineStr">
        <is>
          <t>Vaseline</t>
        </is>
      </c>
      <c r="F78" s="33" t="inlineStr">
        <is>
          <t>Ogilvy Singapore</t>
        </is>
      </c>
      <c r="G78" s="33" t="inlineStr">
        <is>
          <t>Singapore</t>
        </is>
      </c>
      <c r="H78" s="33" t="inlineStr">
        <is>
          <t>B02 - Healthcare</t>
        </is>
      </c>
      <c r="I78" s="33" t="inlineStr">
        <is>
          <t>https://ascentialcdn.filespin.io/api/v1/storyboard/6cc46c323ad24662a60e2bb0be9ed9b7/storyboard_000008.jpg</t>
        </is>
      </c>
      <c r="J78" s="33" t="inlineStr">
        <is>
          <t>wlFdNOZvpFc</t>
        </is>
      </c>
      <c r="K78" s="33" t="inlineStr"/>
      <c r="L78" s="33" t="inlineStr">
        <is>
          <t>https://www.lovethework.com/work/entries/love-hurts-782296</t>
        </is>
      </c>
      <c r="M78" s="33" t="inlineStr">
        <is>
          <t>A film built on a ritual familiar across many families: a parent or grandparent applying Vaseline to a child's face whether the child likes it or not. It frames this small, stubborn, often-resisted gesture as an everyday, unspoken act of care and protection.</t>
        </is>
      </c>
      <c r="N78" s="33" t="inlineStr">
        <is>
          <t>vaseline, petroleum jelly, skincare, personal-care, beauty, family, care, ritual, parenting, singapore</t>
        </is>
      </c>
    </row>
    <row r="79">
      <c r="A79" s="33" t="n">
        <v>2026</v>
      </c>
      <c r="B79" s="33" t="inlineStr">
        <is>
          <t>Bronze</t>
        </is>
      </c>
      <c r="C79" s="33" t="inlineStr">
        <is>
          <t>No Project Without Drama</t>
        </is>
      </c>
      <c r="D79" s="33" t="inlineStr">
        <is>
          <t>Hornbach</t>
        </is>
      </c>
      <c r="E79" s="33" t="inlineStr">
        <is>
          <t>Home Improvement Superstore</t>
        </is>
      </c>
      <c r="F79" s="33" t="inlineStr">
        <is>
          <t>Heimat\TBWA</t>
        </is>
      </c>
      <c r="G79" s="33" t="inlineStr">
        <is>
          <t>Germany</t>
        </is>
      </c>
      <c r="H79" s="33" t="inlineStr">
        <is>
          <t>B04 - Travel, Leisure, Retail, Restaurants &amp; Fast-Food Chains</t>
        </is>
      </c>
      <c r="I79" s="33" t="inlineStr">
        <is>
          <t>https://i.ytimg.com/vi/FN5yqNreuTU/maxresdefault.jpg</t>
        </is>
      </c>
      <c r="J79" s="33" t="inlineStr">
        <is>
          <t>OOgaqXlaH2Q</t>
        </is>
      </c>
      <c r="K79" s="33" t="inlineStr"/>
      <c r="L79" s="33" t="inlineStr"/>
      <c r="M79" s="33" t="inlineStr">
        <is>
          <t>A cinematic homage to the beauty and chaos of do-it-yourself life for German home-improvement retailer Hornbach, treating ordinary renovation projects with movie-grade tension, scale and craft.</t>
        </is>
      </c>
      <c r="N79" s="33" t="inlineStr">
        <is>
          <t>hornbach, home improvement, diy, retail, hardware store, germany, film, cinema, entertainment, direction, sound design, production design, achievement in production, film craft, heimat tbwa, drama</t>
        </is>
      </c>
    </row>
    <row r="80">
      <c r="A80" s="33" t="n">
        <v>2026</v>
      </c>
      <c r="B80" s="33" t="inlineStr">
        <is>
          <t>Silver</t>
        </is>
      </c>
      <c r="C80" s="33" t="inlineStr">
        <is>
          <t>Drop In</t>
        </is>
      </c>
      <c r="D80" s="33" t="inlineStr">
        <is>
          <t>Electronic Arts</t>
        </is>
      </c>
      <c r="E80" s="33" t="inlineStr">
        <is>
          <t>EA Skate</t>
        </is>
      </c>
      <c r="F80" s="33" t="inlineStr">
        <is>
          <t>Uncommon Creative Studio</t>
        </is>
      </c>
      <c r="G80" s="33" t="inlineStr">
        <is>
          <t>United States</t>
        </is>
      </c>
      <c r="H80" s="33" t="inlineStr">
        <is>
          <t>B05 - Media/Entertainment</t>
        </is>
      </c>
      <c r="I80" s="33" t="inlineStr">
        <is>
          <t>https://i.ytimg.com/vi/DeGXanmlJ_0/maxresdefault.jpg</t>
        </is>
      </c>
      <c r="J80" s="33" t="inlineStr">
        <is>
          <t>6FNbP64LKmk</t>
        </is>
      </c>
      <c r="K80" s="33" t="inlineStr"/>
      <c r="L80" s="33" t="inlineStr">
        <is>
          <t>https://www.lovethework.com/work/entries/drop-in-773514</t>
        </is>
      </c>
      <c r="M80" s="33" t="inlineStr">
        <is>
          <t>A relaunch film for EA's Skate after a 15-year hiatus, made with and for the skate community; produced by Riff Raff Films and directed by The Sacred Egg, recognized for its editing.</t>
        </is>
      </c>
      <c r="N80" s="33" t="inlineStr">
        <is>
          <t>electronic arts, ea skate, gaming, video-games, entertainment, video game, skateboarding, skate, editing, uncommon creative studio, riff raff films, film craft, united states, community</t>
        </is>
      </c>
    </row>
    <row r="81">
      <c r="A81" s="33" t="n">
        <v>2026</v>
      </c>
      <c r="B81" s="33" t="inlineStr">
        <is>
          <t>Silver</t>
        </is>
      </c>
      <c r="C81" s="33" t="inlineStr">
        <is>
          <t>Your Way Out</t>
        </is>
      </c>
      <c r="D81" s="33" t="inlineStr">
        <is>
          <t>Coinbase</t>
        </is>
      </c>
      <c r="E81" s="33" t="inlineStr">
        <is>
          <t>Coinbase</t>
        </is>
      </c>
      <c r="F81" s="33" t="inlineStr">
        <is>
          <t>Isle of Any</t>
        </is>
      </c>
      <c r="G81" s="33" t="inlineStr">
        <is>
          <t>United States</t>
        </is>
      </c>
      <c r="H81" s="33" t="inlineStr">
        <is>
          <t>B06 - Consumer Services/Business to Business</t>
        </is>
      </c>
      <c r="I81" s="33" t="inlineStr">
        <is>
          <t>https://ascentialcdn.filespin.io/api/v1/storyboard/6e7a83cdcdca4cb386c0bcec3dcb9870/storyboard_000008.jpg</t>
        </is>
      </c>
      <c r="J81" s="33" t="inlineStr">
        <is>
          <t>spmjIn5NaV0</t>
        </is>
      </c>
      <c r="K81" s="33" t="inlineStr"/>
      <c r="L81" s="33" t="inlineStr">
        <is>
          <t>https://www.lovethework.com/work/entries/your-way-out-773483</t>
        </is>
      </c>
      <c r="M81" s="33" t="inlineStr">
        <is>
          <t>A film for Coinbase that challenges perceptions of the traditional financial system using video-game aesthetics: a character navigates and escapes a rigged, game-like world, framing crypto as the way out. (Film Craft Grand Prix; also won across Direction, Production Design, Achievement in Production and Script.)</t>
        </is>
      </c>
      <c r="N81" s="33" t="inlineStr">
        <is>
          <t>coinbase, crypto, cryptocurrency, finance, financial system, video game, gaming aesthetics, film, cinema, entertainment, direction, production design, achievement in production, film craft, grand prix, isle of any, united states</t>
        </is>
      </c>
    </row>
    <row r="82">
      <c r="A82" s="33" t="n">
        <v>2026</v>
      </c>
      <c r="B82" s="33" t="inlineStr">
        <is>
          <t>Bronze</t>
        </is>
      </c>
      <c r="C82" s="33" t="inlineStr">
        <is>
          <t>Mafia</t>
        </is>
      </c>
      <c r="D82" s="33" t="inlineStr">
        <is>
          <t>Purga Studio</t>
        </is>
      </c>
      <c r="E82" s="33" t="inlineStr">
        <is>
          <t>AI Production Company</t>
        </is>
      </c>
      <c r="F82" s="33" t="inlineStr">
        <is>
          <t>Gut</t>
        </is>
      </c>
      <c r="G82" s="33" t="inlineStr">
        <is>
          <t>Mexico</t>
        </is>
      </c>
      <c r="H82" s="33" t="inlineStr">
        <is>
          <t>B06 - Consumer Services/Business to Business</t>
        </is>
      </c>
      <c r="I82" s="33" t="inlineStr">
        <is>
          <t>https://i.ytimg.com/vi/lc_CGwfNsvQ/maxresdefault.jpg</t>
        </is>
      </c>
      <c r="J82" s="33" t="inlineStr">
        <is>
          <t>vimeo:1182109710</t>
        </is>
      </c>
      <c r="K82" s="33" t="inlineStr"/>
      <c r="L82" s="33" t="inlineStr">
        <is>
          <t>https://www.lovethework.com/work/entries/mafia-780898</t>
        </is>
      </c>
      <c r="M82" s="33" t="inlineStr">
        <is>
          <t>Part of 'Lorem Ipsum,' a trilogy marking the launch of AI production house Purga Films. The film stages a high-end, cinematic mafia drama in which characters perform with full dramatic weight, yet every line of dialogue is built from placeholder filler text; a provocation about the illusion of polished execution.</t>
        </is>
      </c>
      <c r="N82" s="33" t="inlineStr">
        <is>
          <t>purga studio, ai, technology, artificial intelligence, production, film craft, mafia, lorem ipsum, mexico</t>
        </is>
      </c>
    </row>
    <row r="83">
      <c r="A83" s="33" t="n">
        <v>2026</v>
      </c>
      <c r="B83" s="33" t="inlineStr">
        <is>
          <t>Bronze</t>
        </is>
      </c>
      <c r="C83" s="33" t="inlineStr">
        <is>
          <t>Samurai</t>
        </is>
      </c>
      <c r="D83" s="33" t="inlineStr">
        <is>
          <t>Purga Studio</t>
        </is>
      </c>
      <c r="E83" s="33" t="inlineStr">
        <is>
          <t>AI Production Company</t>
        </is>
      </c>
      <c r="F83" s="33" t="inlineStr">
        <is>
          <t>Gut</t>
        </is>
      </c>
      <c r="G83" s="33" t="inlineStr">
        <is>
          <t>Mexico</t>
        </is>
      </c>
      <c r="H83" s="33" t="inlineStr">
        <is>
          <t>B06 - Consumer Services/Business to Business</t>
        </is>
      </c>
      <c r="I83" s="33" t="inlineStr">
        <is>
          <t>https://i.ytimg.com/vi/trGqIa1RZTg/maxresdefault.jpg</t>
        </is>
      </c>
      <c r="J83" s="33" t="inlineStr">
        <is>
          <t>vimeo:1182110177</t>
        </is>
      </c>
      <c r="K83" s="33" t="inlineStr"/>
      <c r="L83" s="33" t="inlineStr">
        <is>
          <t>https://www.lovethework.com/work/entries/samurai-780899</t>
        </is>
      </c>
      <c r="M83" s="33" t="inlineStr">
        <is>
          <t>Part of 'Lorem Ipsum,' a trilogy marking the launch of AI production house Purga Films. The film stages a high-end, cinematic samurai drama in which characters perform with full dramatic weight, yet every line of dialogue is built from placeholder filler text; a provocation about the illusion of polished execution.</t>
        </is>
      </c>
      <c r="N83" s="33" t="inlineStr">
        <is>
          <t>purga studio, ai, technology, artificial intelligence, production, film craft, samurai, lorem ipsum, mexico</t>
        </is>
      </c>
    </row>
    <row r="84">
      <c r="A84" s="33" t="n">
        <v>2026</v>
      </c>
      <c r="B84" s="33" t="inlineStr">
        <is>
          <t>Bronze</t>
        </is>
      </c>
      <c r="C84" s="33" t="inlineStr">
        <is>
          <t>Western</t>
        </is>
      </c>
      <c r="D84" s="33" t="inlineStr">
        <is>
          <t>Purga Studio</t>
        </is>
      </c>
      <c r="E84" s="33" t="inlineStr">
        <is>
          <t>AI Production Company</t>
        </is>
      </c>
      <c r="F84" s="33" t="inlineStr">
        <is>
          <t>Gut</t>
        </is>
      </c>
      <c r="G84" s="33" t="inlineStr">
        <is>
          <t>Mexico</t>
        </is>
      </c>
      <c r="H84" s="33" t="inlineStr">
        <is>
          <t>B06 - Consumer Services/Business to Business</t>
        </is>
      </c>
      <c r="I84" s="33" t="inlineStr">
        <is>
          <t>https://i.ytimg.com/vi/srE_ud-g8r0/maxresdefault.jpg</t>
        </is>
      </c>
      <c r="J84" s="33" t="inlineStr">
        <is>
          <t>vimeo:1182110488</t>
        </is>
      </c>
      <c r="K84" s="33" t="inlineStr"/>
      <c r="L84" s="33" t="inlineStr">
        <is>
          <t>https://www.lovethework.com/work/entries/western-780900</t>
        </is>
      </c>
      <c r="M84" s="33" t="inlineStr">
        <is>
          <t>Part of 'Lorem Ipsum,' a trilogy marking the launch of AI production house Purga Films. The film stages a high-end, cinematic Western in which characters perform with full dramatic weight, yet every line of dialogue is built from placeholder filler text; a provocation about the illusion of polished execution.</t>
        </is>
      </c>
      <c r="N84" s="33" t="inlineStr">
        <is>
          <t>purga studio, ai, technology, artificial intelligence, production, film craft, western, lorem ipsum, mexico</t>
        </is>
      </c>
    </row>
    <row r="85">
      <c r="A85" s="33" t="n">
        <v>2026</v>
      </c>
      <c r="B85" s="33" t="inlineStr">
        <is>
          <t>Silver</t>
        </is>
      </c>
      <c r="C85" s="33" t="inlineStr">
        <is>
          <t>Unfading Love</t>
        </is>
      </c>
      <c r="D85" s="33" t="inlineStr">
        <is>
          <t>Thai Life Insurance</t>
        </is>
      </c>
      <c r="E85" s="33" t="inlineStr">
        <is>
          <t>Thai Life Insurance</t>
        </is>
      </c>
      <c r="F85" s="33" t="inlineStr">
        <is>
          <t>Ogilvy</t>
        </is>
      </c>
      <c r="G85" s="33" t="inlineStr">
        <is>
          <t>Thailand</t>
        </is>
      </c>
      <c r="H85" s="33" t="inlineStr">
        <is>
          <t>B06 - Consumer Services/Business to Business</t>
        </is>
      </c>
      <c r="I85" s="33" t="inlineStr">
        <is>
          <t>https://ascentialcdn.filespin.io/api/v1/storyboard/c4235b7ba5a44d10bde3e3d6470f9bae/storyboard_000008.jpg</t>
        </is>
      </c>
      <c r="J85" s="33" t="inlineStr">
        <is>
          <t>vimeo:1150774030</t>
        </is>
      </c>
      <c r="K85" s="33" t="inlineStr"/>
      <c r="L85" s="33" t="inlineStr">
        <is>
          <t>https://www.lovethework.com/work/entries/unfading-love-780902</t>
        </is>
      </c>
      <c r="M85" s="33" t="inlineStr">
        <is>
          <t>A film for Thai Life Insurance that prioritises cinematic storytelling over advertising convention, telling the story of a mother living with Alzheimer's and her grown son who has asthma as a meditation on how parents never stop caring for their children.</t>
        </is>
      </c>
      <c r="N85" s="33" t="inlineStr">
        <is>
          <t>thai life insurance, insurance, financial-services, finance, thailand, alzheimers, family, parenting, care, cinematic</t>
        </is>
      </c>
    </row>
    <row r="86">
      <c r="A86" s="33" t="n">
        <v>2026</v>
      </c>
      <c r="B86" s="33" t="inlineStr">
        <is>
          <t>Bronze</t>
        </is>
      </c>
      <c r="C86" s="33" t="inlineStr">
        <is>
          <t>Beat Cancer Off</t>
        </is>
      </c>
      <c r="D86" s="33" t="inlineStr">
        <is>
          <t>Fuck Cancer</t>
        </is>
      </c>
      <c r="E86" s="33" t="inlineStr">
        <is>
          <t>Beat Cancer Off</t>
        </is>
      </c>
      <c r="F86" s="33" t="inlineStr">
        <is>
          <t>VML</t>
        </is>
      </c>
      <c r="G86" s="33" t="inlineStr">
        <is>
          <t>United States</t>
        </is>
      </c>
      <c r="H86" s="33" t="inlineStr">
        <is>
          <t>B07 - Not-for-Profit / Charity / Government</t>
        </is>
      </c>
      <c r="I86" s="33" t="inlineStr">
        <is>
          <t>https://ascentialcdn.filespin.io/api/v1/conversion/e10de6b252874bff954d07054112fa2a</t>
        </is>
      </c>
      <c r="J86" s="33" t="inlineStr">
        <is>
          <t>vimeo:1179609250</t>
        </is>
      </c>
      <c r="K86" s="33" t="inlineStr"/>
      <c r="L86" s="33" t="inlineStr">
        <is>
          <t>https://www.lovethework.com/work/entries/beat-cancer-off-780906</t>
        </is>
      </c>
      <c r="M86" s="33" t="inlineStr">
        <is>
          <t>An original crooner-style song and film for the charity Fuck Cancer that strings together global euphemisms for male masturbation to raise prostate-health awareness — using irreverent humour, grounded in the scientific link between frequent ejaculation and lower prostate-cancer risk, to make men more willing to talk about and act on their health.</t>
        </is>
      </c>
      <c r="N86" s="33" t="inlineStr">
        <is>
          <t>fuck cancer, charity, non-profit, health, mens-health, prostate cancer, cancer awareness, music, entertainment, song, humour, vml, united states, gold</t>
        </is>
      </c>
    </row>
    <row r="87">
      <c r="A87" s="33" t="n">
        <v>2026</v>
      </c>
      <c r="B87" s="33" t="inlineStr">
        <is>
          <t>Gold</t>
        </is>
      </c>
      <c r="C87" s="33" t="inlineStr">
        <is>
          <t>Apple Music x Bad Bunny Halftime Show - Shot on iPhone</t>
        </is>
      </c>
      <c r="D87" s="33" t="inlineStr">
        <is>
          <t>Apple</t>
        </is>
      </c>
      <c r="E87" s="33" t="inlineStr">
        <is>
          <t>Bad Bunny Super Bowl</t>
        </is>
      </c>
      <c r="F87" s="33" t="inlineStr">
        <is>
          <t>HPLA</t>
        </is>
      </c>
      <c r="G87" s="33" t="inlineStr">
        <is>
          <t>United States</t>
        </is>
      </c>
      <c r="H87" s="33" t="inlineStr">
        <is>
          <t>C01 - Viral Film</t>
        </is>
      </c>
      <c r="I87" s="33" t="inlineStr">
        <is>
          <t>digital-presentation-images/film-apple-bad-bunny-halftime-show-shot-on-iphone.webp</t>
        </is>
      </c>
      <c r="J87" s="33" t="inlineStr">
        <is>
          <t>G6FuWd4wNd8</t>
        </is>
      </c>
      <c r="K87" s="33" t="inlineStr">
        <is>
          <t>badbunny-shot-on-iphone</t>
        </is>
      </c>
      <c r="L87" s="33" t="inlineStr"/>
      <c r="M87" s="33" t="inlineStr">
        <is>
          <t>A 'Shot on iPhone' film capturing fans' reactions to Bad Bunny's Super Bowl halftime show, assembled from footage shot by photographers and cinematographers using iPhone across many locations and time zones, from Puerto Rico outward, to document a global cultural moment as it was felt around the world.</t>
        </is>
      </c>
      <c r="N87" s="33" t="inlineStr">
        <is>
          <t>apple, apple music, iphone, bad bunny, super bowl, music, entertainment, halftime, shot on iphone, culture</t>
        </is>
      </c>
    </row>
    <row r="88">
      <c r="A88" s="33" t="n">
        <v>2026</v>
      </c>
      <c r="B88" s="33" t="inlineStr">
        <is>
          <t>Bronze</t>
        </is>
      </c>
      <c r="C88" s="33" t="inlineStr">
        <is>
          <t>Original Forever</t>
        </is>
      </c>
      <c r="D88" s="33" t="inlineStr">
        <is>
          <t>Adidas</t>
        </is>
      </c>
      <c r="E88" s="33" t="inlineStr">
        <is>
          <t>Adidas Originals</t>
        </is>
      </c>
      <c r="F88" s="33" t="inlineStr">
        <is>
          <t>Johannes Leonardo</t>
        </is>
      </c>
      <c r="G88" s="33" t="inlineStr">
        <is>
          <t>United States</t>
        </is>
      </c>
      <c r="H88" s="33" t="inlineStr">
        <is>
          <t>D01 - Screens &amp; Events</t>
        </is>
      </c>
      <c r="I88" s="33" t="inlineStr">
        <is>
          <t>https://ascentialcdn.filespin.io/api/v1/conversion/7c69e0ddd6ef4e4c8949df7dc8e40429</t>
        </is>
      </c>
      <c r="J88" s="33" t="inlineStr"/>
      <c r="K88" s="33" t="inlineStr"/>
      <c r="L88" s="33" t="inlineStr">
        <is>
          <t>https://www.lovethework.com/work/entries/original-forever-773587</t>
        </is>
      </c>
      <c r="M88" s="33" t="inlineStr">
        <is>
          <t>The Entertainment Lions Grand Prix. For adidas Originals, Johannes Leonardo built a cultural partnership around the reunion of British rock band Oasis, tying the band's enduring 'original' status to the brand's heritage line and weaving adidas into one of the year's biggest music moments.</t>
        </is>
      </c>
      <c r="N88" s="33" t="inlineStr">
        <is>
          <t>adidas, adidas originals, sportswear, apparel, footwear, sneakers, fashion, consumer goods, united states, united kingdom, oasis, music, entertainment, band, reunion, brand partnership, collaboration, culture, johannes leonardo, grand prix</t>
        </is>
      </c>
    </row>
    <row r="89">
      <c r="A89" s="33" t="n">
        <v>2026</v>
      </c>
      <c r="B89" s="33" t="inlineStr">
        <is>
          <t>Gold</t>
        </is>
      </c>
      <c r="C89" s="33" t="inlineStr">
        <is>
          <t>A Time and a Place</t>
        </is>
      </c>
      <c r="D89" s="33" t="inlineStr">
        <is>
          <t>Claude</t>
        </is>
      </c>
      <c r="E89" s="33" t="inlineStr">
        <is>
          <t>Claude</t>
        </is>
      </c>
      <c r="F89" s="33" t="inlineStr">
        <is>
          <t>Mother London</t>
        </is>
      </c>
      <c r="G89" s="33" t="inlineStr">
        <is>
          <t>United Kingdom</t>
        </is>
      </c>
      <c r="H89" s="33" t="inlineStr">
        <is>
          <t>F02 - Challenger Brand</t>
        </is>
      </c>
      <c r="I89" s="33" t="inlineStr">
        <is>
          <t>https://resized-media.entries.clios.com/companies/141675/media/c35f4ca9-48e7-4488-ff89-08de69f995ed-xlarge.jpg.webp</t>
        </is>
      </c>
      <c r="J89" s="33" t="inlineStr"/>
      <c r="K89" s="33" t="inlineStr"/>
      <c r="L89" s="33" t="inlineStr"/>
      <c r="M89" s="33" t="inlineStr">
        <is>
          <t>For Anthropic's Claude, Mother imagined a near-future in which AI answers come sponsored — a pointed jab at rivals introducing ads into their chatbots. Four darkly comedic films, each named after a real question people ask AI about health, relationships or work, show a very human moment interrupted by an ad-supported chatbot response, positioning Claude as the assistant that keeps advertising out of the conversation.</t>
        </is>
      </c>
      <c r="N89" s="33" t="inlineStr">
        <is>
          <t>claude, anthropic, ai, technology, artificial intelligence, chatbot, software, tech, united kingdom, united states, advertising, ad-free, films, comedy, super bowl, challenger brand, brand strategy, creative strategy, mother, silver</t>
        </is>
      </c>
    </row>
    <row r="90">
      <c r="A90" s="33" t="n">
        <v>2026</v>
      </c>
      <c r="B90" s="33" t="inlineStr">
        <is>
          <t>Silver</t>
        </is>
      </c>
      <c r="C90" s="33" t="inlineStr">
        <is>
          <t>Tableau</t>
        </is>
      </c>
      <c r="D90" s="33" t="inlineStr">
        <is>
          <t>John Lewis</t>
        </is>
      </c>
      <c r="E90" s="33" t="inlineStr">
        <is>
          <t>John Lewis</t>
        </is>
      </c>
      <c r="F90" s="33" t="inlineStr">
        <is>
          <t>Saatchi &amp; Saatchi</t>
        </is>
      </c>
      <c r="G90" s="33" t="inlineStr">
        <is>
          <t>United Kingdom</t>
        </is>
      </c>
      <c r="H90" s="33" t="inlineStr">
        <is>
          <t>F03 - Single-Market Campaign</t>
        </is>
      </c>
      <c r="I90" s="33" t="inlineStr">
        <is>
          <t>https://ascentialcdn.filespin.io/api/v1/storyboard/2be90f6054584758b96b99e0381a6947/storyboard_000008.jpg</t>
        </is>
      </c>
      <c r="J90" s="33" t="inlineStr"/>
      <c r="K90" s="33" t="inlineStr"/>
      <c r="L90" s="33" t="inlineStr">
        <is>
          <t>https://www.lovethework.com/work/entries/tableau-773507</t>
        </is>
      </c>
      <c r="M90" s="33" t="inlineStr">
        <is>
          <t>Marking 100 years of John Lewis's 'Never Knowingly Undersold' promise, a highly choreographed single moving portrait that turns a century of British life into one continuous tableau.</t>
        </is>
      </c>
      <c r="N90" s="33" t="inlineStr">
        <is>
          <t>john lewis, retail, department store, christmas, britain, heritage, saatchi saatchi, somesuch, production design, licensed music, use of licensed adapted music, achievement in production, film craft, united kingdom</t>
        </is>
      </c>
    </row>
    <row r="91">
      <c r="A91" s="33" t="n">
        <v>2026</v>
      </c>
      <c r="B91" s="33" t="inlineStr">
        <is>
          <t>Bronze</t>
        </is>
      </c>
      <c r="C91" s="33" t="inlineStr">
        <is>
          <t>The Mexican Dream - The Work</t>
        </is>
      </c>
      <c r="D91" s="33" t="inlineStr">
        <is>
          <t>Indio</t>
        </is>
      </c>
      <c r="E91" s="33" t="inlineStr">
        <is>
          <t>Indio Beer</t>
        </is>
      </c>
      <c r="F91" s="33" t="inlineStr">
        <is>
          <t>Ogilvy</t>
        </is>
      </c>
      <c r="G91" s="33" t="inlineStr">
        <is>
          <t>Mexico</t>
        </is>
      </c>
      <c r="H91" s="33" t="inlineStr">
        <is>
          <t>F03 - Single-Market Campaign</t>
        </is>
      </c>
      <c r="I91" s="33" t="inlineStr">
        <is>
          <t>https://ascentialcdn.filespin.io/api/v1/storyboard/02865df39c1e4fd283baca7ecccfa9f4/storyboard_000008.jpg</t>
        </is>
      </c>
      <c r="J91" s="33" t="inlineStr">
        <is>
          <t>vimeo:1197514785</t>
        </is>
      </c>
      <c r="K91" s="33" t="inlineStr"/>
      <c r="L91" s="33" t="inlineStr">
        <is>
          <t>https://www.lovethework.com/work/entries/the-mexican-dream-the-work-781885</t>
        </is>
      </c>
      <c r="M91" s="33" t="inlineStr">
        <is>
          <t>A film for Indio beer that reframes the 'American Dream' as something built on Mexican dreams, portraying Mexican resilience and hustle as the real engine behind the aspiration.</t>
        </is>
      </c>
      <c r="N91" s="33" t="inlineStr">
        <is>
          <t>indio, beer, alcohol, mexico, national pride, resilience, immigration, culture</t>
        </is>
      </c>
    </row>
    <row r="92">
      <c r="A92" s="33" t="n">
        <v>2026</v>
      </c>
      <c r="B92" s="33" t="inlineStr">
        <is>
          <t>Bronze</t>
        </is>
      </c>
      <c r="C92" s="33" t="inlineStr">
        <is>
          <t>Who’s Waiting for You?</t>
        </is>
      </c>
      <c r="D92" s="33" t="inlineStr">
        <is>
          <t>Cerveza Victoria</t>
        </is>
      </c>
      <c r="E92" s="33" t="inlineStr">
        <is>
          <t>Cerveza Victoria</t>
        </is>
      </c>
      <c r="F92" s="33" t="inlineStr">
        <is>
          <t>Wieden+Kennedy</t>
        </is>
      </c>
      <c r="G92" s="33" t="inlineStr">
        <is>
          <t>Mexico</t>
        </is>
      </c>
      <c r="H92" s="33" t="inlineStr">
        <is>
          <t>F03 - Single-Market Campaign</t>
        </is>
      </c>
      <c r="I92" s="33" t="inlineStr">
        <is>
          <t>https://resized-media.entries.clios.com/companies/141437/media/9e902c01-f315-4959-00c0-08de69f995ee-xlarge.jpg.webp</t>
        </is>
      </c>
      <c r="J92" s="33" t="inlineStr"/>
      <c r="K92" s="33" t="inlineStr"/>
      <c r="L92" s="33" t="inlineStr">
        <is>
          <t>https://www.lovethework.com/work/entries/whos-waiting-for-you-782321</t>
        </is>
      </c>
      <c r="M92" s="33" t="inlineStr">
        <is>
          <t>For Mexican beer brand Cerveza Victoria, Wieden+Kennedy Mexico created a short fiction film rooted in emotional storytelling and local culture, using the question 'Who's waiting for you?' to dramatise the people and homecomings that give a night out its meaning.</t>
        </is>
      </c>
      <c r="N92" s="33" t="inlineStr">
        <is>
          <t>cerveza victoria, beer, alcohol, drinks, beverage, fmcg, mexico, fiction film, short film, storytelling, emotional, culture, homecoming, entertainment, wieden kennedy, gold</t>
        </is>
      </c>
    </row>
    <row r="93">
      <c r="A93" s="33" t="n">
        <v>2026</v>
      </c>
      <c r="B93" s="33" t="inlineStr">
        <is>
          <t>Bronze</t>
        </is>
      </c>
      <c r="C93" s="33" t="inlineStr">
        <is>
          <t>First School Poo</t>
        </is>
      </c>
      <c r="D93" s="33" t="inlineStr">
        <is>
          <t>Andrex</t>
        </is>
      </c>
      <c r="E93" s="33" t="inlineStr">
        <is>
          <t>Andrex</t>
        </is>
      </c>
      <c r="F93" s="33" t="inlineStr">
        <is>
          <t>Kimberly-Clark</t>
        </is>
      </c>
      <c r="G93" s="33" t="inlineStr">
        <is>
          <t>United Kingdom</t>
        </is>
      </c>
      <c r="H93" s="33" t="inlineStr">
        <is>
          <t>F03 - Single-Market Campaign</t>
        </is>
      </c>
      <c r="I93" s="33" t="inlineStr">
        <is>
          <t>https://ascentialcdn.filespin.io/api/v1/conversion/2970e06d192c4cdf8075574a6e83e958</t>
        </is>
      </c>
      <c r="J93" s="33" t="inlineStr">
        <is>
          <t>vimeo:1084183002</t>
        </is>
      </c>
      <c r="K93" s="33" t="inlineStr"/>
      <c r="L93" s="33" t="inlineStr">
        <is>
          <t>https://www.lovethework.com/work/entries/first-school-poo-793461</t>
        </is>
      </c>
      <c r="M93" s="33" t="inlineStr">
        <is>
          <t>A film tackling the taboo of children being afraid to poo at school. It opens on a boy in class, mortified after an accidental fart, to dramatise how many kids hold it in at school and make the case for comfort and confidence around an everyday bodily function.</t>
        </is>
      </c>
      <c r="N93" s="33" t="inlineStr">
        <is>
          <t>andrex, toilet paper, kimberly-clark, children, school, taboo, humour, health</t>
        </is>
      </c>
    </row>
    <row r="94">
      <c r="A94" s="33" t="n">
        <v>2026</v>
      </c>
      <c r="B94" s="33" t="inlineStr">
        <is>
          <t>Bronze</t>
        </is>
      </c>
      <c r="C94" s="33" t="inlineStr">
        <is>
          <t>Love Hurts</t>
        </is>
      </c>
      <c r="D94" s="33" t="inlineStr">
        <is>
          <t>Vaseline</t>
        </is>
      </c>
      <c r="E94" s="33" t="inlineStr">
        <is>
          <t>Vaseline</t>
        </is>
      </c>
      <c r="F94" s="33" t="inlineStr">
        <is>
          <t>Ogilvy Singapore</t>
        </is>
      </c>
      <c r="G94" s="33" t="inlineStr">
        <is>
          <t>Singapore</t>
        </is>
      </c>
      <c r="H94" s="33" t="inlineStr">
        <is>
          <t>F04 - Social Behaviour</t>
        </is>
      </c>
      <c r="I94" s="33" t="inlineStr">
        <is>
          <t>https://ascentialcdn.filespin.io/api/v1/storyboard/6cc46c323ad24662a60e2bb0be9ed9b7/storyboard_000008.jpg</t>
        </is>
      </c>
      <c r="J94" s="33" t="inlineStr">
        <is>
          <t>wlFdNOZvpFc</t>
        </is>
      </c>
      <c r="K94" s="33" t="inlineStr"/>
      <c r="L94" s="33" t="inlineStr">
        <is>
          <t>https://www.lovethework.com/work/entries/love-hurts-773643</t>
        </is>
      </c>
      <c r="M94" s="33" t="inlineStr">
        <is>
          <t>A film built on a ritual familiar across many families: a parent or grandparent applying Vaseline to a child's face whether the child likes it or not. It frames this small, stubborn, often-resisted gesture as an everyday, unspoken act of care and protection.</t>
        </is>
      </c>
      <c r="N94" s="33" t="inlineStr">
        <is>
          <t>vaseline, petroleum jelly, skincare, personal-care, beauty, family, care, ritual, parenting, singapore</t>
        </is>
      </c>
    </row>
    <row r="95">
      <c r="A95" s="33" t="n">
        <v>2026</v>
      </c>
      <c r="B95" s="33" t="inlineStr">
        <is>
          <t>Silver</t>
        </is>
      </c>
      <c r="C95" s="33" t="inlineStr">
        <is>
          <t>First School Poo</t>
        </is>
      </c>
      <c r="D95" s="33" t="inlineStr">
        <is>
          <t>Andrex</t>
        </is>
      </c>
      <c r="E95" s="33" t="inlineStr">
        <is>
          <t>Andrex</t>
        </is>
      </c>
      <c r="F95" s="33" t="inlineStr">
        <is>
          <t>Kimberly-Clark</t>
        </is>
      </c>
      <c r="G95" s="33" t="inlineStr">
        <is>
          <t>United Kingdom</t>
        </is>
      </c>
      <c r="H95" s="33" t="inlineStr">
        <is>
          <t>F04 - Social Behaviour</t>
        </is>
      </c>
      <c r="I95" s="33" t="inlineStr">
        <is>
          <t>https://ascentialcdn.filespin.io/api/v1/conversion/2970e06d192c4cdf8075574a6e83e958</t>
        </is>
      </c>
      <c r="J95" s="33" t="inlineStr">
        <is>
          <t>vimeo:1084183002</t>
        </is>
      </c>
      <c r="K95" s="33" t="inlineStr"/>
      <c r="L95" s="33" t="inlineStr">
        <is>
          <t>https://www.lovethework.com/work/entries/first-school-poo-793471</t>
        </is>
      </c>
      <c r="M95" s="33" t="inlineStr">
        <is>
          <t>A film tackling the taboo of children being afraid to poo at school. It opens on a boy in class, mortified after an accidental fart, to dramatise how many kids hold it in at school and make the case for comfort and confidence around an everyday bodily function.</t>
        </is>
      </c>
      <c r="N95" s="33" t="inlineStr">
        <is>
          <t>andrex, toilet paper, kimberly-clark, children, school, taboo, humour, health</t>
        </is>
      </c>
    </row>
    <row r="96">
      <c r="A96" s="33" t="n">
        <v>2026</v>
      </c>
      <c r="B96" s="33" t="inlineStr">
        <is>
          <t>Silver</t>
        </is>
      </c>
      <c r="C96" s="33" t="inlineStr">
        <is>
          <t>After Shit Happened Service</t>
        </is>
      </c>
      <c r="D96" s="33" t="inlineStr">
        <is>
          <t>Shield Insurance</t>
        </is>
      </c>
      <c r="E96" s="33" t="inlineStr">
        <is>
          <t>Shield Insurance</t>
        </is>
      </c>
      <c r="F96" s="33" t="inlineStr">
        <is>
          <t>VML</t>
        </is>
      </c>
      <c r="G96" s="33" t="inlineStr">
        <is>
          <t>Thailand</t>
        </is>
      </c>
      <c r="H96" s="33" t="inlineStr">
        <is>
          <t>F05 - Use of Humour</t>
        </is>
      </c>
      <c r="I96" s="33" t="inlineStr">
        <is>
          <t>https://ascentialcdn.filespin.io/api/v1/storyboard/045a091430be44d791d894348f00f6e3/storyboard_000008.jpg</t>
        </is>
      </c>
      <c r="J96" s="33" t="inlineStr">
        <is>
          <t>vimeo:1177559337</t>
        </is>
      </c>
      <c r="K96" s="33" t="inlineStr"/>
      <c r="L96" s="33" t="inlineStr">
        <is>
          <t>https://www.lovethework.com/work/entries/after-shit-happened-service-773623</t>
        </is>
      </c>
      <c r="M96" s="33" t="inlineStr">
        <is>
          <t>A darkly comic film for Shield Insurance built around the messy aftermath when things go wrong, using humour to argue for the value of being covered after the unexpected happens.</t>
        </is>
      </c>
      <c r="N96" s="33" t="inlineStr">
        <is>
          <t>shield insurance, insurance, financial-services, finance, thailand, humour, financial services, protection</t>
        </is>
      </c>
    </row>
    <row r="97">
      <c r="A97" s="33" t="n">
        <v>2026</v>
      </c>
      <c r="B97" s="33" t="inlineStr">
        <is>
          <t>Silver</t>
        </is>
      </c>
      <c r="C97" s="33" t="inlineStr">
        <is>
          <t>I Think of You Dying</t>
        </is>
      </c>
      <c r="D97" s="33" t="inlineStr">
        <is>
          <t>Life360</t>
        </is>
      </c>
      <c r="E97" s="33" t="inlineStr">
        <is>
          <t>Life360</t>
        </is>
      </c>
      <c r="F97" s="33" t="inlineStr">
        <is>
          <t>Alto</t>
        </is>
      </c>
      <c r="G97" s="33" t="inlineStr">
        <is>
          <t>United States</t>
        </is>
      </c>
      <c r="H97" s="33" t="inlineStr">
        <is>
          <t>F05 - Use of Humour</t>
        </is>
      </c>
      <c r="I97" s="33" t="inlineStr">
        <is>
          <t>https://i.vimeocdn.com/video/2010937384-516d276f3ecaa7e95ecdc6d192f631ac4356ecf8e8b686f7c92c4d33f3dc9c96-d</t>
        </is>
      </c>
      <c r="J97" s="33" t="inlineStr"/>
      <c r="K97" s="33" t="inlineStr"/>
      <c r="L97" s="33" t="inlineStr">
        <is>
          <t>https://www.lovethework.com/work/entries/i-think-of-you-dying-773484</t>
        </is>
      </c>
      <c r="M97" s="33" t="inlineStr">
        <is>
          <t>A fiction short film with an original composition for the family-safety app Life360, built around the anxious what-ifs a parent runs through about a loved one's safety — the kind of worry the app is designed to ease.</t>
        </is>
      </c>
      <c r="N97" s="33" t="inlineStr">
        <is>
          <t>life360, app, technology, family safety, location tracking, music, entertainment, original composition, song, fiction film, alto, united states, bronze</t>
        </is>
      </c>
    </row>
    <row r="98">
      <c r="A98" s="33" t="n">
        <v>2026</v>
      </c>
      <c r="B98" s="33" t="inlineStr">
        <is>
          <t>Bronze</t>
        </is>
      </c>
      <c r="C98" s="33" t="inlineStr">
        <is>
          <t>The Kaprao Criminals</t>
        </is>
      </c>
      <c r="D98" s="33" t="inlineStr">
        <is>
          <t>KFC Thailand</t>
        </is>
      </c>
      <c r="E98" s="33" t="inlineStr">
        <is>
          <t>Kaprao Crispy Chicken Rice Bowl</t>
        </is>
      </c>
      <c r="F98" s="33" t="inlineStr">
        <is>
          <t>Wolf BKK</t>
        </is>
      </c>
      <c r="G98" s="33" t="inlineStr">
        <is>
          <t>Thailand</t>
        </is>
      </c>
      <c r="H98" s="33" t="inlineStr">
        <is>
          <t>F05 - Use of Humour</t>
        </is>
      </c>
      <c r="I98" s="33" t="inlineStr">
        <is>
          <t>https://ascentialcdn.filespin.io/api/v1/conversion/11e80619841d44a1a16a761dba652bc7</t>
        </is>
      </c>
      <c r="J98" s="33" t="inlineStr"/>
      <c r="K98" s="33" t="inlineStr"/>
      <c r="L98" s="33" t="inlineStr">
        <is>
          <t>https://www.lovethework.com/work/entries/the-kaprao-criminals-773694</t>
        </is>
      </c>
      <c r="M98" s="33" t="inlineStr">
        <is>
          <t>A casting-led comedic film for KFC Thailand's Kaprao Crispy Chicken Rice Bowl.</t>
        </is>
      </c>
      <c r="N98" s="33" t="inlineStr">
        <is>
          <t>kfc, fast food, qsr, fast-food, restaurant, food, thailand, kaprao, chicken, humor, casting, film craft, wolf bkk</t>
        </is>
      </c>
    </row>
    <row r="99">
      <c r="A99" s="33" t="n">
        <v>2026</v>
      </c>
      <c r="B99" s="33" t="inlineStr">
        <is>
          <t>Silver</t>
        </is>
      </c>
      <c r="C99" s="33" t="inlineStr">
        <is>
          <t>Beat Cancer Off</t>
        </is>
      </c>
      <c r="D99" s="33" t="inlineStr">
        <is>
          <t>Fuck Cancer</t>
        </is>
      </c>
      <c r="E99" s="33" t="inlineStr">
        <is>
          <t>Beat Cancer Off</t>
        </is>
      </c>
      <c r="F99" s="33" t="inlineStr">
        <is>
          <t>VML</t>
        </is>
      </c>
      <c r="G99" s="33" t="inlineStr">
        <is>
          <t>United States</t>
        </is>
      </c>
      <c r="H99" s="33" t="inlineStr">
        <is>
          <t>F05 - Use of Humour</t>
        </is>
      </c>
      <c r="I99" s="33" t="inlineStr">
        <is>
          <t>https://ascentialcdn.filespin.io/api/v1/conversion/e10de6b252874bff954d07054112fa2a</t>
        </is>
      </c>
      <c r="J99" s="33" t="inlineStr">
        <is>
          <t>vimeo:1179609250</t>
        </is>
      </c>
      <c r="K99" s="33" t="inlineStr"/>
      <c r="L99" s="33" t="inlineStr">
        <is>
          <t>https://www.lovethework.com/work/entries/beat-cancer-off-781693</t>
        </is>
      </c>
      <c r="M99" s="33" t="inlineStr">
        <is>
          <t>An original crooner-style song and film for the charity Fuck Cancer that strings together global euphemisms for male masturbation to raise prostate-health awareness — using irreverent humour, grounded in the scientific link between frequent ejaculation and lower prostate-cancer risk, to make men more willing to talk about and act on their health.</t>
        </is>
      </c>
      <c r="N99" s="33" t="inlineStr">
        <is>
          <t>fuck cancer, charity, non-profit, health, mens-health, prostate cancer, cancer awareness, music, entertainment, song, humour, vml, united states, gold</t>
        </is>
      </c>
    </row>
    <row r="100">
      <c r="A100" s="33" t="n">
        <v>2026</v>
      </c>
      <c r="B100" s="33" t="inlineStr">
        <is>
          <t>Gold</t>
        </is>
      </c>
      <c r="C100" s="33" t="inlineStr">
        <is>
          <t>Based on a True Story</t>
        </is>
      </c>
      <c r="D100" s="33" t="inlineStr">
        <is>
          <t>Missing People</t>
        </is>
      </c>
      <c r="E100" s="33" t="inlineStr">
        <is>
          <t>Missing People</t>
        </is>
      </c>
      <c r="F100" s="33" t="inlineStr">
        <is>
          <t>BBH</t>
        </is>
      </c>
      <c r="G100" s="33" t="inlineStr">
        <is>
          <t>United Kingdom</t>
        </is>
      </c>
      <c r="H100" s="33" t="inlineStr">
        <is>
          <t>F05 - Use of Humour</t>
        </is>
      </c>
      <c r="I100" s="33" t="inlineStr">
        <is>
          <t>https://ascentialcdn.filespin.io/api/v1/storyboard/5bc0d8305a464d9b899a4aae1d0ef94c/storyboard_000008.jpg</t>
        </is>
      </c>
      <c r="J100" s="33" t="inlineStr">
        <is>
          <t>vimeo:1199684705</t>
        </is>
      </c>
      <c r="K100" s="33" t="inlineStr"/>
      <c r="L100" s="33" t="inlineStr"/>
      <c r="M100" s="33" t="inlineStr">
        <is>
          <t>A film for the charity Missing People that challenges society's voracious, disconnected consumption of true-crime entertainment, reclaiming the narrative around real missing-person cases from the genre that turns them into content.</t>
        </is>
      </c>
      <c r="N100" s="33" t="inlineStr">
        <is>
          <t>missing people, charity, non-profit, true crime, awareness, social, missing persons</t>
        </is>
      </c>
    </row>
    <row r="101">
      <c r="A101" s="33" t="n">
        <v>2026</v>
      </c>
      <c r="B101" s="33" t="inlineStr">
        <is>
          <t>Silver</t>
        </is>
      </c>
      <c r="C101" s="33" t="inlineStr">
        <is>
          <t>For Papa!</t>
        </is>
      </c>
      <c r="D101" s="33" t="inlineStr">
        <is>
          <t>Instacart</t>
        </is>
      </c>
      <c r="E101" s="33" t="inlineStr">
        <is>
          <t>Instacart Online Grocery Delivery</t>
        </is>
      </c>
      <c r="F101" s="33" t="inlineStr">
        <is>
          <t>McCann New York + BBDO + Local Produce</t>
        </is>
      </c>
      <c r="G101" s="33" t="inlineStr">
        <is>
          <t>United States</t>
        </is>
      </c>
      <c r="H101" s="33" t="inlineStr">
        <is>
          <t>F05 - Use of Humour</t>
        </is>
      </c>
      <c r="I101" s="33" t="inlineStr">
        <is>
          <t>https://ascentialcdn.filespin.io/api/v1/conversion/b5d8515d763b461097bfa2881636035f</t>
        </is>
      </c>
      <c r="J101" s="33" t="inlineStr">
        <is>
          <t>G-k2qTGwwc4</t>
        </is>
      </c>
      <c r="K101" s="33" t="inlineStr"/>
      <c r="L101" s="33" t="inlineStr">
        <is>
          <t>https://www.lovethework.com/work/entries/for-papa-777867</t>
        </is>
      </c>
      <c r="M101" s="33" t="inlineStr">
        <is>
          <t>A casting-led, emotional film for Instacart grocery delivery, credited to McCann New York with BBDO Chicago and Local Produce San Francisco.</t>
        </is>
      </c>
      <c r="N101" s="33" t="inlineStr">
        <is>
          <t>instacart, grocery, retail, delivery, ecommerce, online-shopping, food, casting, film craft, mccann new york, bbdo, local produce, united states, emotional</t>
        </is>
      </c>
    </row>
    <row r="102">
      <c r="A102" s="33" t="n">
        <v>2026</v>
      </c>
      <c r="B102" s="33" t="inlineStr">
        <is>
          <t>Silver</t>
        </is>
      </c>
      <c r="C102" s="33" t="inlineStr">
        <is>
          <t>I'm Not Remarkable</t>
        </is>
      </c>
      <c r="D102" s="33" t="inlineStr">
        <is>
          <t>Apple</t>
        </is>
      </c>
      <c r="E102" s="33" t="inlineStr">
        <is>
          <t>Accessibility</t>
        </is>
      </c>
      <c r="F102" s="33" t="inlineStr">
        <is>
          <t>Apple</t>
        </is>
      </c>
      <c r="G102" s="33" t="inlineStr">
        <is>
          <t>United States</t>
        </is>
      </c>
      <c r="H102" s="33" t="inlineStr">
        <is>
          <t>F07 - Corporate Purpose &amp; Social Responsibility</t>
        </is>
      </c>
      <c r="I102" s="33" t="inlineStr">
        <is>
          <t>https://i.ytimg.com/vi/KmFPWxjmnqE/maxresdefault.jpg</t>
        </is>
      </c>
      <c r="J102" s="33" t="inlineStr"/>
      <c r="K102" s="33" t="inlineStr"/>
      <c r="L102" s="33" t="inlineStr">
        <is>
          <t>https://www.lovethework.com/work/entries/im-not-remarkable-780956</t>
        </is>
      </c>
      <c r="M102" s="33" t="inlineStr">
        <is>
          <t>A musical short film for Apple, released around the International Day of Persons with Disabilities, built as a full college-musical anthem performed entirely by deaf and disabled students from around the world. The original song — written by Tim Minchin and performed by the cast — showcases Apple's accessibility features including Magnifier for Mac, Braille Access and Accessibility Reader while putting a large disabled ensemble centre stage.</t>
        </is>
      </c>
      <c r="N102" s="33" t="inlineStr">
        <is>
          <t>apple, accessibility, technology, consumer-electronics, music, entertainment, musical, song, disability, deaf, inclusion, diversity, tim minchin, short film, united states, gold</t>
        </is>
      </c>
    </row>
    <row r="103">
      <c r="A103" s="33" t="n">
        <v>2026</v>
      </c>
      <c r="B103" s="33" t="inlineStr">
        <is>
          <t>Gold</t>
        </is>
      </c>
      <c r="C103" s="33" t="inlineStr">
        <is>
          <t>Bullet Machine</t>
        </is>
      </c>
      <c r="D103" s="33" t="inlineStr">
        <is>
          <t>La Unión Newspaper and Article 19</t>
        </is>
      </c>
      <c r="E103" s="33" t="inlineStr">
        <is>
          <t>La Unión Newspaper and Article 19</t>
        </is>
      </c>
      <c r="F103" s="33" t="inlineStr">
        <is>
          <t>Grey</t>
        </is>
      </c>
      <c r="G103" s="33" t="inlineStr">
        <is>
          <t>Mexico</t>
        </is>
      </c>
      <c r="H103" s="33" t="inlineStr">
        <is>
          <t>F07 - Corporate Purpose &amp; Social Responsibility</t>
        </is>
      </c>
      <c r="I103" s="33" t="inlineStr">
        <is>
          <t>https://ascentialcdn.filespin.io/api/v1/conversion/df6cf4fa9847452db1e19199cd182928</t>
        </is>
      </c>
      <c r="J103" s="33" t="inlineStr">
        <is>
          <t>9vpZNqaMVaQ</t>
        </is>
      </c>
      <c r="K103" s="33" t="inlineStr"/>
      <c r="L103" s="33" t="inlineStr"/>
      <c r="M103" s="33" t="inlineStr">
        <is>
          <t>Released to coincide with World Press Freedom Day, a short film for La Unión Newspaper and Article 19 exposing how violence against journalists in Mexico also threatens their families and communities.</t>
        </is>
      </c>
      <c r="N103" s="33" t="inlineStr">
        <is>
          <t>article 19, la union, journalism, press freedom, mexico, human rights, violence, social cause, sound design, direction, film craft, grey, world press freedom day</t>
        </is>
      </c>
    </row>
    <row r="104">
      <c r="A104" s="33" t="n">
        <v>2026</v>
      </c>
      <c r="B104" s="33" t="inlineStr">
        <is>
          <t>Gold</t>
        </is>
      </c>
      <c r="C104" s="33" t="inlineStr">
        <is>
          <t>Your Way Out</t>
        </is>
      </c>
      <c r="D104" s="33" t="inlineStr">
        <is>
          <t>Coinbase</t>
        </is>
      </c>
      <c r="E104" s="33" t="inlineStr">
        <is>
          <t>Coinbase</t>
        </is>
      </c>
      <c r="F104" s="33" t="inlineStr">
        <is>
          <t>Isle of Any</t>
        </is>
      </c>
      <c r="G104" s="33" t="inlineStr">
        <is>
          <t>United States</t>
        </is>
      </c>
      <c r="H104" s="33" t="inlineStr">
        <is>
          <t>F08 - Market Disruption</t>
        </is>
      </c>
      <c r="I104" s="33" t="inlineStr">
        <is>
          <t>https://ascentialcdn.filespin.io/api/v1/storyboard/6e7a83cdcdca4cb386c0bcec3dcb9870/storyboard_000008.jpg</t>
        </is>
      </c>
      <c r="J104" s="33" t="inlineStr">
        <is>
          <t>spmjIn5NaV0</t>
        </is>
      </c>
      <c r="K104" s="33" t="inlineStr"/>
      <c r="L104" s="33" t="inlineStr"/>
      <c r="M104" s="33" t="inlineStr">
        <is>
          <t>A film for Coinbase that challenges perceptions of the traditional financial system using video-game aesthetics: a character navigates and escapes a rigged, game-like world, framing crypto as the way out. (Film Craft Grand Prix; also won across Direction, Production Design, Achievement in Production and Script.)</t>
        </is>
      </c>
      <c r="N104" s="33" t="inlineStr">
        <is>
          <t>coinbase, crypto, cryptocurrency, finance, financial system, video game, gaming aesthetics, film, cinema, entertainment, direction, production design, achievement in production, film craft, grand prix, isle of any, united states</t>
        </is>
      </c>
    </row>
    <row r="105">
      <c r="A105" s="33" t="n">
        <v>2026</v>
      </c>
      <c r="B105" s="33" t="inlineStr">
        <is>
          <t>Silver</t>
        </is>
      </c>
      <c r="C105" s="33" t="inlineStr">
        <is>
          <t>A Time and a Place</t>
        </is>
      </c>
      <c r="D105" s="33" t="inlineStr">
        <is>
          <t>Claude</t>
        </is>
      </c>
      <c r="E105" s="33" t="inlineStr">
        <is>
          <t>Claude</t>
        </is>
      </c>
      <c r="F105" s="33" t="inlineStr">
        <is>
          <t>Mother London</t>
        </is>
      </c>
      <c r="G105" s="33" t="inlineStr">
        <is>
          <t>United Kingdom</t>
        </is>
      </c>
      <c r="H105" s="33" t="inlineStr">
        <is>
          <t>F08 - Market Disruption</t>
        </is>
      </c>
      <c r="I105" s="33" t="inlineStr">
        <is>
          <t>https://resized-media.entries.clios.com/companies/141675/media/c35f4ca9-48e7-4488-ff89-08de69f995ed-xlarge.jpg.webp</t>
        </is>
      </c>
      <c r="J105" s="33" t="inlineStr">
        <is>
          <t>UOdh90TqXPY</t>
        </is>
      </c>
      <c r="K105" s="33" t="inlineStr"/>
      <c r="L105" s="33" t="inlineStr"/>
      <c r="M105" s="33" t="inlineStr">
        <is>
          <t>For Anthropic's Claude, Mother imagined a near-future in which AI answers come sponsored — a pointed jab at rivals introducing ads into their chatbots. Four darkly comedic films, each named after a real question people ask AI about health, relationships or work, show a very human moment interrupted by an ad-supported chatbot response, positioning Claude as the assistant that keeps advertising out of the conversation.</t>
        </is>
      </c>
      <c r="N105" s="33" t="inlineStr">
        <is>
          <t>claude, anthropic, ai, technology, artificial intelligence, chatbot, software, tech, united kingdom, united states, advertising, ad-free, films, comedy, super bowl, challenger brand, brand strategy, creative strategy, mother, silver</t>
        </is>
      </c>
    </row>
    <row r="106">
      <c r="A106" s="33" t="n">
        <v>2026</v>
      </c>
      <c r="B106" s="33" t="inlineStr">
        <is>
          <t>Silver</t>
        </is>
      </c>
      <c r="C106" s="33" t="inlineStr">
        <is>
          <t>AXA – Nothing Stops Women's Rugby</t>
        </is>
      </c>
      <c r="D106" s="33" t="inlineStr">
        <is>
          <t>AXA France</t>
        </is>
      </c>
      <c r="E106" s="33" t="inlineStr">
        <is>
          <t>Partnership AXA x Women's Rugby</t>
        </is>
      </c>
      <c r="F106" s="33" t="inlineStr">
        <is>
          <t>Publicis Conseil</t>
        </is>
      </c>
      <c r="G106" s="33" t="inlineStr">
        <is>
          <t>France</t>
        </is>
      </c>
      <c r="H106" s="33" t="inlineStr">
        <is>
          <t>F09 - Cultural Engagement</t>
        </is>
      </c>
      <c r="I106" s="33" t="inlineStr">
        <is>
          <t>https://ascentialcdn.filespin.io/api/v1/conversion/2a6b2b4859824eca99522c5972d31625</t>
        </is>
      </c>
      <c r="J106" s="33" t="inlineStr"/>
      <c r="K106" s="33" t="inlineStr"/>
      <c r="L106" s="33" t="inlineStr">
        <is>
          <t>https://www.lovethework.com/work/entries/axa-nothing-stops-womens-rugby-776209</t>
        </is>
      </c>
      <c r="M106" s="33" t="inlineStr">
        <is>
          <t>A three-minute manifesto film aired on France Télévisions, directed by Julien &amp; Quentin, championing women's rugby as a fight against stereotypes and AXA's stance on women's rights.</t>
        </is>
      </c>
      <c r="N106" s="33" t="inlineStr">
        <is>
          <t>axa, insurance, financial-services, finance, womens rugby, sport, rugby, women, gender, france, editing, publicis conseil, film craft, manifesto</t>
        </is>
      </c>
    </row>
  </sheetData>
  <autoFilter ref="A1:N53"/>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I6" r:id="rId5"/>
    <hyperlink xmlns:r="http://schemas.openxmlformats.org/officeDocument/2006/relationships" ref="L6" r:id="rId6"/>
    <hyperlink xmlns:r="http://schemas.openxmlformats.org/officeDocument/2006/relationships" ref="L7" r:id="rId7"/>
    <hyperlink xmlns:r="http://schemas.openxmlformats.org/officeDocument/2006/relationships" ref="L8" r:id="rId8"/>
    <hyperlink xmlns:r="http://schemas.openxmlformats.org/officeDocument/2006/relationships" ref="L9" r:id="rId9"/>
    <hyperlink xmlns:r="http://schemas.openxmlformats.org/officeDocument/2006/relationships" ref="L10" r:id="rId10"/>
    <hyperlink xmlns:r="http://schemas.openxmlformats.org/officeDocument/2006/relationships" ref="L11" r:id="rId11"/>
    <hyperlink xmlns:r="http://schemas.openxmlformats.org/officeDocument/2006/relationships" ref="L12" r:id="rId12"/>
    <hyperlink xmlns:r="http://schemas.openxmlformats.org/officeDocument/2006/relationships" ref="L13" r:id="rId13"/>
    <hyperlink xmlns:r="http://schemas.openxmlformats.org/officeDocument/2006/relationships" ref="L14" r:id="rId14"/>
    <hyperlink xmlns:r="http://schemas.openxmlformats.org/officeDocument/2006/relationships" ref="I15" r:id="rId15"/>
    <hyperlink xmlns:r="http://schemas.openxmlformats.org/officeDocument/2006/relationships" ref="L15" r:id="rId16"/>
    <hyperlink xmlns:r="http://schemas.openxmlformats.org/officeDocument/2006/relationships" ref="L16" r:id="rId17"/>
    <hyperlink xmlns:r="http://schemas.openxmlformats.org/officeDocument/2006/relationships" ref="I17" r:id="rId18"/>
    <hyperlink xmlns:r="http://schemas.openxmlformats.org/officeDocument/2006/relationships" ref="L17" r:id="rId19"/>
    <hyperlink xmlns:r="http://schemas.openxmlformats.org/officeDocument/2006/relationships" ref="L18" r:id="rId20"/>
    <hyperlink xmlns:r="http://schemas.openxmlformats.org/officeDocument/2006/relationships" ref="I19" r:id="rId21"/>
    <hyperlink xmlns:r="http://schemas.openxmlformats.org/officeDocument/2006/relationships" ref="L19" r:id="rId22"/>
    <hyperlink xmlns:r="http://schemas.openxmlformats.org/officeDocument/2006/relationships" ref="L20" r:id="rId23"/>
    <hyperlink xmlns:r="http://schemas.openxmlformats.org/officeDocument/2006/relationships" ref="I21" r:id="rId24"/>
    <hyperlink xmlns:r="http://schemas.openxmlformats.org/officeDocument/2006/relationships" ref="L21" r:id="rId25"/>
    <hyperlink xmlns:r="http://schemas.openxmlformats.org/officeDocument/2006/relationships" ref="L22" r:id="rId26"/>
    <hyperlink xmlns:r="http://schemas.openxmlformats.org/officeDocument/2006/relationships" ref="L23" r:id="rId27"/>
    <hyperlink xmlns:r="http://schemas.openxmlformats.org/officeDocument/2006/relationships" ref="L24" r:id="rId28"/>
    <hyperlink xmlns:r="http://schemas.openxmlformats.org/officeDocument/2006/relationships" ref="L25" r:id="rId29"/>
    <hyperlink xmlns:r="http://schemas.openxmlformats.org/officeDocument/2006/relationships" ref="L26" r:id="rId30"/>
    <hyperlink xmlns:r="http://schemas.openxmlformats.org/officeDocument/2006/relationships" ref="L27" r:id="rId31"/>
    <hyperlink xmlns:r="http://schemas.openxmlformats.org/officeDocument/2006/relationships" ref="I28" r:id="rId32"/>
    <hyperlink xmlns:r="http://schemas.openxmlformats.org/officeDocument/2006/relationships" ref="L28" r:id="rId33"/>
    <hyperlink xmlns:r="http://schemas.openxmlformats.org/officeDocument/2006/relationships" ref="I29" r:id="rId34"/>
    <hyperlink xmlns:r="http://schemas.openxmlformats.org/officeDocument/2006/relationships" ref="L29" r:id="rId35"/>
    <hyperlink xmlns:r="http://schemas.openxmlformats.org/officeDocument/2006/relationships" ref="L30" r:id="rId36"/>
    <hyperlink xmlns:r="http://schemas.openxmlformats.org/officeDocument/2006/relationships" ref="L31" r:id="rId37"/>
    <hyperlink xmlns:r="http://schemas.openxmlformats.org/officeDocument/2006/relationships" ref="L32" r:id="rId38"/>
    <hyperlink xmlns:r="http://schemas.openxmlformats.org/officeDocument/2006/relationships" ref="I33" r:id="rId39"/>
    <hyperlink xmlns:r="http://schemas.openxmlformats.org/officeDocument/2006/relationships" ref="L33" r:id="rId40"/>
    <hyperlink xmlns:r="http://schemas.openxmlformats.org/officeDocument/2006/relationships" ref="I34" r:id="rId41"/>
    <hyperlink xmlns:r="http://schemas.openxmlformats.org/officeDocument/2006/relationships" ref="L34" r:id="rId42"/>
    <hyperlink xmlns:r="http://schemas.openxmlformats.org/officeDocument/2006/relationships" ref="L35" r:id="rId43"/>
    <hyperlink xmlns:r="http://schemas.openxmlformats.org/officeDocument/2006/relationships" ref="L36" r:id="rId44"/>
    <hyperlink xmlns:r="http://schemas.openxmlformats.org/officeDocument/2006/relationships" ref="I37" r:id="rId45"/>
    <hyperlink xmlns:r="http://schemas.openxmlformats.org/officeDocument/2006/relationships" ref="L37" r:id="rId46"/>
    <hyperlink xmlns:r="http://schemas.openxmlformats.org/officeDocument/2006/relationships" ref="L38" r:id="rId47"/>
    <hyperlink xmlns:r="http://schemas.openxmlformats.org/officeDocument/2006/relationships" ref="I39" r:id="rId48"/>
    <hyperlink xmlns:r="http://schemas.openxmlformats.org/officeDocument/2006/relationships" ref="L39" r:id="rId49"/>
    <hyperlink xmlns:r="http://schemas.openxmlformats.org/officeDocument/2006/relationships" ref="L40" r:id="rId50"/>
    <hyperlink xmlns:r="http://schemas.openxmlformats.org/officeDocument/2006/relationships" ref="I41" r:id="rId51"/>
    <hyperlink xmlns:r="http://schemas.openxmlformats.org/officeDocument/2006/relationships" ref="L41" r:id="rId52"/>
    <hyperlink xmlns:r="http://schemas.openxmlformats.org/officeDocument/2006/relationships" ref="L42" r:id="rId53"/>
    <hyperlink xmlns:r="http://schemas.openxmlformats.org/officeDocument/2006/relationships" ref="L43" r:id="rId54"/>
    <hyperlink xmlns:r="http://schemas.openxmlformats.org/officeDocument/2006/relationships" ref="I44" r:id="rId55"/>
    <hyperlink xmlns:r="http://schemas.openxmlformats.org/officeDocument/2006/relationships" ref="L44" r:id="rId56"/>
    <hyperlink xmlns:r="http://schemas.openxmlformats.org/officeDocument/2006/relationships" ref="L45" r:id="rId57"/>
    <hyperlink xmlns:r="http://schemas.openxmlformats.org/officeDocument/2006/relationships" ref="L46" r:id="rId58"/>
    <hyperlink xmlns:r="http://schemas.openxmlformats.org/officeDocument/2006/relationships" ref="L47" r:id="rId59"/>
    <hyperlink xmlns:r="http://schemas.openxmlformats.org/officeDocument/2006/relationships" ref="L48" r:id="rId60"/>
    <hyperlink xmlns:r="http://schemas.openxmlformats.org/officeDocument/2006/relationships" ref="I49" r:id="rId61"/>
    <hyperlink xmlns:r="http://schemas.openxmlformats.org/officeDocument/2006/relationships" ref="L49" r:id="rId62"/>
    <hyperlink xmlns:r="http://schemas.openxmlformats.org/officeDocument/2006/relationships" ref="L50" r:id="rId63"/>
    <hyperlink xmlns:r="http://schemas.openxmlformats.org/officeDocument/2006/relationships" ref="I51" r:id="rId64"/>
    <hyperlink xmlns:r="http://schemas.openxmlformats.org/officeDocument/2006/relationships" ref="L51" r:id="rId65"/>
    <hyperlink xmlns:r="http://schemas.openxmlformats.org/officeDocument/2006/relationships" ref="L52" r:id="rId66"/>
    <hyperlink xmlns:r="http://schemas.openxmlformats.org/officeDocument/2006/relationships" ref="L53" r:id="rId67"/>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29"/>
  <sheetViews>
    <sheetView workbookViewId="0">
      <pane ySplit="1" topLeftCell="A2" activePane="bottomLeft" state="frozen"/>
      <selection pane="bottomLeft" activeCell="A1" sqref="A1"/>
    </sheetView>
  </sheetViews>
  <sheetFormatPr baseColWidth="8" defaultRowHeight="15"/>
  <cols>
    <col width="6" customWidth="1" style="34" min="1" max="1"/>
    <col width="16" customWidth="1" style="34" min="2" max="2"/>
    <col width="34" customWidth="1" style="34" min="3" max="3"/>
    <col width="22" customWidth="1" style="34" min="4" max="4"/>
    <col width="26" customWidth="1" style="34" min="5" max="5"/>
    <col width="28" customWidth="1" style="34" min="6" max="6"/>
    <col width="16" customWidth="1" style="34" min="7" max="7"/>
    <col width="34" customWidth="1" style="34" min="8" max="8"/>
    <col width="18" customWidth="1" style="34" min="9" max="9"/>
    <col width="16" customWidth="1" style="34" min="10" max="10"/>
    <col width="22" customWidth="1" style="34" min="11" max="11"/>
    <col hidden="1" width="20" customWidth="1" style="34" min="12" max="12"/>
    <col width="60" customWidth="1" style="34" min="13" max="13"/>
    <col width="40" customWidth="1" style="34" min="14" max="14"/>
  </cols>
  <sheetData>
    <row r="1" ht="22" customHeight="1" s="34">
      <c r="A1" s="122" t="inlineStr">
        <is>
          <t>Year</t>
        </is>
      </c>
      <c r="B1" s="122" t="inlineStr">
        <is>
          <t>Tier</t>
        </is>
      </c>
      <c r="C1" s="122" t="inlineStr">
        <is>
          <t>Campaign</t>
        </is>
      </c>
      <c r="D1" s="122" t="inlineStr">
        <is>
          <t>Brand</t>
        </is>
      </c>
      <c r="E1" s="122" t="inlineStr">
        <is>
          <t>Product/Service</t>
        </is>
      </c>
      <c r="F1" s="122" t="inlineStr">
        <is>
          <t>Agency</t>
        </is>
      </c>
      <c r="G1" s="122" t="inlineStr">
        <is>
          <t>Country</t>
        </is>
      </c>
      <c r="H1" s="122" t="inlineStr">
        <is>
          <t>Subcategory</t>
        </is>
      </c>
      <c r="I1" s="122" t="inlineStr">
        <is>
          <t>Image URL</t>
        </is>
      </c>
      <c r="J1" s="122" t="inlineStr">
        <is>
          <t>YouTube ID</t>
        </is>
      </c>
      <c r="K1" s="122" t="inlineStr">
        <is>
          <t>Campaign Group</t>
        </is>
      </c>
      <c r="L1" s="122" t="inlineStr">
        <is>
          <t>Entry URL</t>
        </is>
      </c>
      <c r="M1" s="122" t="inlineStr">
        <is>
          <t>Description</t>
        </is>
      </c>
      <c r="N1" s="122" t="inlineStr">
        <is>
          <t>Keywords</t>
        </is>
      </c>
    </row>
    <row r="2">
      <c r="A2" s="127" t="n">
        <v>2025</v>
      </c>
      <c r="B2" s="134" t="inlineStr">
        <is>
          <t>Grand Prix</t>
        </is>
      </c>
      <c r="C2" s="135" t="inlineStr">
        <is>
          <t>Crowd</t>
        </is>
      </c>
      <c r="D2" s="127" t="inlineStr">
        <is>
          <t>KitKat</t>
        </is>
      </c>
      <c r="E2" s="127" t="inlineStr">
        <is>
          <t>KitKat</t>
        </is>
      </c>
      <c r="F2" s="127" t="inlineStr">
        <is>
          <t>VML</t>
        </is>
      </c>
      <c r="G2" s="127" t="inlineStr">
        <is>
          <t>Czech Republic</t>
        </is>
      </c>
      <c r="H2" s="113" t="inlineStr">
        <is>
          <t>A01 - Consumer Goods</t>
        </is>
      </c>
      <c r="I2" s="128" t="inlineStr">
        <is>
          <t>https://ascentialcdn.filespin.io/api/v1/conversion/6dc8ee87b55d449f88c8f8a0868b533a</t>
        </is>
      </c>
      <c r="J2" s="127" t="inlineStr">
        <is>
          <t>ByGNQ3wEbEY</t>
        </is>
      </c>
      <c r="K2" s="127" t="n"/>
      <c r="L2" s="128" t="inlineStr">
        <is>
          <t>https://www.lovethework.com/work/entries/crowd-740225</t>
        </is>
      </c>
      <c r="M2" s="113" t="inlineStr">
        <is>
          <t>A series of out-of-home placements across Czech Republic public transport and streets that use existing crowds of commuters and pedestrians as the visual content of the ad — positioning densely packed people as the reason to take a break. Each execution frames the surrounding crowd through the KitKat creative, making the real-world environment the message.</t>
        </is>
      </c>
      <c r="N2" s="113" t="inlineStr">
        <is>
          <t>chocolate, ooh, public-transport, street, czech-republic, ambient, experiential, consumer-goods, cpg, fmcg</t>
        </is>
      </c>
    </row>
    <row r="3">
      <c r="A3" s="127" t="n">
        <v>2025</v>
      </c>
      <c r="B3" s="134" t="inlineStr">
        <is>
          <t>Grand Prix</t>
        </is>
      </c>
      <c r="C3" s="135" t="inlineStr">
        <is>
          <t>Public Transport</t>
        </is>
      </c>
      <c r="D3" s="127" t="inlineStr">
        <is>
          <t>KitKat</t>
        </is>
      </c>
      <c r="E3" s="127" t="inlineStr">
        <is>
          <t>KitKat</t>
        </is>
      </c>
      <c r="F3" s="127" t="inlineStr">
        <is>
          <t>VML</t>
        </is>
      </c>
      <c r="G3" s="127" t="inlineStr">
        <is>
          <t>Czech Republic</t>
        </is>
      </c>
      <c r="H3" s="113" t="inlineStr">
        <is>
          <t>A01 - Consumer Goods</t>
        </is>
      </c>
      <c r="I3" s="128" t="inlineStr">
        <is>
          <t>https://ascentialcdn.filespin.io/api/v1/conversion/9b1fc196d863402282277d81f4bdf031</t>
        </is>
      </c>
      <c r="J3" s="127" t="inlineStr">
        <is>
          <t>ByGNQ3wEbEY</t>
        </is>
      </c>
      <c r="K3" s="127" t="n"/>
      <c r="L3" s="128" t="inlineStr">
        <is>
          <t>https://www.lovethework.com/work/entries/public-transport-758659</t>
        </is>
      </c>
      <c r="M3" s="113" t="inlineStr">
        <is>
          <t>An outdoor campaign across Czech Republic crowd, public transport, and street placements that depicted commuters and passersby in everyday phone-scrolling situations — but with KitKat bars swapped in place of their smartphones. The images required no explanation: the brand's longstanding "take a break" idea made literal by replacing the object people most compulsively reach for.</t>
        </is>
      </c>
      <c r="N3" s="113" t="inlineStr">
        <is>
          <t>snack, food, packaged-goods, cpg, fmcg, ooh, public-transport, street, czech-republic, print, photography, brand-awareness</t>
        </is>
      </c>
    </row>
    <row r="4">
      <c r="A4" s="127" t="n">
        <v>2025</v>
      </c>
      <c r="B4" s="134" t="inlineStr">
        <is>
          <t>Grand Prix</t>
        </is>
      </c>
      <c r="C4" s="135" t="inlineStr">
        <is>
          <t>Street</t>
        </is>
      </c>
      <c r="D4" s="127" t="inlineStr">
        <is>
          <t>KitKat</t>
        </is>
      </c>
      <c r="E4" s="127" t="inlineStr">
        <is>
          <t>KitKat</t>
        </is>
      </c>
      <c r="F4" s="127" t="inlineStr">
        <is>
          <t>VML</t>
        </is>
      </c>
      <c r="G4" s="127" t="inlineStr">
        <is>
          <t>Czech Republic</t>
        </is>
      </c>
      <c r="H4" s="113" t="inlineStr">
        <is>
          <t>A01 - Consumer Goods</t>
        </is>
      </c>
      <c r="I4" s="128" t="inlineStr">
        <is>
          <t>https://ascentialcdn.filespin.io/api/v1/conversion/ad97fbb0d50649118006eac4d5a902a7</t>
        </is>
      </c>
      <c r="J4" s="127" t="inlineStr">
        <is>
          <t>ByGNQ3wEbEY</t>
        </is>
      </c>
      <c r="K4" s="127" t="n"/>
      <c r="L4" s="128" t="inlineStr">
        <is>
          <t>https://www.lovethework.com/work/entries/street-758667</t>
        </is>
      </c>
      <c r="M4" s="113" t="inlineStr">
        <is>
          <t>Outdoor installations across Czech Republic streets and public transport placements that replaced the expected KitKat branding with images of crowds of people — all looking down at their phones. The work revived the "Have a break, have a KitKat" line without stating it, letting the behavior of the crowd make the case for putting the phone down.</t>
        </is>
      </c>
      <c r="N4" s="113" t="inlineStr">
        <is>
          <t>snack, food, packaged-goods, cpg, fmcg, ooh, public-transport, street, czech-republic, consumer-goods, phone-behavior, outdoor-installation</t>
        </is>
      </c>
    </row>
    <row r="5">
      <c r="A5" s="127" t="n">
        <v>2025</v>
      </c>
      <c r="B5" s="134" t="inlineStr">
        <is>
          <t>Grand Prix</t>
        </is>
      </c>
      <c r="C5" s="135" t="inlineStr">
        <is>
          <t>Olympic Games Opening Ceremony Paris 2024</t>
        </is>
      </c>
      <c r="D5" s="127" t="inlineStr">
        <is>
          <t>Paris 2024</t>
        </is>
      </c>
      <c r="E5" s="127" t="inlineStr">
        <is>
          <t>Paris 2024</t>
        </is>
      </c>
      <c r="F5" s="127" t="inlineStr">
        <is>
          <t>Paname 24</t>
        </is>
      </c>
      <c r="G5" s="127" t="inlineStr">
        <is>
          <t>France</t>
        </is>
      </c>
      <c r="H5" s="113" t="inlineStr">
        <is>
          <t>C04 - Live Advertising and Events</t>
        </is>
      </c>
      <c r="I5" s="128" t="inlineStr">
        <is>
          <t>https://ascentialcdn.filespin.io/api/v1/conversion/60aa1888e5b6444381b060dc1801de84</t>
        </is>
      </c>
      <c r="J5" s="127" t="inlineStr">
        <is>
          <t>t8o4ulxT1Cc</t>
        </is>
      </c>
      <c r="K5" s="127" t="n"/>
      <c r="L5" s="128" t="inlineStr">
        <is>
          <t>https://www.lovethework.com/work/entries/olympic-games-opening-ceremony-paris-2024-740923</t>
        </is>
      </c>
      <c r="M5" s="113" t="inlineStr">
        <is>
          <t>The official opening ceremony of the Paris 2024 Olympics, produced for the IOC and Paris 2024 by the Paname 24 collective — the first Olympic opener staged outside a stadium, sending 6,800 athletes down the Seine on 85 boats and ending with a hot-air-balloon cauldron lifted above the city.</t>
        </is>
      </c>
      <c r="N5" s="113" t="inlineStr">
        <is>
          <t>live-event, olympics, sport, ceremony, paris, large-scale, broadcast, entertainment, partnership, france</t>
        </is>
      </c>
    </row>
    <row r="6">
      <c r="A6" s="127" t="n">
        <v>2025</v>
      </c>
      <c r="B6" s="136" t="inlineStr">
        <is>
          <t>Gold</t>
        </is>
      </c>
      <c r="C6" s="135" t="inlineStr">
        <is>
          <t>The Sip of Sanctuary</t>
        </is>
      </c>
      <c r="D6" s="127" t="inlineStr">
        <is>
          <t>Stella Artois</t>
        </is>
      </c>
      <c r="E6" s="127" t="inlineStr">
        <is>
          <t>Stella Artois</t>
        </is>
      </c>
      <c r="F6" s="127" t="inlineStr">
        <is>
          <t>Grey</t>
        </is>
      </c>
      <c r="G6" s="127" t="inlineStr">
        <is>
          <t>United Kingdom</t>
        </is>
      </c>
      <c r="H6" s="113" t="inlineStr">
        <is>
          <t>A01 - Consumer Goods</t>
        </is>
      </c>
      <c r="I6" s="128" t="inlineStr">
        <is>
          <t>https://ascentialcdn.filespin.io/api/v1/conversion/bc046e548975443980453424bc30515a</t>
        </is>
      </c>
      <c r="J6" s="127" t="inlineStr"/>
      <c r="K6" s="127" t="n"/>
      <c r="L6" s="128" t="inlineStr">
        <is>
          <t>https://www.lovethework.com/work/entries/the-sip-of-sanctuary-740333</t>
        </is>
      </c>
      <c r="M6" s="113" t="inlineStr">
        <is>
          <t>A print campaign for Stella Artois, created by Grey London, built around three posters — "The Sip of Sanctuary," "Protector of the Chalice," and "Happiness Within Chaos" — each depicting the Stella Artois chalice as a refuge of calm amid surrounding disorder or threat. The imagery uses the glass itself as the visual anchor, framing a quiet moment of stillness as something worth protecting.</t>
        </is>
      </c>
      <c r="N6" s="113" t="inlineStr">
        <is>
          <t>beer, alcohol, print, poster, visual-storytelling, united-kingdom, illustration, campaign</t>
        </is>
      </c>
    </row>
    <row r="7">
      <c r="A7" s="127" t="n">
        <v>2025</v>
      </c>
      <c r="B7" s="136" t="inlineStr">
        <is>
          <t>Gold</t>
        </is>
      </c>
      <c r="C7" s="135" t="inlineStr">
        <is>
          <t>Protector of the Chalice</t>
        </is>
      </c>
      <c r="D7" s="127" t="inlineStr">
        <is>
          <t>Stella Artois</t>
        </is>
      </c>
      <c r="E7" s="127" t="inlineStr">
        <is>
          <t>Stella Artois</t>
        </is>
      </c>
      <c r="F7" s="127" t="inlineStr">
        <is>
          <t>Grey</t>
        </is>
      </c>
      <c r="G7" s="127" t="inlineStr">
        <is>
          <t>United Kingdom</t>
        </is>
      </c>
      <c r="H7" s="113" t="inlineStr">
        <is>
          <t>A01 - Consumer Goods</t>
        </is>
      </c>
      <c r="I7" s="128" t="inlineStr">
        <is>
          <t>https://ascentialcdn.filespin.io/api/v1/conversion/a33c9462c05d4330895b056745b6a602</t>
        </is>
      </c>
      <c r="J7" s="127" t="inlineStr"/>
      <c r="K7" s="127" t="n"/>
      <c r="L7" s="128" t="inlineStr">
        <is>
          <t>https://www.lovethework.com/work/entries/protector-of-the-chalice-740342</t>
        </is>
      </c>
      <c r="M7" s="113" t="inlineStr">
        <is>
          <t>A series of posters by Grey London depicting people drinking a Stella Artois pint in crowded, chaotic surroundings — the chalice held steady and upright as the world presses in around it. Each execution frames the glass as a personal sanctuary, the one still point in a scene of noise and compression.</t>
        </is>
      </c>
      <c r="N7" s="113" t="inlineStr">
        <is>
          <t>beer, alcohol, print, ooh, poster, united-kingdom, illustration, consumer-goods, cpg, fmcg</t>
        </is>
      </c>
    </row>
    <row r="8">
      <c r="A8" s="127" t="n">
        <v>2025</v>
      </c>
      <c r="B8" s="136" t="inlineStr">
        <is>
          <t>Gold</t>
        </is>
      </c>
      <c r="C8" s="135" t="inlineStr">
        <is>
          <t>Happiness Within Chaos</t>
        </is>
      </c>
      <c r="D8" s="127" t="inlineStr">
        <is>
          <t>Stella Artois</t>
        </is>
      </c>
      <c r="E8" s="127" t="inlineStr">
        <is>
          <t>Stella Artois</t>
        </is>
      </c>
      <c r="F8" s="127" t="inlineStr">
        <is>
          <t>Grey</t>
        </is>
      </c>
      <c r="G8" s="127" t="inlineStr">
        <is>
          <t>United Kingdom</t>
        </is>
      </c>
      <c r="H8" s="113" t="inlineStr">
        <is>
          <t>A01 - Consumer Goods</t>
        </is>
      </c>
      <c r="I8" s="128" t="inlineStr">
        <is>
          <t>https://ascentialcdn.filespin.io/api/v1/conversion/882ea591b6fa40b29a529180b71afa65</t>
        </is>
      </c>
      <c r="J8" s="127" t="n"/>
      <c r="K8" s="127" t="n"/>
      <c r="L8" s="128" t="inlineStr">
        <is>
          <t>https://www.lovethework.com/work/entries/happiness-within-chaos-740351</t>
        </is>
      </c>
      <c r="M8" s="113" t="inlineStr">
        <is>
          <t>A print campaign by Grey London that places a Stella Artois chalice — and the calm of drinking from it — inside visually hectic scenes, contrasting the stillness of the glass against surrounding disorder. Each execution in the series isolates the moment of a sip as a pocket of quiet amid crowds, noise, and clutter.</t>
        </is>
      </c>
      <c r="N8" s="113" t="inlineStr">
        <is>
          <t>beer, alcohol, print, ooh, united-kingdom, campaign-series, illustration, consumer-goods, cpg, fmcg</t>
        </is>
      </c>
    </row>
    <row r="9">
      <c r="A9" s="127" t="n">
        <v>2025</v>
      </c>
      <c r="B9" s="136" t="inlineStr">
        <is>
          <t>Gold</t>
        </is>
      </c>
      <c r="C9" s="135" t="inlineStr">
        <is>
          <t>Fries</t>
        </is>
      </c>
      <c r="D9" s="127" t="inlineStr">
        <is>
          <t>Heinz</t>
        </is>
      </c>
      <c r="E9" s="127" t="inlineStr">
        <is>
          <t>Heinz</t>
        </is>
      </c>
      <c r="F9" s="127" t="inlineStr">
        <is>
          <t>Wieden+Kennedy</t>
        </is>
      </c>
      <c r="G9" s="127" t="inlineStr">
        <is>
          <t>United Kingdom</t>
        </is>
      </c>
      <c r="H9" s="113" t="inlineStr">
        <is>
          <t>B01 - Consumer Goods</t>
        </is>
      </c>
      <c r="I9" s="128" t="inlineStr">
        <is>
          <t>https://ascentialcdn.filespin.io/api/v1/conversion/9e7a10af468b4293bb13624b6ac695d7</t>
        </is>
      </c>
      <c r="J9" s="127" t="inlineStr">
        <is>
          <t>vimeo:1167690695</t>
        </is>
      </c>
      <c r="K9" s="127" t="n"/>
      <c r="L9" s="128" t="inlineStr">
        <is>
          <t>https://www.lovethework.com/work/entries/fries-740416</t>
        </is>
      </c>
      <c r="M9" s="113" t="inlineStr">
        <is>
          <t>A print and outdoor campaign from Wieden+Kennedy London that strips the Heinz label down to its iconic keystone frame, filling it with close-up photography of the brand's classic food pairings — fries, chips, and toast — with no product name required. The work leans on the idea that after 156 years, Heinz's associations are so ingrained in British culture that the pairings alone are enough to trigger recognition of the condiment.</t>
        </is>
      </c>
      <c r="N9" s="113" t="inlineStr">
        <is>
          <t>condiment, print, ooh, photography, brand-identity, united-kingdom, food-pairing, minimalism</t>
        </is>
      </c>
    </row>
    <row r="10">
      <c r="A10" s="127" t="n">
        <v>2025</v>
      </c>
      <c r="B10" s="136" t="inlineStr">
        <is>
          <t>Gold</t>
        </is>
      </c>
      <c r="C10" s="135" t="inlineStr">
        <is>
          <t>Chips</t>
        </is>
      </c>
      <c r="D10" s="127" t="inlineStr">
        <is>
          <t>Heinz</t>
        </is>
      </c>
      <c r="E10" s="127" t="inlineStr">
        <is>
          <t>Heinz</t>
        </is>
      </c>
      <c r="F10" s="127" t="inlineStr">
        <is>
          <t>Wieden+Kennedy</t>
        </is>
      </c>
      <c r="G10" s="127" t="inlineStr">
        <is>
          <t>United Kingdom</t>
        </is>
      </c>
      <c r="H10" s="113" t="inlineStr">
        <is>
          <t>B01 - Consumer Goods</t>
        </is>
      </c>
      <c r="I10" s="128" t="inlineStr">
        <is>
          <t>https://ascentialcdn.filespin.io/api/v1/conversion/98502860304b486096f96cbacf35f7ac</t>
        </is>
      </c>
      <c r="J10" s="127" t="inlineStr">
        <is>
          <t>vimeo:1167690695</t>
        </is>
      </c>
      <c r="K10" s="127" t="n"/>
      <c r="L10" s="128" t="inlineStr">
        <is>
          <t>https://www.lovethework.com/work/entries/chips-740534</t>
        </is>
      </c>
      <c r="M10" s="113" t="inlineStr">
        <is>
          <t>An outdoor campaign across major UK cities that swaps the word "Heinz" out of the brand's long-running "It Has to Be Heinz" tagline and replaces it with the food that completes the pairing — "It Has to Be Chips," "It Has to Be Toast," "It Has to Be Fries." Each execution centers on a single Heinz product shot alongside its instinctive companion, built on the idea that certain food combinations have become so fixed in British taste memory that either half of the pair can cue the brand. Produced by Studio Philotheus Nisch, Berlin.</t>
        </is>
      </c>
      <c r="N10" s="113" t="inlineStr">
        <is>
          <t>condiment, ooh, print, united-kingdom, campaign, food, copywriting, brand-tagline</t>
        </is>
      </c>
    </row>
    <row r="11">
      <c r="A11" s="127" t="n">
        <v>2025</v>
      </c>
      <c r="B11" s="136" t="inlineStr">
        <is>
          <t>Gold</t>
        </is>
      </c>
      <c r="C11" s="135" t="inlineStr">
        <is>
          <t>Toast</t>
        </is>
      </c>
      <c r="D11" s="127" t="inlineStr">
        <is>
          <t>Heinz</t>
        </is>
      </c>
      <c r="E11" s="127" t="inlineStr">
        <is>
          <t>Heinz</t>
        </is>
      </c>
      <c r="F11" s="127" t="inlineStr">
        <is>
          <t>Wieden+Kennedy</t>
        </is>
      </c>
      <c r="G11" s="127" t="inlineStr">
        <is>
          <t>United Kingdom</t>
        </is>
      </c>
      <c r="H11" s="113" t="inlineStr">
        <is>
          <t>B01 - Consumer Goods</t>
        </is>
      </c>
      <c r="I11" s="128" t="inlineStr">
        <is>
          <t>https://ascentialcdn.filespin.io/api/v1/conversion/19b79ceaf445400d88e358d61316e067</t>
        </is>
      </c>
      <c r="J11" s="127" t="inlineStr">
        <is>
          <t>vimeo:1167690695</t>
        </is>
      </c>
      <c r="K11" s="127" t="n"/>
      <c r="L11" s="128" t="inlineStr">
        <is>
          <t>https://www.lovethework.com/work/entries/toast-740549</t>
        </is>
      </c>
      <c r="M11" s="113" t="inlineStr">
        <is>
          <t>A print and outdoor campaign of extreme close-up images pairing Heinz products with the British foods they're most associated with — fries, chips, and toast — shot to trigger sensory food memories rather than show full meals. Created by Wieden+Kennedy London, the work runs nationwide across the United Kingdom as a masterbrand campaign built on the observation that Heinz is inseparable from the taste of specific everyday foods.</t>
        </is>
      </c>
      <c r="N11" s="113" t="inlineStr">
        <is>
          <t>condiment, print, ooh, food-photography, masterbrand, united-kingdom, consumer-goods, cpg, fmcg</t>
        </is>
      </c>
    </row>
    <row r="12">
      <c r="A12" s="127" t="n">
        <v>2025</v>
      </c>
      <c r="B12" s="136" t="inlineStr">
        <is>
          <t>Gold</t>
        </is>
      </c>
      <c r="C12" s="135" t="inlineStr">
        <is>
          <t>Scratch &amp; Sniff</t>
        </is>
      </c>
      <c r="D12" s="127" t="inlineStr">
        <is>
          <t>Axe/Lynx</t>
        </is>
      </c>
      <c r="E12" s="127" t="inlineStr">
        <is>
          <t>Deodorant</t>
        </is>
      </c>
      <c r="F12" s="127" t="inlineStr">
        <is>
          <t>Lola MullenLowe</t>
        </is>
      </c>
      <c r="G12" s="127" t="inlineStr">
        <is>
          <t>Spain</t>
        </is>
      </c>
      <c r="H12" s="113" t="inlineStr">
        <is>
          <t>C01 - Displays</t>
        </is>
      </c>
      <c r="I12" s="128" t="inlineStr">
        <is>
          <t>https://ascentialcdn.filespin.io/api/v1/conversion/a4189a00c22b49558f6796c1b0fdf90c</t>
        </is>
      </c>
      <c r="J12" s="127" t="inlineStr">
        <is>
          <t>L5RfU7Jmoug</t>
        </is>
      </c>
      <c r="K12" s="127" t="n"/>
      <c r="L12" s="128" t="inlineStr">
        <is>
          <t>https://www.lovethework.com/work/entries/scratch-sniff-740665</t>
        </is>
      </c>
      <c r="M12" s="113" t="inlineStr">
        <is>
          <t>Scratch-and-sniff OOH panels placed in ambient locations to launch Axe/Lynx's new Lower Body Spray — a fine fragrance designed specifically for the groin area. The displays invited passersby to scratch the panel and smell the product, turning a taboo self-checking habit into a direct fragrance sampling mechanic.</t>
        </is>
      </c>
      <c r="N12" s="113" t="inlineStr">
        <is>
          <t>deodorant, personal-care, beauty, ooh, ambient, experiential, scent, sampling, spain, displays</t>
        </is>
      </c>
    </row>
    <row r="13">
      <c r="A13" s="127" t="n">
        <v>2025</v>
      </c>
      <c r="B13" s="136" t="inlineStr">
        <is>
          <t>Gold</t>
        </is>
      </c>
      <c r="C13" s="135" t="inlineStr">
        <is>
          <t>Shades of Red</t>
        </is>
      </c>
      <c r="D13" s="127" t="inlineStr">
        <is>
          <t>Coca-Cola</t>
        </is>
      </c>
      <c r="E13" s="127" t="inlineStr">
        <is>
          <t>Coca-Cola Company</t>
        </is>
      </c>
      <c r="F13" s="127" t="inlineStr">
        <is>
          <t>David</t>
        </is>
      </c>
      <c r="G13" s="127" t="inlineStr">
        <is>
          <t>Spain</t>
        </is>
      </c>
      <c r="H13" s="113" t="inlineStr">
        <is>
          <t>C03 - Special Build</t>
        </is>
      </c>
      <c r="I13" s="128" t="inlineStr">
        <is>
          <t>https://ascentialcdn.filespin.io/api/v1/conversion/b9b1ac806434448cb6648aa308f263db</t>
        </is>
      </c>
      <c r="J13" s="127" t="inlineStr">
        <is>
          <t>vimeo:1083484983</t>
        </is>
      </c>
      <c r="K13" s="127" t="n"/>
      <c r="L13" s="128" t="inlineStr">
        <is>
          <t>https://www.lovethework.com/work/entries/shades-of-red-740785</t>
        </is>
      </c>
      <c r="M13" s="113" t="inlineStr">
        <is>
          <t>A program that retired 12,700 sun-faded red awnings from Mexico's small 'tiendita' corner stores and replaced them. Each shop's old awning was repurposed into branded billboards and merch, and Coca-Cola pressed a limited run of cans whose label color matched the exact, faded shade of red on each shop's awning.</t>
        </is>
      </c>
      <c r="N13" s="113" t="inlineStr">
        <is>
          <t>retail, ooh, packaging, partnership, small-business, mexico, beverage, drinks, single-market</t>
        </is>
      </c>
    </row>
    <row r="14">
      <c r="A14" s="127" t="n">
        <v>2025</v>
      </c>
      <c r="B14" s="136" t="inlineStr">
        <is>
          <t>Gold</t>
        </is>
      </c>
      <c r="C14" s="135" t="inlineStr">
        <is>
          <t>Missed Birthdays</t>
        </is>
      </c>
      <c r="D14" s="127" t="inlineStr">
        <is>
          <t>Itv X Calm</t>
        </is>
      </c>
      <c r="E14" s="127" t="inlineStr">
        <is>
          <t>Itv X Calm</t>
        </is>
      </c>
      <c r="F14" s="127" t="inlineStr">
        <is>
          <t>adam&amp;eveDDB</t>
        </is>
      </c>
      <c r="G14" s="127" t="inlineStr">
        <is>
          <t>United Kingdom</t>
        </is>
      </c>
      <c r="H14" s="113" t="inlineStr">
        <is>
          <t>C04 - Live Advertising and Events</t>
        </is>
      </c>
      <c r="I14" s="128" t="inlineStr">
        <is>
          <t>https://ascentialcdn.filespin.io/api/v1/conversion/238b3e3f0aab4c3fa9adf2b23d50eab3</t>
        </is>
      </c>
      <c r="J14" s="127" t="inlineStr">
        <is>
          <t>ifZVZ4fX4gg</t>
        </is>
      </c>
      <c r="K14" s="127" t="n"/>
      <c r="L14" s="128" t="inlineStr">
        <is>
          <t>https://www.lovethework.com/work/entries/missed-birthdays-740958</t>
        </is>
      </c>
      <c r="M14" s="113" t="inlineStr">
        <is>
          <t>A live television moment built around a birthday cake — on what would have been Evelyn's 18th birthday, ITV broadcast a real-time celebration of a young person who died by suicide, with the candles, the cake, and the empty chair making visible the birthdays that families of suicide victims never get to mark. Created with mental health charity CALM (Campaign Against Living Miserably), the broadcast directed viewers to CALM's tools for supporting young people who may be struggling.</t>
        </is>
      </c>
      <c r="N14" s="113" t="inlineStr">
        <is>
          <t>live-advertising, television, mental-health, healthcare, medical, suicide-prevention, public-service, united-kingdom, charity, broadcast, entertainment</t>
        </is>
      </c>
    </row>
    <row r="15">
      <c r="A15" s="127" t="n">
        <v>2025</v>
      </c>
      <c r="B15" s="136" t="inlineStr">
        <is>
          <t>Gold</t>
        </is>
      </c>
      <c r="C15" s="135" t="inlineStr">
        <is>
          <t>Tracking Bad Bunny</t>
        </is>
      </c>
      <c r="D15" s="127" t="inlineStr">
        <is>
          <t>Rimas Music</t>
        </is>
      </c>
      <c r="E15" s="127" t="inlineStr">
        <is>
          <t>Bad Bunny</t>
        </is>
      </c>
      <c r="F15" s="127" t="inlineStr">
        <is>
          <t>DDB Latina Puerto Rico</t>
        </is>
      </c>
      <c r="G15" s="127" t="inlineStr">
        <is>
          <t>Puerto Rico</t>
        </is>
      </c>
      <c r="H15" s="113" t="inlineStr">
        <is>
          <t>C05 - Interactive Experiences</t>
        </is>
      </c>
      <c r="I15" s="128" t="inlineStr">
        <is>
          <t>https://ascentialcdn.filespin.io/api/v1/conversion/8c433c0437494277a7cb3b8c1148b82c</t>
        </is>
      </c>
      <c r="J15" s="127" t="inlineStr">
        <is>
          <t>-3Aq3u6EJZ4</t>
        </is>
      </c>
      <c r="K15" s="127" t="n"/>
      <c r="L15" s="128" t="inlineStr">
        <is>
          <t>https://www.lovethework.com/work/entries/tracking-bad-bunny-759229</t>
        </is>
      </c>
      <c r="M15" s="113" t="inlineStr">
        <is>
          <t>A GPS-based scavenger hunt built around Bad Bunny's album release that sent fans to physical locations across Puerto Rico, using the artist's real-time movements as waypoints in a digital tracking experience. Created by DDB Latina Puerto Rico for Rimas Music, the mechanic turned the island itself into the stage for the launch.</t>
        </is>
      </c>
      <c r="N15" s="113" t="inlineStr">
        <is>
          <t>music, entertainment, interactive-experience, gps, scavenger-hunt, mobile, puerto-rico, album-launch, fan-engagement</t>
        </is>
      </c>
    </row>
    <row r="16">
      <c r="A16" s="127" t="n">
        <v>2025</v>
      </c>
      <c r="B16" s="136" t="inlineStr">
        <is>
          <t>Gold</t>
        </is>
      </c>
      <c r="C16" s="135" t="inlineStr">
        <is>
          <t>Gulf of Mexico (Bar)</t>
        </is>
      </c>
      <c r="D16" s="127" t="inlineStr">
        <is>
          <t>Tecate</t>
        </is>
      </c>
      <c r="E16" s="127" t="inlineStr">
        <is>
          <t>Tecate Light</t>
        </is>
      </c>
      <c r="F16" s="127" t="inlineStr">
        <is>
          <t>LePub</t>
        </is>
      </c>
      <c r="G16" s="127" t="inlineStr">
        <is>
          <t>Mexico</t>
        </is>
      </c>
      <c r="H16" s="113" t="inlineStr">
        <is>
          <t>E01 - Local Brand</t>
        </is>
      </c>
      <c r="I16" s="128" t="inlineStr">
        <is>
          <t>https://ascentialcdn.filespin.io/api/v1/conversion/afa88aa8421b41a18c68b9863bb6926c</t>
        </is>
      </c>
      <c r="J16" s="127" t="inlineStr">
        <is>
          <t>TFbAS7weMR8</t>
        </is>
      </c>
      <c r="K16" s="127" t="n"/>
      <c r="L16" s="128" t="inlineStr">
        <is>
          <t>https://www.lovethework.com/work/entries/gulf-of-mexico-bar-741350</t>
        </is>
      </c>
      <c r="M16" s="113" t="inlineStr">
        <is>
          <t>A floating bar built on a boat in the Gulf of Mexico, accessible only by sea and named 'Golfo de México' — a response to a U.S. proposal to rename the gulf the 'Gulf of America.' To pair, Tecate launched a special-edition Tecate Light brewed with salt harvested from the disputed waters.</t>
        </is>
      </c>
      <c r="N16" s="113" t="inlineStr">
        <is>
          <t>ooh, brand-stunt, political-commentary, beer, alcohol, packaging, mexico, branded-venue, special-edition</t>
        </is>
      </c>
    </row>
    <row r="17">
      <c r="A17" s="127" t="n">
        <v>2025</v>
      </c>
      <c r="B17" s="136" t="inlineStr">
        <is>
          <t>Gold</t>
        </is>
      </c>
      <c r="C17" s="135" t="inlineStr">
        <is>
          <t>Price Packs</t>
        </is>
      </c>
      <c r="D17" s="127" t="inlineStr">
        <is>
          <t>Penny</t>
        </is>
      </c>
      <c r="E17" s="127" t="inlineStr">
        <is>
          <t>Food/Non-Food</t>
        </is>
      </c>
      <c r="F17" s="127" t="inlineStr">
        <is>
          <t>Serviceplan Germany</t>
        </is>
      </c>
      <c r="G17" s="127" t="inlineStr">
        <is>
          <t>Germany</t>
        </is>
      </c>
      <c r="H17" s="113" t="inlineStr">
        <is>
          <t>E02 - Challenger Brand</t>
        </is>
      </c>
      <c r="I17" s="128" t="inlineStr">
        <is>
          <t>https://ascentialcdn.filespin.io/api/v1/conversion/67b6df2a0fe64deeb274c91d50040c54</t>
        </is>
      </c>
      <c r="J17" s="127" t="inlineStr">
        <is>
          <t>cnAXR4lk6R0</t>
        </is>
      </c>
      <c r="K17" s="127" t="n"/>
      <c r="L17" s="128" t="inlineStr">
        <is>
          <t>https://www.lovethework.com/work/entries/price-packs-741243</t>
        </is>
      </c>
      <c r="M17" s="113" t="inlineStr">
        <is>
          <t>A packaging redesign for five Penny staples — oatmeal, toast, salt, crisps, mayonnaise — that swaps standard product graphics for the locked-in low price rendered enormous on the front of the pack. The shelf becomes its own price-stability ad, with the same visual extended to outdoor across all 2,100 stores.</t>
        </is>
      </c>
      <c r="N17" s="113" t="inlineStr">
        <is>
          <t>packaging, retail, ooh, supermarket, grocery, design, price, germany, market-disruption</t>
        </is>
      </c>
    </row>
    <row r="18">
      <c r="A18" s="127" t="n">
        <v>2025</v>
      </c>
      <c r="B18" s="136" t="inlineStr">
        <is>
          <t>Gold</t>
        </is>
      </c>
      <c r="C18" s="135" t="inlineStr">
        <is>
          <t>Lucky Yatra</t>
        </is>
      </c>
      <c r="D18" s="127" t="inlineStr">
        <is>
          <t>Indian Railways</t>
        </is>
      </c>
      <c r="E18" s="127" t="inlineStr">
        <is>
          <t>Railway Service</t>
        </is>
      </c>
      <c r="F18" s="127" t="inlineStr">
        <is>
          <t>FCB India</t>
        </is>
      </c>
      <c r="G18" s="127" t="inlineStr">
        <is>
          <t>India</t>
        </is>
      </c>
      <c r="H18" s="113" t="inlineStr">
        <is>
          <t>E04 - Social Behaviour</t>
        </is>
      </c>
      <c r="I18" s="128" t="inlineStr">
        <is>
          <t>https://ascentialcdn.filespin.io/api/v1/conversion/7771593e59654e55b2c0654f5d61ec8e</t>
        </is>
      </c>
      <c r="J18" s="127" t="inlineStr">
        <is>
          <t>IYJlZRbvMEw</t>
        </is>
      </c>
      <c r="K18" s="127" t="n"/>
      <c r="L18" s="128" t="inlineStr">
        <is>
          <t>https://www.lovethework.com/work/entries/lucky-yatra-741463</t>
        </is>
      </c>
      <c r="M18" s="113" t="inlineStr">
        <is>
          <t>A loyalty program built into the ticketing system of Indian Railways: every valid ticket carries a unique number that's auto-entered into daily and weekly cash prize draws. Designed to turn ticketless travel — an entrenched habit on one of the world's largest rail networks — into a paid behavior worth doing.</t>
        </is>
      </c>
      <c r="N18" s="113" t="inlineStr">
        <is>
          <t>railway-service, loyalty-program, public-service, mobile-app, india, gamification, ticketing</t>
        </is>
      </c>
    </row>
    <row r="19">
      <c r="A19" s="127" t="n">
        <v>2025</v>
      </c>
      <c r="B19" s="137" t="inlineStr">
        <is>
          <t>Silver</t>
        </is>
      </c>
      <c r="C19" s="135" t="inlineStr">
        <is>
          <t>Windsurf</t>
        </is>
      </c>
      <c r="D19" s="127" t="inlineStr">
        <is>
          <t>Cornetto</t>
        </is>
      </c>
      <c r="E19" s="127" t="inlineStr">
        <is>
          <t>Cornetto Ice Cream</t>
        </is>
      </c>
      <c r="F19" s="127" t="inlineStr">
        <is>
          <t>Lola MullenLowe</t>
        </is>
      </c>
      <c r="G19" s="127" t="inlineStr">
        <is>
          <t>Spain</t>
        </is>
      </c>
      <c r="H19" s="113" t="inlineStr">
        <is>
          <t>B01 - Consumer Goods</t>
        </is>
      </c>
      <c r="I19" s="128" t="inlineStr">
        <is>
          <t>https://ascentialcdn.filespin.io/api/v1/conversion/2f9ebcc7b9ec4ad9a4dcf79bd56fa88b</t>
        </is>
      </c>
      <c r="J19" s="127" t="inlineStr">
        <is>
          <t>hWhvFLwHOlE</t>
        </is>
      </c>
      <c r="K19" s="127" t="n"/>
      <c r="L19" s="128" t="inlineStr">
        <is>
          <t>https://www.lovethework.com/work/entries/windsurf-740535</t>
        </is>
      </c>
      <c r="M19" s="113" t="inlineStr">
        <is>
          <t>A series of outdoor print ads for Cornetto in Spain, each built around the shape of an unwrapped Cornetto cone used as the central graphic element — the wafer tip and chocolate base forming the hull of a boat, the body of a windsurfer, the arc of a wave, and the silhouette of a diver. Each execution in the "Unwrap It" campaign uses only the product's own geometry to construct a summer scene, with no additional illustration.</t>
        </is>
      </c>
      <c r="N19" s="113" t="inlineStr">
        <is>
          <t>ice-cream, ooh, print, outdoor, illustration, spain, summer, product-as-image, graphic-design</t>
        </is>
      </c>
    </row>
    <row r="20">
      <c r="A20" s="127" t="n">
        <v>2025</v>
      </c>
      <c r="B20" s="137" t="inlineStr">
        <is>
          <t>Silver</t>
        </is>
      </c>
      <c r="C20" s="135" t="inlineStr">
        <is>
          <t>Surfer</t>
        </is>
      </c>
      <c r="D20" s="127" t="inlineStr">
        <is>
          <t>Cornetto</t>
        </is>
      </c>
      <c r="E20" s="127" t="inlineStr">
        <is>
          <t>Cornetto Ice Cream</t>
        </is>
      </c>
      <c r="F20" s="127" t="inlineStr">
        <is>
          <t>Lola MullenLowe</t>
        </is>
      </c>
      <c r="G20" s="127" t="inlineStr">
        <is>
          <t>Spain</t>
        </is>
      </c>
      <c r="H20" s="113" t="inlineStr">
        <is>
          <t>B01 - Consumer Goods</t>
        </is>
      </c>
      <c r="I20" s="128" t="inlineStr">
        <is>
          <t>https://ascentialcdn.filespin.io/api/v1/conversion/9ceaf650a007496f90b6d5670786b4df</t>
        </is>
      </c>
      <c r="J20" s="127" t="inlineStr">
        <is>
          <t>hWhvFLwHOlE</t>
        </is>
      </c>
      <c r="K20" s="127" t="n"/>
      <c r="L20" s="128" t="inlineStr">
        <is>
          <t>https://www.lovethework.com/work/entries/surfer-740546</t>
        </is>
      </c>
      <c r="M20" s="113" t="inlineStr">
        <is>
          <t>A graphic print series for Cornetto ice cream in which the wrapper of a half-unwrapped cone doubles as a visual element of a summer scene — a sail, a wave, a surfer's board, a diver's arc. Each execution uses only the product and its packaging to complete the image, with no additional illustration.</t>
        </is>
      </c>
      <c r="N20" s="113" t="inlineStr">
        <is>
          <t>ice-cream, print, ooh, packaging, outdoor, graphic-design, spain, consumer-goods, cpg, fmcg</t>
        </is>
      </c>
    </row>
    <row r="21">
      <c r="A21" s="127" t="n">
        <v>2025</v>
      </c>
      <c r="B21" s="137" t="inlineStr">
        <is>
          <t>Silver</t>
        </is>
      </c>
      <c r="C21" s="135" t="inlineStr">
        <is>
          <t>Waves</t>
        </is>
      </c>
      <c r="D21" s="127" t="inlineStr">
        <is>
          <t>Cornetto</t>
        </is>
      </c>
      <c r="E21" s="127" t="inlineStr">
        <is>
          <t>Cornetto Ice Cream</t>
        </is>
      </c>
      <c r="F21" s="127" t="inlineStr">
        <is>
          <t>Lola MullenLowe</t>
        </is>
      </c>
      <c r="G21" s="127" t="inlineStr">
        <is>
          <t>Spain</t>
        </is>
      </c>
      <c r="H21" s="113" t="inlineStr">
        <is>
          <t>B01 - Consumer Goods</t>
        </is>
      </c>
      <c r="I21" s="128" t="inlineStr">
        <is>
          <t>https://ascentialcdn.filespin.io/api/v1/conversion/35c567148f6e40e1a267849bde62ba92</t>
        </is>
      </c>
      <c r="J21" s="127" t="inlineStr">
        <is>
          <t>hWhvFLwHOlE</t>
        </is>
      </c>
      <c r="K21" s="127" t="n"/>
      <c r="L21" s="128" t="inlineStr">
        <is>
          <t>https://www.lovethework.com/work/entries/waves-740554</t>
        </is>
      </c>
      <c r="M21" s="113" t="inlineStr">
        <is>
          <t>A series of outdoor and print posters built entirely from Cornetto ice cream wrappers, cut and assembled into collages depicting summer scenes — waves, surfers, boats, divers, and windsurfers — using only the packaging's own printed surface as raw material. Each scene is constructed from magazine-style clippings of the wrapper's existing imagery, so the product itself becomes the medium.</t>
        </is>
      </c>
      <c r="N21" s="113" t="inlineStr">
        <is>
          <t>ice-cream, print, ooh, packaging, collage, summer, spain, consumer-goods, cpg, fmcg</t>
        </is>
      </c>
    </row>
    <row r="22">
      <c r="A22" s="127" t="n">
        <v>2025</v>
      </c>
      <c r="B22" s="137" t="inlineStr">
        <is>
          <t>Silver</t>
        </is>
      </c>
      <c r="C22" s="135" t="inlineStr">
        <is>
          <t>Boat</t>
        </is>
      </c>
      <c r="D22" s="127" t="inlineStr">
        <is>
          <t>Cornetto</t>
        </is>
      </c>
      <c r="E22" s="127" t="inlineStr">
        <is>
          <t>Cornetto Ice Cream</t>
        </is>
      </c>
      <c r="F22" s="127" t="inlineStr">
        <is>
          <t>Lola MullenLowe</t>
        </is>
      </c>
      <c r="G22" s="127" t="inlineStr">
        <is>
          <t>Spain</t>
        </is>
      </c>
      <c r="H22" s="113" t="inlineStr">
        <is>
          <t>B01 - Consumer Goods</t>
        </is>
      </c>
      <c r="I22" s="128" t="inlineStr">
        <is>
          <t>https://ascentialcdn.filespin.io/api/v1/conversion/3a177c8b37754037a19ddf0d99c858db</t>
        </is>
      </c>
      <c r="J22" s="127" t="inlineStr">
        <is>
          <t>hWhvFLwHOlE</t>
        </is>
      </c>
      <c r="K22" s="127" t="n"/>
      <c r="L22" s="128" t="inlineStr">
        <is>
          <t>https://www.lovethework.com/work/entries/boat-740365</t>
        </is>
      </c>
      <c r="M22" s="113" t="inlineStr">
        <is>
          <t>A print series for Cornetto ice cream in which the wrapper of each cone is peeled back to reveal a summer scene — a boat, waves, a surfer, a diver, a windsurfer — illustrated within the negative space of the unwrapped packaging. Each execution uses the act of unwrapping as the visual mechanic, so the cone's foil becomes both the frame and the subject.</t>
        </is>
      </c>
      <c r="N22" s="113" t="inlineStr">
        <is>
          <t>ice-cream, print, outdoor, packaging, illustration, spain, consumer-goods, cpg, fmcg, ooh</t>
        </is>
      </c>
    </row>
    <row r="23">
      <c r="A23" s="127" t="n">
        <v>2025</v>
      </c>
      <c r="B23" s="137" t="inlineStr">
        <is>
          <t>Silver</t>
        </is>
      </c>
      <c r="C23" s="135" t="inlineStr">
        <is>
          <t>Bundles of Joy OOH2</t>
        </is>
      </c>
      <c r="D23" s="127" t="inlineStr">
        <is>
          <t>Burger King UK</t>
        </is>
      </c>
      <c r="E23" s="127" t="inlineStr">
        <is>
          <t>Whopper</t>
        </is>
      </c>
      <c r="F23" s="127" t="inlineStr">
        <is>
          <t>BBH</t>
        </is>
      </c>
      <c r="G23" s="127" t="inlineStr">
        <is>
          <t>United Kingdom</t>
        </is>
      </c>
      <c r="H23" s="113" t="inlineStr">
        <is>
          <t>B04 - Travel, Leisure, Retail, Restaurants &amp; Fast-Food Chains</t>
        </is>
      </c>
      <c r="I23" s="127" t="inlineStr">
        <is>
          <t>digital-presentation-images/outdoor-burger-king-bundles-of-joy-ooh2.webp</t>
        </is>
      </c>
      <c r="J23" s="127" t="inlineStr">
        <is>
          <t>aVzEfsIC9KQ</t>
        </is>
      </c>
      <c r="K23" s="127" t="n"/>
      <c r="L23" s="128" t="inlineStr">
        <is>
          <t>https://www.lovethework.com/work/entries/bundles-of-joy-ooh2-740450</t>
        </is>
      </c>
      <c r="M23" s="113" t="inlineStr">
        <is>
          <t>A print and out-of-home series showing new mothers eating Whoppers in hospital beds, newborns resting in their arms, with delivery timestamps overlaid — "Arrived at 14:07" — blurring the language of food delivery and childbirth. Created by BBH London, the campaign positions the Burger King app as the first meal a mother orders the moment labour is over.</t>
        </is>
      </c>
      <c r="N23" s="113" t="inlineStr">
        <is>
          <t>qsr, fast-food, restaurant, food, ooh, print, food-delivery, ecommerce, retail, online-shopping, mobile-app, united-kingdom, photography, parenting, family</t>
        </is>
      </c>
    </row>
    <row r="24">
      <c r="A24" s="127" t="n">
        <v>2025</v>
      </c>
      <c r="B24" s="137" t="inlineStr">
        <is>
          <t>Silver</t>
        </is>
      </c>
      <c r="C24" s="135" t="inlineStr">
        <is>
          <t>Bundles of Joy OOH1</t>
        </is>
      </c>
      <c r="D24" s="127" t="inlineStr">
        <is>
          <t>Burger King UK</t>
        </is>
      </c>
      <c r="E24" s="127" t="inlineStr">
        <is>
          <t>Whopper</t>
        </is>
      </c>
      <c r="F24" s="127" t="inlineStr">
        <is>
          <t>BBH</t>
        </is>
      </c>
      <c r="G24" s="127" t="inlineStr">
        <is>
          <t>United Kingdom</t>
        </is>
      </c>
      <c r="H24" s="113" t="inlineStr">
        <is>
          <t>B04 - Travel, Leisure, Retail, Restaurants &amp; Fast-Food Chains</t>
        </is>
      </c>
      <c r="I24" s="127" t="inlineStr">
        <is>
          <t>digital-presentation-images/outdoor-burger-king-bundles-of-joy-ooh1.webp</t>
        </is>
      </c>
      <c r="J24" s="127" t="inlineStr">
        <is>
          <t>aVzEfsIC9KQ</t>
        </is>
      </c>
      <c r="K24" s="127" t="n"/>
      <c r="L24" s="128" t="inlineStr">
        <is>
          <t>https://www.lovethework.com/work/entries/bundles-of-joy-ooh1-740460</t>
        </is>
      </c>
      <c r="M24" s="113" t="inlineStr">
        <is>
          <t>A print OOH ad showing a new mother in a hospital bed holding her newborn with one arm and eating a Whopper with the other hand, captioned "Arrived at 18:51." The image uses the format of a birth announcement to position a Burger King delivery order as the first meal after labour.</t>
        </is>
      </c>
      <c r="N24" s="113" t="inlineStr">
        <is>
          <t>qsr, fast-food, restaurant, food, ooh, print, whopper, united-kingdom, food-delivery, ecommerce, retail, online-shopping, burger-king, bbh</t>
        </is>
      </c>
    </row>
    <row r="25">
      <c r="A25" s="127" t="n">
        <v>2025</v>
      </c>
      <c r="B25" s="137" t="inlineStr">
        <is>
          <t>Silver</t>
        </is>
      </c>
      <c r="C25" s="135" t="inlineStr">
        <is>
          <t>Bundles of Joy OOH4</t>
        </is>
      </c>
      <c r="D25" s="127" t="inlineStr">
        <is>
          <t>Burger King UK</t>
        </is>
      </c>
      <c r="E25" s="127" t="inlineStr">
        <is>
          <t>Whopper</t>
        </is>
      </c>
      <c r="F25" s="127" t="inlineStr">
        <is>
          <t>BBH</t>
        </is>
      </c>
      <c r="G25" s="127" t="inlineStr">
        <is>
          <t>United Kingdom</t>
        </is>
      </c>
      <c r="H25" s="113" t="inlineStr">
        <is>
          <t>B04 - Travel, Leisure, Retail, Restaurants &amp; Fast-Food Chains</t>
        </is>
      </c>
      <c r="I25" s="127" t="inlineStr">
        <is>
          <t>digital-presentation-images/outdoor-burger-king-bundles-of-joy-ooh4.webp</t>
        </is>
      </c>
      <c r="J25" s="127" t="inlineStr">
        <is>
          <t>aVzEfsIC9KQ</t>
        </is>
      </c>
      <c r="K25" s="127" t="n"/>
      <c r="L25" s="128" t="inlineStr">
        <is>
          <t>https://www.lovethework.com/work/entries/bundles-of-joy-ooh4-740466</t>
        </is>
      </c>
      <c r="M25" s="113" t="inlineStr">
        <is>
          <t>A series of out-of-home portraits showing new mothers eating a Whopper in their hospital bed, newborn in arm, with a timestamp captioned "Arrived at 17:35" — the Whopper's arrival, not the baby's. Created by BBH London, the campaign positions the Whopper as the first thing a mother reaches for after giving birth.</t>
        </is>
      </c>
      <c r="N25" s="113" t="inlineStr">
        <is>
          <t>quick-service-restaurant, ooh, whopper, united-kingdom, bbh, postpartum, burger-king, print</t>
        </is>
      </c>
    </row>
    <row r="26">
      <c r="A26" s="127" t="n">
        <v>2025</v>
      </c>
      <c r="B26" s="137" t="inlineStr">
        <is>
          <t>Silver</t>
        </is>
      </c>
      <c r="C26" s="135" t="inlineStr">
        <is>
          <t>Bundles of Joy OOH3</t>
        </is>
      </c>
      <c r="D26" s="127" t="inlineStr">
        <is>
          <t>Burger King UK</t>
        </is>
      </c>
      <c r="E26" s="127" t="inlineStr">
        <is>
          <t>Whopper</t>
        </is>
      </c>
      <c r="F26" s="127" t="inlineStr">
        <is>
          <t>BBH</t>
        </is>
      </c>
      <c r="G26" s="127" t="inlineStr">
        <is>
          <t>United Kingdom</t>
        </is>
      </c>
      <c r="H26" s="113" t="inlineStr">
        <is>
          <t>B04 - Travel, Leisure, Retail, Restaurants &amp; Fast-Food Chains</t>
        </is>
      </c>
      <c r="I26" s="127" t="inlineStr">
        <is>
          <t>digital-presentation-images/outdoor-burger-king-bundles-of-joy-ooh3.webp</t>
        </is>
      </c>
      <c r="J26" s="127" t="inlineStr">
        <is>
          <t>aVzEfsIC9KQ</t>
        </is>
      </c>
      <c r="K26" s="127" t="n"/>
      <c r="L26" s="128" t="inlineStr">
        <is>
          <t>https://www.lovethework.com/work/entries/bundles-of-joy-ooh3-762361</t>
        </is>
      </c>
      <c r="M26" s="113" t="inlineStr">
        <is>
          <t>A print and out-of-home campaign built around candid, documentary-style photographs of new mothers eating a Whopper in their hospital bed, newborn in arms, with a timestamp showing how soon after giving birth the burger arrived. Created by BBH London, the work positions Burger King delivery as the first meal a new mother reaches for once labour is over.</t>
        </is>
      </c>
      <c r="N26" s="113" t="inlineStr">
        <is>
          <t>qsr, fast-food, restaurant, food, ooh, print, burger-king, food-delivery, ecommerce, retail, online-shopping, united-kingdom, bbh, maternity, photography</t>
        </is>
      </c>
    </row>
    <row r="27">
      <c r="A27" s="127" t="n">
        <v>2025</v>
      </c>
      <c r="B27" s="137" t="inlineStr">
        <is>
          <t>Silver</t>
        </is>
      </c>
      <c r="C27" s="135" t="inlineStr">
        <is>
          <t>'Til I Died</t>
        </is>
      </c>
      <c r="D27" s="127" t="inlineStr">
        <is>
          <t>British Heart Foundation</t>
        </is>
      </c>
      <c r="E27" s="127" t="inlineStr">
        <is>
          <t>British Heart Foundation</t>
        </is>
      </c>
      <c r="F27" s="127" t="inlineStr">
        <is>
          <t>Saatchi &amp; Saatchi</t>
        </is>
      </c>
      <c r="G27" s="127" t="inlineStr">
        <is>
          <t>United Kingdom</t>
        </is>
      </c>
      <c r="H27" s="113" t="inlineStr">
        <is>
          <t>C01 - Displays</t>
        </is>
      </c>
      <c r="I27" s="128" t="inlineStr">
        <is>
          <t>https://ascentialcdn.filespin.io/api/v1/conversion/7c797fcbd4784d318b810a3e30777a8a</t>
        </is>
      </c>
      <c r="J27" s="127" t="inlineStr">
        <is>
          <t>jB_R0uQ_qcg</t>
        </is>
      </c>
      <c r="K27" s="127" t="n"/>
      <c r="L27" s="128" t="inlineStr">
        <is>
          <t>https://www.lovethework.com/work/entries/til-i-died-740701</t>
        </is>
      </c>
      <c r="M27" s="113" t="inlineStr">
        <is>
          <t>Outdoor displays placed in and around UK football stadiums that commemorated named young fans — Tom, Jenny, Myles — who died from cardiac arrest, framed as first-person messages from the deceased written in the style of fan tributes. Each execution used the visual language of supporter culture to surface the fact that sudden cardiac arrest kills young people, using real individuals' stories rather than statistics.</t>
        </is>
      </c>
      <c r="N27" s="113" t="inlineStr">
        <is>
          <t>british-heart-foundation, ooh, charity, football, soccer, sport, out-of-home, public-health, united-kingdom, ambient, fan-culture</t>
        </is>
      </c>
    </row>
    <row r="28">
      <c r="A28" s="127" t="n">
        <v>2025</v>
      </c>
      <c r="B28" s="137" t="inlineStr">
        <is>
          <t>Silver</t>
        </is>
      </c>
      <c r="C28" s="135" t="inlineStr">
        <is>
          <t>Winter Takes on Colors</t>
        </is>
      </c>
      <c r="D28" s="127" t="inlineStr">
        <is>
          <t>McDonald's Polska</t>
        </is>
      </c>
      <c r="E28" s="127" t="inlineStr">
        <is>
          <t>Drwala Burger (Limited Timed Offer)</t>
        </is>
      </c>
      <c r="F28" s="127" t="inlineStr">
        <is>
          <t>DDB Warsaw</t>
        </is>
      </c>
      <c r="G28" s="127" t="inlineStr">
        <is>
          <t>Poland</t>
        </is>
      </c>
      <c r="H28" s="113" t="inlineStr">
        <is>
          <t>C03 - Special Build</t>
        </is>
      </c>
      <c r="I28" s="128" t="inlineStr">
        <is>
          <t>https://ascentialcdn.filespin.io/api/v1/conversion/5c6b7faa74e6455a830e3ef1f22b78d7</t>
        </is>
      </c>
      <c r="J28" s="127" t="inlineStr">
        <is>
          <t>qcSHtBgAB6o</t>
        </is>
      </c>
      <c r="K28" s="127" t="n"/>
      <c r="L28" s="128" t="inlineStr">
        <is>
          <t>https://www.lovethework.com/work/entries/winter-takes-on-colors-740759</t>
        </is>
      </c>
      <c r="M28" s="113" t="inlineStr">
        <is>
          <t>A McDonald's restaurant in the Polish ski town of Ustroń wrapped — inside and out — in five months of hand-knit wool, paired with a 'Hot N Cold' apparel line of branded fleeces, balaclavas, and trousers. Both built around the Polish winter return of the Drwala lumberjack burger, turning a seasonal menu item into a destination.</t>
        </is>
      </c>
      <c r="N28" s="113" t="inlineStr">
        <is>
          <t>qsr, fast-food, restaurant, food, retail-experience, branded-merch, craft, fashion, poland, seasonal, ooh</t>
        </is>
      </c>
    </row>
    <row r="29">
      <c r="A29" s="127" t="n">
        <v>2025</v>
      </c>
      <c r="B29" s="137" t="inlineStr">
        <is>
          <t>Silver</t>
        </is>
      </c>
      <c r="C29" s="135" t="inlineStr">
        <is>
          <t>Night Signals</t>
        </is>
      </c>
      <c r="D29" s="127" t="inlineStr">
        <is>
          <t>Chevrolet Dominican Republic</t>
        </is>
      </c>
      <c r="E29" s="127" t="inlineStr">
        <is>
          <t>Chevrolet</t>
        </is>
      </c>
      <c r="F29" s="127" t="inlineStr">
        <is>
          <t>Ogilvy Dominican Republic</t>
        </is>
      </c>
      <c r="G29" s="127" t="inlineStr">
        <is>
          <t>Dominican Republic</t>
        </is>
      </c>
      <c r="H29" s="113" t="inlineStr">
        <is>
          <t>C06 - Transit</t>
        </is>
      </c>
      <c r="I29" s="128" t="inlineStr">
        <is>
          <t>https://ascentialcdn.filespin.io/api/v1/conversion/08a2258d5d1348b1bc8f6014ff0c6655</t>
        </is>
      </c>
      <c r="J29" s="127" t="inlineStr">
        <is>
          <t>XVCXMuUU9s8</t>
        </is>
      </c>
      <c r="K29" s="127" t="n"/>
      <c r="L29" s="128" t="inlineStr">
        <is>
          <t>https://www.lovethework.com/work/entries/night-signals-741104</t>
        </is>
      </c>
      <c r="M29" s="113" t="inlineStr">
        <is>
          <t>Chevrolet dealership billboards placed along unlit road stretches in the Dominican Republic that doubled as reflective traffic signs after dark — the same printed canvas that carried daytime advertising became retroreflective road guidance for drivers at night. The campaign was built in partnership with Santo Domingo Motors, the National Institute of Transit and Land Transportation, and the Ministry of Public Works (MOPC).</t>
        </is>
      </c>
      <c r="N29" s="113" t="inlineStr">
        <is>
          <t>automotive, cars, transport, ooh, road-safety, dominican-republic, reflective, transit, public-service, out-of-home, public-private-partnership</t>
        </is>
      </c>
    </row>
    <row r="30">
      <c r="A30" s="127" t="n">
        <v>2025</v>
      </c>
      <c r="B30" s="137" t="inlineStr">
        <is>
          <t>Silver</t>
        </is>
      </c>
      <c r="C30" s="135" t="inlineStr">
        <is>
          <t>Speed Coupons</t>
        </is>
      </c>
      <c r="D30" s="127" t="inlineStr">
        <is>
          <t>Mercado Livre</t>
        </is>
      </c>
      <c r="E30" s="127" t="inlineStr">
        <is>
          <t>Mercado Livre</t>
        </is>
      </c>
      <c r="F30" s="127" t="inlineStr">
        <is>
          <t>Gut</t>
        </is>
      </c>
      <c r="G30" s="127" t="inlineStr">
        <is>
          <t>Brazil</t>
        </is>
      </c>
      <c r="H30" s="113" t="inlineStr">
        <is>
          <t>D01 - Standard Sites</t>
        </is>
      </c>
      <c r="I30" s="128" t="inlineStr">
        <is>
          <t>https://ascentialcdn.filespin.io/api/v1/conversion/7e353b967fd64b6692fd97647bd4fbd2</t>
        </is>
      </c>
      <c r="J30" s="127" t="inlineStr">
        <is>
          <t>l3Sxq8LCXZA</t>
        </is>
      </c>
      <c r="K30" s="127" t="n"/>
      <c r="L30" s="128" t="inlineStr">
        <is>
          <t>https://www.lovethework.com/work/entries/speed-coupons-741121</t>
        </is>
      </c>
      <c r="M30" s="113" t="inlineStr">
        <is>
          <t>Outdoor discount coupons placed on Brazilian speed-camera signs, timed so that drivers traveling at or below the legal speed limit could photograph the QR code and redeem a deal on Mercado Livre. The mechanic turns the roadside infrastructure that penalizes speeding into a reward for obeying it.</t>
        </is>
      </c>
      <c r="N30" s="113" t="inlineStr">
        <is>
          <t>e-commerce, ooh, ambient, qr-code, promotion, road-safety, brazil, outdoor</t>
        </is>
      </c>
    </row>
    <row r="31">
      <c r="A31" s="127" t="n">
        <v>2025</v>
      </c>
      <c r="B31" s="137" t="inlineStr">
        <is>
          <t>Silver</t>
        </is>
      </c>
      <c r="C31" s="135" t="inlineStr">
        <is>
          <t>Sun Reserve</t>
        </is>
      </c>
      <c r="D31" s="127" t="inlineStr">
        <is>
          <t>Corona</t>
        </is>
      </c>
      <c r="E31" s="127" t="inlineStr">
        <is>
          <t>Corona</t>
        </is>
      </c>
      <c r="F31" s="127" t="inlineStr">
        <is>
          <t>Grey</t>
        </is>
      </c>
      <c r="G31" s="127" t="inlineStr">
        <is>
          <t>Brazil</t>
        </is>
      </c>
      <c r="H31" s="113" t="inlineStr">
        <is>
          <t>D02 - Ambient Outdoor</t>
        </is>
      </c>
      <c r="I31" s="128" t="inlineStr">
        <is>
          <t>https://ascentialcdn.filespin.io/api/v1/conversion/652b705dcecc4cb7a72c76e4e22c80e5</t>
        </is>
      </c>
      <c r="J31" s="127" t="inlineStr">
        <is>
          <t>7i2fC6qJR2o</t>
        </is>
      </c>
      <c r="K31" s="127" t="n"/>
      <c r="L31" s="128" t="inlineStr">
        <is>
          <t>https://www.lovethework.com/work/entries/sun-reserve-741012</t>
        </is>
      </c>
      <c r="M31" s="113" t="inlineStr">
        <is>
          <t>A land lease on Piedade Beach in Pernambuco, Brazil, where Corona acquired beachfront-facing property and capped building heights to prevent future construction from blocking sunlight reaching the sand. Created by Grey São Paulo to mark the brand's 100th birthday, the lease establishes what Corona calls the world's first "Sun Reserve" — a legal mechanism to protect public access to sunlight on a beach.</t>
        </is>
      </c>
      <c r="N31" s="113" t="inlineStr">
        <is>
          <t>beer, alcohol, events-and-stunts, experiential, brazil, ooh, land-use, environmental, branded-space</t>
        </is>
      </c>
    </row>
    <row r="32">
      <c r="A32" s="127" t="n">
        <v>2025</v>
      </c>
      <c r="B32" s="137" t="inlineStr">
        <is>
          <t>Silver</t>
        </is>
      </c>
      <c r="C32" s="135" t="inlineStr">
        <is>
          <t>The Philharmonic Prints</t>
        </is>
      </c>
      <c r="D32" s="127" t="inlineStr">
        <is>
          <t>Berliner Philharmonie</t>
        </is>
      </c>
      <c r="E32" s="127" t="inlineStr">
        <is>
          <t>Berliner Philharmoniker</t>
        </is>
      </c>
      <c r="F32" s="127" t="inlineStr">
        <is>
          <t>Scholz &amp; Friends</t>
        </is>
      </c>
      <c r="G32" s="127" t="inlineStr">
        <is>
          <t>Germany</t>
        </is>
      </c>
      <c r="H32" s="113" t="inlineStr">
        <is>
          <t>E01 - Local Brand</t>
        </is>
      </c>
      <c r="I32" s="128" t="inlineStr">
        <is>
          <t>https://ascentialcdn.filespin.io/api/v1/conversion/a41ca6a9e9454bb585e089d1abcf0187</t>
        </is>
      </c>
      <c r="J32" s="127" t="inlineStr">
        <is>
          <t>6JuPo6BNhqU</t>
        </is>
      </c>
      <c r="K32" s="127" t="n"/>
      <c r="L32" s="128" t="inlineStr">
        <is>
          <t>https://www.lovethework.com/work/entries/the-philharmonic-prints-741191</t>
        </is>
      </c>
      <c r="M32" s="113" t="inlineStr">
        <is>
          <t>A series of handmade, analog artworks created by Scholz &amp; Friends Berlin to mark the 60th anniversary of the Berliner Philharmoniker's home — the Hans Scharoun-designed concert hall in Berlin. Each print isolates and foregrounds the building's characteristic formal design language, offering a close study of Scharoun's architectural vocabulary through physical, hand-crafted means.</t>
        </is>
      </c>
      <c r="N32" s="113" t="inlineStr">
        <is>
          <t>classical-music, poster, print, ooh, anniversary, germany, architecture, handmade</t>
        </is>
      </c>
    </row>
    <row r="33">
      <c r="A33" s="127" t="n">
        <v>2025</v>
      </c>
      <c r="B33" s="137" t="inlineStr">
        <is>
          <t>Silver</t>
        </is>
      </c>
      <c r="C33" s="135" t="inlineStr">
        <is>
          <t>See Them for Real</t>
        </is>
      </c>
      <c r="D33" s="127" t="inlineStr">
        <is>
          <t>Musée de l'Armée</t>
        </is>
      </c>
      <c r="E33" s="127" t="inlineStr">
        <is>
          <t>Museum</t>
        </is>
      </c>
      <c r="F33" s="127" t="inlineStr">
        <is>
          <t>Buzzman</t>
        </is>
      </c>
      <c r="G33" s="127" t="inlineStr">
        <is>
          <t>France</t>
        </is>
      </c>
      <c r="H33" s="113" t="inlineStr">
        <is>
          <t>E02 - Challenger Brand</t>
        </is>
      </c>
      <c r="I33" s="128" t="inlineStr">
        <is>
          <t>https://ascentialcdn.filespin.io/api/v1/conversion/f23ad7b894c14298b819130d99bc560f</t>
        </is>
      </c>
      <c r="J33" s="127" t="inlineStr">
        <is>
          <t>vimeo:1162577214</t>
        </is>
      </c>
      <c r="K33" s="127" t="n"/>
      <c r="L33" s="128" t="inlineStr">
        <is>
          <t>https://www.lovethework.com/work/entries/see-them-for-real-741246</t>
        </is>
      </c>
      <c r="M33" s="113" t="inlineStr">
        <is>
          <t>An OOH series placed near the Louvre, Musée d'Orsay, and Versailles that identifies objects depicted in those museums' most recognizable masterpieces — Napoleon's hat in a Louvre portrait, for instance — and flags them as artifacts held in person at the Musée de l'Armée. Each execution positions the famous painting or artwork as an incomplete half of a story, with the real object waiting a short distance away.</t>
        </is>
      </c>
      <c r="N33" s="113" t="inlineStr">
        <is>
          <t>museum, ooh, challenger-brand, direct, france, guerrilla-marketing, paris, ambient</t>
        </is>
      </c>
    </row>
    <row r="34">
      <c r="A34" s="127" t="n">
        <v>2025</v>
      </c>
      <c r="B34" s="137" t="inlineStr">
        <is>
          <t>Silver</t>
        </is>
      </c>
      <c r="C34" s="135" t="inlineStr">
        <is>
          <t>Bumpboards</t>
        </is>
      </c>
      <c r="D34" s="127" t="inlineStr">
        <is>
          <t>Citroen</t>
        </is>
      </c>
      <c r="E34" s="127" t="inlineStr">
        <is>
          <t>Citroen</t>
        </is>
      </c>
      <c r="F34" s="127" t="inlineStr">
        <is>
          <t>BETC</t>
        </is>
      </c>
      <c r="G34" s="127" t="inlineStr">
        <is>
          <t>France</t>
        </is>
      </c>
      <c r="H34" s="113" t="inlineStr">
        <is>
          <t>E03 - Single-Market Campaign</t>
        </is>
      </c>
      <c r="I34" s="128" t="inlineStr">
        <is>
          <t>https://ascentialcdn.filespin.io/api/v1/conversion/51f7223ae6f6484caace1b6d0e8df74c</t>
        </is>
      </c>
      <c r="J34" s="127" t="inlineStr">
        <is>
          <t>Qh8iW06HWYI</t>
        </is>
      </c>
      <c r="K34" s="127" t="n"/>
      <c r="L34" s="128" t="inlineStr">
        <is>
          <t>https://www.lovethework.com/work/entries/bumpboards-741287</t>
        </is>
      </c>
      <c r="M34" s="113" t="inlineStr">
        <is>
          <t>A road infrastructure swap in which Citroën, working with BETC Paris, replaced illegal rubber speed bumps — banned in France since 2009 for being dangerously slippery in rain, but still widespread because small municipalities lack upgrade budgets — with compliant, branded alternatives funded at the cost of a billboard placement. Citroën has invited French town halls to apply for installations, with new deployments continuing through 2025.</t>
        </is>
      </c>
      <c r="N34" s="113" t="inlineStr">
        <is>
          <t>automotive, cars, transport, ooh, public-safety, road-infrastructure, france, branded-environment, single-market</t>
        </is>
      </c>
    </row>
    <row r="35">
      <c r="A35" s="127" t="n">
        <v>2025</v>
      </c>
      <c r="B35" s="137" t="inlineStr">
        <is>
          <t>Silver</t>
        </is>
      </c>
      <c r="C35" s="135" t="inlineStr">
        <is>
          <t>Balikbayan Magic: Philippine Oriental Food Market</t>
        </is>
      </c>
      <c r="D35" s="127" t="inlineStr">
        <is>
          <t>Coca-Cola</t>
        </is>
      </c>
      <c r="E35" s="127" t="inlineStr">
        <is>
          <t>Coca-Cola</t>
        </is>
      </c>
      <c r="F35" s="127" t="inlineStr">
        <is>
          <t>VML</t>
        </is>
      </c>
      <c r="G35" s="127" t="inlineStr">
        <is>
          <t>Canada</t>
        </is>
      </c>
      <c r="H35" s="113" t="inlineStr">
        <is>
          <t>E04 - Social Behaviour</t>
        </is>
      </c>
      <c r="I35" s="127" t="inlineStr">
        <is>
          <t>digital-presentation-images/outdoor-coca-cola-balikbayan-magic-philippine-oriental-food-market.webp</t>
        </is>
      </c>
      <c r="J35" s="127" t="inlineStr">
        <is>
          <t>8WbE3jyFeM8</t>
        </is>
      </c>
      <c r="K35" s="127" t="n"/>
      <c r="L35" s="128" t="inlineStr">
        <is>
          <t>https://www.lovethework.com/work/entries/balikbayan-magic-philippine-oriental-food-market-741455</t>
        </is>
      </c>
      <c r="M35" s="113" t="inlineStr">
        <is>
          <t>A Toronto sari-sari store — Philippine Oriental Food Market, the oldest Filipino grocery in the city — wrapped entirely in Coca-Cola red and white to resemble an oversized Balikbayan box, the cardboard shipping containers Filipinos abroad traditionally pack with gifts and send back to family in the Philippines. The activation, by VML Toronto, also distributed free custom Balikbayan boxes with prepaid shipping from the store, so community members could continue the tradition themselves.</t>
        </is>
      </c>
      <c r="N35" s="113" t="inlineStr">
        <is>
          <t>soft-drink, ooh, experiential, packaging, filipino-diaspora, canada, holiday, community, cultural-tradition</t>
        </is>
      </c>
    </row>
    <row r="36">
      <c r="A36" s="127" t="n">
        <v>2025</v>
      </c>
      <c r="B36" s="137" t="inlineStr">
        <is>
          <t>Silver</t>
        </is>
      </c>
      <c r="C36" s="135" t="inlineStr">
        <is>
          <t>Meet Me at the Coke Sign</t>
        </is>
      </c>
      <c r="D36" s="127" t="inlineStr">
        <is>
          <t>Coca-Cola</t>
        </is>
      </c>
      <c r="E36" s="127" t="inlineStr">
        <is>
          <t>Coca-Cola</t>
        </is>
      </c>
      <c r="F36" s="127" t="inlineStr">
        <is>
          <t>Ogilvy</t>
        </is>
      </c>
      <c r="G36" s="127" t="inlineStr">
        <is>
          <t>Australia</t>
        </is>
      </c>
      <c r="H36" s="113" t="inlineStr">
        <is>
          <t>E04 - Social Behaviour</t>
        </is>
      </c>
      <c r="I36" s="128" t="inlineStr">
        <is>
          <t>https://ascentialcdn.filespin.io/api/v1/conversion/e4e51d450eb8458dab81e55d80f5d56b</t>
        </is>
      </c>
      <c r="J36" s="127" t="inlineStr">
        <is>
          <t>V2RVAsIFjF0</t>
        </is>
      </c>
      <c r="K36" s="127" t="n"/>
      <c r="L36" s="128" t="inlineStr">
        <is>
          <t>https://www.lovethework.com/work/entries/meet-me-at-the-coke-sign-741472</t>
        </is>
      </c>
      <c r="M36" s="113" t="inlineStr">
        <is>
          <t>A QR code added to Coca-Cola's long-standing billboard in Sydney, inviting passers-by to scan and submit personal stories of meeting friends and loved ones at the sign. The billboard — a decades-old rendezvous landmark for Australians — became an active archive of those shared memories.</t>
        </is>
      </c>
      <c r="N36" s="113" t="inlineStr">
        <is>
          <t>coca-cola, soft-drink, ooh, billboard, qr-code, user-generated-content, australia, social-behaviour</t>
        </is>
      </c>
    </row>
    <row r="37">
      <c r="A37" s="127" t="n">
        <v>2025</v>
      </c>
      <c r="B37" s="137" t="inlineStr">
        <is>
          <t>Silver</t>
        </is>
      </c>
      <c r="C37" s="135" t="inlineStr">
        <is>
          <t>Nature Shapes Britannia</t>
        </is>
      </c>
      <c r="D37" s="127" t="inlineStr">
        <is>
          <t>Britannia Industries Ltd.</t>
        </is>
      </c>
      <c r="E37" s="127" t="inlineStr">
        <is>
          <t>Britannia Sustainability</t>
        </is>
      </c>
      <c r="F37" s="127" t="inlineStr">
        <is>
          <t>Talented</t>
        </is>
      </c>
      <c r="G37" s="127" t="inlineStr">
        <is>
          <t>India</t>
        </is>
      </c>
      <c r="H37" s="113" t="inlineStr">
        <is>
          <t>E06 - Breakthrough on a Budget</t>
        </is>
      </c>
      <c r="I37" s="128" t="inlineStr">
        <is>
          <t>https://ascentialcdn.filespin.io/api/v1/conversion/716b17d07a0d40d2b7b2a29d2ae9e171</t>
        </is>
      </c>
      <c r="J37" s="127" t="inlineStr">
        <is>
          <t>dEC4Wo3ZlXQ</t>
        </is>
      </c>
      <c r="K37" s="127" t="n"/>
      <c r="L37" s="128" t="inlineStr">
        <is>
          <t>https://www.lovethework.com/work/entries/nature-shapes-britannia-741532</t>
        </is>
      </c>
      <c r="M37" s="113" t="inlineStr">
        <is>
          <t>An outdoor advertising format, developed with Coral Media and MOMS Outdoor, that redesigns billboard layouts to work around existing trees rather than removing them — bending, curving, and compressing the Britannia logotype to fit whatever space the tree's canopy and trunk leave available. Britannia and Talented then open-sourced the production manual so other advertisers could apply the same approach to their own OOH buys across India.</t>
        </is>
      </c>
      <c r="N37" s="113" t="inlineStr">
        <is>
          <t>sustainability, ooh, outdoor-advertising, typography, open-source, india, biscuit, food</t>
        </is>
      </c>
    </row>
    <row r="38">
      <c r="A38" s="127" t="n">
        <v>2025</v>
      </c>
      <c r="B38" s="137" t="inlineStr">
        <is>
          <t>Silver</t>
        </is>
      </c>
      <c r="C38" s="135" t="inlineStr">
        <is>
          <t>Too Yumm to Cheer!</t>
        </is>
      </c>
      <c r="D38" s="127" t="inlineStr">
        <is>
          <t>Too Yumm!</t>
        </is>
      </c>
      <c r="E38" s="127" t="inlineStr">
        <is>
          <t>Too Yumm\!</t>
        </is>
      </c>
      <c r="F38" s="127" t="inlineStr">
        <is>
          <t>FCB Kinnect</t>
        </is>
      </c>
      <c r="G38" s="127" t="inlineStr">
        <is>
          <t>India</t>
        </is>
      </c>
      <c r="H38" s="113" t="inlineStr">
        <is>
          <t>E06 - Breakthrough on a Budget</t>
        </is>
      </c>
      <c r="I38" s="128" t="inlineStr">
        <is>
          <t>https://ascentialcdn.filespin.io/api/v1/conversion/cb9c8fa9b4464dc6bdc84535bb7991d5</t>
        </is>
      </c>
      <c r="J38" s="127" t="inlineStr">
        <is>
          <t>vimeo:1098960207</t>
        </is>
      </c>
      <c r="K38" s="127" t="n"/>
      <c r="L38" s="128" t="inlineStr">
        <is>
          <t>https://www.lovethework.com/work/entries/too-yumm-to-cheer-741592</t>
        </is>
      </c>
      <c r="M38" s="113" t="inlineStr">
        <is>
          <t>Too Yumm! snack packaging redesigned as oversized edible cheer signs — banners, placards, and rally boards fans could hold up in cricket stadiums, where outside food is typically restricted but packaged snacks are permitted. The mechanic let supporters bring in branded cheer props that doubled as the snack itself, sidestepping stadium rules without requiring any special venue arrangement.</t>
        </is>
      </c>
      <c r="N38" s="113" t="inlineStr">
        <is>
          <t>snack, food, packaged-goods, cpg, fmcg, packaging, sports-sponsorship, cricket, experiential, ooh, india, fcb-kinnect</t>
        </is>
      </c>
    </row>
    <row r="39">
      <c r="A39" s="127" t="n">
        <v>2025</v>
      </c>
      <c r="B39" s="137" t="inlineStr">
        <is>
          <t>Silver</t>
        </is>
      </c>
      <c r="C39" s="135" t="inlineStr">
        <is>
          <t>Estibadores</t>
        </is>
      </c>
      <c r="D39" s="127" t="inlineStr">
        <is>
          <t>MiBanco</t>
        </is>
      </c>
      <c r="E39" s="127" t="inlineStr">
        <is>
          <t>Financial Inclusion Program</t>
        </is>
      </c>
      <c r="F39" s="127" t="inlineStr">
        <is>
          <t>Circus Grey</t>
        </is>
      </c>
      <c r="G39" s="127" t="inlineStr">
        <is>
          <t>Peru</t>
        </is>
      </c>
      <c r="H39" s="113" t="inlineStr">
        <is>
          <t>E07 - Corporate Purpose &amp; Social Responsibility</t>
        </is>
      </c>
      <c r="I39" s="128" t="inlineStr">
        <is>
          <t>https://ascentialcdn.filespin.io/api/v1/conversion/0ee92655171346d888a62ac1b5baeb96</t>
        </is>
      </c>
      <c r="J39" s="127" t="inlineStr">
        <is>
          <t>ZUXcFSbQ8LA</t>
        </is>
      </c>
      <c r="K39" s="127" t="n"/>
      <c r="L39" s="128" t="inlineStr">
        <is>
          <t>https://www.lovethework.com/work/entries/estibadores-741560</t>
        </is>
      </c>
      <c r="M39" s="113" t="inlineStr">
        <is>
          <t>An out-of-home format built around the cargo dollies used by estibadores — the informal load carriers who work the Gamarra textile market in Lima — converting each trolley into a branded mobile advertising panel. The work responds to a Peruvian regulation that capped the weight estibadores are legally allowed to carry, cutting their earnings, by giving them a new income stream from the ad space on their equipment.</t>
        </is>
      </c>
      <c r="N39" s="113" t="inlineStr">
        <is>
          <t>financial-inclusion, ooh, informal-economy, peru, mibanco, labor-rights, mobile-advertising, corporate-purpose</t>
        </is>
      </c>
    </row>
    <row r="40">
      <c r="A40" s="127" t="n">
        <v>2025</v>
      </c>
      <c r="B40" s="137" t="inlineStr">
        <is>
          <t>Silver</t>
        </is>
      </c>
      <c r="C40" s="135" t="inlineStr">
        <is>
          <t>Still Open</t>
        </is>
      </c>
      <c r="D40" s="127" t="inlineStr">
        <is>
          <t>JCDecaux</t>
        </is>
      </c>
      <c r="E40" s="127" t="inlineStr">
        <is>
          <t>OOH Media</t>
        </is>
      </c>
      <c r="F40" s="127" t="inlineStr">
        <is>
          <t>David</t>
        </is>
      </c>
      <c r="G40" s="127" t="inlineStr">
        <is>
          <t>Spain</t>
        </is>
      </c>
      <c r="H40" s="113" t="inlineStr">
        <is>
          <t>E07 - Corporate Purpose &amp; Social Responsibility</t>
        </is>
      </c>
      <c r="I40" s="128" t="inlineStr">
        <is>
          <t>https://ascentialcdn.filespin.io/api/v1/conversion/dd37db0fdabf4182b51ade62463b79e2</t>
        </is>
      </c>
      <c r="J40" s="127" t="inlineStr">
        <is>
          <t>uIR17EmDu7g</t>
        </is>
      </c>
      <c r="K40" s="127" t="n"/>
      <c r="L40" s="128" t="inlineStr">
        <is>
          <t>https://www.lovethework.com/work/entries/still-open-741731</t>
        </is>
      </c>
      <c r="M40" s="113" t="inlineStr">
        <is>
          <t>JCDecaux's billboard network across Valencia, Spain, repurposed as free advertising space for local businesses devastated by the October 2024 floods — shops, restaurants, and services used the panels to signal to customers that they were still operating. Developed with DAVID Madrid, the initiative turned existing street furniture into a recovery tool at a moment when the flooding had left entire commercial districts uncertain about their status.</t>
        </is>
      </c>
      <c r="N40" s="113" t="inlineStr">
        <is>
          <t>ooh, ooh-media, outdoor-advertising, disaster-relief, corporate-purpose, spain, local-business, pro-bono</t>
        </is>
      </c>
    </row>
    <row r="41">
      <c r="A41" s="127" t="n">
        <v>2025</v>
      </c>
      <c r="B41" s="137" t="inlineStr">
        <is>
          <t>Silver</t>
        </is>
      </c>
      <c r="C41" s="135" t="inlineStr">
        <is>
          <t>Olympic Games Opening Ceremony Paris 2024</t>
        </is>
      </c>
      <c r="D41" s="127" t="inlineStr">
        <is>
          <t>Paris 2024</t>
        </is>
      </c>
      <c r="E41" s="127" t="inlineStr">
        <is>
          <t>Paris 2024</t>
        </is>
      </c>
      <c r="F41" s="127" t="inlineStr">
        <is>
          <t>Paname 24</t>
        </is>
      </c>
      <c r="G41" s="127" t="inlineStr">
        <is>
          <t>France</t>
        </is>
      </c>
      <c r="H41" s="113" t="inlineStr">
        <is>
          <t>E09 - Cultural Engagement</t>
        </is>
      </c>
      <c r="I41" s="128" t="inlineStr">
        <is>
          <t>https://ascentialcdn.filespin.io/api/v1/conversion/60aa1888e5b6444381b060dc1801de84</t>
        </is>
      </c>
      <c r="J41" s="127" t="inlineStr">
        <is>
          <t>t8o4ulxT1Cc</t>
        </is>
      </c>
      <c r="K41" s="127" t="n"/>
      <c r="L41" s="128" t="inlineStr">
        <is>
          <t>https://www.lovethework.com/work/entries/olympic-games-opening-ceremony-paris-2024-741644</t>
        </is>
      </c>
      <c r="M41" s="113" t="inlineStr">
        <is>
          <t>The official opening ceremony of the Paris 2024 Olympics, produced for the IOC and Paris 2024 by the Paname 24 collective — the first Olympic opener staged outside a stadium, sending 6,800 athletes down the Seine on 85 boats and ending with a hot-air-balloon cauldron lifted above the city.</t>
        </is>
      </c>
      <c r="N41" s="113" t="inlineStr">
        <is>
          <t>live-event, olympics, sport, ceremony, paris, large-scale, broadcast, entertainment, partnership, france</t>
        </is>
      </c>
    </row>
    <row r="42">
      <c r="A42" s="127" t="n">
        <v>2025</v>
      </c>
      <c r="B42" s="137" t="inlineStr">
        <is>
          <t>Silver</t>
        </is>
      </c>
      <c r="C42" s="135" t="inlineStr">
        <is>
          <t>Found in Translation</t>
        </is>
      </c>
      <c r="D42" s="127" t="inlineStr">
        <is>
          <t>Medalla Light</t>
        </is>
      </c>
      <c r="E42" s="127" t="inlineStr">
        <is>
          <t>Medalla Light</t>
        </is>
      </c>
      <c r="F42" s="127" t="inlineStr">
        <is>
          <t>DDB Latina Puerto Rico</t>
        </is>
      </c>
      <c r="G42" s="127" t="inlineStr">
        <is>
          <t>Puerto Rico</t>
        </is>
      </c>
      <c r="H42" s="113" t="inlineStr">
        <is>
          <t>E09 - Cultural Engagement</t>
        </is>
      </c>
      <c r="I42" s="128" t="inlineStr">
        <is>
          <t>https://ascentialcdn.filespin.io/api/v1/conversion/aa75461755994abb9341413d542beaa8</t>
        </is>
      </c>
      <c r="J42" s="127" t="inlineStr">
        <is>
          <t>5E08r_ShJQQ</t>
        </is>
      </c>
      <c r="K42" s="127" t="n"/>
      <c r="L42" s="128" t="inlineStr">
        <is>
          <t>https://www.lovethework.com/work/entries/found-in-translation-741695</t>
        </is>
      </c>
      <c r="M42" s="113" t="inlineStr">
        <is>
          <t>A print and outdoor campaign for Medalla Light, Puerto Rico's local beer, that turned the Spanglish spoken by the Puerto Rican diaspora in the U.S. into the creative medium — blending Spanish and English mid-sentence to reflect how the community actually talks. The ads ran in U.S. markets where Puerto Ricans live, treating their hybrid language not as a barrier but as a distinct cultural identity worth celebrating.</t>
        </is>
      </c>
      <c r="N42" s="113" t="inlineStr">
        <is>
          <t>beer, alcohol, print, ooh, cultural-engagement, diaspora, spanglish, puerto-rico, united-states, language</t>
        </is>
      </c>
    </row>
    <row r="43">
      <c r="A43" s="127" t="n">
        <v>2025</v>
      </c>
      <c r="B43" s="137" t="inlineStr">
        <is>
          <t>Silver</t>
        </is>
      </c>
      <c r="C43" s="135" t="inlineStr">
        <is>
          <t>Pub Succession</t>
        </is>
      </c>
      <c r="D43" s="127" t="inlineStr">
        <is>
          <t>Heineken</t>
        </is>
      </c>
      <c r="E43" s="127" t="inlineStr">
        <is>
          <t>Heineken</t>
        </is>
      </c>
      <c r="F43" s="127" t="inlineStr">
        <is>
          <t>LePub</t>
        </is>
      </c>
      <c r="G43" s="127" t="inlineStr">
        <is>
          <t>Italy</t>
        </is>
      </c>
      <c r="H43" s="113" t="inlineStr">
        <is>
          <t>E09 - Cultural Engagement</t>
        </is>
      </c>
      <c r="I43" s="128" t="inlineStr">
        <is>
          <t>https://ascentialcdn.filespin.io/api/v1/conversion/a8d4e72bb1ce47508dcea8db73d16b01</t>
        </is>
      </c>
      <c r="J43" s="127" t="inlineStr">
        <is>
          <t>Cu0FLBdZrcM</t>
        </is>
      </c>
      <c r="K43" s="127" t="n"/>
      <c r="L43" s="128" t="inlineStr">
        <is>
          <t>https://www.lovethework.com/work/entries/pub-succession-741618</t>
        </is>
      </c>
      <c r="M43" s="113" t="inlineStr">
        <is>
          <t>A global recruitment campaign to find a new owner for McLoughlin's Bar, a 155-year-old family pub on Ireland's Achill Island whose fourth-generation publican is retiring with no successor — but only candidates named McLoughlin can apply. Launched on St Patrick's Day and pushed everywhere from Times Square to The New York Times.</t>
        </is>
      </c>
      <c r="N43" s="113" t="inlineStr">
        <is>
          <t>pr, integrated, ooh, beer, alcohol, ireland, recruitment, cultural-engagement, partnership</t>
        </is>
      </c>
    </row>
    <row r="44">
      <c r="A44" s="127" t="n">
        <v>2025</v>
      </c>
      <c r="B44" s="138" t="inlineStr">
        <is>
          <t>Bronze</t>
        </is>
      </c>
      <c r="C44" s="135" t="inlineStr">
        <is>
          <t>'The Shining'</t>
        </is>
      </c>
      <c r="D44" s="127" t="inlineStr">
        <is>
          <t>Coca-Cola</t>
        </is>
      </c>
      <c r="E44" s="127" t="inlineStr">
        <is>
          <t>Coca-Cola</t>
        </is>
      </c>
      <c r="F44" s="127" t="inlineStr">
        <is>
          <t>VML</t>
        </is>
      </c>
      <c r="G44" s="127" t="inlineStr">
        <is>
          <t>United States</t>
        </is>
      </c>
      <c r="H44" s="113" t="inlineStr">
        <is>
          <t>A01 - Consumer Goods</t>
        </is>
      </c>
      <c r="I44" s="128" t="inlineStr">
        <is>
          <t>https://ascentialcdn.filespin.io/api/v1/conversion/44405bf6f33b4e919c5b283211199392</t>
        </is>
      </c>
      <c r="J44" s="127" t="inlineStr">
        <is>
          <t>vimeo:1124237531</t>
        </is>
      </c>
      <c r="K44" s="127" t="n"/>
      <c r="L44" s="128" t="inlineStr">
        <is>
          <t>https://www.lovethework.com/work/entries/the-shining-740263</t>
        </is>
      </c>
      <c r="M44" s="113" t="inlineStr">
        <is>
          <t>Coca-Cola Classic celebrates the brand's quiet presence in culture by finding real mentions of Coke inside beloved novels from around the world. The campaign recreated those pages with obsessive literary craft—from authors' typewriters and first-edition layouts to letterpress printing and audio readings—turning each mention into proof that Coca-Cola has been part of classic stories all along.</t>
        </is>
      </c>
      <c r="N44" s="113" t="inlineStr">
        <is>
          <t>beverage, drinks, ooh, branded-content, craft, literature, partnership, global, print</t>
        </is>
      </c>
    </row>
    <row r="45">
      <c r="A45" s="127" t="n">
        <v>2025</v>
      </c>
      <c r="B45" s="138" t="inlineStr">
        <is>
          <t>Bronze</t>
        </is>
      </c>
      <c r="C45" s="135" t="inlineStr">
        <is>
          <t>Mimi's Red</t>
        </is>
      </c>
      <c r="D45" s="127" t="inlineStr">
        <is>
          <t>Coca-Cola</t>
        </is>
      </c>
      <c r="E45" s="127" t="inlineStr">
        <is>
          <t>Coca-Cola Company</t>
        </is>
      </c>
      <c r="F45" s="127" t="inlineStr">
        <is>
          <t>David</t>
        </is>
      </c>
      <c r="G45" s="127" t="inlineStr">
        <is>
          <t>Spain</t>
        </is>
      </c>
      <c r="H45" s="113" t="inlineStr">
        <is>
          <t>A01 - Consumer Goods</t>
        </is>
      </c>
      <c r="I45" s="128" t="inlineStr">
        <is>
          <t>https://ascentialcdn.filespin.io/api/v1/conversion/476f91b3c4024d889f9c5a3071d2af7f</t>
        </is>
      </c>
      <c r="J45" s="127" t="inlineStr">
        <is>
          <t>vimeo:1083484983</t>
        </is>
      </c>
      <c r="K45" s="127" t="n"/>
      <c r="L45" s="128" t="inlineStr">
        <is>
          <t>https://www.lovethework.com/work/entries/mimis-red-740318</t>
        </is>
      </c>
      <c r="M45" s="113" t="inlineStr">
        <is>
          <t>Coca-Cola turned Mexico's faded red shop awnings into a tribute to the small businesses that made them cultural landmarks. Instead of throwing them away, the brand renewed 12,700 awnings for free, then transformed the old fabric into billboards, posters, merch and commemorative cans that preserved every unique shade of Coca-Cola red.</t>
        </is>
      </c>
      <c r="N45" s="113" t="inlineStr">
        <is>
          <t>beverage, drinks, ooh, retail, small-business, mexico, packaging, sustainability, single-market</t>
        </is>
      </c>
    </row>
    <row r="46">
      <c r="A46" s="127" t="n">
        <v>2025</v>
      </c>
      <c r="B46" s="138" t="inlineStr">
        <is>
          <t>Bronze</t>
        </is>
      </c>
      <c r="C46" s="135" t="inlineStr">
        <is>
          <t>Prado's Red</t>
        </is>
      </c>
      <c r="D46" s="127" t="inlineStr">
        <is>
          <t>Coca-Cola</t>
        </is>
      </c>
      <c r="E46" s="127" t="inlineStr">
        <is>
          <t>Coca-Cola Company</t>
        </is>
      </c>
      <c r="F46" s="127" t="inlineStr">
        <is>
          <t>David</t>
        </is>
      </c>
      <c r="G46" s="127" t="inlineStr">
        <is>
          <t>Spain</t>
        </is>
      </c>
      <c r="H46" s="113" t="inlineStr">
        <is>
          <t>A01 - Consumer Goods</t>
        </is>
      </c>
      <c r="I46" s="128" t="inlineStr">
        <is>
          <t>https://ascentialcdn.filespin.io/api/v1/conversion/9d778b6a2550440b9a1b11e17c7ad280</t>
        </is>
      </c>
      <c r="J46" s="127" t="inlineStr">
        <is>
          <t>vimeo:1083484983</t>
        </is>
      </c>
      <c r="K46" s="127" t="n"/>
      <c r="L46" s="128" t="inlineStr">
        <is>
          <t>https://www.lovethework.com/work/entries/prados-red-740326</t>
        </is>
      </c>
      <c r="M46" s="113" t="inlineStr">
        <is>
          <t>Coca-Cola turned Mexico's faded red shop awnings into a tribute to the small businesses that made them cultural landmarks. Instead of throwing them away, the brand renewed 12,700 awnings for free, then transformed the old fabric into billboards, posters, merch and commemorative cans that preserved every unique shade of Coca-Cola red.</t>
        </is>
      </c>
      <c r="N46" s="113" t="inlineStr">
        <is>
          <t>beverage, drinks, ooh, retail, small-business, mexico, packaging, sustainability, single-market</t>
        </is>
      </c>
    </row>
    <row r="47">
      <c r="A47" s="127" t="n">
        <v>2025</v>
      </c>
      <c r="B47" s="138" t="inlineStr">
        <is>
          <t>Bronze</t>
        </is>
      </c>
      <c r="C47" s="135" t="inlineStr">
        <is>
          <t>El Campo's Red</t>
        </is>
      </c>
      <c r="D47" s="127" t="inlineStr">
        <is>
          <t>Coca-Cola</t>
        </is>
      </c>
      <c r="E47" s="127" t="inlineStr">
        <is>
          <t>Coca-Cola Company</t>
        </is>
      </c>
      <c r="F47" s="127" t="inlineStr">
        <is>
          <t>David</t>
        </is>
      </c>
      <c r="G47" s="127" t="inlineStr">
        <is>
          <t>Spain</t>
        </is>
      </c>
      <c r="H47" s="113" t="inlineStr">
        <is>
          <t>A01 - Consumer Goods</t>
        </is>
      </c>
      <c r="I47" s="128" t="inlineStr">
        <is>
          <t>https://ascentialcdn.filespin.io/api/v1/conversion/cc0c84dd54874fdea4173e4874a381c3</t>
        </is>
      </c>
      <c r="J47" s="127" t="inlineStr">
        <is>
          <t>vimeo:1083484983</t>
        </is>
      </c>
      <c r="K47" s="127" t="n"/>
      <c r="L47" s="128" t="inlineStr">
        <is>
          <t>https://www.lovethework.com/work/entries/el-campos-red-740334</t>
        </is>
      </c>
      <c r="M47" s="113" t="inlineStr">
        <is>
          <t>Coca-Cola turned Mexico's faded red shop awnings into a tribute to the small businesses that made them cultural landmarks. Instead of throwing them away, the brand renewed 12,700 awnings for free, then transformed the old fabric into billboards, posters, merch and commemorative cans that preserved every unique shade of Coca-Cola red.</t>
        </is>
      </c>
      <c r="N47" s="113" t="inlineStr">
        <is>
          <t>beverage, drinks, ooh, retail, small-business, mexico, packaging, sustainability, single-market</t>
        </is>
      </c>
    </row>
    <row r="48">
      <c r="A48" s="127" t="n">
        <v>2025</v>
      </c>
      <c r="B48" s="138" t="inlineStr">
        <is>
          <t>Bronze</t>
        </is>
      </c>
      <c r="C48" s="135" t="inlineStr">
        <is>
          <t>Corona Eclipse - Uruguay</t>
        </is>
      </c>
      <c r="D48" s="127" t="inlineStr">
        <is>
          <t>Corona</t>
        </is>
      </c>
      <c r="E48" s="127" t="inlineStr">
        <is>
          <t>Corona</t>
        </is>
      </c>
      <c r="F48" s="127" t="inlineStr">
        <is>
          <t>David</t>
        </is>
      </c>
      <c r="G48" s="127" t="inlineStr">
        <is>
          <t>United States</t>
        </is>
      </c>
      <c r="H48" s="113" t="inlineStr">
        <is>
          <t>A01 - Consumer Goods</t>
        </is>
      </c>
      <c r="I48" s="128" t="inlineStr">
        <is>
          <t>https://ascentialcdn.filespin.io/api/v1/conversion/77eb12aacaf340e1b7d9e79c99556281</t>
        </is>
      </c>
      <c r="J48" s="127" t="inlineStr">
        <is>
          <t>ViJvHO9BxvU</t>
        </is>
      </c>
      <c r="K48" s="127" t="n"/>
      <c r="L48" s="128" t="inlineStr">
        <is>
          <t>https://www.lovethework.com/work/entries/corona-eclipse-uruguay-740235</t>
        </is>
      </c>
      <c r="M48" s="113" t="inlineStr">
        <is>
          <t>A consumer campaign built around the natural alignment between a solar eclipse and Corona's iconic bottle silhouette — the circular crown of the bottle mouth framing the sun as the moon passes across it. Created by DAVID, the work invited people to hold up a Corona bottle to witness the eclipse through the brand's own shape.</t>
        </is>
      </c>
      <c r="N48" s="113" t="inlineStr">
        <is>
          <t>beer, alcohol, experiential, ooh, united-states, uruguay, outdoor, brand-event, astronomy</t>
        </is>
      </c>
    </row>
    <row r="49">
      <c r="A49" s="127" t="n">
        <v>2025</v>
      </c>
      <c r="B49" s="138" t="inlineStr">
        <is>
          <t>Bronze</t>
        </is>
      </c>
      <c r="C49" s="135" t="inlineStr">
        <is>
          <t>Corona Eclipse - Argentina 1</t>
        </is>
      </c>
      <c r="D49" s="127" t="inlineStr">
        <is>
          <t>Corona</t>
        </is>
      </c>
      <c r="E49" s="127" t="inlineStr">
        <is>
          <t>Corona</t>
        </is>
      </c>
      <c r="F49" s="127" t="inlineStr">
        <is>
          <t>David</t>
        </is>
      </c>
      <c r="G49" s="127" t="inlineStr">
        <is>
          <t>United States</t>
        </is>
      </c>
      <c r="H49" s="113" t="inlineStr">
        <is>
          <t>A01 - Consumer Goods</t>
        </is>
      </c>
      <c r="I49" s="128" t="inlineStr">
        <is>
          <t>https://ascentialcdn.filespin.io/api/v1/conversion/923c26278b3042ac83d908e11d20b46c</t>
        </is>
      </c>
      <c r="J49" s="127" t="inlineStr">
        <is>
          <t>ViJvHO9BxvU</t>
        </is>
      </c>
      <c r="K49" s="127" t="n"/>
      <c r="L49" s="128" t="inlineStr">
        <is>
          <t>https://www.lovethework.com/work/entries/corona-eclipse-argentina-1-740248</t>
        </is>
      </c>
      <c r="M49" s="113" t="inlineStr">
        <is>
          <t>A live event activation built around the 2024 total solar eclipse, during which Corona — whose logo centers on a sun — claimed the moment the moon fully blocked the sun as a natural brand sponsorship. The campaign positioned the eclipse's corona, the ring of light visible only during totality, as the brand's own.</t>
        </is>
      </c>
      <c r="N49" s="113" t="inlineStr">
        <is>
          <t>beer, alcohol, experiential, live-event, united-states, argentina, outdoor, branded-moment, astronomy</t>
        </is>
      </c>
    </row>
    <row r="50">
      <c r="A50" s="127" t="n">
        <v>2025</v>
      </c>
      <c r="B50" s="138" t="inlineStr">
        <is>
          <t>Bronze</t>
        </is>
      </c>
      <c r="C50" s="135" t="inlineStr">
        <is>
          <t>Corona Eclipse - Argentina 2</t>
        </is>
      </c>
      <c r="D50" s="127" t="inlineStr">
        <is>
          <t>Corona</t>
        </is>
      </c>
      <c r="E50" s="127" t="inlineStr">
        <is>
          <t>Corona</t>
        </is>
      </c>
      <c r="F50" s="127" t="inlineStr">
        <is>
          <t>David</t>
        </is>
      </c>
      <c r="G50" s="127" t="inlineStr">
        <is>
          <t>United States</t>
        </is>
      </c>
      <c r="H50" s="113" t="inlineStr">
        <is>
          <t>A01 - Consumer Goods</t>
        </is>
      </c>
      <c r="I50" s="128" t="inlineStr">
        <is>
          <t>https://ascentialcdn.filespin.io/api/v1/conversion/7a260b4ceb6f4f7c998edf6aa5b09344</t>
        </is>
      </c>
      <c r="J50" s="127" t="inlineStr">
        <is>
          <t>ViJvHO9BxvU</t>
        </is>
      </c>
      <c r="K50" s="127" t="n"/>
      <c r="L50" s="128" t="inlineStr">
        <is>
          <t>https://www.lovethework.com/work/entries/corona-eclipse-argentina-2-740260</t>
        </is>
      </c>
      <c r="M50" s="113" t="inlineStr">
        <is>
          <t>A live event activation built around the total solar eclipse visible across parts of the United States, in which Corona — whose logo centers on a sun — positioned its bottles and branding within the path of totality. The campaign used the natural alignment of sun, moon, and Corona's iconic sun imagery as the mechanic, framing outdoor placements and consumer moments around the eclipse itself.</t>
        </is>
      </c>
      <c r="N50" s="113" t="inlineStr">
        <is>
          <t>beer, alcohol, outdoor, live-event, united-states, argentina, experiential, seasonal, ooh</t>
        </is>
      </c>
    </row>
    <row r="51">
      <c r="A51" s="127" t="n">
        <v>2025</v>
      </c>
      <c r="B51" s="138" t="inlineStr">
        <is>
          <t>Bronze</t>
        </is>
      </c>
      <c r="C51" s="135" t="inlineStr">
        <is>
          <t>Price Packs - Chips</t>
        </is>
      </c>
      <c r="D51" s="127" t="inlineStr">
        <is>
          <t>Penny</t>
        </is>
      </c>
      <c r="E51" s="127" t="inlineStr">
        <is>
          <t>Food/Non-Food</t>
        </is>
      </c>
      <c r="F51" s="127" t="inlineStr">
        <is>
          <t>Serviceplan Germany</t>
        </is>
      </c>
      <c r="G51" s="127" t="inlineStr">
        <is>
          <t>Germany</t>
        </is>
      </c>
      <c r="H51" s="113" t="inlineStr">
        <is>
          <t>A04 - Travel, Leisure, Retail, Restaurants &amp; Fast-Food Chains</t>
        </is>
      </c>
      <c r="I51" s="128" t="inlineStr">
        <is>
          <t>https://ascentialcdn.filespin.io/api/v1/conversion/27ff97121fa2498480c1c23ae148604d</t>
        </is>
      </c>
      <c r="J51" s="127" t="inlineStr">
        <is>
          <t>cnAXR4lk6R0</t>
        </is>
      </c>
      <c r="K51" s="127" t="n"/>
      <c r="L51" s="128" t="inlineStr">
        <is>
          <t>https://www.lovethework.com/work/entries/price-packs-chips-740364</t>
        </is>
      </c>
      <c r="M51" s="113" t="inlineStr">
        <is>
          <t>A retail packaging campaign by Penny and Serviceplan Germany that reframes chip bag sizing and pricing into a direct, shelf-level communication tool. The packs themselves carry the price message, turning the product packaging into the primary medium for a value proposition.</t>
        </is>
      </c>
      <c r="N51" s="113" t="inlineStr">
        <is>
          <t>supermarket-retail, packaging, snack, food, packaged-goods, cpg, fmcg, price-promotion, germany, point-of-sale</t>
        </is>
      </c>
    </row>
    <row r="52">
      <c r="A52" s="127" t="n">
        <v>2025</v>
      </c>
      <c r="B52" s="138" t="inlineStr">
        <is>
          <t>Bronze</t>
        </is>
      </c>
      <c r="C52" s="135" t="inlineStr">
        <is>
          <t>Price Packs - Oatmeal</t>
        </is>
      </c>
      <c r="D52" s="127" t="inlineStr">
        <is>
          <t>Penny</t>
        </is>
      </c>
      <c r="E52" s="127" t="inlineStr">
        <is>
          <t>Food/Non-Food</t>
        </is>
      </c>
      <c r="F52" s="127" t="inlineStr">
        <is>
          <t>Serviceplan Germany</t>
        </is>
      </c>
      <c r="G52" s="127" t="inlineStr">
        <is>
          <t>Germany</t>
        </is>
      </c>
      <c r="H52" s="113" t="inlineStr">
        <is>
          <t>A04 - Travel, Leisure, Retail, Restaurants &amp; Fast-Food Chains</t>
        </is>
      </c>
      <c r="I52" s="128" t="inlineStr">
        <is>
          <t>https://ascentialcdn.filespin.io/api/v1/conversion/c3069b2a659a442aaabf5389719b9fa6</t>
        </is>
      </c>
      <c r="J52" s="127" t="inlineStr">
        <is>
          <t>cnAXR4lk6R0</t>
        </is>
      </c>
      <c r="K52" s="127" t="n"/>
      <c r="L52" s="128" t="inlineStr">
        <is>
          <t>https://www.lovethework.com/work/entries/price-packs-oatmeal-740376</t>
        </is>
      </c>
      <c r="M52" s="113" t="inlineStr">
        <is>
          <t>A retail packaging campaign by Penny and Serviceplan Germany that reframes price promotions through oatmeal — a staple grocery item — by printing price-pack deals directly onto the product packaging. The design puts the value proposition at the shelf level, where the purchase decision is made.</t>
        </is>
      </c>
      <c r="N52" s="113" t="inlineStr">
        <is>
          <t>food-retail, packaging, price-promotion, fmcg, germany, grocery, retail, oatmeal</t>
        </is>
      </c>
    </row>
    <row r="53">
      <c r="A53" s="127" t="n">
        <v>2025</v>
      </c>
      <c r="B53" s="138" t="inlineStr">
        <is>
          <t>Bronze</t>
        </is>
      </c>
      <c r="C53" s="135" t="inlineStr">
        <is>
          <t>Price Packs - Toast</t>
        </is>
      </c>
      <c r="D53" s="127" t="inlineStr">
        <is>
          <t>Penny</t>
        </is>
      </c>
      <c r="E53" s="127" t="inlineStr">
        <is>
          <t>Food/Non-Food</t>
        </is>
      </c>
      <c r="F53" s="127" t="inlineStr">
        <is>
          <t>Serviceplan Germany</t>
        </is>
      </c>
      <c r="G53" s="127" t="inlineStr">
        <is>
          <t>Germany</t>
        </is>
      </c>
      <c r="H53" s="113" t="inlineStr">
        <is>
          <t>A04 - Travel, Leisure, Retail, Restaurants &amp; Fast-Food Chains</t>
        </is>
      </c>
      <c r="I53" s="128" t="inlineStr">
        <is>
          <t>https://ascentialcdn.filespin.io/api/v1/conversion/0f62d161bf704e03bcece90e78e11d29</t>
        </is>
      </c>
      <c r="J53" s="127" t="inlineStr">
        <is>
          <t>cnAXR4lk6R0</t>
        </is>
      </c>
      <c r="K53" s="127" t="n"/>
      <c r="L53" s="128" t="inlineStr">
        <is>
          <t>https://www.lovethework.com/work/entries/price-packs-toast-740385</t>
        </is>
      </c>
      <c r="M53" s="113" t="inlineStr">
        <is>
          <t>A retail packaging campaign for Penny in Germany that uses the physical pack design of everyday food products to communicate price. Created by Serviceplan Germany, the campaign turns the toast packaging itself into the price message, making shelf-level value visible without requiring a separate promotional label or display.</t>
        </is>
      </c>
      <c r="N53" s="113" t="inlineStr">
        <is>
          <t>retail, packaging, food, grocery, germany, price-communication, ooh, serviceplan</t>
        </is>
      </c>
    </row>
    <row r="54">
      <c r="A54" s="127" t="n">
        <v>2025</v>
      </c>
      <c r="B54" s="138" t="inlineStr">
        <is>
          <t>Bronze</t>
        </is>
      </c>
      <c r="C54" s="135" t="inlineStr">
        <is>
          <t>The Sip of Sanctuary</t>
        </is>
      </c>
      <c r="D54" s="127" t="inlineStr">
        <is>
          <t>Stella Artois</t>
        </is>
      </c>
      <c r="E54" s="127" t="inlineStr">
        <is>
          <t>Stella Artois</t>
        </is>
      </c>
      <c r="F54" s="127" t="inlineStr">
        <is>
          <t>Grey</t>
        </is>
      </c>
      <c r="G54" s="127" t="inlineStr">
        <is>
          <t>United Kingdom</t>
        </is>
      </c>
      <c r="H54" s="113" t="inlineStr">
        <is>
          <t>B01 - Consumer Goods</t>
        </is>
      </c>
      <c r="I54" s="128" t="inlineStr">
        <is>
          <t>https://ascentialcdn.filespin.io/api/v1/conversion/bc046e548975443980453424bc30515a</t>
        </is>
      </c>
      <c r="J54" s="127" t="inlineStr"/>
      <c r="K54" s="127" t="n"/>
      <c r="L54" s="128" t="inlineStr">
        <is>
          <t>https://www.lovethework.com/work/entries/the-sip-of-sanctuary-740553</t>
        </is>
      </c>
      <c r="M54" s="113" t="inlineStr">
        <is>
          <t>A print campaign for Stella Artois, created by Grey London, built around three posters — "The Sip of Sanctuary," "Protector of the Chalice," and "Happiness Within Chaos" — each depicting the Stella Artois chalice as a refuge of calm amid surrounding disorder or threat. The imagery uses the glass itself as the visual anchor, framing a quiet moment of stillness as something worth protecting.</t>
        </is>
      </c>
      <c r="N54" s="113" t="inlineStr">
        <is>
          <t>beer, alcohol, print, poster, visual-storytelling, united-kingdom, illustration, campaign</t>
        </is>
      </c>
    </row>
    <row r="55">
      <c r="A55" s="127" t="n">
        <v>2025</v>
      </c>
      <c r="B55" s="138" t="inlineStr">
        <is>
          <t>Bronze</t>
        </is>
      </c>
      <c r="C55" s="135" t="inlineStr">
        <is>
          <t>Happiness Within Chaos</t>
        </is>
      </c>
      <c r="D55" s="127" t="inlineStr">
        <is>
          <t>Stella Artois</t>
        </is>
      </c>
      <c r="E55" s="127" t="inlineStr">
        <is>
          <t>Stella Artois</t>
        </is>
      </c>
      <c r="F55" s="127" t="inlineStr">
        <is>
          <t>Grey</t>
        </is>
      </c>
      <c r="G55" s="127" t="inlineStr">
        <is>
          <t>United Kingdom</t>
        </is>
      </c>
      <c r="H55" s="113" t="inlineStr">
        <is>
          <t>B01 - Consumer Goods</t>
        </is>
      </c>
      <c r="I55" s="128" t="inlineStr">
        <is>
          <t>https://ascentialcdn.filespin.io/api/v1/conversion/882ea591b6fa40b29a529180b71afa65</t>
        </is>
      </c>
      <c r="J55" s="127" t="n"/>
      <c r="K55" s="127" t="n"/>
      <c r="L55" s="128" t="inlineStr">
        <is>
          <t>https://www.lovethework.com/work/entries/happiness-within-chaos-740366</t>
        </is>
      </c>
      <c r="M55" s="113" t="inlineStr">
        <is>
          <t>A print campaign by Grey London that places a Stella Artois chalice — and the calm of drinking from it — inside visually hectic scenes, contrasting the stillness of the glass against surrounding disorder. Each execution in the series isolates the moment of a sip as a pocket of quiet amid crowds, noise, and clutter.</t>
        </is>
      </c>
      <c r="N55" s="113" t="inlineStr">
        <is>
          <t>beer, alcohol, print, ooh, united-kingdom, campaign-series, illustration, consumer-goods, cpg, fmcg</t>
        </is>
      </c>
    </row>
    <row r="56">
      <c r="A56" s="127" t="n">
        <v>2025</v>
      </c>
      <c r="B56" s="138" t="inlineStr">
        <is>
          <t>Bronze</t>
        </is>
      </c>
      <c r="C56" s="135" t="inlineStr">
        <is>
          <t>Protector of the Chalice</t>
        </is>
      </c>
      <c r="D56" s="127" t="inlineStr">
        <is>
          <t>Stella Artois</t>
        </is>
      </c>
      <c r="E56" s="127" t="inlineStr">
        <is>
          <t>Stella Artois</t>
        </is>
      </c>
      <c r="F56" s="127" t="inlineStr">
        <is>
          <t>Grey</t>
        </is>
      </c>
      <c r="G56" s="127" t="inlineStr">
        <is>
          <t>United Kingdom</t>
        </is>
      </c>
      <c r="H56" s="113" t="inlineStr">
        <is>
          <t>B01 - Consumer Goods</t>
        </is>
      </c>
      <c r="I56" s="128" t="inlineStr">
        <is>
          <t>https://ascentialcdn.filespin.io/api/v1/conversion/a33c9462c05d4330895b056745b6a602</t>
        </is>
      </c>
      <c r="J56" s="127" t="inlineStr"/>
      <c r="K56" s="127" t="n"/>
      <c r="L56" s="128" t="inlineStr">
        <is>
          <t>https://www.lovethework.com/work/entries/protector-of-the-chalice-740439</t>
        </is>
      </c>
      <c r="M56" s="113" t="inlineStr">
        <is>
          <t>A series of posters by Grey London depicting people drinking a Stella Artois pint in crowded, chaotic surroundings — the chalice held steady and upright as the world presses in around it. Each execution frames the glass as a personal sanctuary, the one still point in a scene of noise and compression.</t>
        </is>
      </c>
      <c r="N56" s="113" t="inlineStr">
        <is>
          <t>beer, alcohol, print, ooh, poster, united-kingdom, illustration, consumer-goods, cpg, fmcg</t>
        </is>
      </c>
    </row>
    <row r="57">
      <c r="A57" s="127" t="n">
        <v>2025</v>
      </c>
      <c r="B57" s="138" t="inlineStr">
        <is>
          <t>Bronze</t>
        </is>
      </c>
      <c r="C57" s="135" t="inlineStr">
        <is>
          <t>Likes</t>
        </is>
      </c>
      <c r="D57" s="127" t="inlineStr">
        <is>
          <t>History Channel</t>
        </is>
      </c>
      <c r="E57" s="127" t="inlineStr">
        <is>
          <t>History Channel</t>
        </is>
      </c>
      <c r="F57" s="127" t="inlineStr">
        <is>
          <t>Dentsu Creative</t>
        </is>
      </c>
      <c r="G57" s="127" t="inlineStr">
        <is>
          <t>Portugal</t>
        </is>
      </c>
      <c r="H57" s="113" t="inlineStr">
        <is>
          <t>B05 - Media/Entertainment</t>
        </is>
      </c>
      <c r="I57" s="128" t="inlineStr">
        <is>
          <t>https://ascentialcdn.filespin.io/api/v1/conversion/9e6eef6a84b640f9b2da45ad47d321c9</t>
        </is>
      </c>
      <c r="J57" s="127" t="inlineStr">
        <is>
          <t>W29029BIbvY</t>
        </is>
      </c>
      <c r="K57" s="127" t="n"/>
      <c r="L57" s="128" t="inlineStr">
        <is>
          <t>https://www.lovethework.com/work/entries/likes-763469</t>
        </is>
      </c>
      <c r="M57" s="113" t="inlineStr">
        <is>
          <t>An OOH, print, and TV campaign that places a single social media data point — 1,856 likes on a comment reading "We miss you, Hitler" — alongside present-day statistics: 33,963 racial hate crimes in Germany in 2024 and 162 neo-Nazi marches in six months. The juxtaposition uses live, sourced numbers to argue that the distance between historical atrocity and the present is shorter than it appears.</t>
        </is>
      </c>
      <c r="N57" s="113" t="inlineStr">
        <is>
          <t>history-channel, media-entertainment, ooh, print, television, social-data, portugal, germany, public-awareness</t>
        </is>
      </c>
    </row>
    <row r="58">
      <c r="A58" s="127" t="n">
        <v>2025</v>
      </c>
      <c r="B58" s="138" t="inlineStr">
        <is>
          <t>Bronze</t>
        </is>
      </c>
      <c r="C58" s="135" t="inlineStr">
        <is>
          <t>Marches</t>
        </is>
      </c>
      <c r="D58" s="127" t="inlineStr">
        <is>
          <t>History Channel</t>
        </is>
      </c>
      <c r="E58" s="127" t="inlineStr">
        <is>
          <t>History Channel</t>
        </is>
      </c>
      <c r="F58" s="127" t="inlineStr">
        <is>
          <t>Dentsu Creative</t>
        </is>
      </c>
      <c r="G58" s="127" t="inlineStr">
        <is>
          <t>Portugal</t>
        </is>
      </c>
      <c r="H58" s="113" t="inlineStr">
        <is>
          <t>B05 - Media/Entertainment</t>
        </is>
      </c>
      <c r="I58" s="128" t="inlineStr">
        <is>
          <t>https://ascentialcdn.filespin.io/api/v1/conversion/848c6f5fe00a4cc2be171136fcd87b87</t>
        </is>
      </c>
      <c r="J58" s="127" t="inlineStr">
        <is>
          <t>W29029BIbvY</t>
        </is>
      </c>
      <c r="K58" s="127" t="n"/>
      <c r="L58" s="128" t="inlineStr">
        <is>
          <t>https://www.lovethework.com/work/entries/marches-763480</t>
        </is>
      </c>
      <c r="M58" s="113" t="inlineStr">
        <is>
          <t>A set of outdoor displays placed along Portuguese streets where historical marches — the traditional Lisbon neighborhood processions — take place, pairing real crime-scene locations with History Channel's true-crime programming slate. The displays position the march routes themselves as evidence of the crimes covered in the channel's shows.</t>
        </is>
      </c>
      <c r="N58" s="113" t="inlineStr">
        <is>
          <t>history-channel, media-entertainment, ooh, true-crime, portugal, displays, street-level</t>
        </is>
      </c>
    </row>
    <row r="59">
      <c r="A59" s="127" t="n">
        <v>2025</v>
      </c>
      <c r="B59" s="138" t="inlineStr">
        <is>
          <t>Bronze</t>
        </is>
      </c>
      <c r="C59" s="135" t="inlineStr">
        <is>
          <t>Crimes</t>
        </is>
      </c>
      <c r="D59" s="127" t="inlineStr">
        <is>
          <t>History Channel</t>
        </is>
      </c>
      <c r="E59" s="127" t="inlineStr">
        <is>
          <t>History Channel</t>
        </is>
      </c>
      <c r="F59" s="127" t="inlineStr">
        <is>
          <t>Dentsu Creative</t>
        </is>
      </c>
      <c r="G59" s="127" t="inlineStr">
        <is>
          <t>Portugal</t>
        </is>
      </c>
      <c r="H59" s="113" t="inlineStr">
        <is>
          <t>B05 - Media/Entertainment</t>
        </is>
      </c>
      <c r="I59" s="128" t="inlineStr">
        <is>
          <t>https://ascentialcdn.filespin.io/api/v1/conversion/2aba4c2194414c37b9cf328c0dcc193f</t>
        </is>
      </c>
      <c r="J59" s="127" t="inlineStr">
        <is>
          <t>W29029BIbvY</t>
        </is>
      </c>
      <c r="K59" s="127" t="n"/>
      <c r="L59" s="128" t="inlineStr">
        <is>
          <t>https://www.lovethework.com/work/entries/crimes-763490</t>
        </is>
      </c>
      <c r="M59" s="113" t="inlineStr">
        <is>
          <t>A series of out-of-home displays placed at real-world crime scenes — or locations tied to historical crimes — in Portugal, using physical signage to surface the History Channel's crime-related programming at the sites where those events actually occurred. The campaign was created by Dentsu Creative Lisbon.</t>
        </is>
      </c>
      <c r="N59" s="113" t="inlineStr">
        <is>
          <t>history-channel, media-entertainment, ooh, displays, portugal, true-crime, site-specific</t>
        </is>
      </c>
    </row>
    <row r="60">
      <c r="A60" s="127" t="n">
        <v>2025</v>
      </c>
      <c r="B60" s="138" t="inlineStr">
        <is>
          <t>Bronze</t>
        </is>
      </c>
      <c r="C60" s="135" t="inlineStr">
        <is>
          <t>Signs from Heaven</t>
        </is>
      </c>
      <c r="D60" s="127" t="inlineStr">
        <is>
          <t>Pangu Cloud</t>
        </is>
      </c>
      <c r="E60" s="127" t="inlineStr">
        <is>
          <t>Pangu Meteorological Model</t>
        </is>
      </c>
      <c r="F60" s="127" t="inlineStr">
        <is>
          <t>Ogilvy</t>
        </is>
      </c>
      <c r="G60" s="127" t="inlineStr">
        <is>
          <t>China</t>
        </is>
      </c>
      <c r="H60" s="113" t="inlineStr">
        <is>
          <t>C01 - Displays</t>
        </is>
      </c>
      <c r="I60" s="128" t="inlineStr">
        <is>
          <t>https://ascentialcdn.filespin.io/api/v1/conversion/09dbff10bf5e4eaeae2d578fe9cc19b0</t>
        </is>
      </c>
      <c r="J60" s="127" t="inlineStr">
        <is>
          <t>CLTN81ECv6E</t>
        </is>
      </c>
      <c r="K60" s="127" t="n"/>
      <c r="L60" s="128" t="inlineStr">
        <is>
          <t>https://www.lovethework.com/work/entries/signs-from-heaven-740708</t>
        </is>
      </c>
      <c r="M60" s="113" t="inlineStr">
        <is>
          <t>An early-warning system built for remote fishing communities and villages in Madagascar, using Pangu Cloud's AI-powered meteorological model to detect incoming storms and deliver life-saving weather alerts before they strike. Because thousands of fishermen and villagers die each year from storms they had no advance notice of, the alerts were distributed through local channels accessible to communities with no reliable digital infrastructure.</t>
        </is>
      </c>
      <c r="N60" s="113" t="inlineStr">
        <is>
          <t>meteorological-model, ai, technology, public-safety, ooh, madagascar, china, early-warning, weather</t>
        </is>
      </c>
    </row>
    <row r="61">
      <c r="A61" s="127" t="n">
        <v>2025</v>
      </c>
      <c r="B61" s="138" t="inlineStr">
        <is>
          <t>Bronze</t>
        </is>
      </c>
      <c r="C61" s="135" t="inlineStr">
        <is>
          <t>Smile 20</t>
        </is>
      </c>
      <c r="D61" s="127" t="inlineStr">
        <is>
          <t>Goody's Pain Powder</t>
        </is>
      </c>
      <c r="E61" s="127" t="inlineStr">
        <is>
          <t>Goody's Pain Powder</t>
        </is>
      </c>
      <c r="F61" s="127" t="inlineStr">
        <is>
          <t>FCB Chicago</t>
        </is>
      </c>
      <c r="G61" s="127" t="inlineStr">
        <is>
          <t>United States</t>
        </is>
      </c>
      <c r="H61" s="113" t="inlineStr">
        <is>
          <t>C02 - Interactive/Dynamic Digital Screens</t>
        </is>
      </c>
      <c r="I61" s="128" t="inlineStr">
        <is>
          <t>https://ascentialcdn.filespin.io/api/v1/conversion/102f0d648c284c6e98ed2de341d6a49d</t>
        </is>
      </c>
      <c r="J61" s="127" t="inlineStr">
        <is>
          <t>vimeo:1081666376</t>
        </is>
      </c>
      <c r="K61" s="127" t="n"/>
      <c r="L61" s="128" t="inlineStr">
        <is>
          <t>https://www.lovethework.com/work/entries/smile-20-740676</t>
        </is>
      </c>
      <c r="M61" s="113" t="inlineStr">
        <is>
          <t>An AI-powered digital screen placed at Mile 20 of the Knoxville Marathon — the point where runners hit "the wall" — that detected each runner's face and overlaid a smile filter in real time, prompting an involuntary physical smile during one of the race's most painful stretches. The placement responds to a specific constraint: runners are medically advised not to take NSAIDs like Goody's Pain Powder mid-race, so the brand offered an alternative form of relief at the moment it couldn't offer its actual product.</t>
        </is>
      </c>
      <c r="N61" s="113" t="inlineStr">
        <is>
          <t>pain-relief, ooh, dynamic-digital-screens, ai, technology, face-detection, experiential, running, united-states, sports-marketing</t>
        </is>
      </c>
    </row>
    <row r="62">
      <c r="A62" s="127" t="n">
        <v>2025</v>
      </c>
      <c r="B62" s="138" t="inlineStr">
        <is>
          <t>Bronze</t>
        </is>
      </c>
      <c r="C62" s="135" t="inlineStr">
        <is>
          <t>Carrefoursa - Ghost Town</t>
        </is>
      </c>
      <c r="D62" s="127" t="inlineStr">
        <is>
          <t>CarrefourSA</t>
        </is>
      </c>
      <c r="E62" s="127" t="inlineStr">
        <is>
          <t>Retail</t>
        </is>
      </c>
      <c r="F62" s="127" t="inlineStr">
        <is>
          <t>TBWA\Istanbul</t>
        </is>
      </c>
      <c r="G62" s="127" t="inlineStr">
        <is>
          <t>Turkey</t>
        </is>
      </c>
      <c r="H62" s="113" t="inlineStr">
        <is>
          <t>C03 - Special Build</t>
        </is>
      </c>
      <c r="I62" s="128" t="inlineStr">
        <is>
          <t>https://ascentialcdn.filespin.io/api/v1/conversion/7aeda253bc4a4f4e8c659c64a4721596</t>
        </is>
      </c>
      <c r="J62" s="127" t="inlineStr">
        <is>
          <t>0tKFbogECr4</t>
        </is>
      </c>
      <c r="K62" s="127" t="n"/>
      <c r="L62" s="128" t="inlineStr">
        <is>
          <t>https://www.lovethework.com/work/entries/carrefoursa-ghost-town-740781</t>
        </is>
      </c>
      <c r="M62" s="113" t="inlineStr">
        <is>
          <t>To expose the threat of abandoned 'ghost nets,' CarrefourSA collected them from the sea and draped them across Ocaklar, turning the Turkish fishing village into a haunting vision of the ghost town it could become. The installation made the invisible crisis impossible to ignore, while a training program and digital platform helped educate thousands of fishermen on protecting sustainable seafood and coastal livelihoods.</t>
        </is>
      </c>
      <c r="N62" s="113" t="inlineStr">
        <is>
          <t>retail, supermarket, grocery, ooh, sustainability, environment, social-good, turkey, partnership, installation</t>
        </is>
      </c>
    </row>
    <row r="63">
      <c r="A63" s="127" t="n">
        <v>2025</v>
      </c>
      <c r="B63" s="138" t="inlineStr">
        <is>
          <t>Bronze</t>
        </is>
      </c>
      <c r="C63" s="135" t="inlineStr">
        <is>
          <t>Chai Bansuri - the Tea Flute</t>
        </is>
      </c>
      <c r="D63" s="127" t="inlineStr">
        <is>
          <t>Unilever</t>
        </is>
      </c>
      <c r="E63" s="127" t="inlineStr">
        <is>
          <t>Brooke Bond Taj Mahal Tea</t>
        </is>
      </c>
      <c r="F63" s="127" t="inlineStr">
        <is>
          <t>Ogilvy</t>
        </is>
      </c>
      <c r="G63" s="127" t="inlineStr">
        <is>
          <t>India</t>
        </is>
      </c>
      <c r="H63" s="113" t="inlineStr">
        <is>
          <t>C04 - Live Advertising and Events</t>
        </is>
      </c>
      <c r="I63" s="128" t="inlineStr">
        <is>
          <t>https://ascentialcdn.filespin.io/api/v1/conversion/b79b43804eae486ea54374794321d26f</t>
        </is>
      </c>
      <c r="J63" s="127" t="inlineStr">
        <is>
          <t>rUaCL7lrVa4</t>
        </is>
      </c>
      <c r="K63" s="127" t="n"/>
      <c r="L63" s="128" t="inlineStr">
        <is>
          <t>https://www.lovethework.com/work/entries/chai-bansuri-the-tea-flute-740791</t>
        </is>
      </c>
      <c r="M63" s="113" t="inlineStr">
        <is>
          <t>A 500-litre kettle engineered to play the flute — steam from brewing Taj Mahal Tea was channeled through a bansuri while mechanized fingers worked the finger holes to produce live music. The installation draws on Taj Mahal Tea's long association with classical Indian music, using the act of brewing itself as the instrument.</t>
        </is>
      </c>
      <c r="N63" s="113" t="inlineStr">
        <is>
          <t>tea, live-event, installation, india, classical-music, ogilvy, experiential, branded-entertainment</t>
        </is>
      </c>
    </row>
    <row r="64">
      <c r="A64" s="127" t="n">
        <v>2025</v>
      </c>
      <c r="B64" s="138" t="inlineStr">
        <is>
          <t>Bronze</t>
        </is>
      </c>
      <c r="C64" s="135" t="inlineStr">
        <is>
          <t>Worst Children's Library</t>
        </is>
      </c>
      <c r="D64" s="127" t="inlineStr">
        <is>
          <t>Samsung</t>
        </is>
      </c>
      <c r="E64" s="127" t="inlineStr">
        <is>
          <t>Samsung</t>
        </is>
      </c>
      <c r="F64" s="127" t="inlineStr">
        <is>
          <t>DDB New Zealand</t>
        </is>
      </c>
      <c r="G64" s="127" t="inlineStr">
        <is>
          <t>New Zealand</t>
        </is>
      </c>
      <c r="H64" s="113" t="inlineStr">
        <is>
          <t>C05 - Interactive Experiences</t>
        </is>
      </c>
      <c r="I64" s="128" t="inlineStr">
        <is>
          <t>https://ascentialcdn.filespin.io/api/v1/conversion/0e92a3c97dfe4f05b663ae448b0f27d4</t>
        </is>
      </c>
      <c r="J64" s="127" t="inlineStr">
        <is>
          <t>vimeo:1105993323</t>
        </is>
      </c>
      <c r="K64" s="127" t="n"/>
      <c r="L64" s="128" t="inlineStr">
        <is>
          <t>https://www.lovethework.com/work/entries/worst-childrens-library-740810</t>
        </is>
      </c>
      <c r="M64" s="113" t="inlineStr">
        <is>
          <t>A real school library at Auckland Normal Intermediate stripped of its usual books and replaced with 1,160 hand-bound titles — each one a piece of harmful digital content that children have actually encountered online. Topics ranged from toxic masculinity to self-harm to animal cruelty, catalogued in a custom 'Dewey Decimal System of Harm,' with parents invited to walk the shelves.</t>
        </is>
      </c>
      <c r="N64" s="113" t="inlineStr">
        <is>
          <t>social-good, online-safety, education, exhibition, kids, new-zealand, partnership, behaviour-change</t>
        </is>
      </c>
    </row>
    <row r="65">
      <c r="A65" s="127" t="n">
        <v>2025</v>
      </c>
      <c r="B65" s="138" t="inlineStr">
        <is>
          <t>Bronze</t>
        </is>
      </c>
      <c r="C65" s="135" t="inlineStr">
        <is>
          <t>Mayo Exchange</t>
        </is>
      </c>
      <c r="D65" s="127" t="inlineStr">
        <is>
          <t>Hellmann's</t>
        </is>
      </c>
      <c r="E65" s="127" t="inlineStr">
        <is>
          <t>Hellmann's Mayonnaise</t>
        </is>
      </c>
      <c r="F65" s="127" t="inlineStr">
        <is>
          <t>Edelman</t>
        </is>
      </c>
      <c r="G65" s="127" t="inlineStr">
        <is>
          <t>United Kingdom</t>
        </is>
      </c>
      <c r="H65" s="113" t="inlineStr">
        <is>
          <t>C05 - Interactive Experiences</t>
        </is>
      </c>
      <c r="I65" s="128" t="inlineStr">
        <is>
          <t>https://ascentialcdn.filespin.io/api/v1/conversion/2f963ba6e5b3402fb58a7907daa78953</t>
        </is>
      </c>
      <c r="J65" s="127" t="inlineStr">
        <is>
          <t>4NpEnDNRwc0</t>
        </is>
      </c>
      <c r="K65" s="127" t="n"/>
      <c r="L65" s="128" t="inlineStr">
        <is>
          <t>https://www.lovethework.com/work/entries/mayo-exchange-740956</t>
        </is>
      </c>
      <c r="M65" s="113" t="inlineStr">
        <is>
          <t>A pop-up condiment currency exchange run across 62 locations in the United Kingdom, where Hellmann's invited ketchup owners to physically hand in their bottles in exchange for Hellmann's Mayonnaise. The exchange framing — staffed counters, branded currency signage — positioned mayo as the superior condiment by treating ketchup as a currency worth trading away.</t>
        </is>
      </c>
      <c r="N65" s="113" t="inlineStr">
        <is>
          <t>mayonnaise, experiential, ooh, pop-up, condiment, united-kingdom, retail-activation, interactive-experience</t>
        </is>
      </c>
    </row>
    <row r="66">
      <c r="A66" s="127" t="n">
        <v>2025</v>
      </c>
      <c r="B66" s="138" t="inlineStr">
        <is>
          <t>Bronze</t>
        </is>
      </c>
      <c r="C66" s="135" t="inlineStr">
        <is>
          <t>Touchboards Discount</t>
        </is>
      </c>
      <c r="D66" s="127" t="inlineStr">
        <is>
          <t>Itaú Unibanco</t>
        </is>
      </c>
      <c r="E66" s="127" t="inlineStr">
        <is>
          <t>Bank</t>
        </is>
      </c>
      <c r="F66" s="127" t="inlineStr">
        <is>
          <t>Africa Creative DDB</t>
        </is>
      </c>
      <c r="G66" s="127" t="inlineStr">
        <is>
          <t>Brazil</t>
        </is>
      </c>
      <c r="H66" s="113" t="inlineStr">
        <is>
          <t>C05 - Interactive Experiences</t>
        </is>
      </c>
      <c r="I66" s="128" t="inlineStr">
        <is>
          <t>https://ascentialcdn.filespin.io/api/v1/conversion/e14b84bfe13a475898db5ad4b54d8a97</t>
        </is>
      </c>
      <c r="J66" s="127" t="inlineStr">
        <is>
          <t>vimeo:1136599182</t>
        </is>
      </c>
      <c r="K66" s="127" t="n"/>
      <c r="L66" s="128" t="inlineStr">
        <is>
          <t>https://www.lovethework.com/work/entries/touchboards-discount-740763</t>
        </is>
      </c>
      <c r="M66" s="113" t="inlineStr">
        <is>
          <t>For Black Friday, Itaú Shop turned missed shots during a major Brazilian championship match into instant marketplace discounts. Using touch-enabled boards around the field, every ball that hit the ads unlocked deals on fan-favorite items like TVs, jerseys and soccer balls, transforming bad plays into rewarding moments for fans in the stadium and at home.</t>
        </is>
      </c>
      <c r="N66" s="113" t="inlineStr">
        <is>
          <t>banking, financial-services, finance, fintech, sport, football, soccer, ooh, interactive, brazil, retail-promo, real-time</t>
        </is>
      </c>
    </row>
    <row r="67">
      <c r="A67" s="127" t="n">
        <v>2025</v>
      </c>
      <c r="B67" s="138" t="inlineStr">
        <is>
          <t>Bronze</t>
        </is>
      </c>
      <c r="C67" s="135" t="inlineStr">
        <is>
          <t>Followers Store</t>
        </is>
      </c>
      <c r="D67" s="127" t="inlineStr">
        <is>
          <t>New Balance</t>
        </is>
      </c>
      <c r="E67" s="127" t="inlineStr">
        <is>
          <t>New Balance</t>
        </is>
      </c>
      <c r="F67" s="127" t="inlineStr">
        <is>
          <t>LePub</t>
        </is>
      </c>
      <c r="G67" s="127" t="inlineStr">
        <is>
          <t>Brazil</t>
        </is>
      </c>
      <c r="H67" s="113" t="inlineStr">
        <is>
          <t>C06 - Transit</t>
        </is>
      </c>
      <c r="I67" s="128" t="inlineStr">
        <is>
          <t>https://ascentialcdn.filespin.io/api/v1/conversion/3f6078e96a9a4e17acada7c2ad04d652</t>
        </is>
      </c>
      <c r="J67" s="127" t="inlineStr">
        <is>
          <t>uYskstOPF4U</t>
        </is>
      </c>
      <c r="K67" s="127" t="n"/>
      <c r="L67" s="128" t="inlineStr">
        <is>
          <t>https://www.lovethework.com/work/entries/followers-store-741098</t>
        </is>
      </c>
      <c r="M67" s="113" t="inlineStr">
        <is>
          <t>A geo-fenced sales window for an exclusive São Paulo FC jersey, unlockable on the New Balance app only for fans physically near the team bus as it traveled to Morumbi Stadium ahead of a Brazilian Championship match. Outside that travel window, the jersey was unbuyable; inside it, fans had minutes to pre-order before the bus passed.</t>
        </is>
      </c>
      <c r="N67" s="113" t="inlineStr">
        <is>
          <t>ecommerce, retail, online-shopping, geolocation, football, soccer, sport, brazil, app, partnership</t>
        </is>
      </c>
    </row>
    <row r="68">
      <c r="A68" s="127" t="n">
        <v>2025</v>
      </c>
      <c r="B68" s="138" t="inlineStr">
        <is>
          <t>Bronze</t>
        </is>
      </c>
      <c r="C68" s="135" t="inlineStr">
        <is>
          <t>Lucky Yatra</t>
        </is>
      </c>
      <c r="D68" s="127" t="inlineStr">
        <is>
          <t>Indian Railways</t>
        </is>
      </c>
      <c r="E68" s="127" t="inlineStr">
        <is>
          <t>Railway Service</t>
        </is>
      </c>
      <c r="F68" s="127" t="inlineStr">
        <is>
          <t>FCB India</t>
        </is>
      </c>
      <c r="G68" s="127" t="inlineStr">
        <is>
          <t>India</t>
        </is>
      </c>
      <c r="H68" s="113" t="inlineStr">
        <is>
          <t>C06 - Transit</t>
        </is>
      </c>
      <c r="I68" s="128" t="inlineStr">
        <is>
          <t>https://ascentialcdn.filespin.io/api/v1/conversion/cf238077a73e4204aff7e28913d98b1d</t>
        </is>
      </c>
      <c r="J68" s="127" t="inlineStr">
        <is>
          <t>IYJlZRbvMEw</t>
        </is>
      </c>
      <c r="K68" s="127" t="n"/>
      <c r="L68" s="128" t="inlineStr">
        <is>
          <t>https://www.lovethework.com/work/entries/lucky-yatra-741094</t>
        </is>
      </c>
      <c r="M68" s="113" t="inlineStr">
        <is>
          <t>A loyalty program built into the ticketing system of Indian Railways: every valid ticket carries a unique number that's auto-entered into daily and weekly cash prize draws. Designed to turn ticketless travel — an entrenched habit on one of the world's largest rail networks — into a paid behavior worth doing.</t>
        </is>
      </c>
      <c r="N68" s="113" t="inlineStr">
        <is>
          <t>railway-service, loyalty-program, public-service, mobile-app, india, gamification, ticketing</t>
        </is>
      </c>
    </row>
    <row r="69">
      <c r="A69" s="127" t="n">
        <v>2025</v>
      </c>
      <c r="B69" s="138" t="inlineStr">
        <is>
          <t>Bronze</t>
        </is>
      </c>
      <c r="C69" s="135" t="inlineStr">
        <is>
          <t>Hidden Message</t>
        </is>
      </c>
      <c r="D69" s="127" t="inlineStr">
        <is>
          <t>Heineken</t>
        </is>
      </c>
      <c r="E69" s="127" t="inlineStr">
        <is>
          <t>Heineken</t>
        </is>
      </c>
      <c r="F69" s="127" t="inlineStr">
        <is>
          <t>LePub</t>
        </is>
      </c>
      <c r="G69" s="127" t="inlineStr">
        <is>
          <t>Italy</t>
        </is>
      </c>
      <c r="H69" s="113" t="inlineStr">
        <is>
          <t>D03 - Technology</t>
        </is>
      </c>
      <c r="I69" s="128" t="inlineStr">
        <is>
          <t>https://ascentialcdn.filespin.io/api/v1/conversion/459dc31c901d4c3385f219939e6621a9</t>
        </is>
      </c>
      <c r="J69" s="127" t="inlineStr">
        <is>
          <t>PPtbr6aJ7_A</t>
        </is>
      </c>
      <c r="K69" s="127" t="n"/>
      <c r="L69" s="128" t="inlineStr">
        <is>
          <t>https://www.lovethework.com/work/entries/hidden-message-741175</t>
        </is>
      </c>
      <c r="M69" s="113" t="inlineStr">
        <is>
          <t>Billboards fitted with infrared lights, placed at music festivals, that are invisible to the naked eye but appear only through a smartphone camera — so the message is revealed exclusively to people already holding their phones up to film. The boards were activated at major live events to turn the act of reaching for your phone into the moment you're told to put it down.</t>
        </is>
      </c>
      <c r="N69" s="113" t="inlineStr">
        <is>
          <t>beer, alcohol, ooh, music-festivals, infrared, live-events, italy, technology, ambient</t>
        </is>
      </c>
    </row>
    <row r="70">
      <c r="A70" s="127" t="n">
        <v>2025</v>
      </c>
      <c r="B70" s="138" t="inlineStr">
        <is>
          <t>Bronze</t>
        </is>
      </c>
      <c r="C70" s="135" t="inlineStr">
        <is>
          <t>The Shaded Route</t>
        </is>
      </c>
      <c r="D70" s="127" t="inlineStr">
        <is>
          <t>HungerStation</t>
        </is>
      </c>
      <c r="E70" s="127" t="inlineStr">
        <is>
          <t>HungerStation Delivery App</t>
        </is>
      </c>
      <c r="F70" s="127" t="inlineStr">
        <is>
          <t>VML</t>
        </is>
      </c>
      <c r="G70" s="127" t="inlineStr">
        <is>
          <t>Saudi Arabia</t>
        </is>
      </c>
      <c r="H70" s="113" t="inlineStr">
        <is>
          <t>D03 - Technology</t>
        </is>
      </c>
      <c r="I70" s="128" t="inlineStr">
        <is>
          <t>https://ascentialcdn.filespin.io/api/v1/conversion/a5387631458b48648c6dba4b21efb3d0</t>
        </is>
      </c>
      <c r="J70" s="127" t="inlineStr">
        <is>
          <t>NZcCfqEoFoo</t>
        </is>
      </c>
      <c r="K70" s="127" t="n"/>
      <c r="L70" s="128" t="inlineStr">
        <is>
          <t>https://www.lovethework.com/work/entries/the-shaded-route-741203</t>
        </is>
      </c>
      <c r="M70" s="113" t="inlineStr">
        <is>
          <t>A routing feature built into the HungerStation delivery app that calculates the shadiest path between pickup and drop-off points across Saudi Arabia — plotting roads and turns that maximize shade cover during each journey. The feature uses real-time sun position data alongside mapped building and infrastructure footprints to dynamically update routes as conditions change throughout the day.</t>
        </is>
      </c>
      <c r="N70" s="113" t="inlineStr">
        <is>
          <t>delivery-app, mobile-app, technology, data, real-time, rider-welfare, saudi-arabia, navigation, heat</t>
        </is>
      </c>
    </row>
    <row r="71">
      <c r="A71" s="127" t="n">
        <v>2025</v>
      </c>
      <c r="B71" s="138" t="inlineStr">
        <is>
          <t>Bronze</t>
        </is>
      </c>
      <c r="C71" s="135" t="inlineStr">
        <is>
          <t>Winning Isn't Comfortable</t>
        </is>
      </c>
      <c r="D71" s="127" t="inlineStr">
        <is>
          <t>Nike</t>
        </is>
      </c>
      <c r="E71" s="127" t="inlineStr">
        <is>
          <t>Nike</t>
        </is>
      </c>
      <c r="F71" s="127" t="inlineStr">
        <is>
          <t>Wieden+Kennedy</t>
        </is>
      </c>
      <c r="G71" s="127" t="inlineStr">
        <is>
          <t>United States</t>
        </is>
      </c>
      <c r="H71" s="113" t="inlineStr">
        <is>
          <t>E04 - Social Behaviour</t>
        </is>
      </c>
      <c r="I71" s="127" t="inlineStr">
        <is>
          <t>digital-presentation-images/outdoor-nike-winning-isnt-comfortable.webp</t>
        </is>
      </c>
      <c r="J71" s="127" t="inlineStr">
        <is>
          <t>FFFmnfdBrm8</t>
        </is>
      </c>
      <c r="K71" s="127" t="n"/>
      <c r="L71" s="128" t="inlineStr">
        <is>
          <t>https://www.lovethework.com/work/entries/winning-isnt-comfortable-741524</t>
        </is>
      </c>
      <c r="M71" s="113" t="inlineStr">
        <is>
          <t>An OOH campaign across 200+ placements at and around five marathons — including Chicago and New York — where billboard copy transitions meaning mid-message, mirroring the way runners hate a run in the moment but love it once it's done. Locations were selected using Strava data to target popular running routes, and executions followed runners from bib pick-up through every mile to the subway ride home. Wieden+Kennedy Portland built the work around the unspoken truth that running is awful and runners know it, countering a category convention of smiling, sweat-free athletes in effortless motion.</t>
        </is>
      </c>
      <c r="N71" s="113" t="inlineStr">
        <is>
          <t>sportswear, ooh, out-of-home, running, marathon, united-states, strava-partnership, copywriting</t>
        </is>
      </c>
    </row>
    <row r="72">
      <c r="A72" s="127" t="n">
        <v>2025</v>
      </c>
      <c r="B72" s="138" t="inlineStr">
        <is>
          <t>Bronze</t>
        </is>
      </c>
      <c r="C72" s="135" t="inlineStr">
        <is>
          <t>Not for First Dates</t>
        </is>
      </c>
      <c r="D72" s="127" t="inlineStr">
        <is>
          <t>McDonald's</t>
        </is>
      </c>
      <c r="E72" s="127" t="inlineStr">
        <is>
          <t>McDonald's Meals</t>
        </is>
      </c>
      <c r="F72" s="127" t="inlineStr">
        <is>
          <t>FP7 McCann</t>
        </is>
      </c>
      <c r="G72" s="127" t="inlineStr">
        <is>
          <t>United Arab Emirates</t>
        </is>
      </c>
      <c r="H72" s="113" t="inlineStr">
        <is>
          <t>E04 - Social Behaviour</t>
        </is>
      </c>
      <c r="I72" s="128" t="inlineStr">
        <is>
          <t>https://ascentialcdn.filespin.io/api/v1/conversion/591a046477ac42a3973af316aacb0ac5</t>
        </is>
      </c>
      <c r="J72" s="127" t="inlineStr">
        <is>
          <t>vimeo:1083528511</t>
        </is>
      </c>
      <c r="K72" s="127" t="n"/>
      <c r="L72" s="128" t="inlineStr">
        <is>
          <t>https://www.lovethework.com/work/entries/not-for-first-dates-741459</t>
        </is>
      </c>
      <c r="M72" s="113" t="inlineStr">
        <is>
          <t>An outdoor campaign for McDonald's UAE built on the cultural insight that real intimacy — the kind where you eat messily, share fries, and drop sauce on your shirt — comes after the first-date performance is over. The work positions McDonald's meals as the food of established comfort rather than courtship, running in partnership with Weber Shandwick MENAT, UM, and Craft.</t>
        </is>
      </c>
      <c r="N72" s="113" t="inlineStr">
        <is>
          <t>quick-service-restaurant, ooh, social-behaviour, united-arab-emirates, cultural-insight, relationship, middle-east</t>
        </is>
      </c>
    </row>
    <row r="73">
      <c r="A73" s="127" t="n">
        <v>2025</v>
      </c>
      <c r="B73" s="138" t="inlineStr">
        <is>
          <t>Bronze</t>
        </is>
      </c>
      <c r="C73" s="135" t="inlineStr">
        <is>
          <t>Awkboards</t>
        </is>
      </c>
      <c r="D73" s="127" t="inlineStr">
        <is>
          <t>Life Pharmacy</t>
        </is>
      </c>
      <c r="E73" s="127" t="inlineStr">
        <is>
          <t>OTC Products</t>
        </is>
      </c>
      <c r="F73" s="127" t="inlineStr">
        <is>
          <t>FCB New Zealand</t>
        </is>
      </c>
      <c r="G73" s="127" t="inlineStr">
        <is>
          <t>New Zealand</t>
        </is>
      </c>
      <c r="H73" s="113" t="inlineStr">
        <is>
          <t>E05 - Use of Humour</t>
        </is>
      </c>
      <c r="I73" s="128" t="inlineStr">
        <is>
          <t>https://ascentialcdn.filespin.io/api/v1/conversion/acd8d741c65343949410395ac1ef1341</t>
        </is>
      </c>
      <c r="J73" s="127" t="inlineStr">
        <is>
          <t>vimeo:1065727535</t>
        </is>
      </c>
      <c r="K73" s="127" t="n"/>
      <c r="L73" s="128" t="inlineStr">
        <is>
          <t>https://www.lovethework.com/work/entries/awkboards-741401</t>
        </is>
      </c>
      <c r="M73" s="113" t="inlineStr">
        <is>
          <t>A series of bold digital out-of-home billboards that displayed the names of embarrassing pharmacy products — laxatives, lubricants, and similar purchases — in large, unapologetic type to normalise buying them in person. The campaign was tied to a partnership with Uber Eats, which gave New Zealanders the option to order those same products for discreet home delivery through Life Pharmacy and Unichem.</t>
        </is>
      </c>
      <c r="N73" s="113" t="inlineStr">
        <is>
          <t>pharmacy, ooh, digital-billboard, humor, new-zealand, uber-eats-partnership, otc-products, destigmatization</t>
        </is>
      </c>
    </row>
    <row r="74">
      <c r="A74" s="127" t="n">
        <v>2025</v>
      </c>
      <c r="B74" s="138" t="inlineStr">
        <is>
          <t>Bronze</t>
        </is>
      </c>
      <c r="C74" s="135" t="inlineStr">
        <is>
          <t>Trollboards</t>
        </is>
      </c>
      <c r="D74" s="127" t="inlineStr">
        <is>
          <t>Skyscanner</t>
        </is>
      </c>
      <c r="E74" s="127" t="inlineStr">
        <is>
          <t>Skyscanner Search Aggregator and Travel Agency</t>
        </is>
      </c>
      <c r="F74" s="127" t="inlineStr">
        <is>
          <t>Courage</t>
        </is>
      </c>
      <c r="G74" s="127" t="inlineStr">
        <is>
          <t>Canada</t>
        </is>
      </c>
      <c r="H74" s="113" t="inlineStr">
        <is>
          <t>E06 - Breakthrough on a Budget</t>
        </is>
      </c>
      <c r="I74" s="128" t="inlineStr">
        <is>
          <t>https://ascentialcdn.filespin.io/api/v1/conversion/2e3e8abad74c4c44a8e303b53e1f6eea</t>
        </is>
      </c>
      <c r="J74" s="127" t="inlineStr">
        <is>
          <t>vimeo:1030104933</t>
        </is>
      </c>
      <c r="K74" s="127" t="n"/>
      <c r="L74" s="128" t="inlineStr">
        <is>
          <t>https://www.lovethework.com/work/entries/trollboards-741387</t>
        </is>
      </c>
      <c r="M74" s="113" t="inlineStr">
        <is>
          <t>Outdoor boards placed courtside during the NBA playoffs that replicated the look of the fan-held troll signs long associated with basketball playoff culture — repurposed to carry Skyscanner messaging. The placement put the brand inside a long-running arena meme at a fraction of traditional sponsorship spend, with media handled by Rebel &amp; Thorn.</t>
        </is>
      </c>
      <c r="N74" s="113" t="inlineStr">
        <is>
          <t>travel-aggregator, ooh, sports-sponsorship, basketball, nba, canada, breakthrough-on-a-budget, cultural-moment</t>
        </is>
      </c>
    </row>
    <row r="75">
      <c r="A75" s="127" t="n">
        <v>2025</v>
      </c>
      <c r="B75" s="138" t="inlineStr">
        <is>
          <t>Bronze</t>
        </is>
      </c>
      <c r="C75" s="135" t="inlineStr">
        <is>
          <t>Save Us from the USA</t>
        </is>
      </c>
      <c r="D75" s="127" t="inlineStr">
        <is>
          <t>Change the Ref</t>
        </is>
      </c>
      <c r="E75" s="127" t="inlineStr">
        <is>
          <t>Gun Violence Awareness</t>
        </is>
      </c>
      <c r="F75" s="127" t="inlineStr">
        <is>
          <t>Stream and Tough Guy</t>
        </is>
      </c>
      <c r="G75" s="127" t="inlineStr">
        <is>
          <t>Portugal</t>
        </is>
      </c>
      <c r="H75" s="113" t="inlineStr">
        <is>
          <t>E08 - Market Disruption</t>
        </is>
      </c>
      <c r="I75" s="128" t="inlineStr">
        <is>
          <t>https://ascentialcdn.filespin.io/api/v1/conversion/01a9990a2bf44119a25722e3b82f52aa</t>
        </is>
      </c>
      <c r="J75" s="127" t="inlineStr">
        <is>
          <t>vimeo:1073667667</t>
        </is>
      </c>
      <c r="K75" s="127" t="n"/>
      <c r="L75" s="128" t="inlineStr">
        <is>
          <t>https://www.lovethework.com/work/entries/save-us-from-the-usa-741701</t>
        </is>
      </c>
      <c r="M75" s="113" t="inlineStr">
        <is>
          <t>A campaign aired outside the United States — first in Portugal and then across other countries — asking foreign nationals to adopt American children and bring them to their safer home countries. The creative premise pivots on the fact that gun-related child deaths in the U.S. are 29 times higher than in other developed nations, framing the plea as coming from beyond U.S. borders where domestic anti-gun campaigns have failed to move policy.</t>
        </is>
      </c>
      <c r="N75" s="113" t="inlineStr">
        <is>
          <t>gun-violence-awareness, public-service, international-media, portugal, united-states, advocacy, broadcast, entertainment, social-issue</t>
        </is>
      </c>
    </row>
    <row r="76">
      <c r="A76" s="127" t="n">
        <v>2025</v>
      </c>
      <c r="B76" s="138" t="inlineStr">
        <is>
          <t>Bronze</t>
        </is>
      </c>
      <c r="C76" s="135" t="inlineStr">
        <is>
          <t>See My Name</t>
        </is>
      </c>
      <c r="D76" s="127" t="inlineStr">
        <is>
          <t>Molson Coors</t>
        </is>
      </c>
      <c r="E76" s="127" t="inlineStr">
        <is>
          <t>Molson Coors</t>
        </is>
      </c>
      <c r="F76" s="127" t="inlineStr">
        <is>
          <t>Rethink</t>
        </is>
      </c>
      <c r="G76" s="127" t="inlineStr">
        <is>
          <t>Canada</t>
        </is>
      </c>
      <c r="H76" s="113" t="inlineStr">
        <is>
          <t>E09 - Cultural Engagement</t>
        </is>
      </c>
      <c r="I76" s="128" t="inlineStr">
        <is>
          <t>https://ascentialcdn.filespin.io/api/v1/conversion/50b54ec5009448c5b2d59e4b93bfd487</t>
        </is>
      </c>
      <c r="J76" s="127" t="inlineStr">
        <is>
          <t>vimeo:1037597208</t>
        </is>
      </c>
      <c r="K76" s="127" t="n"/>
      <c r="L76" s="128" t="inlineStr">
        <is>
          <t>https://www.lovethework.com/work/entries/see-my-name-741591</t>
        </is>
      </c>
      <c r="M76" s="113" t="inlineStr">
        <is>
          <t>A jersey sponsorship adjustment made by Molson Coors for the PWHL (Professional Women's Hockey League) in Canada: the brand moved its logo placement on players' jerseys so that female athletes' surnames — traditionally obscured by sponsor branding — became clearly legible on the ice. The shift required no new jersey design, only a deliberate repositioning of where Molson Coors placed its mark.</t>
        </is>
      </c>
      <c r="N76" s="113" t="inlineStr">
        <is>
          <t>beer, alcohol, sports-sponsorship, pwhl, ooh, canada, gender-equality, social-good, hockey, apparel</t>
        </is>
      </c>
    </row>
    <row r="77">
      <c r="A77" s="127" t="n">
        <v>2025</v>
      </c>
      <c r="B77" s="138" t="inlineStr">
        <is>
          <t>Bronze</t>
        </is>
      </c>
      <c r="C77" s="135" t="inlineStr">
        <is>
          <t>VI Guardian Beads</t>
        </is>
      </c>
      <c r="D77" s="127" t="inlineStr">
        <is>
          <t>VI (Vodafone Idea)</t>
        </is>
      </c>
      <c r="E77" s="127" t="inlineStr">
        <is>
          <t>Holy Beads</t>
        </is>
      </c>
      <c r="F77" s="127" t="inlineStr">
        <is>
          <t>Ogilvy</t>
        </is>
      </c>
      <c r="G77" s="127" t="inlineStr">
        <is>
          <t>India</t>
        </is>
      </c>
      <c r="H77" s="113" t="inlineStr">
        <is>
          <t>E09 - Cultural Engagement</t>
        </is>
      </c>
      <c r="I77" s="128" t="inlineStr">
        <is>
          <t>https://ascentialcdn.filespin.io/api/v1/conversion/b018a310a849410db9cc6b9091ca2dcb</t>
        </is>
      </c>
      <c r="J77" s="127" t="inlineStr">
        <is>
          <t>mp4:videos/vi_guardian_beads.mp4</t>
        </is>
      </c>
      <c r="K77" s="127" t="n"/>
      <c r="L77" s="128" t="inlineStr">
        <is>
          <t>https://www.lovethework.com/work/entries/vi-guardian-beads-741561</t>
        </is>
      </c>
      <c r="M77" s="113" t="inlineStr">
        <is>
          <t>A bracelet made from sacred beads, each engraved with a digit from 0 to 9, distributed to pilgrims at the Kumbh Mela so they could string together a personal contact number — giving anyone with a phone a wearable way to be found by family if separated in the crowd. Vi (Vodafone Idea) and Ogilvy Mumbai built the mechanic around the religious significance of the beads themselves, which are traditionally worn and not removed, making the encoded number a permanent fixture on the wrist for the duration of the festival.</t>
        </is>
      </c>
      <c r="N77" s="113" t="inlineStr">
        <is>
          <t>telecom, product-design, cultural-engagement, india, experiential, ooh, public-safety, religious-festival</t>
        </is>
      </c>
    </row>
    <row r="78">
      <c r="A78" s="127" t="n">
        <v>2025</v>
      </c>
      <c r="B78" s="138" t="inlineStr">
        <is>
          <t>Bronze</t>
        </is>
      </c>
      <c r="C78" s="135" t="inlineStr">
        <is>
          <t>Aeromexicanos</t>
        </is>
      </c>
      <c r="D78" s="127" t="inlineStr">
        <is>
          <t>Aeromexico</t>
        </is>
      </c>
      <c r="E78" s="127" t="inlineStr">
        <is>
          <t>Aeromexico</t>
        </is>
      </c>
      <c r="F78" s="127" t="inlineStr">
        <is>
          <t>Ogilvy</t>
        </is>
      </c>
      <c r="G78" s="127" t="inlineStr">
        <is>
          <t>Mexico</t>
        </is>
      </c>
      <c r="H78" s="113" t="inlineStr">
        <is>
          <t>E09 - Cultural Engagement</t>
        </is>
      </c>
      <c r="I78" s="128" t="inlineStr">
        <is>
          <t>https://ascentialcdn.filespin.io/api/v1/conversion/f9f2a8cb575c498084f110de98272a4a</t>
        </is>
      </c>
      <c r="J78" s="127" t="inlineStr">
        <is>
          <t>6MDBJbej100</t>
        </is>
      </c>
      <c r="K78" s="127" t="n"/>
      <c r="L78" s="128" t="inlineStr">
        <is>
          <t>https://www.lovethework.com/work/entries/aeromexicanos-741588</t>
        </is>
      </c>
      <c r="M78" s="113" t="inlineStr">
        <is>
          <t>A campaign pairing Aeromexico with luchadores — Mexican wrestlers — to draw a parallel between the athleticism and artistry of lucha libre and the experience of flight. Created by Ogilvy Mexico City, the work used advanced audience segmentation to tailor messaging across multiple touchpoints.</t>
        </is>
      </c>
      <c r="N78" s="113" t="inlineStr">
        <is>
          <t>airline, sport, cultural-engagement, lucha-libre, mexico, ooh, audience-segmentation, entertainment</t>
        </is>
      </c>
    </row>
    <row r="79">
      <c r="A79" s="33" t="n">
        <v>2026</v>
      </c>
      <c r="B79" s="164" t="inlineStr">
        <is>
          <t>Gold</t>
        </is>
      </c>
      <c r="C79" s="107" t="inlineStr">
        <is>
          <t>Coincidence?</t>
        </is>
      </c>
      <c r="D79" s="33" t="inlineStr">
        <is>
          <t>Heinz Ketchup</t>
        </is>
      </c>
      <c r="E79" s="33" t="inlineStr">
        <is>
          <t>Kraft Heinz</t>
        </is>
      </c>
      <c r="F79" s="33" t="inlineStr">
        <is>
          <t>Rethink</t>
        </is>
      </c>
      <c r="G79" s="33" t="inlineStr">
        <is>
          <t>Canada</t>
        </is>
      </c>
      <c r="H79" s="33" t="inlineStr">
        <is>
          <t>A01 - Consumer Goods</t>
        </is>
      </c>
      <c r="I79" s="33" t="inlineStr">
        <is>
          <t>https://ascentialcdn.filespin.io/api/v1/conversion/9e69373c321b48e6b9ec6b8ecaf6f8f5</t>
        </is>
      </c>
      <c r="J79" s="33" t="inlineStr">
        <is>
          <t>ipKFJHdSxv0</t>
        </is>
      </c>
      <c r="L79" s="33" t="inlineStr">
        <is>
          <t>https://www.lovethework.com/work/entries/coincidence-781082</t>
        </is>
      </c>
      <c r="M79" s="33" t="inlineStr">
        <is>
          <t>A Heinz poster series in the brand's long-running play on its own iconography, presenting everyday scenes whose shapes and deep red tones unmistakably evoke a pour of Heinz ketchup, captioned "Coincidence?" to suggest the product is so iconic the world keeps imitating it.</t>
        </is>
      </c>
      <c r="N79" s="33" t="inlineStr">
        <is>
          <t>heinz, ketchup, condiment, food, art direction, posters, billboard, brand iconography, visual pun, rethink, canada</t>
        </is>
      </c>
    </row>
    <row r="80">
      <c r="A80" s="33" t="n">
        <v>2026</v>
      </c>
      <c r="B80" s="165" t="inlineStr">
        <is>
          <t>Silver</t>
        </is>
      </c>
      <c r="C80" s="107" t="inlineStr">
        <is>
          <t>London</t>
        </is>
      </c>
      <c r="D80" s="33" t="inlineStr">
        <is>
          <t>British Airways</t>
        </is>
      </c>
      <c r="E80" s="33" t="inlineStr">
        <is>
          <t>British Airways</t>
        </is>
      </c>
      <c r="F80" s="33" t="inlineStr">
        <is>
          <t>Uncommon Creative Studio</t>
        </is>
      </c>
      <c r="G80" s="33" t="inlineStr">
        <is>
          <t>United Kingdom</t>
        </is>
      </c>
      <c r="H80" s="33" t="inlineStr">
        <is>
          <t>A04 - Travel, Leisure, Retail, Restaurants &amp; Fast-Food Chains</t>
        </is>
      </c>
      <c r="I80" s="33" t="inlineStr">
        <is>
          <t>https://ascentialcdn.filespin.io/api/v1/conversion/ea36a01301bf4052b6ccc9e26281c6ef</t>
        </is>
      </c>
      <c r="J80" s="33" t="inlineStr">
        <is>
          <t>5nPuWpFyaN0</t>
        </is>
      </c>
      <c r="L80" s="33" t="inlineStr">
        <is>
          <t>https://www.lovethework.com/work/entries/london-780664</t>
        </is>
      </c>
      <c r="M80" s="33" t="inlineStr">
        <is>
          <t>Part of British Airways' destination poster series by Uncommon, using spare typographic lines and the airline's window motif to capture the particular feeling of flying to London.</t>
        </is>
      </c>
      <c r="N80" s="33" t="inlineStr">
        <is>
          <t>british airways, airline, travel, tourism, aviation, destination, posters, billboard, typography, copywriting, uncommon, united kingdom</t>
        </is>
      </c>
    </row>
    <row r="81">
      <c r="A81" s="33" t="n">
        <v>2026</v>
      </c>
      <c r="B81" s="165" t="inlineStr">
        <is>
          <t>Silver</t>
        </is>
      </c>
      <c r="C81" s="107" t="inlineStr">
        <is>
          <t>Marrakesh</t>
        </is>
      </c>
      <c r="D81" s="33" t="inlineStr">
        <is>
          <t>British Airways</t>
        </is>
      </c>
      <c r="E81" s="33" t="inlineStr">
        <is>
          <t>British Airways</t>
        </is>
      </c>
      <c r="F81" s="33" t="inlineStr">
        <is>
          <t>Uncommon Creative Studio</t>
        </is>
      </c>
      <c r="G81" s="33" t="inlineStr">
        <is>
          <t>United Kingdom</t>
        </is>
      </c>
      <c r="H81" s="33" t="inlineStr">
        <is>
          <t>A04 - Travel, Leisure, Retail, Restaurants &amp; Fast-Food Chains</t>
        </is>
      </c>
      <c r="I81" s="33" t="inlineStr">
        <is>
          <t>https://ascentialcdn.filespin.io/api/v1/conversion/360cc5c8d20648b197bc8bc13c6371ec</t>
        </is>
      </c>
      <c r="J81" s="33" t="inlineStr">
        <is>
          <t>5nPuWpFyaN0</t>
        </is>
      </c>
      <c r="L81" s="33" t="inlineStr">
        <is>
          <t>https://www.lovethework.com/work/entries/marrakesh-773801</t>
        </is>
      </c>
      <c r="M81" s="33" t="inlineStr">
        <is>
          <t>Part of British Airways' destination poster series by Uncommon, using spare typographic lines and the airline's window motif to capture the particular feeling of flying to Marrakesh.</t>
        </is>
      </c>
      <c r="N81" s="33" t="inlineStr">
        <is>
          <t>british airways, airline, travel, tourism, aviation, destination, posters, billboard, typography, copywriting, uncommon, united kingdom</t>
        </is>
      </c>
    </row>
    <row r="82">
      <c r="A82" s="33" t="n">
        <v>2026</v>
      </c>
      <c r="B82" s="165" t="inlineStr">
        <is>
          <t>Silver</t>
        </is>
      </c>
      <c r="C82" s="107" t="inlineStr">
        <is>
          <t>Bahamas</t>
        </is>
      </c>
      <c r="D82" s="33" t="inlineStr">
        <is>
          <t>British Airways</t>
        </is>
      </c>
      <c r="E82" s="33" t="inlineStr">
        <is>
          <t>British Airways</t>
        </is>
      </c>
      <c r="F82" s="33" t="inlineStr">
        <is>
          <t>Uncommon Creative Studio</t>
        </is>
      </c>
      <c r="G82" s="33" t="inlineStr">
        <is>
          <t>United Kingdom</t>
        </is>
      </c>
      <c r="H82" s="33" t="inlineStr">
        <is>
          <t>A04 - Travel, Leisure, Retail, Restaurants &amp; Fast-Food Chains</t>
        </is>
      </c>
      <c r="I82" s="33" t="inlineStr">
        <is>
          <t>https://ascentialcdn.filespin.io/api/v1/conversion/0718b5a0a0e847d29275452cbc3a3f24</t>
        </is>
      </c>
      <c r="J82" s="33" t="inlineStr">
        <is>
          <t>5nPuWpFyaN0</t>
        </is>
      </c>
      <c r="L82" s="33" t="inlineStr">
        <is>
          <t>https://www.lovethework.com/work/entries/bahamas-773804</t>
        </is>
      </c>
      <c r="M82" s="33" t="inlineStr">
        <is>
          <t>Part of British Airways' destination poster series by Uncommon, using spare typographic lines and the airline's window motif to capture the particular feeling of flying to the Bahamas.</t>
        </is>
      </c>
      <c r="N82" s="33" t="inlineStr">
        <is>
          <t>british airways, airline, travel, tourism, aviation, destination, posters, billboard, typography, copywriting, uncommon, united kingdom</t>
        </is>
      </c>
    </row>
    <row r="83">
      <c r="A83" s="33" t="n">
        <v>2026</v>
      </c>
      <c r="B83" s="165" t="inlineStr">
        <is>
          <t>Silver</t>
        </is>
      </c>
      <c r="C83" s="107" t="inlineStr">
        <is>
          <t>Blizzard As Usual 1</t>
        </is>
      </c>
      <c r="D83" s="33" t="inlineStr">
        <is>
          <t>Tim Hortons</t>
        </is>
      </c>
      <c r="E83" s="33" t="inlineStr">
        <is>
          <t>Tim Hortons Coffee</t>
        </is>
      </c>
      <c r="F83" s="33" t="inlineStr">
        <is>
          <t>GUT</t>
        </is>
      </c>
      <c r="G83" s="33" t="inlineStr">
        <is>
          <t>Canada</t>
        </is>
      </c>
      <c r="H83" s="33" t="inlineStr">
        <is>
          <t>A04 - Travel, Leisure, Retail, Restaurants &amp; Fast-Food Chains</t>
        </is>
      </c>
      <c r="I83" s="33" t="inlineStr">
        <is>
          <t>https://ascentialcdn.filespin.io/api/v1/conversion/f20b6f66d22c4bedbf73b3c5f7eb8d34</t>
        </is>
      </c>
      <c r="L83" s="33" t="inlineStr">
        <is>
          <t>https://www.lovethework.com/work/entries/blizzard-as-usual-1-781812</t>
        </is>
      </c>
      <c r="M83" s="33" t="inlineStr">
        <is>
          <t>An execution in Tim Hortons' "Blizzard As Usual" outdoor series, positioning the coffee chain as the dependable Canadian fixture that stays open and keeps people going through the worst winter weather.</t>
        </is>
      </c>
      <c r="N83" s="33" t="inlineStr">
        <is>
          <t>tim hortons, coffee, qsr, fast-food, restaurant, food, fast food, winter, weather, outdoor, canada, gut</t>
        </is>
      </c>
    </row>
    <row r="84">
      <c r="A84" s="33" t="n">
        <v>2026</v>
      </c>
      <c r="B84" s="165" t="inlineStr">
        <is>
          <t>Silver</t>
        </is>
      </c>
      <c r="C84" s="107" t="inlineStr">
        <is>
          <t>Blizzard As Usual 2</t>
        </is>
      </c>
      <c r="D84" s="33" t="inlineStr">
        <is>
          <t>Tim Hortons</t>
        </is>
      </c>
      <c r="E84" s="33" t="inlineStr">
        <is>
          <t>Tim Hortons Coffee</t>
        </is>
      </c>
      <c r="F84" s="33" t="inlineStr">
        <is>
          <t>GUT</t>
        </is>
      </c>
      <c r="G84" s="33" t="inlineStr">
        <is>
          <t>Canada</t>
        </is>
      </c>
      <c r="H84" s="33" t="inlineStr">
        <is>
          <t>A04 - Travel, Leisure, Retail, Restaurants &amp; Fast-Food Chains</t>
        </is>
      </c>
      <c r="I84" s="33" t="inlineStr">
        <is>
          <t>https://ascentialcdn.filespin.io/api/v1/conversion/2ef70d835b8742c3a3ddd0baafd338f9</t>
        </is>
      </c>
      <c r="L84" s="33" t="inlineStr">
        <is>
          <t>https://www.lovethework.com/work/entries/blizzard-as-usual-2-781813</t>
        </is>
      </c>
      <c r="M84" s="33" t="inlineStr">
        <is>
          <t>An execution in Tim Hortons' "Blizzard As Usual" outdoor series, positioning the coffee chain as the dependable Canadian fixture that stays open and keeps people going through the worst winter weather.</t>
        </is>
      </c>
      <c r="N84" s="33" t="inlineStr">
        <is>
          <t>tim hortons, coffee, qsr, fast-food, restaurant, food, fast food, winter, weather, outdoor, canada, gut</t>
        </is>
      </c>
    </row>
    <row r="85">
      <c r="A85" s="33" t="n">
        <v>2026</v>
      </c>
      <c r="B85" s="165" t="inlineStr">
        <is>
          <t>Silver</t>
        </is>
      </c>
      <c r="C85" s="107" t="inlineStr">
        <is>
          <t>Blizzard As Usual 3</t>
        </is>
      </c>
      <c r="D85" s="33" t="inlineStr">
        <is>
          <t>Tim Hortons</t>
        </is>
      </c>
      <c r="E85" s="33" t="inlineStr">
        <is>
          <t>Tim Hortons Coffee</t>
        </is>
      </c>
      <c r="F85" s="33" t="inlineStr">
        <is>
          <t>GUT</t>
        </is>
      </c>
      <c r="G85" s="33" t="inlineStr">
        <is>
          <t>Canada</t>
        </is>
      </c>
      <c r="H85" s="33" t="inlineStr">
        <is>
          <t>A04 - Travel, Leisure, Retail, Restaurants &amp; Fast-Food Chains</t>
        </is>
      </c>
      <c r="I85" s="33" t="inlineStr">
        <is>
          <t>https://ascentialcdn.filespin.io/api/v1/conversion/9a3f8f3c2518439587bff77df6f2e6c1</t>
        </is>
      </c>
      <c r="L85" s="33" t="inlineStr">
        <is>
          <t>https://www.lovethework.com/work/entries/blizzard-as-usual-3-781814</t>
        </is>
      </c>
      <c r="M85" s="33" t="inlineStr">
        <is>
          <t>An execution in Tim Hortons' "Blizzard As Usual" outdoor series, positioning the coffee chain as the dependable Canadian fixture that stays open and keeps people going through the worst winter weather.</t>
        </is>
      </c>
      <c r="N85" s="33" t="inlineStr">
        <is>
          <t>tim hortons, coffee, qsr, fast-food, restaurant, food, fast food, winter, weather, outdoor, canada, gut</t>
        </is>
      </c>
    </row>
    <row r="86">
      <c r="A86" s="33" t="n">
        <v>2026</v>
      </c>
      <c r="B86" s="166" t="inlineStr">
        <is>
          <t>Bronze</t>
        </is>
      </c>
      <c r="C86" s="107" t="inlineStr">
        <is>
          <t>Listening</t>
        </is>
      </c>
      <c r="D86" s="33" t="inlineStr">
        <is>
          <t>KitKat</t>
        </is>
      </c>
      <c r="E86" s="33" t="inlineStr">
        <is>
          <t>KitKat</t>
        </is>
      </c>
      <c r="F86" s="33" t="inlineStr">
        <is>
          <t>VML</t>
        </is>
      </c>
      <c r="G86" s="33" t="inlineStr">
        <is>
          <t>United Kingdom</t>
        </is>
      </c>
      <c r="H86" s="33" t="inlineStr">
        <is>
          <t>B01 - Consumer Goods</t>
        </is>
      </c>
      <c r="I86" s="33" t="inlineStr">
        <is>
          <t>https://ascentialcdn.filespin.io/api/v1/conversion/0ae3f31aa29747fead886298ba298f4a</t>
        </is>
      </c>
      <c r="J86" s="33" t="inlineStr">
        <is>
          <t>Dr7pQhIHtjw</t>
        </is>
      </c>
      <c r="L86" s="33" t="inlineStr">
        <is>
          <t>https://www.lovethework.com/work/entries/listening-773895</t>
        </is>
      </c>
      <c r="M86" s="33" t="inlineStr">
        <is>
          <t>An execution in KitKat's "Have a Break" poster series, turning the bar's four-finger form into a quiet moment of listening.</t>
        </is>
      </c>
      <c r="N86" s="33" t="inlineStr">
        <is>
          <t>kitkat, chocolate, confectionery, candy, snack, packaged-goods, food, cpg, fmcg, have a break, posters, billboard, art direction, vml, united kingdom</t>
        </is>
      </c>
    </row>
    <row r="87">
      <c r="A87" s="33" t="n">
        <v>2026</v>
      </c>
      <c r="B87" s="166" t="inlineStr">
        <is>
          <t>Bronze</t>
        </is>
      </c>
      <c r="C87" s="107" t="inlineStr">
        <is>
          <t>Strumming</t>
        </is>
      </c>
      <c r="D87" s="33" t="inlineStr">
        <is>
          <t>KitKat</t>
        </is>
      </c>
      <c r="E87" s="33" t="inlineStr">
        <is>
          <t>KitKat</t>
        </is>
      </c>
      <c r="F87" s="33" t="inlineStr">
        <is>
          <t>VML</t>
        </is>
      </c>
      <c r="G87" s="33" t="inlineStr">
        <is>
          <t>United Kingdom</t>
        </is>
      </c>
      <c r="H87" s="33" t="inlineStr">
        <is>
          <t>B01 - Consumer Goods</t>
        </is>
      </c>
      <c r="I87" s="33" t="inlineStr">
        <is>
          <t>https://ascentialcdn.filespin.io/api/v1/conversion/d25487359a99417dae16fef5d80c7ed3</t>
        </is>
      </c>
      <c r="J87" s="33" t="inlineStr">
        <is>
          <t>Dr7pQhIHtjw</t>
        </is>
      </c>
      <c r="L87" s="33" t="inlineStr">
        <is>
          <t>https://www.lovethework.com/work/entries/strumming-773904</t>
        </is>
      </c>
      <c r="M87" s="33" t="inlineStr">
        <is>
          <t>An execution in KitKat's "Have a Break" poster series, turning the bar's four-finger form into a moment of strumming a guitar.</t>
        </is>
      </c>
      <c r="N87" s="33" t="inlineStr">
        <is>
          <t>kitkat, chocolate, confectionery, candy, snack, packaged-goods, food, cpg, fmcg, have a break, posters, billboard, art direction, vml, united kingdom</t>
        </is>
      </c>
    </row>
    <row r="88">
      <c r="A88" s="33" t="n">
        <v>2026</v>
      </c>
      <c r="B88" s="166" t="inlineStr">
        <is>
          <t>Bronze</t>
        </is>
      </c>
      <c r="C88" s="107" t="inlineStr">
        <is>
          <t>Reading</t>
        </is>
      </c>
      <c r="D88" s="33" t="inlineStr">
        <is>
          <t>KitKat</t>
        </is>
      </c>
      <c r="E88" s="33" t="inlineStr">
        <is>
          <t>KitKat</t>
        </is>
      </c>
      <c r="F88" s="33" t="inlineStr">
        <is>
          <t>VML</t>
        </is>
      </c>
      <c r="G88" s="33" t="inlineStr">
        <is>
          <t>United Kingdom</t>
        </is>
      </c>
      <c r="H88" s="33" t="inlineStr">
        <is>
          <t>B01 - Consumer Goods</t>
        </is>
      </c>
      <c r="I88" s="33" t="inlineStr">
        <is>
          <t>https://ascentialcdn.filespin.io/api/v1/conversion/7781b13d20634ffbbd3f30fbd692d9cb</t>
        </is>
      </c>
      <c r="J88" s="33" t="inlineStr">
        <is>
          <t>Dr7pQhIHtjw</t>
        </is>
      </c>
      <c r="L88" s="33" t="inlineStr">
        <is>
          <t>https://www.lovethework.com/work/entries/reading-773910</t>
        </is>
      </c>
      <c r="M88" s="33" t="inlineStr">
        <is>
          <t>An execution in KitKat's "Have a Break" poster series, turning the bar's four-finger form into a moment of reading.</t>
        </is>
      </c>
      <c r="N88" s="33" t="inlineStr">
        <is>
          <t>kitkat, chocolate, confectionery, candy, snack, packaged-goods, food, cpg, fmcg, have a break, posters, billboard, art direction, vml, united kingdom</t>
        </is>
      </c>
    </row>
    <row r="89">
      <c r="A89" s="33" t="n">
        <v>2026</v>
      </c>
      <c r="B89" s="166" t="inlineStr">
        <is>
          <t>Bronze</t>
        </is>
      </c>
      <c r="C89" s="107" t="inlineStr">
        <is>
          <t>Daydreaming</t>
        </is>
      </c>
      <c r="D89" s="33" t="inlineStr">
        <is>
          <t>KitKat</t>
        </is>
      </c>
      <c r="E89" s="33" t="inlineStr">
        <is>
          <t>KitKat</t>
        </is>
      </c>
      <c r="F89" s="33" t="inlineStr">
        <is>
          <t>VML</t>
        </is>
      </c>
      <c r="G89" s="33" t="inlineStr">
        <is>
          <t>United Kingdom</t>
        </is>
      </c>
      <c r="H89" s="33" t="inlineStr">
        <is>
          <t>B01 - Consumer Goods</t>
        </is>
      </c>
      <c r="I89" s="33" t="inlineStr">
        <is>
          <t>https://ascentialcdn.filespin.io/api/v1/conversion/09bc532278ac434382b29be611fcfbcd</t>
        </is>
      </c>
      <c r="J89" s="33" t="inlineStr">
        <is>
          <t>Dr7pQhIHtjw</t>
        </is>
      </c>
      <c r="L89" s="33" t="inlineStr">
        <is>
          <t>https://www.lovethework.com/work/entries/daydreaming-773916</t>
        </is>
      </c>
      <c r="M89" s="33" t="inlineStr">
        <is>
          <t>An execution in KitKat's "Have a Break" poster series, turning the bar's four-finger form into a moment of daydreaming.</t>
        </is>
      </c>
      <c r="N89" s="33" t="inlineStr">
        <is>
          <t>kitkat, chocolate, confectionery, candy, snack, packaged-goods, food, cpg, fmcg, have a break, posters, billboard, art direction, vml, united kingdom</t>
        </is>
      </c>
    </row>
    <row r="90">
      <c r="A90" s="33" t="n">
        <v>2026</v>
      </c>
      <c r="B90" s="166" t="inlineStr">
        <is>
          <t>Bronze</t>
        </is>
      </c>
      <c r="C90" s="107" t="inlineStr">
        <is>
          <t>New York</t>
        </is>
      </c>
      <c r="D90" s="33" t="inlineStr">
        <is>
          <t>British Airways</t>
        </is>
      </c>
      <c r="E90" s="33" t="inlineStr">
        <is>
          <t>British Airways</t>
        </is>
      </c>
      <c r="F90" s="33" t="inlineStr">
        <is>
          <t>Uncommon Creative Studio</t>
        </is>
      </c>
      <c r="G90" s="33" t="inlineStr">
        <is>
          <t>United Kingdom</t>
        </is>
      </c>
      <c r="H90" s="33" t="inlineStr">
        <is>
          <t>B04 - Travel, Leisure, Retail, Restaurants &amp; Fast-Food Chains</t>
        </is>
      </c>
      <c r="I90" s="33" t="inlineStr">
        <is>
          <t>https://ascentialcdn.filespin.io/api/v1/conversion/e046424d59624f868cc948c68204b629</t>
        </is>
      </c>
      <c r="J90" s="33" t="inlineStr">
        <is>
          <t>5nPuWpFyaN0</t>
        </is>
      </c>
      <c r="L90" s="33" t="inlineStr">
        <is>
          <t>https://www.lovethework.com/work/entries/new-york-773929</t>
        </is>
      </c>
      <c r="M90" s="33" t="inlineStr">
        <is>
          <t>Part of British Airways' destination poster series by Uncommon, using spare typographic lines and the airline's window motif to capture the particular feeling of flying to New York.</t>
        </is>
      </c>
      <c r="N90" s="33" t="inlineStr">
        <is>
          <t>british airways, airline, travel, tourism, aviation, destination, posters, billboard, typography, copywriting, uncommon, united kingdom</t>
        </is>
      </c>
    </row>
    <row r="91">
      <c r="A91" s="33" t="n">
        <v>2026</v>
      </c>
      <c r="B91" s="166" t="inlineStr">
        <is>
          <t>Bronze</t>
        </is>
      </c>
      <c r="C91" s="107" t="inlineStr">
        <is>
          <t>The Pyrenees</t>
        </is>
      </c>
      <c r="D91" s="33" t="inlineStr">
        <is>
          <t>British Airways</t>
        </is>
      </c>
      <c r="E91" s="33" t="inlineStr">
        <is>
          <t>British Airways</t>
        </is>
      </c>
      <c r="F91" s="33" t="inlineStr">
        <is>
          <t>Uncommon Creative Studio</t>
        </is>
      </c>
      <c r="G91" s="33" t="inlineStr">
        <is>
          <t>United Kingdom</t>
        </is>
      </c>
      <c r="H91" s="33" t="inlineStr">
        <is>
          <t>B04 - Travel, Leisure, Retail, Restaurants &amp; Fast-Food Chains</t>
        </is>
      </c>
      <c r="I91" s="33" t="inlineStr">
        <is>
          <t>https://ascentialcdn.filespin.io/api/v1/conversion/f6d5816b7ded4af5977fe1410d33e3a4</t>
        </is>
      </c>
      <c r="J91" s="33" t="inlineStr">
        <is>
          <t>5nPuWpFyaN0</t>
        </is>
      </c>
      <c r="L91" s="33" t="inlineStr">
        <is>
          <t>https://www.lovethework.com/work/entries/the-pyrenees-773780</t>
        </is>
      </c>
      <c r="M91" s="33" t="inlineStr">
        <is>
          <t>Part of British Airways' destination poster series by Uncommon, using spare typographic lines and the airline's window motif to capture the particular feeling of flying to the Pyrenees.</t>
        </is>
      </c>
      <c r="N91" s="33" t="inlineStr">
        <is>
          <t>british airways, airline, travel, tourism, aviation, destination, posters, billboard, typography, copywriting, uncommon, united kingdom</t>
        </is>
      </c>
    </row>
    <row r="92">
      <c r="A92" s="33" t="n">
        <v>2026</v>
      </c>
      <c r="B92" s="166" t="inlineStr">
        <is>
          <t>Bronze</t>
        </is>
      </c>
      <c r="C92" s="107" t="inlineStr">
        <is>
          <t>Abuja</t>
        </is>
      </c>
      <c r="D92" s="33" t="inlineStr">
        <is>
          <t>British Airways</t>
        </is>
      </c>
      <c r="E92" s="33" t="inlineStr">
        <is>
          <t>British Airways</t>
        </is>
      </c>
      <c r="F92" s="33" t="inlineStr">
        <is>
          <t>Uncommon Creative Studio</t>
        </is>
      </c>
      <c r="G92" s="33" t="inlineStr">
        <is>
          <t>United Kingdom</t>
        </is>
      </c>
      <c r="H92" s="33" t="inlineStr">
        <is>
          <t>B04 - Travel, Leisure, Retail, Restaurants &amp; Fast-Food Chains</t>
        </is>
      </c>
      <c r="I92" s="33" t="inlineStr">
        <is>
          <t>https://ascentialcdn.filespin.io/api/v1/conversion/8b33ac1c62494a3db5d7edb0ace06d76</t>
        </is>
      </c>
      <c r="J92" s="33" t="inlineStr">
        <is>
          <t>5nPuWpFyaN0</t>
        </is>
      </c>
      <c r="L92" s="33" t="inlineStr">
        <is>
          <t>https://www.lovethework.com/work/entries/abuja-780691</t>
        </is>
      </c>
      <c r="M92" s="33" t="inlineStr">
        <is>
          <t>Part of British Airways' destination poster series by Uncommon, using spare typographic lines and the airline's window motif to capture the particular feeling of flying to Abuja.</t>
        </is>
      </c>
      <c r="N92" s="33" t="inlineStr">
        <is>
          <t>british airways, airline, travel, tourism, aviation, destination, posters, billboard, typography, copywriting, uncommon, united kingdom</t>
        </is>
      </c>
    </row>
    <row r="93">
      <c r="A93" s="33" t="n">
        <v>2026</v>
      </c>
      <c r="B93" s="164" t="inlineStr">
        <is>
          <t>Gold</t>
        </is>
      </c>
      <c r="C93" s="107" t="inlineStr">
        <is>
          <t>Gig</t>
        </is>
      </c>
      <c r="D93" s="33" t="inlineStr">
        <is>
          <t>McDonald's</t>
        </is>
      </c>
      <c r="E93" s="33" t="inlineStr">
        <is>
          <t>McDonald's</t>
        </is>
      </c>
      <c r="F93" s="33" t="inlineStr">
        <is>
          <t>Leo</t>
        </is>
      </c>
      <c r="G93" s="33" t="inlineStr">
        <is>
          <t>United Kingdom</t>
        </is>
      </c>
      <c r="H93" s="33" t="inlineStr">
        <is>
          <t>B04 - Travel, Leisure, Retail, Restaurants &amp; Fast-Food Chains</t>
        </is>
      </c>
      <c r="I93" s="33" t="inlineStr">
        <is>
          <t>https://ascentialcdn.filespin.io/api/v1/conversion/2871e116e8e84821ad316ed7313291fa</t>
        </is>
      </c>
      <c r="J93" s="33" t="inlineStr">
        <is>
          <t>Xzm_7YZ1sy8</t>
        </is>
      </c>
      <c r="L93" s="33" t="inlineStr">
        <is>
          <t>https://www.lovethework.com/work/entries/gig-781129</t>
        </is>
      </c>
      <c r="M93" s="33" t="inlineStr">
        <is>
          <t>An execution in McDonald's UK poster series capturing the universally relatable urge to grab a McDonald's after a big night out — here, after a gig.</t>
        </is>
      </c>
      <c r="N93" s="33" t="inlineStr">
        <is>
          <t>mcdonalds, qsr, fast-food, restaurant, food, fast food, burgers, posters, billboard, humour, insight, leo, united kingdom</t>
        </is>
      </c>
    </row>
    <row r="94">
      <c r="A94" s="33" t="n">
        <v>2026</v>
      </c>
      <c r="B94" s="164" t="inlineStr">
        <is>
          <t>Gold</t>
        </is>
      </c>
      <c r="C94" s="107" t="inlineStr">
        <is>
          <t>Wedding</t>
        </is>
      </c>
      <c r="D94" s="33" t="inlineStr">
        <is>
          <t>McDonald's</t>
        </is>
      </c>
      <c r="E94" s="33" t="inlineStr">
        <is>
          <t>McDonald's</t>
        </is>
      </c>
      <c r="F94" s="33" t="inlineStr">
        <is>
          <t>Leo</t>
        </is>
      </c>
      <c r="G94" s="33" t="inlineStr">
        <is>
          <t>United Kingdom</t>
        </is>
      </c>
      <c r="H94" s="33" t="inlineStr">
        <is>
          <t>B04 - Travel, Leisure, Retail, Restaurants &amp; Fast-Food Chains</t>
        </is>
      </c>
      <c r="I94" s="33" t="inlineStr">
        <is>
          <t>https://ascentialcdn.filespin.io/api/v1/conversion/043c00c89c1040249f0fa8d738cb065c</t>
        </is>
      </c>
      <c r="J94" s="33" t="inlineStr">
        <is>
          <t>Xzm_7YZ1sy8</t>
        </is>
      </c>
      <c r="L94" s="33" t="inlineStr">
        <is>
          <t>https://www.lovethework.com/work/entries/wedding-781130</t>
        </is>
      </c>
      <c r="M94" s="33" t="inlineStr">
        <is>
          <t>An execution in McDonald's UK poster series capturing the universally relatable urge to grab a McDonald's after a big occasion — here, after a wedding.</t>
        </is>
      </c>
      <c r="N94" s="33" t="inlineStr">
        <is>
          <t>mcdonalds, qsr, fast-food, restaurant, food, fast food, burgers, posters, billboard, humour, insight, leo, united kingdom</t>
        </is>
      </c>
    </row>
    <row r="95">
      <c r="A95" s="33" t="n">
        <v>2026</v>
      </c>
      <c r="B95" s="164" t="inlineStr">
        <is>
          <t>Gold</t>
        </is>
      </c>
      <c r="C95" s="107" t="inlineStr">
        <is>
          <t>Bowling</t>
        </is>
      </c>
      <c r="D95" s="33" t="inlineStr">
        <is>
          <t>McDonald's</t>
        </is>
      </c>
      <c r="E95" s="33" t="inlineStr">
        <is>
          <t>McDonald's</t>
        </is>
      </c>
      <c r="F95" s="33" t="inlineStr">
        <is>
          <t>Leo</t>
        </is>
      </c>
      <c r="G95" s="33" t="inlineStr">
        <is>
          <t>United Kingdom</t>
        </is>
      </c>
      <c r="H95" s="33" t="inlineStr">
        <is>
          <t>B04 - Travel, Leisure, Retail, Restaurants &amp; Fast-Food Chains</t>
        </is>
      </c>
      <c r="I95" s="33" t="inlineStr">
        <is>
          <t>https://ascentialcdn.filespin.io/api/v1/conversion/d15dd5731b41491ea690b4d3ab4a2403</t>
        </is>
      </c>
      <c r="J95" s="33" t="inlineStr">
        <is>
          <t>Xzm_7YZ1sy8</t>
        </is>
      </c>
      <c r="L95" s="33" t="inlineStr">
        <is>
          <t>https://www.lovethework.com/work/entries/bowling-781131</t>
        </is>
      </c>
      <c r="M95" s="33" t="inlineStr">
        <is>
          <t>An execution in McDonald's UK poster series capturing the universally relatable urge to grab a McDonald's after a night out — here, after bowling.</t>
        </is>
      </c>
      <c r="N95" s="33" t="inlineStr">
        <is>
          <t>mcdonalds, qsr, fast-food, restaurant, food, fast food, burgers, posters, billboard, humour, insight, leo, united kingdom</t>
        </is>
      </c>
    </row>
    <row r="96">
      <c r="A96" s="33" t="n">
        <v>2026</v>
      </c>
      <c r="B96" s="166" t="inlineStr">
        <is>
          <t>Bronze</t>
        </is>
      </c>
      <c r="C96" s="107" t="inlineStr">
        <is>
          <t>Lime Guides</t>
        </is>
      </c>
      <c r="D96" s="33" t="inlineStr">
        <is>
          <t>Corona</t>
        </is>
      </c>
      <c r="E96" s="33" t="inlineStr">
        <is>
          <t>Corona</t>
        </is>
      </c>
      <c r="F96" s="33" t="inlineStr">
        <is>
          <t>Grey</t>
        </is>
      </c>
      <c r="G96" s="33" t="inlineStr">
        <is>
          <t>United States</t>
        </is>
      </c>
      <c r="H96" s="33" t="inlineStr">
        <is>
          <t>C01 - Displays</t>
        </is>
      </c>
      <c r="I96" s="33" t="inlineStr">
        <is>
          <t>https://ascentialcdn.filespin.io/api/v1/conversion/69614d6489d54169b37f9d4f29af9ce2</t>
        </is>
      </c>
      <c r="J96" s="33" t="inlineStr">
        <is>
          <t>vimeo:1188248881</t>
        </is>
      </c>
      <c r="L96" s="33" t="inlineStr">
        <is>
          <t>https://www.lovethework.com/work/entries/lime-guides-774003</t>
        </is>
      </c>
      <c r="M96" s="33" t="inlineStr">
        <is>
          <t>A Corona outdoor display execution built around the brand's signature lime, using out-of-home placements to reinforce the ritual of a lime-topped Corona.</t>
        </is>
      </c>
      <c r="N96" s="33" t="inlineStr">
        <is>
          <t>corona, beer, alcohol, drinks, lime, displays, outdoor, ritual, grey, united states</t>
        </is>
      </c>
    </row>
    <row r="97">
      <c r="A97" s="33" t="n">
        <v>2026</v>
      </c>
      <c r="B97" s="165" t="inlineStr">
        <is>
          <t>Silver</t>
        </is>
      </c>
      <c r="C97" s="107" t="inlineStr">
        <is>
          <t>Discount Chants</t>
        </is>
      </c>
      <c r="D97" s="33" t="inlineStr">
        <is>
          <t>Mercado Libre</t>
        </is>
      </c>
      <c r="E97" s="33" t="inlineStr">
        <is>
          <t>Mercado Libre</t>
        </is>
      </c>
      <c r="F97" s="33" t="inlineStr">
        <is>
          <t>GUT</t>
        </is>
      </c>
      <c r="G97" s="33" t="inlineStr">
        <is>
          <t>Argentina</t>
        </is>
      </c>
      <c r="H97" s="33" t="inlineStr">
        <is>
          <t>C02 - Interactive/Dynamic Digital Screens</t>
        </is>
      </c>
      <c r="I97" s="33" t="inlineStr">
        <is>
          <t>https://ascentialcdn.filespin.io/api/v1/conversion/6f517e3917a04fb19738c49af7c9f4c2</t>
        </is>
      </c>
      <c r="J97" s="33" t="inlineStr">
        <is>
          <t>k2JGGB1tPEA</t>
        </is>
      </c>
      <c r="L97" s="33" t="inlineStr">
        <is>
          <t>https://www.lovethework.com/work/entries/discount-chants-781818</t>
        </is>
      </c>
      <c r="M97" s="33" t="inlineStr">
        <is>
          <t>Mercado Libre turned the chants of football crowds into a live discount mechanic, with dynamic digital screens responding to fans' chanting to unlock deals during matches.</t>
        </is>
      </c>
      <c r="N97" s="33" t="inlineStr">
        <is>
          <t>mercado libre, ecommerce, retail, online-shopping, marketplace, football, soccer, sport, sports, digital screens, dooh, interactive, gut, argentina</t>
        </is>
      </c>
    </row>
    <row r="98">
      <c r="A98" s="33" t="n">
        <v>2026</v>
      </c>
      <c r="B98" s="166" t="inlineStr">
        <is>
          <t>Bronze</t>
        </is>
      </c>
      <c r="C98" s="107" t="inlineStr">
        <is>
          <t>Ukraine Air Raid Alerts – Emergency Broadcast System Helsinki</t>
        </is>
      </c>
      <c r="D98" s="33" t="inlineStr">
        <is>
          <t>UNICEF Finland</t>
        </is>
      </c>
      <c r="E98" s="33" t="inlineStr">
        <is>
          <t>Fundraising for Ukraine War Victims</t>
        </is>
      </c>
      <c r="F98" s="33" t="inlineStr">
        <is>
          <t>United Imaginations</t>
        </is>
      </c>
      <c r="G98" s="33" t="inlineStr">
        <is>
          <t>Finland</t>
        </is>
      </c>
      <c r="H98" s="33" t="inlineStr">
        <is>
          <t>C02 - Interactive/Dynamic Digital Screens</t>
        </is>
      </c>
      <c r="I98" s="33" t="inlineStr">
        <is>
          <t>https://ascentialcdn.filespin.io/api/v1/conversion/adde89bef9a84a33b5c8fa83c256a8d9</t>
        </is>
      </c>
      <c r="J98" s="33" t="inlineStr">
        <is>
          <t>WOWTIZLMosw</t>
        </is>
      </c>
      <c r="L98" s="33" t="inlineStr">
        <is>
          <t>https://www.lovethework.com/work/entries/ukraine-air-raid-alerts-emergency-broadcast-system-helsinki-777790</t>
        </is>
      </c>
      <c r="M98" s="33" t="inlineStr">
        <is>
          <t>UNICEF Finland recreated Ukraine's air-raid alert system on digital screens across Helsinki, triggering the same alarms Ukrainian children live with daily to drive fundraising for war victims.</t>
        </is>
      </c>
      <c r="N98" s="33" t="inlineStr">
        <is>
          <t>unicef, charity, nonprofit, fundraising, ukraine, war, children, digital screens, dooh, helsinki, united imaginations, finland</t>
        </is>
      </c>
    </row>
    <row r="99">
      <c r="A99" s="33" t="n">
        <v>2026</v>
      </c>
      <c r="B99" s="164" t="inlineStr">
        <is>
          <t>Gold</t>
        </is>
      </c>
      <c r="C99" s="107" t="inlineStr">
        <is>
          <t>Tiny Coffee Shops</t>
        </is>
      </c>
      <c r="D99" s="33" t="inlineStr">
        <is>
          <t>De'Longhi</t>
        </is>
      </c>
      <c r="E99" s="33" t="inlineStr">
        <is>
          <t>De'Longhi Coffee Machine</t>
        </is>
      </c>
      <c r="F99" s="33" t="inlineStr">
        <is>
          <t>Lola MullenLowe</t>
        </is>
      </c>
      <c r="G99" s="33" t="inlineStr">
        <is>
          <t>Spain</t>
        </is>
      </c>
      <c r="H99" s="33" t="inlineStr">
        <is>
          <t>C03 - Special Build</t>
        </is>
      </c>
      <c r="I99" s="33" t="inlineStr">
        <is>
          <t>https://ascentialcdn.filespin.io/api/v1/conversion/40948a886f0f4f859f555d219fc1c6b3</t>
        </is>
      </c>
      <c r="J99" s="33" t="inlineStr">
        <is>
          <t>vimeo:1196607563</t>
        </is>
      </c>
      <c r="L99" s="33" t="inlineStr">
        <is>
          <t>https://www.lovethework.com/work/entries/tiny-coffee-shops-781516</t>
        </is>
      </c>
      <c r="M99" s="33" t="inlineStr">
        <is>
          <t>De'Longhi built miniature, fully functioning coffee shops scaled to the size of its espresso machines, dramatising the idea that the machine delivers a genuine cafe experience at home.</t>
        </is>
      </c>
      <c r="N99" s="33" t="inlineStr">
        <is>
          <t>delonghi, coffee, espresso, appliances, machine, special build, installation, miniature, lola mullenlowe, spain</t>
        </is>
      </c>
    </row>
    <row r="100">
      <c r="A100" s="33" t="n">
        <v>2026</v>
      </c>
      <c r="B100" s="166" t="inlineStr">
        <is>
          <t>Bronze</t>
        </is>
      </c>
      <c r="C100" s="107" t="inlineStr">
        <is>
          <t>Field Barcode</t>
        </is>
      </c>
      <c r="D100" s="33" t="inlineStr">
        <is>
          <t>Mercado Livre</t>
        </is>
      </c>
      <c r="E100" s="33" t="inlineStr">
        <is>
          <t>Mercado Livre</t>
        </is>
      </c>
      <c r="F100" s="33" t="inlineStr">
        <is>
          <t>GUT</t>
        </is>
      </c>
      <c r="G100" s="33" t="inlineStr">
        <is>
          <t>Brazil</t>
        </is>
      </c>
      <c r="H100" s="33" t="inlineStr">
        <is>
          <t>C03 - Special Build</t>
        </is>
      </c>
      <c r="I100" s="33" t="inlineStr">
        <is>
          <t>https://ascentialcdn.filespin.io/api/v1/conversion/cfcc31b9a7134ed1affa99d6d6f534a7</t>
        </is>
      </c>
      <c r="J100" s="33" t="inlineStr">
        <is>
          <t>vimeo:1186329990</t>
        </is>
      </c>
      <c r="L100" s="33" t="inlineStr">
        <is>
          <t>https://www.lovethework.com/work/entries/field-barcode-773894</t>
        </is>
      </c>
      <c r="M100" s="33" t="inlineStr">
        <is>
          <t>Mercado Livre transformed a football pitch into a giant, working barcode, building the scannable code directly into the landscape so the physical world linked straight to its e-commerce platform.</t>
        </is>
      </c>
      <c r="N100" s="33" t="inlineStr">
        <is>
          <t>mercado livre, ecommerce, retail, online-shopping, marketplace, football, soccer, sport, barcode, special build, scannable, gut, brazil</t>
        </is>
      </c>
    </row>
    <row r="101">
      <c r="A101" s="33" t="n">
        <v>2026</v>
      </c>
      <c r="B101" s="166" t="inlineStr">
        <is>
          <t>Bronze</t>
        </is>
      </c>
      <c r="C101" s="107" t="inlineStr">
        <is>
          <t>Dirty Business</t>
        </is>
      </c>
      <c r="D101" s="33" t="inlineStr">
        <is>
          <t>Channel 4</t>
        </is>
      </c>
      <c r="E101" s="33" t="inlineStr">
        <is>
          <t>Dirty Business</t>
        </is>
      </c>
      <c r="F101" s="33" t="inlineStr">
        <is>
          <t>4Creative</t>
        </is>
      </c>
      <c r="G101" s="33" t="inlineStr">
        <is>
          <t>United Kingdom</t>
        </is>
      </c>
      <c r="H101" s="33" t="inlineStr">
        <is>
          <t>C04 - Live Advertising and Events</t>
        </is>
      </c>
      <c r="I101" s="33" t="inlineStr">
        <is>
          <t>https://ascentialcdn.filespin.io/api/v1/conversion/e26a0913865740909d265e96a89ae2a3</t>
        </is>
      </c>
      <c r="J101" s="33" t="inlineStr">
        <is>
          <t>Prs4OLPIl8A</t>
        </is>
      </c>
      <c r="L101" s="33" t="inlineStr">
        <is>
          <t>https://www.lovethework.com/work/entries/dirty-business-780721</t>
        </is>
      </c>
      <c r="M101" s="33" t="inlineStr">
        <is>
          <t>To promote the Channel 4 factual drama "Dirty Business," 4Creative installed "The Fountain of Filth" on London's South Bank — an ornamental fountain spewing what looked like raw sewage, dramatising the show's expose of Britain's water-company scandal.</t>
        </is>
      </c>
      <c r="N101" s="33" t="inlineStr">
        <is>
          <t>channel 4, broadcaster, tv, entertainment, drama, sewage, installation, stunt, live advertising, 4creative, united kingdom</t>
        </is>
      </c>
    </row>
    <row r="102">
      <c r="A102" s="33" t="n">
        <v>2026</v>
      </c>
      <c r="B102" s="167" t="inlineStr">
        <is>
          <t>Grand Prix</t>
        </is>
      </c>
      <c r="C102" s="107" t="inlineStr">
        <is>
          <t>Field Barcode</t>
        </is>
      </c>
      <c r="D102" s="33" t="inlineStr">
        <is>
          <t>Mercado Livre</t>
        </is>
      </c>
      <c r="E102" s="33" t="inlineStr">
        <is>
          <t>Mercado Livre</t>
        </is>
      </c>
      <c r="F102" s="33" t="inlineStr">
        <is>
          <t>GUT</t>
        </is>
      </c>
      <c r="G102" s="33" t="inlineStr">
        <is>
          <t>Brazil</t>
        </is>
      </c>
      <c r="H102" s="33" t="inlineStr">
        <is>
          <t>C04 - Live Advertising and Events</t>
        </is>
      </c>
      <c r="I102" s="33" t="inlineStr">
        <is>
          <t>https://ascentialcdn.filespin.io/api/v1/conversion/cfcc31b9a7134ed1affa99d6d6f534a7</t>
        </is>
      </c>
      <c r="J102" s="33" t="inlineStr">
        <is>
          <t>vimeo:1186329990</t>
        </is>
      </c>
      <c r="L102" s="33" t="inlineStr">
        <is>
          <t>https://www.lovethework.com/work/entries/field-barcode-773950</t>
        </is>
      </c>
      <c r="M102" s="33" t="inlineStr">
        <is>
          <t>The Grand Prix winner: Mercado Livre turned a live football broadcast into a shoppable moment by mowing a giant, scannable barcode into the pitch, letting viewers scan their screens to unlock deals on its platform.</t>
        </is>
      </c>
      <c r="N102" s="33" t="inlineStr">
        <is>
          <t>mercado livre, ecommerce, retail, online-shopping, marketplace, football, soccer, sport, barcode, grand prix, live advertising, broadcast, entertainment, scannable, gut, brazil</t>
        </is>
      </c>
    </row>
    <row r="103">
      <c r="A103" s="33" t="n">
        <v>2026</v>
      </c>
      <c r="B103" s="166" t="inlineStr">
        <is>
          <t>Bronze</t>
        </is>
      </c>
      <c r="C103" s="107" t="inlineStr">
        <is>
          <t>Fatal Question</t>
        </is>
      </c>
      <c r="D103" s="33" t="inlineStr">
        <is>
          <t>StreetDoctors</t>
        </is>
      </c>
      <c r="E103" s="33" t="inlineStr">
        <is>
          <t>StreetDoctors</t>
        </is>
      </c>
      <c r="F103" s="33" t="inlineStr">
        <is>
          <t>Saatchi &amp; Saatchi</t>
        </is>
      </c>
      <c r="G103" s="33" t="inlineStr">
        <is>
          <t>United Kingdom</t>
        </is>
      </c>
      <c r="H103" s="33" t="inlineStr">
        <is>
          <t>C05 - Interactive/Immersive Experiences</t>
        </is>
      </c>
      <c r="I103" s="33" t="inlineStr">
        <is>
          <t>https://ascentialcdn.filespin.io/api/v1/conversion/e60c77b980e64927a354265026fc0432</t>
        </is>
      </c>
      <c r="J103" s="33" t="inlineStr">
        <is>
          <t>vimeo:1116140170</t>
        </is>
      </c>
      <c r="L103" s="33" t="inlineStr">
        <is>
          <t>https://www.lovethework.com/work/entries/fatal-question-781160</t>
        </is>
      </c>
      <c r="M103" s="33" t="inlineStr">
        <is>
          <t>For knife-crime charity StreetDoctors, an experience confronting the dangerous misconception that a single stab wound can't be fatal, drawing on real cases of deaths from single wounds to deliver life-saving first-aid awareness.</t>
        </is>
      </c>
      <c r="N103" s="33" t="inlineStr">
        <is>
          <t>streetdoctors, charity, nonprofit, knife crime, public health, first aid, youth, immersive experience, saatchi, united kingdom</t>
        </is>
      </c>
    </row>
    <row r="104">
      <c r="A104" s="33" t="n">
        <v>2026</v>
      </c>
      <c r="B104" s="166" t="inlineStr">
        <is>
          <t>Bronze</t>
        </is>
      </c>
      <c r="C104" s="107" t="inlineStr">
        <is>
          <t>McDelivery Speed Camera Ads</t>
        </is>
      </c>
      <c r="D104" s="33" t="inlineStr">
        <is>
          <t>McDonald's</t>
        </is>
      </c>
      <c r="E104" s="33" t="inlineStr">
        <is>
          <t>McDelivery</t>
        </is>
      </c>
      <c r="F104" s="33" t="inlineStr">
        <is>
          <t>Scholz &amp; Friends</t>
        </is>
      </c>
      <c r="G104" s="33" t="inlineStr">
        <is>
          <t>Germany</t>
        </is>
      </c>
      <c r="H104" s="33" t="inlineStr">
        <is>
          <t>C06 - Transit</t>
        </is>
      </c>
      <c r="I104" s="33" t="inlineStr">
        <is>
          <t>https://ascentialcdn.filespin.io/api/v1/conversion/9cd186d321874d8bbee590f52c45c327</t>
        </is>
      </c>
      <c r="J104" s="33" t="inlineStr">
        <is>
          <t>2Bjipa4Wnk8</t>
        </is>
      </c>
      <c r="L104" s="33" t="inlineStr">
        <is>
          <t>https://www.lovethework.com/work/entries/mcdelivery-speed-camera-ads-774014</t>
        </is>
      </c>
      <c r="M104" s="33" t="inlineStr">
        <is>
          <t>McDonald's promoted the speed of McDelivery using the visual language of roadside speed cameras, turning transit placements into a playful message about how fast delivery arrives.</t>
        </is>
      </c>
      <c r="N104" s="33" t="inlineStr">
        <is>
          <t>mcdonalds, mcdelivery, qsr, fast-food, restaurant, food, fast food, delivery, speed camera, transit, transport, public-service, outdoor, scholz friends, germany</t>
        </is>
      </c>
    </row>
    <row r="105">
      <c r="A105" s="33" t="n">
        <v>2026</v>
      </c>
      <c r="B105" s="165" t="inlineStr">
        <is>
          <t>Silver</t>
        </is>
      </c>
      <c r="C105" s="107" t="inlineStr">
        <is>
          <t>Let It Fly</t>
        </is>
      </c>
      <c r="D105" s="33" t="inlineStr">
        <is>
          <t>Saudia Airlines</t>
        </is>
      </c>
      <c r="E105" s="33" t="inlineStr">
        <is>
          <t>Baggage Stickers to Increase Baggage Allowance</t>
        </is>
      </c>
      <c r="F105" s="33" t="inlineStr">
        <is>
          <t>Publicis KSA</t>
        </is>
      </c>
      <c r="G105" s="33" t="inlineStr">
        <is>
          <t>Saudi Arabia</t>
        </is>
      </c>
      <c r="H105" s="33" t="inlineStr">
        <is>
          <t>C06 - Transit</t>
        </is>
      </c>
      <c r="I105" s="33" t="inlineStr">
        <is>
          <t>https://ascentialcdn.filespin.io/api/v1/conversion/d083ccc163ac464487eaf88d70f1f449</t>
        </is>
      </c>
      <c r="J105" s="33" t="inlineStr">
        <is>
          <t>vimeo:1163152448</t>
        </is>
      </c>
      <c r="L105" s="33" t="inlineStr">
        <is>
          <t>https://www.lovethework.com/work/entries/let-it-fly-781171</t>
        </is>
      </c>
      <c r="M105" s="33" t="inlineStr">
        <is>
          <t>Saudia turned baggage stickers into a rewards mechanic — collectible stickers celebrating Saudi cities and crafts, each carrying a scannable code that unlocked extra baggage allowance at check-in.</t>
        </is>
      </c>
      <c r="N105" s="33" t="inlineStr">
        <is>
          <t>saudia, airline, travel, tourism, aviation, baggage, stickers, culture, transit, transport, public-service, scannable, publicis, saudi arabia</t>
        </is>
      </c>
    </row>
    <row r="106">
      <c r="A106" s="33" t="n">
        <v>2026</v>
      </c>
      <c r="B106" s="165" t="inlineStr">
        <is>
          <t>Silver</t>
        </is>
      </c>
      <c r="C106" s="107" t="inlineStr">
        <is>
          <t>KitKat Security Detail</t>
        </is>
      </c>
      <c r="D106" s="33" t="inlineStr">
        <is>
          <t>KitKat</t>
        </is>
      </c>
      <c r="E106" s="33" t="inlineStr">
        <is>
          <t>KitKat Five Fingers Chocolate Bar</t>
        </is>
      </c>
      <c r="F106" s="33" t="inlineStr">
        <is>
          <t>Courage</t>
        </is>
      </c>
      <c r="G106" s="33" t="inlineStr">
        <is>
          <t>Canada</t>
        </is>
      </c>
      <c r="H106" s="33" t="inlineStr">
        <is>
          <t>C06 - Transit</t>
        </is>
      </c>
      <c r="I106" s="33" t="inlineStr">
        <is>
          <t>https://ascentialcdn.filespin.io/api/v1/conversion/46f64d59f4604dc6950738c6b5f5d7c6</t>
        </is>
      </c>
      <c r="J106" s="33" t="inlineStr">
        <is>
          <t>VfDoqCGYrms</t>
        </is>
      </c>
      <c r="L106" s="33" t="inlineStr">
        <is>
          <t>https://www.lovethework.com/work/entries/kitkat-security-detail-781825</t>
        </is>
      </c>
      <c r="M106" s="33" t="inlineStr">
        <is>
          <t>After KitKats kept getting stolen, KitKat Canada responded with "Security Detail," a tongue-in-cheek stunt that escorted chocolate deliveries like a high-stakes security operation.</t>
        </is>
      </c>
      <c r="N106" s="33" t="inlineStr">
        <is>
          <t>kitkat, chocolate, confectionery, candy, snack, packaged-goods, food, cpg, fmcg, stunt, humour, transit, transport, public-service, security, courage, canada</t>
        </is>
      </c>
    </row>
    <row r="107">
      <c r="A107" s="33" t="n">
        <v>2026</v>
      </c>
      <c r="B107" s="165" t="inlineStr">
        <is>
          <t>Silver</t>
        </is>
      </c>
      <c r="C107" s="107" t="inlineStr">
        <is>
          <t>Dark Mode Ads</t>
        </is>
      </c>
      <c r="D107" s="33" t="inlineStr">
        <is>
          <t>Plenitude</t>
        </is>
      </c>
      <c r="E107" s="33" t="inlineStr">
        <is>
          <t>Energy</t>
        </is>
      </c>
      <c r="F107" s="33" t="inlineStr">
        <is>
          <t>LePub</t>
        </is>
      </c>
      <c r="G107" s="33" t="inlineStr">
        <is>
          <t>Italy</t>
        </is>
      </c>
      <c r="H107" s="33" t="inlineStr">
        <is>
          <t>D01 - Standard Sites</t>
        </is>
      </c>
      <c r="I107" s="33" t="inlineStr">
        <is>
          <t>https://ascentialcdn.filespin.io/api/v1/conversion/3926b12bf30741feae22c0af44937148</t>
        </is>
      </c>
      <c r="J107" s="33" t="inlineStr">
        <is>
          <t>vimeo:1188653060</t>
        </is>
      </c>
      <c r="L107" s="33" t="inlineStr">
        <is>
          <t>https://www.lovethework.com/work/entries/dark-mode-ads-773952</t>
        </is>
      </c>
      <c r="M107" s="33" t="inlineStr">
        <is>
          <t>For energy company Plenitude, LePub reworked digital billboard creative into "dark mode," using darker palettes to cut the energy LED screens consume while keeping the ads visually striking.</t>
        </is>
      </c>
      <c r="N107" s="33" t="inlineStr">
        <is>
          <t>plenitude, energy, sustainability, environment, dark mode, digital screens, dooh, standard sites, lepub, italy</t>
        </is>
      </c>
    </row>
    <row r="108">
      <c r="A108" s="33" t="n">
        <v>2026</v>
      </c>
      <c r="B108" s="166" t="inlineStr">
        <is>
          <t>Bronze</t>
        </is>
      </c>
      <c r="C108" s="107" t="inlineStr">
        <is>
          <t>Waoo "WiFi Invasion"</t>
        </is>
      </c>
      <c r="D108" s="33" t="inlineStr">
        <is>
          <t>Waoo</t>
        </is>
      </c>
      <c r="E108" s="33" t="inlineStr">
        <is>
          <t>Waoo WiFi</t>
        </is>
      </c>
      <c r="F108" s="33" t="inlineStr">
        <is>
          <t>Uncle Grey</t>
        </is>
      </c>
      <c r="G108" s="33" t="inlineStr">
        <is>
          <t>Denmark</t>
        </is>
      </c>
      <c r="H108" s="33" t="inlineStr">
        <is>
          <t>D02 - Ambient Outdoor</t>
        </is>
      </c>
      <c r="I108" s="33" t="inlineStr">
        <is>
          <t>https://ascentialcdn.filespin.io/api/v1/conversion/142a05a20298408b90976f8f8fd5869d</t>
        </is>
      </c>
      <c r="J108" s="33" t="inlineStr">
        <is>
          <t>vimeo:1198392889</t>
        </is>
      </c>
      <c r="L108" s="33" t="inlineStr">
        <is>
          <t>https://www.lovethework.com/work/entries/waoo-wifi-invasion-781185</t>
        </is>
      </c>
      <c r="M108" s="33" t="inlineStr">
        <is>
          <t>Danish internet provider Waoo turned its own routers into media, renaming customers' Wi-Fi networks with hyperlocal messages so the network names themselves broadcast Waoo's pitch to every nearby home.</t>
        </is>
      </c>
      <c r="N108" s="33" t="inlineStr">
        <is>
          <t>waoo, telecom, internet, isp, wifi, technology, ambient, outdoor, hyperlocal, uncle grey, denmark</t>
        </is>
      </c>
    </row>
    <row r="109">
      <c r="A109" s="33" t="n">
        <v>2026</v>
      </c>
      <c r="B109" s="166" t="inlineStr">
        <is>
          <t>Bronze</t>
        </is>
      </c>
      <c r="C109" s="107" t="inlineStr">
        <is>
          <t>TD Fractional Window Shopping</t>
        </is>
      </c>
      <c r="D109" s="33" t="inlineStr">
        <is>
          <t>TD</t>
        </is>
      </c>
      <c r="E109" s="33" t="inlineStr">
        <is>
          <t>TD Fractional Shares</t>
        </is>
      </c>
      <c r="F109" s="33" t="inlineStr">
        <is>
          <t>Ogilvy</t>
        </is>
      </c>
      <c r="G109" s="33" t="inlineStr">
        <is>
          <t>Canada</t>
        </is>
      </c>
      <c r="H109" s="33" t="inlineStr">
        <is>
          <t>D02 - Ambient Outdoor</t>
        </is>
      </c>
      <c r="I109" s="33" t="inlineStr">
        <is>
          <t>https://ascentialcdn.filespin.io/api/v1/conversion/76354bb47ec149f3a1ed5262948633a0</t>
        </is>
      </c>
      <c r="J109" s="33" t="inlineStr">
        <is>
          <t>zfwb3VSq5k4</t>
        </is>
      </c>
      <c r="L109" s="33" t="inlineStr">
        <is>
          <t>https://www.lovethework.com/work/entries/td-fractional-window-shopping-781421</t>
        </is>
      </c>
      <c r="M109" s="33" t="inlineStr">
        <is>
          <t>TD billboards framed the logos of famous companies through window-style cutouts, showing passersby that fractional shares of those brands were available from just $1 through TD Direct Investing.</t>
        </is>
      </c>
      <c r="N109" s="33" t="inlineStr">
        <is>
          <t>td, bank, finance, investing, fractional shares, billboard, ambient, outdoor, ogilvy, canada</t>
        </is>
      </c>
    </row>
    <row r="110">
      <c r="A110" s="33" t="n">
        <v>2026</v>
      </c>
      <c r="B110" s="166" t="inlineStr">
        <is>
          <t>Bronze</t>
        </is>
      </c>
      <c r="C110" s="107" t="inlineStr">
        <is>
          <t>The Catrace</t>
        </is>
      </c>
      <c r="D110" s="33" t="inlineStr">
        <is>
          <t>Distance x Strava</t>
        </is>
      </c>
      <c r="E110" s="33" t="inlineStr">
        <is>
          <t>Distance</t>
        </is>
      </c>
      <c r="F110" s="33" t="inlineStr">
        <is>
          <t>BETC</t>
        </is>
      </c>
      <c r="G110" s="33" t="inlineStr">
        <is>
          <t>France</t>
        </is>
      </c>
      <c r="H110" s="33" t="inlineStr">
        <is>
          <t>D02 - Ambient Outdoor</t>
        </is>
      </c>
      <c r="I110" s="33" t="inlineStr">
        <is>
          <t>https://ascentialcdn.filespin.io/api/v1/conversion/b6f4031b228f4737aa43df0173dc533b</t>
        </is>
      </c>
      <c r="J110" s="33" t="inlineStr">
        <is>
          <t>jCp9ruDK2c0</t>
        </is>
      </c>
      <c r="L110" s="33" t="inlineStr">
        <is>
          <t>https://www.lovethework.com/work/entries/the-catrace-781827</t>
        </is>
      </c>
      <c r="M110" s="33" t="inlineStr">
        <is>
          <t>For concept-store Distance and Strava, BETC staged "The CatRace" — a fashion show run at sprinting speed, a catwalk too fast to watch that put athletic performance back at the heart of sportswear.</t>
        </is>
      </c>
      <c r="N110" s="33" t="inlineStr">
        <is>
          <t>strava, distance, sportswear, fashion, fitness, running, sports, catwalk, event, ambient, betc, france</t>
        </is>
      </c>
    </row>
    <row r="111">
      <c r="A111" s="33" t="n">
        <v>2026</v>
      </c>
      <c r="B111" s="165" t="inlineStr">
        <is>
          <t>Silver</t>
        </is>
      </c>
      <c r="C111" s="107" t="inlineStr">
        <is>
          <t>Showroom On Ice</t>
        </is>
      </c>
      <c r="D111" s="33" t="inlineStr">
        <is>
          <t>Loods 5</t>
        </is>
      </c>
      <c r="E111" s="33" t="inlineStr">
        <is>
          <t>Home Furnishing</t>
        </is>
      </c>
      <c r="F111" s="33" t="inlineStr">
        <is>
          <t>Ogilvy</t>
        </is>
      </c>
      <c r="G111" s="33" t="inlineStr">
        <is>
          <t>Netherlands</t>
        </is>
      </c>
      <c r="H111" s="33" t="inlineStr">
        <is>
          <t>E01 - Local Brand</t>
        </is>
      </c>
      <c r="I111" s="33" t="inlineStr">
        <is>
          <t>https://ascentialcdn.filespin.io/api/v1/conversion/8027aa949c0d467e88c373532e97e299</t>
        </is>
      </c>
      <c r="J111" s="33" t="inlineStr">
        <is>
          <t>vimeo:1166962676</t>
        </is>
      </c>
      <c r="L111" s="33" t="inlineStr">
        <is>
          <t>https://www.lovethework.com/work/entries/showroom-on-ice-780754</t>
        </is>
      </c>
      <c r="M111" s="33" t="inlineStr">
        <is>
          <t>Tapping the Dutch tradition of learning to skate by pushing a chair, furniture retailer Loods 5 placed its new collection on the ice at Museumplein, turning each skater's glide into a live product demo.</t>
        </is>
      </c>
      <c r="N111" s="33" t="inlineStr">
        <is>
          <t>loods 5, furniture, home, home furnishing, retail, ice skating, tradition, local brand, activation, ogilvy, netherlands</t>
        </is>
      </c>
    </row>
    <row r="112">
      <c r="A112" s="33" t="n">
        <v>2026</v>
      </c>
      <c r="B112" s="166" t="inlineStr">
        <is>
          <t>Bronze</t>
        </is>
      </c>
      <c r="C112" s="107" t="inlineStr">
        <is>
          <t>Icedentity</t>
        </is>
      </c>
      <c r="D112" s="33" t="inlineStr">
        <is>
          <t>Aguila Light</t>
        </is>
      </c>
      <c r="E112" s="33" t="inlineStr">
        <is>
          <t>Beer</t>
        </is>
      </c>
      <c r="F112" s="33" t="inlineStr">
        <is>
          <t>David</t>
        </is>
      </c>
      <c r="G112" s="33" t="inlineStr">
        <is>
          <t>Colombia</t>
        </is>
      </c>
      <c r="H112" s="33" t="inlineStr">
        <is>
          <t>E01 - Local Brand</t>
        </is>
      </c>
      <c r="I112" s="33" t="inlineStr">
        <is>
          <t>https://ascentialcdn.filespin.io/api/v1/conversion/dc6832a9146f48a7a792365270e9ebb6</t>
        </is>
      </c>
      <c r="J112" s="33" t="inlineStr">
        <is>
          <t>3ZHZSK7cOv0</t>
        </is>
      </c>
      <c r="L112" s="33" t="inlineStr">
        <is>
          <t>https://www.lovethework.com/work/entries/icedentity-793210</t>
        </is>
      </c>
      <c r="M112" s="33" t="inlineStr">
        <is>
          <t>A local-brand execution for Aguila Light beer built around ice and identity, using cold-activated branding that surfaces as the beer chills.</t>
        </is>
      </c>
      <c r="N112" s="33" t="inlineStr">
        <is>
          <t>aguila light, beer, alcohol, drinks, ice, branding, local brand, outdoor, david, colombia</t>
        </is>
      </c>
    </row>
    <row r="113">
      <c r="A113" s="33" t="n">
        <v>2026</v>
      </c>
      <c r="B113" s="165" t="inlineStr">
        <is>
          <t>Silver</t>
        </is>
      </c>
      <c r="C113" s="107" t="inlineStr">
        <is>
          <t>The Periodic Fable</t>
        </is>
      </c>
      <c r="D113" s="33" t="inlineStr">
        <is>
          <t>The Ordinary</t>
        </is>
      </c>
      <c r="E113" s="33" t="inlineStr">
        <is>
          <t>The Ordinary</t>
        </is>
      </c>
      <c r="F113" s="33" t="inlineStr">
        <is>
          <t>Uncommon Creative Studio</t>
        </is>
      </c>
      <c r="G113" s="33" t="inlineStr">
        <is>
          <t>United Kingdom</t>
        </is>
      </c>
      <c r="H113" s="33" t="inlineStr">
        <is>
          <t>E02 - Challenger Brand</t>
        </is>
      </c>
      <c r="I113" s="33" t="inlineStr">
        <is>
          <t>https://ascentialcdn.filespin.io/api/v1/conversion/68e9398659d74a86812704e4e5e814d4</t>
        </is>
      </c>
      <c r="J113" s="33" t="inlineStr">
        <is>
          <t>mp4:videos/the-ordinary-the-periodic-fable.mp4</t>
        </is>
      </c>
      <c r="L113" s="33" t="inlineStr">
        <is>
          <t>https://www.lovethework.com/work/entries/the-periodic-fable-780758</t>
        </is>
      </c>
      <c r="M113" s="33" t="inlineStr">
        <is>
          <t>The Ordinary reworked the periodic table into a "Periodic Fable," replacing real elements with the unsubstantiated buzzwords the beauty industry sells — "age-defying," "wrinkle-erasing" — to call out skincare's pseudoscience, with a landing page explaining why each claim misleads.</t>
        </is>
      </c>
      <c r="N113" s="33" t="inlineStr">
        <is>
          <t>the ordinary, skincare, personal-care, beauty, cosmetics, periodic table, pseudoscience, transparency, challenger brand, uncommon, united kingdom</t>
        </is>
      </c>
    </row>
    <row r="114">
      <c r="A114" s="33" t="n">
        <v>2026</v>
      </c>
      <c r="B114" s="166" t="inlineStr">
        <is>
          <t>Bronze</t>
        </is>
      </c>
      <c r="C114" s="107" t="inlineStr">
        <is>
          <t>A.I. Irresponsibly</t>
        </is>
      </c>
      <c r="D114" s="33" t="inlineStr">
        <is>
          <t>Brewlander</t>
        </is>
      </c>
      <c r="E114" s="33" t="inlineStr">
        <is>
          <t>Brewlander Beer</t>
        </is>
      </c>
      <c r="F114" s="33" t="inlineStr">
        <is>
          <t>BLKJ Havas</t>
        </is>
      </c>
      <c r="G114" s="33" t="inlineStr">
        <is>
          <t>Singapore</t>
        </is>
      </c>
      <c r="H114" s="33" t="inlineStr">
        <is>
          <t>E02 - Challenger Brand</t>
        </is>
      </c>
      <c r="I114" s="33" t="inlineStr">
        <is>
          <t>https://ascentialcdn.filespin.io/api/v1/conversion/989336067f294945bbea076900914e03</t>
        </is>
      </c>
      <c r="J114" s="33" t="inlineStr">
        <is>
          <t>LE2tp1wTjhg</t>
        </is>
      </c>
      <c r="L114" s="33" t="inlineStr">
        <is>
          <t>https://www.lovethework.com/work/entries/ai-irresponsibly-774163</t>
        </is>
      </c>
      <c r="M114" s="33" t="inlineStr">
        <is>
          <t>Independent craft brewer Brewlander used text-to-video AI tools to produce the lavish, big-budget-looking beer advertising it could never afford, using "A.I. irresponsibly" to level the playing field against the major brands.</t>
        </is>
      </c>
      <c r="N114" s="33" t="inlineStr">
        <is>
          <t>brewlander, beer, alcohol, drinks, craft beer, artificial intelligence, ai, technology, generative, challenger brand, blkj havas, singapore</t>
        </is>
      </c>
    </row>
    <row r="115">
      <c r="A115" s="33" t="n">
        <v>2026</v>
      </c>
      <c r="B115" s="164" t="inlineStr">
        <is>
          <t>Gold</t>
        </is>
      </c>
      <c r="C115" s="107" t="inlineStr">
        <is>
          <t>Let's End Fast Tech</t>
        </is>
      </c>
      <c r="D115" s="33" t="inlineStr">
        <is>
          <t>Back Market</t>
        </is>
      </c>
      <c r="E115" s="33" t="inlineStr">
        <is>
          <t>Refurbished Electronics Marketplace</t>
        </is>
      </c>
      <c r="F115" s="33" t="inlineStr">
        <is>
          <t>Marcel</t>
        </is>
      </c>
      <c r="G115" s="33" t="inlineStr">
        <is>
          <t>France</t>
        </is>
      </c>
      <c r="H115" s="33" t="inlineStr">
        <is>
          <t>E02 - Challenger Brand</t>
        </is>
      </c>
      <c r="I115" s="33" t="inlineStr">
        <is>
          <t>https://ascentialcdn.filespin.io/api/v1/conversion/888113f0a4aa44d5b92063649d62c27d</t>
        </is>
      </c>
      <c r="J115" s="33" t="inlineStr">
        <is>
          <t>vimeo:1203484921</t>
        </is>
      </c>
      <c r="L115" s="33" t="inlineStr">
        <is>
          <t>https://www.lovethework.com/work/entries/lets-end-fast-tech-781200</t>
        </is>
      </c>
      <c r="M115" s="33" t="inlineStr">
        <is>
          <t>For refurbished-tech marketplace Back Market, Marcel hijacked the "Shot on iPhone" format — instead of showcasing camera quality, the images foregrounded the environmental damage of fast tech, making the case for buying refurbished.</t>
        </is>
      </c>
      <c r="N115" s="33" t="inlineStr">
        <is>
          <t>back market, refurbished, electronics, technology, sustainability, environment, ecommerce, retail, online-shopping, challenger brand, marcel, france</t>
        </is>
      </c>
    </row>
    <row r="116">
      <c r="A116" s="33" t="n">
        <v>2026</v>
      </c>
      <c r="B116" s="166" t="inlineStr">
        <is>
          <t>Bronze</t>
        </is>
      </c>
      <c r="C116" s="107" t="inlineStr">
        <is>
          <t>Sleep Talk Reviews</t>
        </is>
      </c>
      <c r="D116" s="33" t="inlineStr">
        <is>
          <t>IKEA</t>
        </is>
      </c>
      <c r="E116" s="33" t="inlineStr">
        <is>
          <t>IKEA</t>
        </is>
      </c>
      <c r="F116" s="33" t="inlineStr">
        <is>
          <t>Rethink</t>
        </is>
      </c>
      <c r="G116" s="33" t="inlineStr">
        <is>
          <t>Canada</t>
        </is>
      </c>
      <c r="H116" s="33" t="inlineStr">
        <is>
          <t>E02 - Challenger Brand</t>
        </is>
      </c>
      <c r="I116" s="33" t="inlineStr">
        <is>
          <t>https://ascentialcdn.filespin.io/api/v1/conversion/86008c80b429498c85b72a1e3044d92f</t>
        </is>
      </c>
      <c r="J116" s="33" t="inlineStr">
        <is>
          <t>BNAfX0lKSjg</t>
        </is>
      </c>
      <c r="L116" s="33" t="inlineStr">
        <is>
          <t>https://www.lovethework.com/work/entries/sleep-talk-reviews-781532</t>
        </is>
      </c>
      <c r="M116" s="33" t="inlineStr">
        <is>
          <t>IKEA invited real sleep-talkers to spend a night on its mattresses in store, with hidden microphones capturing their mumbles, snores and sleep-talk as unfiltered, subconscious product reviews.</t>
        </is>
      </c>
      <c r="N116" s="33" t="inlineStr">
        <is>
          <t>ikea, furniture, home, home furnishing, retail, mattress, sleep, reviews, challenger brand, rethink, canada</t>
        </is>
      </c>
    </row>
    <row r="117">
      <c r="A117" s="33" t="n">
        <v>2026</v>
      </c>
      <c r="B117" s="164" t="inlineStr">
        <is>
          <t>Gold</t>
        </is>
      </c>
      <c r="C117" s="107" t="inlineStr">
        <is>
          <t>Sunburnt Car</t>
        </is>
      </c>
      <c r="D117" s="33" t="inlineStr">
        <is>
          <t>mycar</t>
        </is>
      </c>
      <c r="E117" s="33" t="inlineStr">
        <is>
          <t>mycar</t>
        </is>
      </c>
      <c r="F117" s="33" t="inlineStr">
        <is>
          <t>TBWA\Sydney</t>
        </is>
      </c>
      <c r="G117" s="33" t="inlineStr">
        <is>
          <t>Australia</t>
        </is>
      </c>
      <c r="H117" s="33" t="inlineStr">
        <is>
          <t>E03 - Single-Market Campaign</t>
        </is>
      </c>
      <c r="I117" s="33" t="inlineStr">
        <is>
          <t>https://ascentialcdn.filespin.io/api/v1/conversion/4f23a5f488384646908dde11975e6e81</t>
        </is>
      </c>
      <c r="J117" s="33" t="inlineStr">
        <is>
          <t>vimeo:1203492324</t>
        </is>
      </c>
      <c r="L117" s="33" t="inlineStr">
        <is>
          <t>https://www.lovethework.com/work/entries/sunburnt-car-774214</t>
        </is>
      </c>
      <c r="M117" s="33" t="inlineStr">
        <is>
          <t>For automotive-service brand mycar, "The Sunburnt Car" used the striking image of a sun-damaged vehicle to dramatise the toll Australia's harsh sun takes on cars and the need for protective servicing.</t>
        </is>
      </c>
      <c r="N117" s="33" t="inlineStr">
        <is>
          <t>mycar, automotive, cars, transport, car, tyres, auto service, sun, weather, single-market, craft, tbwa, australia</t>
        </is>
      </c>
    </row>
    <row r="118">
      <c r="A118" s="33" t="n">
        <v>2026</v>
      </c>
      <c r="B118" s="165" t="inlineStr">
        <is>
          <t>Silver</t>
        </is>
      </c>
      <c r="C118" s="107" t="inlineStr">
        <is>
          <t>2036</t>
        </is>
      </c>
      <c r="D118" s="33" t="inlineStr">
        <is>
          <t>Association Antoine Alléno</t>
        </is>
      </c>
      <c r="E118" s="33" t="inlineStr">
        <is>
          <t>Association Antoine Alléno</t>
        </is>
      </c>
      <c r="F118" s="33" t="inlineStr">
        <is>
          <t>Havas Paris</t>
        </is>
      </c>
      <c r="G118" s="33" t="inlineStr">
        <is>
          <t>France</t>
        </is>
      </c>
      <c r="H118" s="33" t="inlineStr">
        <is>
          <t>E03 - Single-Market Campaign</t>
        </is>
      </c>
      <c r="I118" s="33" t="inlineStr">
        <is>
          <t>https://ascentialcdn.filespin.io/api/v1/conversion/6427d53fa1ab472195bc3b85426b045c</t>
        </is>
      </c>
      <c r="J118" s="33" t="inlineStr">
        <is>
          <t>sG0Y_i84xpw</t>
        </is>
      </c>
      <c r="L118" s="33" t="inlineStr">
        <is>
          <t>https://www.lovethework.com/work/entries/2036-774127</t>
        </is>
      </c>
      <c r="M118" s="33" t="inlineStr">
        <is>
          <t>On New Year's Eve, the Antoine Alleno Association hijacked the Arc de Triomphe countdown to project "2036" instead of 2026 — the jail term faced for road homicide — turning the celebration into a stark road-safety warning.</t>
        </is>
      </c>
      <c r="N118" s="33" t="inlineStr">
        <is>
          <t>antoine alleno, road safety, charity, nonprofit, public service, new years eve, arc de triomphe, projection, stunt, havas paris, france</t>
        </is>
      </c>
    </row>
    <row r="119">
      <c r="A119" s="33" t="n">
        <v>2026</v>
      </c>
      <c r="B119" s="164" t="inlineStr">
        <is>
          <t>Gold</t>
        </is>
      </c>
      <c r="C119" s="107" t="inlineStr">
        <is>
          <t>The Last Coke In The Desert</t>
        </is>
      </c>
      <c r="D119" s="33" t="inlineStr">
        <is>
          <t>Coca-Cola</t>
        </is>
      </c>
      <c r="E119" s="33" t="inlineStr">
        <is>
          <t>Coca-Cola</t>
        </is>
      </c>
      <c r="F119" s="33" t="inlineStr">
        <is>
          <t>VML</t>
        </is>
      </c>
      <c r="G119" s="33" t="inlineStr">
        <is>
          <t>United States</t>
        </is>
      </c>
      <c r="H119" s="33" t="inlineStr">
        <is>
          <t>E03 - Single-Market Campaign</t>
        </is>
      </c>
      <c r="I119" s="33" t="inlineStr">
        <is>
          <t>https://ascentialcdn.filespin.io/api/v1/conversion/81f2778629634713aeecbb6779c3c1f3</t>
        </is>
      </c>
      <c r="J119" s="33" t="inlineStr">
        <is>
          <t>vimeo:1194047275</t>
        </is>
      </c>
      <c r="L119" s="33" t="inlineStr">
        <is>
          <t>https://www.lovethework.com/work/entries/the-last-coke-in-the-desert-774184</t>
        </is>
      </c>
      <c r="M119" s="33" t="inlineStr">
        <is>
          <t>A Coca-Cola outdoor execution staged around the idea of the last Coke in the desert, dramatising the brand's reach and refreshment at the most extreme edge of the map.</t>
        </is>
      </c>
      <c r="N119" s="33" t="inlineStr">
        <is>
          <t>coca-cola, soft drinks, beverages, drinks, desert, refreshment, single-market, outdoor, vml, united states</t>
        </is>
      </c>
    </row>
    <row r="120">
      <c r="A120" s="33" t="n">
        <v>2026</v>
      </c>
      <c r="B120" s="165" t="inlineStr">
        <is>
          <t>Silver</t>
        </is>
      </c>
      <c r="C120" s="107" t="inlineStr">
        <is>
          <t>Back To Kai Tak</t>
        </is>
      </c>
      <c r="D120" s="33" t="inlineStr">
        <is>
          <t>Cathay</t>
        </is>
      </c>
      <c r="E120" s="33" t="inlineStr">
        <is>
          <t>Cathay</t>
        </is>
      </c>
      <c r="F120" s="33" t="inlineStr">
        <is>
          <t>Leo</t>
        </is>
      </c>
      <c r="G120" s="33" t="inlineStr">
        <is>
          <t>Hong Kong</t>
        </is>
      </c>
      <c r="H120" s="33" t="inlineStr">
        <is>
          <t>E03 - Single-Market Campaign</t>
        </is>
      </c>
      <c r="I120" s="33" t="inlineStr">
        <is>
          <t>https://ascentialcdn.filespin.io/api/v1/conversion/591564d6f9614cacb866579f470d1b74</t>
        </is>
      </c>
      <c r="J120" s="33" t="inlineStr">
        <is>
          <t>Dpb4yzz85CQ</t>
        </is>
      </c>
      <c r="L120" s="33" t="inlineStr">
        <is>
          <t>https://www.lovethework.com/work/entries/back-to-kai-tak-781204</t>
        </is>
      </c>
      <c r="M120" s="33" t="inlineStr">
        <is>
          <t>For Cathay Pacific, "Back to Kai Tak" tapped Hong Kong's nostalgia for the city's former Kai Tak airport, celebrating the return of activity to the iconic site.</t>
        </is>
      </c>
      <c r="N120" s="33" t="inlineStr">
        <is>
          <t>cathay, cathay pacific, airline, travel, tourism, aviation, hong kong, kai tak, nostalgia, single-market, leo</t>
        </is>
      </c>
    </row>
    <row r="121">
      <c r="A121" s="33" t="n">
        <v>2026</v>
      </c>
      <c r="B121" s="166" t="inlineStr">
        <is>
          <t>Bronze</t>
        </is>
      </c>
      <c r="C121" s="107" t="inlineStr">
        <is>
          <t>Rooftop Revival</t>
        </is>
      </c>
      <c r="D121" s="33" t="inlineStr">
        <is>
          <t>Heineken</t>
        </is>
      </c>
      <c r="E121" s="33" t="inlineStr">
        <is>
          <t>Heineken</t>
        </is>
      </c>
      <c r="F121" s="33" t="inlineStr">
        <is>
          <t>LePub</t>
        </is>
      </c>
      <c r="G121" s="33" t="inlineStr">
        <is>
          <t>Singapore</t>
        </is>
      </c>
      <c r="H121" s="33" t="inlineStr">
        <is>
          <t>E03 - Single-Market Campaign</t>
        </is>
      </c>
      <c r="I121" s="33" t="inlineStr">
        <is>
          <t>https://ascentialcdn.filespin.io/api/v1/conversion/8bb696d694ca4573a41047bdcec37ecb</t>
        </is>
      </c>
      <c r="J121" s="33" t="inlineStr">
        <is>
          <t>4l6OtWlqBX0</t>
        </is>
      </c>
      <c r="L121" s="33" t="inlineStr">
        <is>
          <t>https://www.lovethework.com/work/entries/rooftop-revival-776235</t>
        </is>
      </c>
      <c r="M121" s="33" t="inlineStr">
        <is>
          <t>Heineken's "Rooftop Revival" reclaimed neglected urban rooftops as social spaces, reviving them into places for people to gather and connect over a beer.</t>
        </is>
      </c>
      <c r="N121" s="33" t="inlineStr">
        <is>
          <t>heineken, beer, alcohol, drinks, rooftop, social, urban, activation, single-market, lepub, singapore</t>
        </is>
      </c>
    </row>
    <row r="122">
      <c r="A122" s="33" t="n">
        <v>2026</v>
      </c>
      <c r="B122" s="166" t="inlineStr">
        <is>
          <t>Bronze</t>
        </is>
      </c>
      <c r="C122" s="107" t="inlineStr">
        <is>
          <t>Look Familiar?</t>
        </is>
      </c>
      <c r="D122" s="33" t="inlineStr">
        <is>
          <t>Heinz Ketchup</t>
        </is>
      </c>
      <c r="E122" s="33" t="inlineStr">
        <is>
          <t>Kraft Heinz</t>
        </is>
      </c>
      <c r="F122" s="33" t="inlineStr">
        <is>
          <t>Rethink</t>
        </is>
      </c>
      <c r="G122" s="33" t="inlineStr">
        <is>
          <t>Canada</t>
        </is>
      </c>
      <c r="H122" s="33" t="inlineStr">
        <is>
          <t>E04 - Social Behaviour</t>
        </is>
      </c>
      <c r="I122" s="33" t="inlineStr">
        <is>
          <t>https://ascentialcdn.filespin.io/api/v1/conversion/34fab606e7fd436bb390641859ea9c4b</t>
        </is>
      </c>
      <c r="J122" s="33" t="inlineStr">
        <is>
          <t>7vuZx0ue7z0</t>
        </is>
      </c>
      <c r="L122" s="33" t="inlineStr">
        <is>
          <t>https://www.lovethework.com/work/entries/look-familiar-781226</t>
        </is>
      </c>
      <c r="M122" s="33" t="inlineStr">
        <is>
          <t>Part of Heinz's long-running play on its iconic look, "Look Familiar?" showcased everyday scenes whose shapes and red hues unmistakably evoke Heinz ketchup.</t>
        </is>
      </c>
      <c r="N122" s="33" t="inlineStr">
        <is>
          <t>heinz, ketchup, condiment, food, brand iconography, visual pun, social behaviour, posters, rethink, canada</t>
        </is>
      </c>
    </row>
    <row r="123">
      <c r="A123" s="33" t="n">
        <v>2026</v>
      </c>
      <c r="B123" s="166" t="inlineStr">
        <is>
          <t>Bronze</t>
        </is>
      </c>
      <c r="C123" s="107" t="inlineStr">
        <is>
          <t>Heinz Dipper</t>
        </is>
      </c>
      <c r="D123" s="33" t="inlineStr">
        <is>
          <t>Heinz Ketchup</t>
        </is>
      </c>
      <c r="E123" s="33" t="inlineStr">
        <is>
          <t>Heinz Ketchup</t>
        </is>
      </c>
      <c r="F123" s="33" t="inlineStr">
        <is>
          <t>Rethink</t>
        </is>
      </c>
      <c r="G123" s="33" t="inlineStr">
        <is>
          <t>Canada</t>
        </is>
      </c>
      <c r="H123" s="33" t="inlineStr">
        <is>
          <t>E04 - Social Behaviour</t>
        </is>
      </c>
      <c r="I123" s="33" t="inlineStr">
        <is>
          <t>https://ascentialcdn.filespin.io/api/v1/conversion/4b8e0c5f34ee438a8410b3676e7a2fd2</t>
        </is>
      </c>
      <c r="J123" s="33" t="inlineStr">
        <is>
          <t>vimeo:1187334779</t>
        </is>
      </c>
      <c r="L123" s="33" t="inlineStr">
        <is>
          <t>https://www.lovethework.com/work/entries/heinz-dipper-781547</t>
        </is>
      </c>
      <c r="M123" s="33" t="inlineStr">
        <is>
          <t>A Heinz execution celebrating the universal habit of dipping, built around how fans pair Heinz ketchup with their food.</t>
        </is>
      </c>
      <c r="N123" s="33" t="inlineStr">
        <is>
          <t>heinz, ketchup, condiment, food, dipping, social behaviour, outdoor, rethink, canada</t>
        </is>
      </c>
    </row>
    <row r="124">
      <c r="A124" s="33" t="n">
        <v>2026</v>
      </c>
      <c r="B124" s="164" t="inlineStr">
        <is>
          <t>Gold</t>
        </is>
      </c>
      <c r="C124" s="107" t="inlineStr">
        <is>
          <t>Could Have Been A Heineken</t>
        </is>
      </c>
      <c r="D124" s="33" t="inlineStr">
        <is>
          <t>Heineken</t>
        </is>
      </c>
      <c r="E124" s="33" t="inlineStr">
        <is>
          <t>Heineken Beer</t>
        </is>
      </c>
      <c r="F124" s="33" t="inlineStr">
        <is>
          <t>LePub</t>
        </is>
      </c>
      <c r="G124" s="33" t="inlineStr">
        <is>
          <t>Italy</t>
        </is>
      </c>
      <c r="H124" s="33" t="inlineStr">
        <is>
          <t>E04 - Social Behaviour</t>
        </is>
      </c>
      <c r="I124" s="33" t="inlineStr">
        <is>
          <t>https://ascentialcdn.filespin.io/api/v1/conversion/bef8b8502abf4d76b2f0203705193dd8</t>
        </is>
      </c>
      <c r="J124" s="33" t="inlineStr">
        <is>
          <t>vimeo:1203492482</t>
        </is>
      </c>
      <c r="L124" s="33" t="inlineStr">
        <is>
          <t>https://www.lovethework.com/work/entries/could-have-been-a-heineken-775852</t>
        </is>
      </c>
      <c r="M124" s="33" t="inlineStr">
        <is>
          <t>To nudge people off endless voice notes, Heineken let users forward any voice message over three minutes to a WhatsApp bot, which replied "Could have been a Heineken" with a voucher — reframing wasted time as time better spent over a beer.</t>
        </is>
      </c>
      <c r="N124" s="33" t="inlineStr">
        <is>
          <t>heineken, beer, alcohol, drinks, whatsapp, voice notes, bot, social behaviour, technology, lepub, italy</t>
        </is>
      </c>
    </row>
    <row r="125">
      <c r="A125" s="33" t="n">
        <v>2026</v>
      </c>
      <c r="B125" s="165" t="inlineStr">
        <is>
          <t>Silver</t>
        </is>
      </c>
      <c r="C125" s="107" t="inlineStr">
        <is>
          <t>IKEA Brighton Store Launch</t>
        </is>
      </c>
      <c r="D125" s="33" t="inlineStr">
        <is>
          <t>IKEA</t>
        </is>
      </c>
      <c r="E125" s="33" t="inlineStr">
        <is>
          <t>Furniture</t>
        </is>
      </c>
      <c r="F125" s="33" t="inlineStr">
        <is>
          <t>Mother</t>
        </is>
      </c>
      <c r="G125" s="33" t="inlineStr">
        <is>
          <t>United Kingdom</t>
        </is>
      </c>
      <c r="H125" s="33" t="inlineStr">
        <is>
          <t>E05 - Use of Humour</t>
        </is>
      </c>
      <c r="I125" s="33" t="inlineStr">
        <is>
          <t>https://ascentialcdn.filespin.io/api/v1/conversion/2bf1e25539824e1293a475a82772352e</t>
        </is>
      </c>
      <c r="J125" s="33" t="inlineStr">
        <is>
          <t>mp4:videos/outdoor-ikea-brighton-store-launch.mp4</t>
        </is>
      </c>
      <c r="L125" s="33" t="inlineStr">
        <is>
          <t>https://www.lovethework.com/work/entries/ikea-brighton-store-launch-793275</t>
        </is>
      </c>
      <c r="M125" s="33" t="inlineStr">
        <is>
          <t>To launch IKEA's first seaside store in Brighton, Mother leaned into the town's notorious seagulls, building the campaign around the gulls rather than a conventional store icon.</t>
        </is>
      </c>
      <c r="N125" s="33" t="inlineStr">
        <is>
          <t>ikea, furniture, home, home furnishing, retail, store launch, brighton, seagulls, humour, mother, united kingdom</t>
        </is>
      </c>
    </row>
    <row r="126">
      <c r="A126" s="33" t="n">
        <v>2026</v>
      </c>
      <c r="B126" s="166" t="inlineStr">
        <is>
          <t>Bronze</t>
        </is>
      </c>
      <c r="C126" s="107" t="inlineStr">
        <is>
          <t>Steph Curry Shoots The Moon</t>
        </is>
      </c>
      <c r="D126" s="33" t="inlineStr">
        <is>
          <t>Random House Publishing Group</t>
        </is>
      </c>
      <c r="E126" s="33" t="inlineStr">
        <is>
          <t>"Shot Ready" by Steph Curry</t>
        </is>
      </c>
      <c r="F126" s="33" t="inlineStr">
        <is>
          <t>Known</t>
        </is>
      </c>
      <c r="G126" s="33" t="inlineStr">
        <is>
          <t>United States</t>
        </is>
      </c>
      <c r="H126" s="33" t="inlineStr">
        <is>
          <t>E06 - Breakthrough on a Budget</t>
        </is>
      </c>
      <c r="I126" s="33" t="inlineStr">
        <is>
          <t>https://ascentialcdn.filespin.io/api/v1/conversion/d1a89ac2f21d40bcb149e7fe0b21f952</t>
        </is>
      </c>
      <c r="J126" s="33" t="inlineStr">
        <is>
          <t>7sPk_BgjNZs</t>
        </is>
      </c>
      <c r="L126" s="33" t="inlineStr">
        <is>
          <t>https://www.lovethework.com/work/entries/steph-curry-shoots-the-moon-780784</t>
        </is>
      </c>
      <c r="M126" s="33" t="inlineStr">
        <is>
          <t>To promote Steph Curry's book "Shot Ready," a single, perfectly placed billboard positioned Curry as if shooting at the moon, turning the night sky into the backboard on a tight budget.</t>
        </is>
      </c>
      <c r="N126" s="33" t="inlineStr">
        <is>
          <t>random house, publishing, books, steph curry, basketball, sports, billboard, breakthrough on a budget, known, united states</t>
        </is>
      </c>
    </row>
    <row r="127">
      <c r="A127" s="33" t="n">
        <v>2026</v>
      </c>
      <c r="B127" s="165" t="inlineStr">
        <is>
          <t>Silver</t>
        </is>
      </c>
      <c r="C127" s="107" t="inlineStr">
        <is>
          <t>Look For The Leaf</t>
        </is>
      </c>
      <c r="D127" s="33" t="inlineStr">
        <is>
          <t>Maple Leaf Foods</t>
        </is>
      </c>
      <c r="E127" s="33" t="inlineStr">
        <is>
          <t>Canadian-Made FMCG</t>
        </is>
      </c>
      <c r="F127" s="33" t="inlineStr">
        <is>
          <t>No Fixed Address</t>
        </is>
      </c>
      <c r="G127" s="33" t="inlineStr">
        <is>
          <t>Canada</t>
        </is>
      </c>
      <c r="H127" s="33" t="inlineStr">
        <is>
          <t>E08 - Market Disruption</t>
        </is>
      </c>
      <c r="I127" s="33" t="inlineStr">
        <is>
          <t>https://ascentialcdn.filespin.io/api/v1/conversion/ea10901add8b4bd3ad7a62f7a9ce80d3</t>
        </is>
      </c>
      <c r="J127" s="33" t="inlineStr">
        <is>
          <t>xDat0VSgKKk</t>
        </is>
      </c>
      <c r="L127" s="33" t="inlineStr">
        <is>
          <t>https://www.lovethework.com/work/entries/look-for-the-leaf-774162</t>
        </is>
      </c>
      <c r="M127" s="33" t="inlineStr">
        <is>
          <t>Maple Leaf Foods rallied Canadian-made brands under "Look for the Leaf," using the maple-leaf symbol found across homegrown products to help shoppers identify and choose Canadian-owned goods.</t>
        </is>
      </c>
      <c r="N127" s="33" t="inlineStr">
        <is>
          <t>maple leaf foods, food, fmcg, cpg, canadian, made in canada, retail, market disruption, no fixed address, canada</t>
        </is>
      </c>
    </row>
    <row r="128">
      <c r="A128" s="33" t="n">
        <v>2026</v>
      </c>
      <c r="B128" s="166" t="inlineStr">
        <is>
          <t>Bronze</t>
        </is>
      </c>
      <c r="C128" s="107" t="inlineStr">
        <is>
          <t>Socializing Billboards</t>
        </is>
      </c>
      <c r="D128" s="33" t="inlineStr">
        <is>
          <t>Heineken/iFood/Misci</t>
        </is>
      </c>
      <c r="E128" s="33" t="inlineStr">
        <is>
          <t>Heineken</t>
        </is>
      </c>
      <c r="F128" s="33" t="inlineStr">
        <is>
          <t>LePub</t>
        </is>
      </c>
      <c r="G128" s="33" t="inlineStr">
        <is>
          <t>Brazil</t>
        </is>
      </c>
      <c r="H128" s="33" t="inlineStr">
        <is>
          <t>E08 - Market Disruption</t>
        </is>
      </c>
      <c r="I128" s="33" t="inlineStr">
        <is>
          <t>https://ascentialcdn.filespin.io/api/v1/conversion/8360a77d91e144ef8e7bda324e3ad068</t>
        </is>
      </c>
      <c r="J128" s="33" t="inlineStr">
        <is>
          <t>vimeo:1187150318</t>
        </is>
      </c>
      <c r="L128" s="33" t="inlineStr">
        <is>
          <t>https://www.lovethework.com/work/entries/socializing-billboards-781249</t>
        </is>
      </c>
      <c r="M128" s="33" t="inlineStr">
        <is>
          <t>Heineken reimagined out-of-home as shared space, inviting partner brands like iFood and fashion label Misci to co-occupy billboards alongside it — turning competitive ad space into a "socializing" collaboration.</t>
        </is>
      </c>
      <c r="N128" s="33" t="inlineStr">
        <is>
          <t>heineken, beer, alcohol, drinks, ifood, misci, billboard, collaboration, out of home, market disruption, lepub, brazil</t>
        </is>
      </c>
    </row>
    <row r="129">
      <c r="A129" s="33" t="n">
        <v>2026</v>
      </c>
      <c r="B129" s="165" t="inlineStr">
        <is>
          <t>Silver</t>
        </is>
      </c>
      <c r="C129" s="107" t="inlineStr">
        <is>
          <t>It Starts Outside</t>
        </is>
      </c>
      <c r="D129" s="33" t="inlineStr">
        <is>
          <t>Dirt Is Good | Persil</t>
        </is>
      </c>
      <c r="E129" s="33" t="inlineStr">
        <is>
          <t>Persil</t>
        </is>
      </c>
      <c r="F129" s="33" t="inlineStr">
        <is>
          <t>Frank</t>
        </is>
      </c>
      <c r="G129" s="33" t="inlineStr">
        <is>
          <t>United Kingdom</t>
        </is>
      </c>
      <c r="H129" s="33" t="inlineStr">
        <is>
          <t>E09 - Cultural Engagement</t>
        </is>
      </c>
      <c r="I129" s="33" t="inlineStr">
        <is>
          <t>https://ascentialcdn.filespin.io/api/v1/conversion/69dc3faab31949dc924a19249afbb55d</t>
        </is>
      </c>
      <c r="J129" s="33" t="inlineStr">
        <is>
          <t>9fkJ8uvZsmM</t>
        </is>
      </c>
      <c r="L129" s="33" t="inlineStr">
        <is>
          <t>https://www.lovethework.com/work/entries/it-starts-outside-781842</t>
        </is>
      </c>
      <c r="M129" s="33" t="inlineStr">
        <is>
          <t>Persil's Dirt Is Good partnered with Arsenal Women to encourage young girls to get outside and play, using out-of-home to champion outdoor play despite the mess.</t>
        </is>
      </c>
      <c r="N129" s="33" t="inlineStr">
        <is>
          <t>persil, dirt is good, laundry, detergent, fmcg, arsenal, football, soccer, sport, girls, outdoor play, cultural engagement, frank, united kingdom</t>
        </is>
      </c>
    </row>
  </sheetData>
  <autoFilter ref="A1:N78"/>
  <hyperlinks>
    <hyperlink xmlns:r="http://schemas.openxmlformats.org/officeDocument/2006/relationships" ref="I2" r:id="rId1"/>
    <hyperlink xmlns:r="http://schemas.openxmlformats.org/officeDocument/2006/relationships" ref="L2" r:id="rId2"/>
    <hyperlink xmlns:r="http://schemas.openxmlformats.org/officeDocument/2006/relationships" ref="I3" r:id="rId3"/>
    <hyperlink xmlns:r="http://schemas.openxmlformats.org/officeDocument/2006/relationships" ref="L3" r:id="rId4"/>
    <hyperlink xmlns:r="http://schemas.openxmlformats.org/officeDocument/2006/relationships" ref="I4" r:id="rId5"/>
    <hyperlink xmlns:r="http://schemas.openxmlformats.org/officeDocument/2006/relationships" ref="L4" r:id="rId6"/>
    <hyperlink xmlns:r="http://schemas.openxmlformats.org/officeDocument/2006/relationships" ref="I5" r:id="rId7"/>
    <hyperlink xmlns:r="http://schemas.openxmlformats.org/officeDocument/2006/relationships" ref="L5" r:id="rId8"/>
    <hyperlink xmlns:r="http://schemas.openxmlformats.org/officeDocument/2006/relationships" ref="I6" r:id="rId9"/>
    <hyperlink xmlns:r="http://schemas.openxmlformats.org/officeDocument/2006/relationships" ref="L6" r:id="rId10"/>
    <hyperlink xmlns:r="http://schemas.openxmlformats.org/officeDocument/2006/relationships" ref="I7" r:id="rId11"/>
    <hyperlink xmlns:r="http://schemas.openxmlformats.org/officeDocument/2006/relationships" ref="L7" r:id="rId12"/>
    <hyperlink xmlns:r="http://schemas.openxmlformats.org/officeDocument/2006/relationships" ref="I8" r:id="rId13"/>
    <hyperlink xmlns:r="http://schemas.openxmlformats.org/officeDocument/2006/relationships" ref="L8" r:id="rId14"/>
    <hyperlink xmlns:r="http://schemas.openxmlformats.org/officeDocument/2006/relationships" ref="I9" r:id="rId15"/>
    <hyperlink xmlns:r="http://schemas.openxmlformats.org/officeDocument/2006/relationships" ref="L9" r:id="rId16"/>
    <hyperlink xmlns:r="http://schemas.openxmlformats.org/officeDocument/2006/relationships" ref="I10" r:id="rId17"/>
    <hyperlink xmlns:r="http://schemas.openxmlformats.org/officeDocument/2006/relationships" ref="L10" r:id="rId18"/>
    <hyperlink xmlns:r="http://schemas.openxmlformats.org/officeDocument/2006/relationships" ref="I11" r:id="rId19"/>
    <hyperlink xmlns:r="http://schemas.openxmlformats.org/officeDocument/2006/relationships" ref="L11" r:id="rId20"/>
    <hyperlink xmlns:r="http://schemas.openxmlformats.org/officeDocument/2006/relationships" ref="I12" r:id="rId21"/>
    <hyperlink xmlns:r="http://schemas.openxmlformats.org/officeDocument/2006/relationships" ref="L12" r:id="rId22"/>
    <hyperlink xmlns:r="http://schemas.openxmlformats.org/officeDocument/2006/relationships" ref="I13" r:id="rId23"/>
    <hyperlink xmlns:r="http://schemas.openxmlformats.org/officeDocument/2006/relationships" ref="L13" r:id="rId24"/>
    <hyperlink xmlns:r="http://schemas.openxmlformats.org/officeDocument/2006/relationships" ref="I14" r:id="rId25"/>
    <hyperlink xmlns:r="http://schemas.openxmlformats.org/officeDocument/2006/relationships" ref="L14" r:id="rId26"/>
    <hyperlink xmlns:r="http://schemas.openxmlformats.org/officeDocument/2006/relationships" ref="I15" r:id="rId27"/>
    <hyperlink xmlns:r="http://schemas.openxmlformats.org/officeDocument/2006/relationships" ref="L15" r:id="rId28"/>
    <hyperlink xmlns:r="http://schemas.openxmlformats.org/officeDocument/2006/relationships" ref="I16" r:id="rId29"/>
    <hyperlink xmlns:r="http://schemas.openxmlformats.org/officeDocument/2006/relationships" ref="L16" r:id="rId30"/>
    <hyperlink xmlns:r="http://schemas.openxmlformats.org/officeDocument/2006/relationships" ref="I17" r:id="rId31"/>
    <hyperlink xmlns:r="http://schemas.openxmlformats.org/officeDocument/2006/relationships" ref="L17" r:id="rId32"/>
    <hyperlink xmlns:r="http://schemas.openxmlformats.org/officeDocument/2006/relationships" ref="I18" r:id="rId33"/>
    <hyperlink xmlns:r="http://schemas.openxmlformats.org/officeDocument/2006/relationships" ref="L18" r:id="rId34"/>
    <hyperlink xmlns:r="http://schemas.openxmlformats.org/officeDocument/2006/relationships" ref="I19" r:id="rId35"/>
    <hyperlink xmlns:r="http://schemas.openxmlformats.org/officeDocument/2006/relationships" ref="L19" r:id="rId36"/>
    <hyperlink xmlns:r="http://schemas.openxmlformats.org/officeDocument/2006/relationships" ref="I20" r:id="rId37"/>
    <hyperlink xmlns:r="http://schemas.openxmlformats.org/officeDocument/2006/relationships" ref="L20" r:id="rId38"/>
    <hyperlink xmlns:r="http://schemas.openxmlformats.org/officeDocument/2006/relationships" ref="I21" r:id="rId39"/>
    <hyperlink xmlns:r="http://schemas.openxmlformats.org/officeDocument/2006/relationships" ref="L21" r:id="rId40"/>
    <hyperlink xmlns:r="http://schemas.openxmlformats.org/officeDocument/2006/relationships" ref="I22" r:id="rId41"/>
    <hyperlink xmlns:r="http://schemas.openxmlformats.org/officeDocument/2006/relationships" ref="L22" r:id="rId42"/>
    <hyperlink xmlns:r="http://schemas.openxmlformats.org/officeDocument/2006/relationships" ref="L23" r:id="rId43"/>
    <hyperlink xmlns:r="http://schemas.openxmlformats.org/officeDocument/2006/relationships" ref="L24" r:id="rId44"/>
    <hyperlink xmlns:r="http://schemas.openxmlformats.org/officeDocument/2006/relationships" ref="L25" r:id="rId45"/>
    <hyperlink xmlns:r="http://schemas.openxmlformats.org/officeDocument/2006/relationships" ref="L26" r:id="rId46"/>
    <hyperlink xmlns:r="http://schemas.openxmlformats.org/officeDocument/2006/relationships" ref="I27" r:id="rId47"/>
    <hyperlink xmlns:r="http://schemas.openxmlformats.org/officeDocument/2006/relationships" ref="L27" r:id="rId48"/>
    <hyperlink xmlns:r="http://schemas.openxmlformats.org/officeDocument/2006/relationships" ref="I28" r:id="rId49"/>
    <hyperlink xmlns:r="http://schemas.openxmlformats.org/officeDocument/2006/relationships" ref="L28" r:id="rId50"/>
    <hyperlink xmlns:r="http://schemas.openxmlformats.org/officeDocument/2006/relationships" ref="I29" r:id="rId51"/>
    <hyperlink xmlns:r="http://schemas.openxmlformats.org/officeDocument/2006/relationships" ref="L29" r:id="rId52"/>
    <hyperlink xmlns:r="http://schemas.openxmlformats.org/officeDocument/2006/relationships" ref="I30" r:id="rId53"/>
    <hyperlink xmlns:r="http://schemas.openxmlformats.org/officeDocument/2006/relationships" ref="L30" r:id="rId54"/>
    <hyperlink xmlns:r="http://schemas.openxmlformats.org/officeDocument/2006/relationships" ref="I31" r:id="rId55"/>
    <hyperlink xmlns:r="http://schemas.openxmlformats.org/officeDocument/2006/relationships" ref="L31" r:id="rId56"/>
    <hyperlink xmlns:r="http://schemas.openxmlformats.org/officeDocument/2006/relationships" ref="I32" r:id="rId57"/>
    <hyperlink xmlns:r="http://schemas.openxmlformats.org/officeDocument/2006/relationships" ref="L32" r:id="rId58"/>
    <hyperlink xmlns:r="http://schemas.openxmlformats.org/officeDocument/2006/relationships" ref="I33" r:id="rId59"/>
    <hyperlink xmlns:r="http://schemas.openxmlformats.org/officeDocument/2006/relationships" ref="L33" r:id="rId60"/>
    <hyperlink xmlns:r="http://schemas.openxmlformats.org/officeDocument/2006/relationships" ref="I34" r:id="rId61"/>
    <hyperlink xmlns:r="http://schemas.openxmlformats.org/officeDocument/2006/relationships" ref="L34" r:id="rId62"/>
    <hyperlink xmlns:r="http://schemas.openxmlformats.org/officeDocument/2006/relationships" ref="L35" r:id="rId63"/>
    <hyperlink xmlns:r="http://schemas.openxmlformats.org/officeDocument/2006/relationships" ref="I36" r:id="rId64"/>
    <hyperlink xmlns:r="http://schemas.openxmlformats.org/officeDocument/2006/relationships" ref="L36" r:id="rId65"/>
    <hyperlink xmlns:r="http://schemas.openxmlformats.org/officeDocument/2006/relationships" ref="I37" r:id="rId66"/>
    <hyperlink xmlns:r="http://schemas.openxmlformats.org/officeDocument/2006/relationships" ref="L37" r:id="rId67"/>
    <hyperlink xmlns:r="http://schemas.openxmlformats.org/officeDocument/2006/relationships" ref="I38" r:id="rId68"/>
    <hyperlink xmlns:r="http://schemas.openxmlformats.org/officeDocument/2006/relationships" ref="L38" r:id="rId69"/>
    <hyperlink xmlns:r="http://schemas.openxmlformats.org/officeDocument/2006/relationships" ref="I39" r:id="rId70"/>
    <hyperlink xmlns:r="http://schemas.openxmlformats.org/officeDocument/2006/relationships" ref="L39" r:id="rId71"/>
    <hyperlink xmlns:r="http://schemas.openxmlformats.org/officeDocument/2006/relationships" ref="I40" r:id="rId72"/>
    <hyperlink xmlns:r="http://schemas.openxmlformats.org/officeDocument/2006/relationships" ref="L40" r:id="rId73"/>
    <hyperlink xmlns:r="http://schemas.openxmlformats.org/officeDocument/2006/relationships" ref="I41" r:id="rId74"/>
    <hyperlink xmlns:r="http://schemas.openxmlformats.org/officeDocument/2006/relationships" ref="L41" r:id="rId75"/>
    <hyperlink xmlns:r="http://schemas.openxmlformats.org/officeDocument/2006/relationships" ref="I42" r:id="rId76"/>
    <hyperlink xmlns:r="http://schemas.openxmlformats.org/officeDocument/2006/relationships" ref="L42" r:id="rId77"/>
    <hyperlink xmlns:r="http://schemas.openxmlformats.org/officeDocument/2006/relationships" ref="I43" r:id="rId78"/>
    <hyperlink xmlns:r="http://schemas.openxmlformats.org/officeDocument/2006/relationships" ref="L43" r:id="rId79"/>
    <hyperlink xmlns:r="http://schemas.openxmlformats.org/officeDocument/2006/relationships" ref="I44" r:id="rId80"/>
    <hyperlink xmlns:r="http://schemas.openxmlformats.org/officeDocument/2006/relationships" ref="L44" r:id="rId81"/>
    <hyperlink xmlns:r="http://schemas.openxmlformats.org/officeDocument/2006/relationships" ref="I45" r:id="rId82"/>
    <hyperlink xmlns:r="http://schemas.openxmlformats.org/officeDocument/2006/relationships" ref="L45" r:id="rId83"/>
    <hyperlink xmlns:r="http://schemas.openxmlformats.org/officeDocument/2006/relationships" ref="I46" r:id="rId84"/>
    <hyperlink xmlns:r="http://schemas.openxmlformats.org/officeDocument/2006/relationships" ref="L46" r:id="rId85"/>
    <hyperlink xmlns:r="http://schemas.openxmlformats.org/officeDocument/2006/relationships" ref="I47" r:id="rId86"/>
    <hyperlink xmlns:r="http://schemas.openxmlformats.org/officeDocument/2006/relationships" ref="L47" r:id="rId87"/>
    <hyperlink xmlns:r="http://schemas.openxmlformats.org/officeDocument/2006/relationships" ref="I48" r:id="rId88"/>
    <hyperlink xmlns:r="http://schemas.openxmlformats.org/officeDocument/2006/relationships" ref="L48" r:id="rId89"/>
    <hyperlink xmlns:r="http://schemas.openxmlformats.org/officeDocument/2006/relationships" ref="I49" r:id="rId90"/>
    <hyperlink xmlns:r="http://schemas.openxmlformats.org/officeDocument/2006/relationships" ref="L49" r:id="rId91"/>
    <hyperlink xmlns:r="http://schemas.openxmlformats.org/officeDocument/2006/relationships" ref="I50" r:id="rId92"/>
    <hyperlink xmlns:r="http://schemas.openxmlformats.org/officeDocument/2006/relationships" ref="L50" r:id="rId93"/>
    <hyperlink xmlns:r="http://schemas.openxmlformats.org/officeDocument/2006/relationships" ref="I51" r:id="rId94"/>
    <hyperlink xmlns:r="http://schemas.openxmlformats.org/officeDocument/2006/relationships" ref="L51" r:id="rId95"/>
    <hyperlink xmlns:r="http://schemas.openxmlformats.org/officeDocument/2006/relationships" ref="I52" r:id="rId96"/>
    <hyperlink xmlns:r="http://schemas.openxmlformats.org/officeDocument/2006/relationships" ref="L52" r:id="rId97"/>
    <hyperlink xmlns:r="http://schemas.openxmlformats.org/officeDocument/2006/relationships" ref="I53" r:id="rId98"/>
    <hyperlink xmlns:r="http://schemas.openxmlformats.org/officeDocument/2006/relationships" ref="L53" r:id="rId99"/>
    <hyperlink xmlns:r="http://schemas.openxmlformats.org/officeDocument/2006/relationships" ref="I54" r:id="rId100"/>
    <hyperlink xmlns:r="http://schemas.openxmlformats.org/officeDocument/2006/relationships" ref="L54" r:id="rId101"/>
    <hyperlink xmlns:r="http://schemas.openxmlformats.org/officeDocument/2006/relationships" ref="I55" r:id="rId102"/>
    <hyperlink xmlns:r="http://schemas.openxmlformats.org/officeDocument/2006/relationships" ref="L55" r:id="rId103"/>
    <hyperlink xmlns:r="http://schemas.openxmlformats.org/officeDocument/2006/relationships" ref="I56" r:id="rId104"/>
    <hyperlink xmlns:r="http://schemas.openxmlformats.org/officeDocument/2006/relationships" ref="L56" r:id="rId105"/>
    <hyperlink xmlns:r="http://schemas.openxmlformats.org/officeDocument/2006/relationships" ref="I57" r:id="rId106"/>
    <hyperlink xmlns:r="http://schemas.openxmlformats.org/officeDocument/2006/relationships" ref="L57" r:id="rId107"/>
    <hyperlink xmlns:r="http://schemas.openxmlformats.org/officeDocument/2006/relationships" ref="I58" r:id="rId108"/>
    <hyperlink xmlns:r="http://schemas.openxmlformats.org/officeDocument/2006/relationships" ref="L58" r:id="rId109"/>
    <hyperlink xmlns:r="http://schemas.openxmlformats.org/officeDocument/2006/relationships" ref="I59" r:id="rId110"/>
    <hyperlink xmlns:r="http://schemas.openxmlformats.org/officeDocument/2006/relationships" ref="L59" r:id="rId111"/>
    <hyperlink xmlns:r="http://schemas.openxmlformats.org/officeDocument/2006/relationships" ref="I60" r:id="rId112"/>
    <hyperlink xmlns:r="http://schemas.openxmlformats.org/officeDocument/2006/relationships" ref="L60" r:id="rId113"/>
    <hyperlink xmlns:r="http://schemas.openxmlformats.org/officeDocument/2006/relationships" ref="I61" r:id="rId114"/>
    <hyperlink xmlns:r="http://schemas.openxmlformats.org/officeDocument/2006/relationships" ref="L61" r:id="rId115"/>
    <hyperlink xmlns:r="http://schemas.openxmlformats.org/officeDocument/2006/relationships" ref="I62" r:id="rId116"/>
    <hyperlink xmlns:r="http://schemas.openxmlformats.org/officeDocument/2006/relationships" ref="L62" r:id="rId117"/>
    <hyperlink xmlns:r="http://schemas.openxmlformats.org/officeDocument/2006/relationships" ref="I63" r:id="rId118"/>
    <hyperlink xmlns:r="http://schemas.openxmlformats.org/officeDocument/2006/relationships" ref="L63" r:id="rId119"/>
    <hyperlink xmlns:r="http://schemas.openxmlformats.org/officeDocument/2006/relationships" ref="I64" r:id="rId120"/>
    <hyperlink xmlns:r="http://schemas.openxmlformats.org/officeDocument/2006/relationships" ref="L64" r:id="rId121"/>
    <hyperlink xmlns:r="http://schemas.openxmlformats.org/officeDocument/2006/relationships" ref="I65" r:id="rId122"/>
    <hyperlink xmlns:r="http://schemas.openxmlformats.org/officeDocument/2006/relationships" ref="L65" r:id="rId123"/>
    <hyperlink xmlns:r="http://schemas.openxmlformats.org/officeDocument/2006/relationships" ref="I66" r:id="rId124"/>
    <hyperlink xmlns:r="http://schemas.openxmlformats.org/officeDocument/2006/relationships" ref="L66" r:id="rId125"/>
    <hyperlink xmlns:r="http://schemas.openxmlformats.org/officeDocument/2006/relationships" ref="I67" r:id="rId126"/>
    <hyperlink xmlns:r="http://schemas.openxmlformats.org/officeDocument/2006/relationships" ref="L67" r:id="rId127"/>
    <hyperlink xmlns:r="http://schemas.openxmlformats.org/officeDocument/2006/relationships" ref="I68" r:id="rId128"/>
    <hyperlink xmlns:r="http://schemas.openxmlformats.org/officeDocument/2006/relationships" ref="L68" r:id="rId129"/>
    <hyperlink xmlns:r="http://schemas.openxmlformats.org/officeDocument/2006/relationships" ref="I69" r:id="rId130"/>
    <hyperlink xmlns:r="http://schemas.openxmlformats.org/officeDocument/2006/relationships" ref="L69" r:id="rId131"/>
    <hyperlink xmlns:r="http://schemas.openxmlformats.org/officeDocument/2006/relationships" ref="I70" r:id="rId132"/>
    <hyperlink xmlns:r="http://schemas.openxmlformats.org/officeDocument/2006/relationships" ref="L70" r:id="rId133"/>
    <hyperlink xmlns:r="http://schemas.openxmlformats.org/officeDocument/2006/relationships" ref="L71" r:id="rId134"/>
    <hyperlink xmlns:r="http://schemas.openxmlformats.org/officeDocument/2006/relationships" ref="I72" r:id="rId135"/>
    <hyperlink xmlns:r="http://schemas.openxmlformats.org/officeDocument/2006/relationships" ref="L72" r:id="rId136"/>
    <hyperlink xmlns:r="http://schemas.openxmlformats.org/officeDocument/2006/relationships" ref="I73" r:id="rId137"/>
    <hyperlink xmlns:r="http://schemas.openxmlformats.org/officeDocument/2006/relationships" ref="L73" r:id="rId138"/>
    <hyperlink xmlns:r="http://schemas.openxmlformats.org/officeDocument/2006/relationships" ref="I74" r:id="rId139"/>
    <hyperlink xmlns:r="http://schemas.openxmlformats.org/officeDocument/2006/relationships" ref="L74" r:id="rId140"/>
    <hyperlink xmlns:r="http://schemas.openxmlformats.org/officeDocument/2006/relationships" ref="I75" r:id="rId141"/>
    <hyperlink xmlns:r="http://schemas.openxmlformats.org/officeDocument/2006/relationships" ref="L75" r:id="rId142"/>
    <hyperlink xmlns:r="http://schemas.openxmlformats.org/officeDocument/2006/relationships" ref="I76" r:id="rId143"/>
    <hyperlink xmlns:r="http://schemas.openxmlformats.org/officeDocument/2006/relationships" ref="L76" r:id="rId144"/>
    <hyperlink xmlns:r="http://schemas.openxmlformats.org/officeDocument/2006/relationships" ref="I77" r:id="rId145"/>
    <hyperlink xmlns:r="http://schemas.openxmlformats.org/officeDocument/2006/relationships" ref="L77" r:id="rId146"/>
    <hyperlink xmlns:r="http://schemas.openxmlformats.org/officeDocument/2006/relationships" ref="I78" r:id="rId147"/>
    <hyperlink xmlns:r="http://schemas.openxmlformats.org/officeDocument/2006/relationships" ref="L78" r:id="rId148"/>
    <hyperlink xmlns:r="http://schemas.openxmlformats.org/officeDocument/2006/relationships" ref="I79" r:id="rId149"/>
    <hyperlink xmlns:r="http://schemas.openxmlformats.org/officeDocument/2006/relationships" ref="L79" r:id="rId150"/>
    <hyperlink xmlns:r="http://schemas.openxmlformats.org/officeDocument/2006/relationships" ref="I80" r:id="rId151"/>
    <hyperlink xmlns:r="http://schemas.openxmlformats.org/officeDocument/2006/relationships" ref="L80" r:id="rId152"/>
    <hyperlink xmlns:r="http://schemas.openxmlformats.org/officeDocument/2006/relationships" ref="I81" r:id="rId153"/>
    <hyperlink xmlns:r="http://schemas.openxmlformats.org/officeDocument/2006/relationships" ref="L81" r:id="rId154"/>
    <hyperlink xmlns:r="http://schemas.openxmlformats.org/officeDocument/2006/relationships" ref="I82" r:id="rId155"/>
    <hyperlink xmlns:r="http://schemas.openxmlformats.org/officeDocument/2006/relationships" ref="L82" r:id="rId156"/>
    <hyperlink xmlns:r="http://schemas.openxmlformats.org/officeDocument/2006/relationships" ref="I83" r:id="rId157"/>
    <hyperlink xmlns:r="http://schemas.openxmlformats.org/officeDocument/2006/relationships" ref="L83" r:id="rId158"/>
    <hyperlink xmlns:r="http://schemas.openxmlformats.org/officeDocument/2006/relationships" ref="I84" r:id="rId159"/>
    <hyperlink xmlns:r="http://schemas.openxmlformats.org/officeDocument/2006/relationships" ref="L84" r:id="rId160"/>
    <hyperlink xmlns:r="http://schemas.openxmlformats.org/officeDocument/2006/relationships" ref="I85" r:id="rId161"/>
    <hyperlink xmlns:r="http://schemas.openxmlformats.org/officeDocument/2006/relationships" ref="L85" r:id="rId162"/>
    <hyperlink xmlns:r="http://schemas.openxmlformats.org/officeDocument/2006/relationships" ref="I86" r:id="rId163"/>
    <hyperlink xmlns:r="http://schemas.openxmlformats.org/officeDocument/2006/relationships" ref="L86" r:id="rId164"/>
    <hyperlink xmlns:r="http://schemas.openxmlformats.org/officeDocument/2006/relationships" ref="I87" r:id="rId165"/>
    <hyperlink xmlns:r="http://schemas.openxmlformats.org/officeDocument/2006/relationships" ref="L87" r:id="rId166"/>
    <hyperlink xmlns:r="http://schemas.openxmlformats.org/officeDocument/2006/relationships" ref="I88" r:id="rId167"/>
    <hyperlink xmlns:r="http://schemas.openxmlformats.org/officeDocument/2006/relationships" ref="L88" r:id="rId168"/>
    <hyperlink xmlns:r="http://schemas.openxmlformats.org/officeDocument/2006/relationships" ref="I89" r:id="rId169"/>
    <hyperlink xmlns:r="http://schemas.openxmlformats.org/officeDocument/2006/relationships" ref="L89" r:id="rId170"/>
    <hyperlink xmlns:r="http://schemas.openxmlformats.org/officeDocument/2006/relationships" ref="I90" r:id="rId171"/>
    <hyperlink xmlns:r="http://schemas.openxmlformats.org/officeDocument/2006/relationships" ref="L90" r:id="rId172"/>
    <hyperlink xmlns:r="http://schemas.openxmlformats.org/officeDocument/2006/relationships" ref="I91" r:id="rId173"/>
    <hyperlink xmlns:r="http://schemas.openxmlformats.org/officeDocument/2006/relationships" ref="L91" r:id="rId174"/>
    <hyperlink xmlns:r="http://schemas.openxmlformats.org/officeDocument/2006/relationships" ref="I92" r:id="rId175"/>
    <hyperlink xmlns:r="http://schemas.openxmlformats.org/officeDocument/2006/relationships" ref="L92" r:id="rId176"/>
    <hyperlink xmlns:r="http://schemas.openxmlformats.org/officeDocument/2006/relationships" ref="I93" r:id="rId177"/>
    <hyperlink xmlns:r="http://schemas.openxmlformats.org/officeDocument/2006/relationships" ref="L93" r:id="rId178"/>
    <hyperlink xmlns:r="http://schemas.openxmlformats.org/officeDocument/2006/relationships" ref="I94" r:id="rId179"/>
    <hyperlink xmlns:r="http://schemas.openxmlformats.org/officeDocument/2006/relationships" ref="L94" r:id="rId180"/>
    <hyperlink xmlns:r="http://schemas.openxmlformats.org/officeDocument/2006/relationships" ref="I95" r:id="rId181"/>
    <hyperlink xmlns:r="http://schemas.openxmlformats.org/officeDocument/2006/relationships" ref="L95" r:id="rId182"/>
    <hyperlink xmlns:r="http://schemas.openxmlformats.org/officeDocument/2006/relationships" ref="I96" r:id="rId183"/>
    <hyperlink xmlns:r="http://schemas.openxmlformats.org/officeDocument/2006/relationships" ref="L96" r:id="rId184"/>
    <hyperlink xmlns:r="http://schemas.openxmlformats.org/officeDocument/2006/relationships" ref="I97" r:id="rId185"/>
    <hyperlink xmlns:r="http://schemas.openxmlformats.org/officeDocument/2006/relationships" ref="L97" r:id="rId186"/>
    <hyperlink xmlns:r="http://schemas.openxmlformats.org/officeDocument/2006/relationships" ref="I98" r:id="rId187"/>
    <hyperlink xmlns:r="http://schemas.openxmlformats.org/officeDocument/2006/relationships" ref="L98" r:id="rId188"/>
    <hyperlink xmlns:r="http://schemas.openxmlformats.org/officeDocument/2006/relationships" ref="I99" r:id="rId189"/>
    <hyperlink xmlns:r="http://schemas.openxmlformats.org/officeDocument/2006/relationships" ref="L99" r:id="rId190"/>
    <hyperlink xmlns:r="http://schemas.openxmlformats.org/officeDocument/2006/relationships" ref="I100" r:id="rId191"/>
    <hyperlink xmlns:r="http://schemas.openxmlformats.org/officeDocument/2006/relationships" ref="L100" r:id="rId192"/>
    <hyperlink xmlns:r="http://schemas.openxmlformats.org/officeDocument/2006/relationships" ref="I101" r:id="rId193"/>
    <hyperlink xmlns:r="http://schemas.openxmlformats.org/officeDocument/2006/relationships" ref="L101" r:id="rId194"/>
    <hyperlink xmlns:r="http://schemas.openxmlformats.org/officeDocument/2006/relationships" ref="I102" r:id="rId195"/>
    <hyperlink xmlns:r="http://schemas.openxmlformats.org/officeDocument/2006/relationships" ref="L102" r:id="rId196"/>
    <hyperlink xmlns:r="http://schemas.openxmlformats.org/officeDocument/2006/relationships" ref="I103" r:id="rId197"/>
    <hyperlink xmlns:r="http://schemas.openxmlformats.org/officeDocument/2006/relationships" ref="L103" r:id="rId198"/>
    <hyperlink xmlns:r="http://schemas.openxmlformats.org/officeDocument/2006/relationships" ref="I104" r:id="rId199"/>
    <hyperlink xmlns:r="http://schemas.openxmlformats.org/officeDocument/2006/relationships" ref="L104" r:id="rId200"/>
    <hyperlink xmlns:r="http://schemas.openxmlformats.org/officeDocument/2006/relationships" ref="I105" r:id="rId201"/>
    <hyperlink xmlns:r="http://schemas.openxmlformats.org/officeDocument/2006/relationships" ref="L105" r:id="rId202"/>
    <hyperlink xmlns:r="http://schemas.openxmlformats.org/officeDocument/2006/relationships" ref="I106" r:id="rId203"/>
    <hyperlink xmlns:r="http://schemas.openxmlformats.org/officeDocument/2006/relationships" ref="L106" r:id="rId204"/>
    <hyperlink xmlns:r="http://schemas.openxmlformats.org/officeDocument/2006/relationships" ref="I107" r:id="rId205"/>
    <hyperlink xmlns:r="http://schemas.openxmlformats.org/officeDocument/2006/relationships" ref="L107" r:id="rId206"/>
    <hyperlink xmlns:r="http://schemas.openxmlformats.org/officeDocument/2006/relationships" ref="I108" r:id="rId207"/>
    <hyperlink xmlns:r="http://schemas.openxmlformats.org/officeDocument/2006/relationships" ref="L108" r:id="rId208"/>
    <hyperlink xmlns:r="http://schemas.openxmlformats.org/officeDocument/2006/relationships" ref="I109" r:id="rId209"/>
    <hyperlink xmlns:r="http://schemas.openxmlformats.org/officeDocument/2006/relationships" ref="L109" r:id="rId210"/>
    <hyperlink xmlns:r="http://schemas.openxmlformats.org/officeDocument/2006/relationships" ref="I110" r:id="rId211"/>
    <hyperlink xmlns:r="http://schemas.openxmlformats.org/officeDocument/2006/relationships" ref="L110" r:id="rId212"/>
    <hyperlink xmlns:r="http://schemas.openxmlformats.org/officeDocument/2006/relationships" ref="I111" r:id="rId213"/>
    <hyperlink xmlns:r="http://schemas.openxmlformats.org/officeDocument/2006/relationships" ref="L111" r:id="rId214"/>
    <hyperlink xmlns:r="http://schemas.openxmlformats.org/officeDocument/2006/relationships" ref="I112" r:id="rId215"/>
    <hyperlink xmlns:r="http://schemas.openxmlformats.org/officeDocument/2006/relationships" ref="L112" r:id="rId216"/>
    <hyperlink xmlns:r="http://schemas.openxmlformats.org/officeDocument/2006/relationships" ref="I113" r:id="rId217"/>
    <hyperlink xmlns:r="http://schemas.openxmlformats.org/officeDocument/2006/relationships" ref="L113" r:id="rId218"/>
    <hyperlink xmlns:r="http://schemas.openxmlformats.org/officeDocument/2006/relationships" ref="I114" r:id="rId219"/>
    <hyperlink xmlns:r="http://schemas.openxmlformats.org/officeDocument/2006/relationships" ref="L114" r:id="rId220"/>
    <hyperlink xmlns:r="http://schemas.openxmlformats.org/officeDocument/2006/relationships" ref="I115" r:id="rId221"/>
    <hyperlink xmlns:r="http://schemas.openxmlformats.org/officeDocument/2006/relationships" ref="L115" r:id="rId222"/>
    <hyperlink xmlns:r="http://schemas.openxmlformats.org/officeDocument/2006/relationships" ref="I116" r:id="rId223"/>
    <hyperlink xmlns:r="http://schemas.openxmlformats.org/officeDocument/2006/relationships" ref="L116" r:id="rId224"/>
    <hyperlink xmlns:r="http://schemas.openxmlformats.org/officeDocument/2006/relationships" ref="I117" r:id="rId225"/>
    <hyperlink xmlns:r="http://schemas.openxmlformats.org/officeDocument/2006/relationships" ref="L117" r:id="rId226"/>
    <hyperlink xmlns:r="http://schemas.openxmlformats.org/officeDocument/2006/relationships" ref="I118" r:id="rId227"/>
    <hyperlink xmlns:r="http://schemas.openxmlformats.org/officeDocument/2006/relationships" ref="L118" r:id="rId228"/>
    <hyperlink xmlns:r="http://schemas.openxmlformats.org/officeDocument/2006/relationships" ref="I119" r:id="rId229"/>
    <hyperlink xmlns:r="http://schemas.openxmlformats.org/officeDocument/2006/relationships" ref="L119" r:id="rId230"/>
    <hyperlink xmlns:r="http://schemas.openxmlformats.org/officeDocument/2006/relationships" ref="I120" r:id="rId231"/>
    <hyperlink xmlns:r="http://schemas.openxmlformats.org/officeDocument/2006/relationships" ref="L120" r:id="rId232"/>
    <hyperlink xmlns:r="http://schemas.openxmlformats.org/officeDocument/2006/relationships" ref="I121" r:id="rId233"/>
    <hyperlink xmlns:r="http://schemas.openxmlformats.org/officeDocument/2006/relationships" ref="L121" r:id="rId234"/>
    <hyperlink xmlns:r="http://schemas.openxmlformats.org/officeDocument/2006/relationships" ref="I122" r:id="rId235"/>
    <hyperlink xmlns:r="http://schemas.openxmlformats.org/officeDocument/2006/relationships" ref="L122" r:id="rId236"/>
    <hyperlink xmlns:r="http://schemas.openxmlformats.org/officeDocument/2006/relationships" ref="I123" r:id="rId237"/>
    <hyperlink xmlns:r="http://schemas.openxmlformats.org/officeDocument/2006/relationships" ref="L123" r:id="rId238"/>
    <hyperlink xmlns:r="http://schemas.openxmlformats.org/officeDocument/2006/relationships" ref="I124" r:id="rId239"/>
    <hyperlink xmlns:r="http://schemas.openxmlformats.org/officeDocument/2006/relationships" ref="L124" r:id="rId240"/>
    <hyperlink xmlns:r="http://schemas.openxmlformats.org/officeDocument/2006/relationships" ref="I125" r:id="rId241"/>
    <hyperlink xmlns:r="http://schemas.openxmlformats.org/officeDocument/2006/relationships" ref="L125" r:id="rId242"/>
    <hyperlink xmlns:r="http://schemas.openxmlformats.org/officeDocument/2006/relationships" ref="I126" r:id="rId243"/>
    <hyperlink xmlns:r="http://schemas.openxmlformats.org/officeDocument/2006/relationships" ref="L126" r:id="rId244"/>
    <hyperlink xmlns:r="http://schemas.openxmlformats.org/officeDocument/2006/relationships" ref="I127" r:id="rId245"/>
    <hyperlink xmlns:r="http://schemas.openxmlformats.org/officeDocument/2006/relationships" ref="L127" r:id="rId246"/>
    <hyperlink xmlns:r="http://schemas.openxmlformats.org/officeDocument/2006/relationships" ref="I128" r:id="rId247"/>
    <hyperlink xmlns:r="http://schemas.openxmlformats.org/officeDocument/2006/relationships" ref="L128" r:id="rId248"/>
    <hyperlink xmlns:r="http://schemas.openxmlformats.org/officeDocument/2006/relationships" ref="I129" r:id="rId249"/>
    <hyperlink xmlns:r="http://schemas.openxmlformats.org/officeDocument/2006/relationships" ref="L129" r:id="rId25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66"/>
  <sheetViews>
    <sheetView workbookViewId="0">
      <pane ySplit="1" topLeftCell="A2" activePane="bottomLeft" state="frozen"/>
      <selection pane="bottomLeft" activeCell="A1" sqref="A1"/>
    </sheetView>
  </sheetViews>
  <sheetFormatPr baseColWidth="8" defaultRowHeight="15"/>
  <cols>
    <col width="6" customWidth="1" style="34" min="1" max="1"/>
    <col width="16" customWidth="1" style="34" min="2" max="2"/>
    <col width="34" customWidth="1" style="34" min="3" max="3"/>
    <col width="22" customWidth="1" style="34" min="4" max="4"/>
    <col width="26" customWidth="1" style="34" min="5" max="5"/>
    <col width="28" customWidth="1" style="34" min="6" max="6"/>
    <col width="16" customWidth="1" style="34" min="7" max="7"/>
    <col width="34" customWidth="1" style="34" min="8" max="8"/>
    <col width="18" customWidth="1" style="34" min="9" max="9"/>
    <col width="16" customWidth="1" style="34" min="10" max="10"/>
    <col width="22" customWidth="1" style="34" min="11" max="11"/>
    <col hidden="1" width="20" customWidth="1" style="34" min="12" max="12"/>
    <col width="60" customWidth="1" style="34" min="13" max="13"/>
    <col width="40" customWidth="1" style="34" min="14" max="14"/>
  </cols>
  <sheetData>
    <row r="1" ht="22" customHeight="1" s="34">
      <c r="A1" s="122" t="inlineStr">
        <is>
          <t>Year</t>
        </is>
      </c>
      <c r="B1" s="122" t="inlineStr">
        <is>
          <t>Tier</t>
        </is>
      </c>
      <c r="C1" s="122" t="inlineStr">
        <is>
          <t>Campaign</t>
        </is>
      </c>
      <c r="D1" s="122" t="inlineStr">
        <is>
          <t>Brand</t>
        </is>
      </c>
      <c r="E1" s="122" t="inlineStr">
        <is>
          <t>Product/Service</t>
        </is>
      </c>
      <c r="F1" s="122" t="inlineStr">
        <is>
          <t>Agency</t>
        </is>
      </c>
      <c r="G1" s="122" t="inlineStr">
        <is>
          <t>Country</t>
        </is>
      </c>
      <c r="H1" s="122" t="inlineStr">
        <is>
          <t>Subcategory</t>
        </is>
      </c>
      <c r="I1" s="122" t="inlineStr">
        <is>
          <t>Image URL</t>
        </is>
      </c>
      <c r="J1" s="122" t="inlineStr">
        <is>
          <t>YouTube ID</t>
        </is>
      </c>
      <c r="K1" s="122" t="inlineStr">
        <is>
          <t>Campaign Group</t>
        </is>
      </c>
      <c r="L1" s="122" t="inlineStr">
        <is>
          <t>Entry URL</t>
        </is>
      </c>
      <c r="M1" s="122" t="inlineStr">
        <is>
          <t>Description</t>
        </is>
      </c>
      <c r="N1" s="122" t="inlineStr">
        <is>
          <t>Keywords</t>
        </is>
      </c>
    </row>
    <row r="2">
      <c r="A2" s="127" t="n">
        <v>2025</v>
      </c>
      <c r="B2" s="139" t="inlineStr">
        <is>
          <t>Grand Prix</t>
        </is>
      </c>
      <c r="C2" s="127" t="inlineStr">
        <is>
          <t>Price Packs</t>
        </is>
      </c>
      <c r="D2" s="127" t="inlineStr">
        <is>
          <t>Penny</t>
        </is>
      </c>
      <c r="E2" s="127" t="inlineStr">
        <is>
          <t>Food/non-Food</t>
        </is>
      </c>
      <c r="F2" s="127" t="inlineStr">
        <is>
          <t>Serviceplan Germany</t>
        </is>
      </c>
      <c r="G2" s="127" t="inlineStr">
        <is>
          <t>Germany</t>
        </is>
      </c>
      <c r="H2" s="113" t="inlineStr">
        <is>
          <t>Market Disruption</t>
        </is>
      </c>
      <c r="I2" s="128" t="inlineStr">
        <is>
          <t>https://ascentialcdn.filespin.io/api/v1/conversion/67b6df2a0fe64deeb274c91d50040c54</t>
        </is>
      </c>
      <c r="J2" s="127" t="inlineStr">
        <is>
          <t>wXx6z3mDnVc</t>
        </is>
      </c>
      <c r="K2" s="127" t="n"/>
      <c r="L2" s="128" t="inlineStr">
        <is>
          <t>https://www.lovethework.com/work/entries/price-packs-740125</t>
        </is>
      </c>
      <c r="M2" s="113" t="inlineStr">
        <is>
          <t>A packaging redesign for five Penny staples — oatmeal, toast, salt, crisps, mayonnaise — that swaps standard product graphics for the locked-in low price rendered enormous on the front of the pack. The shelf becomes its own price-stability ad, with the same visual extended to outdoor across all 2,100 stores.</t>
        </is>
      </c>
      <c r="N2" s="113" t="inlineStr">
        <is>
          <t>packaging, retail, ooh, supermarket, grocery, design, price, germany, market-disruption</t>
        </is>
      </c>
    </row>
    <row r="3">
      <c r="A3" s="127" t="n">
        <v>2025</v>
      </c>
      <c r="B3" s="140" t="inlineStr">
        <is>
          <t>Gold</t>
        </is>
      </c>
      <c r="C3" s="127" t="inlineStr">
        <is>
          <t>Ink of Democracy</t>
        </is>
      </c>
      <c r="D3" s="127" t="inlineStr">
        <is>
          <t>Times of India Group</t>
        </is>
      </c>
      <c r="E3" s="127" t="inlineStr">
        <is>
          <t>Election Appeal</t>
        </is>
      </c>
      <c r="F3" s="127" t="inlineStr">
        <is>
          <t>Havas</t>
        </is>
      </c>
      <c r="G3" s="127" t="inlineStr">
        <is>
          <t>India</t>
        </is>
      </c>
      <c r="H3" s="113" t="inlineStr">
        <is>
          <t>Corporate Purpose &amp; Social Responsibility</t>
        </is>
      </c>
      <c r="I3" s="127" t="inlineStr">
        <is>
          <t>digital-presentation-images/print-and-publishing-times-of-india-group-ink-of-democracy.webp</t>
        </is>
      </c>
      <c r="J3" s="127" t="inlineStr">
        <is>
          <t>Y04IsSy9fCI</t>
        </is>
      </c>
      <c r="K3" s="127" t="n"/>
      <c r="L3" s="128" t="inlineStr">
        <is>
          <t>https://www.lovethework.com/work/entries/ink-of-democracy-740050</t>
        </is>
      </c>
      <c r="M3" s="113" t="inlineStr">
        <is>
          <t>Pages of The Times of India and The Economic Times — India's highest-circulation English-language newspapers — were printed in purple ink instead of black during the 2024 Indian General Elections, mirroring the electoral ink applied to every voter's finger as proof of voting. For every 132 registered voters who had not cast a ballot in the previous election, one purple-ink page was produced, resulting in 2.28 million prints, each functioning as a direct appeal to a specific share of the absent electorate. The campaign was created by Havas Creative India in partnership with The Times of India Group, drawing on the fact that 7,500 litres of electoral ink went unused in 2019 due to low turnout.</t>
        </is>
      </c>
      <c r="N3" s="113" t="inlineStr">
        <is>
          <t>newspaper, print, public-service, voter-turnout, india, corporate-purpose, packaging-craft, elections, media-brand</t>
        </is>
      </c>
    </row>
    <row r="4">
      <c r="A4" s="127" t="n">
        <v>2025</v>
      </c>
      <c r="B4" s="140" t="inlineStr">
        <is>
          <t>Gold</t>
        </is>
      </c>
      <c r="C4" s="127" t="inlineStr">
        <is>
          <t>Holi</t>
        </is>
      </c>
      <c r="D4" s="127" t="inlineStr">
        <is>
          <t>Dove</t>
        </is>
      </c>
      <c r="E4" s="127" t="inlineStr">
        <is>
          <t>Dove Soap</t>
        </is>
      </c>
      <c r="F4" s="127" t="inlineStr">
        <is>
          <t>Ogilvy</t>
        </is>
      </c>
      <c r="G4" s="127" t="inlineStr">
        <is>
          <t>United States</t>
        </is>
      </c>
      <c r="H4" s="113" t="inlineStr">
        <is>
          <t>Consumer Goods</t>
        </is>
      </c>
      <c r="I4" s="128" t="inlineStr">
        <is>
          <t>https://ascentialcdn.filespin.io/api/v1/conversion/8487f504004046b3b4f39c80f9542955</t>
        </is>
      </c>
      <c r="J4" s="127" t="inlineStr">
        <is>
          <t>vimeo:1174772200</t>
        </is>
      </c>
      <c r="K4" s="127" t="n"/>
      <c r="L4" s="128" t="inlineStr">
        <is>
          <t>https://www.lovethework.com/work/entries/holi-739718</t>
        </is>
      </c>
      <c r="M4" s="113" t="inlineStr">
        <is>
          <t>A print campaign for Dove Beauty Bar built around the "morning after" specific celebrations — the Holi edition shows the bar resting among the vivid, smeared pigment residue left on skin after the festival of colors. Part of Ogilvy's broader "Get Unready" series that counters social media "Get Ready With Me" content by centering the cleansing and removal ritual instead of the application one. The campaign also includes Mardi Gras and Carnaval executions, each using the distinctive aftermath of that celebration as the visual context for the soap's role.</t>
        </is>
      </c>
      <c r="N4" s="113" t="inlineStr">
        <is>
          <t>soap, print, beauty, consumer-goods, cpg, fmcg, holiday-campaign, united-states, get-unready, skin-care</t>
        </is>
      </c>
    </row>
    <row r="5">
      <c r="A5" s="127" t="n">
        <v>2025</v>
      </c>
      <c r="B5" s="140" t="inlineStr">
        <is>
          <t>Gold</t>
        </is>
      </c>
      <c r="C5" s="127" t="inlineStr">
        <is>
          <t>St. Patrick's Day</t>
        </is>
      </c>
      <c r="D5" s="127" t="inlineStr">
        <is>
          <t>Dove</t>
        </is>
      </c>
      <c r="E5" s="127" t="inlineStr">
        <is>
          <t>Dove Soap</t>
        </is>
      </c>
      <c r="F5" s="127" t="inlineStr">
        <is>
          <t>Ogilvy</t>
        </is>
      </c>
      <c r="G5" s="127" t="inlineStr">
        <is>
          <t>United States</t>
        </is>
      </c>
      <c r="H5" s="113" t="inlineStr">
        <is>
          <t>Consumer Goods</t>
        </is>
      </c>
      <c r="I5" s="128" t="inlineStr">
        <is>
          <t>https://ascentialcdn.filespin.io/api/v1/conversion/372489df63044fcf8bfb5e5cca943bfe</t>
        </is>
      </c>
      <c r="J5" s="127" t="inlineStr">
        <is>
          <t>vimeo:1174772200</t>
        </is>
      </c>
      <c r="K5" s="127" t="n"/>
      <c r="L5" s="128" t="inlineStr">
        <is>
          <t>https://www.lovethework.com/work/entries/st-patricks-day-739704</t>
        </is>
      </c>
      <c r="M5" s="113" t="inlineStr">
        <is>
          <t>A cultural extension of Dove's "Get Unready" platform, timed to St. Patrick's Day, inviting people to remove the makeup, glitter, and face paint worn for the holiday using Dove soap. The activation follows the same mechanic as earlier "Get Unready" moments — New Year's Eve, Holi, Carnaval — where high-pigment, high-product celebrations become a natural prompt to show Dove's cleansing in use.</t>
        </is>
      </c>
      <c r="N5" s="113" t="inlineStr">
        <is>
          <t>soap, consumer-goods, cpg, fmcg, social, united-states, skincare, personal-care, beauty, seasonal, ogilvy, get-unready</t>
        </is>
      </c>
    </row>
    <row r="6">
      <c r="A6" s="127" t="n">
        <v>2025</v>
      </c>
      <c r="B6" s="140" t="inlineStr">
        <is>
          <t>Gold</t>
        </is>
      </c>
      <c r="C6" s="127" t="inlineStr">
        <is>
          <t>Happiness Within Chaos</t>
        </is>
      </c>
      <c r="D6" s="127" t="inlineStr">
        <is>
          <t>Stella Artois</t>
        </is>
      </c>
      <c r="E6" s="127" t="inlineStr">
        <is>
          <t>Stella Artois</t>
        </is>
      </c>
      <c r="F6" s="127" t="inlineStr">
        <is>
          <t>Grey</t>
        </is>
      </c>
      <c r="G6" s="127" t="inlineStr">
        <is>
          <t>United Kingdom</t>
        </is>
      </c>
      <c r="H6" s="113" t="inlineStr">
        <is>
          <t>Consumer Goods</t>
        </is>
      </c>
      <c r="I6" s="128" t="inlineStr">
        <is>
          <t>https://ascentialcdn.filespin.io/api/v1/conversion/882ea591b6fa40b29a529180b71afa65</t>
        </is>
      </c>
      <c r="J6" s="127" t="n"/>
      <c r="K6" s="127" t="n"/>
      <c r="L6" s="128" t="inlineStr">
        <is>
          <t>https://www.lovethework.com/work/entries/happiness-within-chaos-739654</t>
        </is>
      </c>
      <c r="M6" s="113" t="inlineStr">
        <is>
          <t>A print campaign by Grey London that places a Stella Artois chalice — and the calm of drinking from it — inside visually hectic scenes, contrasting the stillness of the glass against surrounding disorder. Each execution in the series isolates the moment of a sip as a pocket of quiet amid crowds, noise, and clutter.</t>
        </is>
      </c>
      <c r="N6" s="113" t="inlineStr">
        <is>
          <t>beer, alcohol, print, ooh, united-kingdom, campaign-series, illustration, consumer-goods, cpg, fmcg</t>
        </is>
      </c>
    </row>
    <row r="7">
      <c r="A7" s="127" t="n">
        <v>2025</v>
      </c>
      <c r="B7" s="140" t="inlineStr">
        <is>
          <t>Gold</t>
        </is>
      </c>
      <c r="C7" s="127" t="inlineStr">
        <is>
          <t>New Year's</t>
        </is>
      </c>
      <c r="D7" s="127" t="inlineStr">
        <is>
          <t>Dove</t>
        </is>
      </c>
      <c r="E7" s="127" t="inlineStr">
        <is>
          <t>Dove Soap</t>
        </is>
      </c>
      <c r="F7" s="127" t="inlineStr">
        <is>
          <t>Ogilvy</t>
        </is>
      </c>
      <c r="G7" s="127" t="inlineStr">
        <is>
          <t>United States</t>
        </is>
      </c>
      <c r="H7" s="113" t="inlineStr">
        <is>
          <t>Consumer Goods</t>
        </is>
      </c>
      <c r="I7" s="128" t="inlineStr">
        <is>
          <t>https://ascentialcdn.filespin.io/api/v1/conversion/38e5adf42b364346bf882ff41160aabc</t>
        </is>
      </c>
      <c r="J7" s="127" t="inlineStr">
        <is>
          <t>vimeo:1174772200</t>
        </is>
      </c>
      <c r="K7" s="127" t="n"/>
      <c r="L7" s="128" t="inlineStr">
        <is>
          <t>https://www.lovethework.com/work/entries/new-years-739696</t>
        </is>
      </c>
      <c r="M7" s="113" t="inlineStr">
        <is>
          <t>A multi-phased campaign for Dove's Beauty Bar that launched immediately after midnight on New Year's Eve, positioning the bar soap as a self-care ritual for winding down after life's big moments rather than getting ready for them. Developed by Ogilvy, the "Get Unready" work debuted across the United States with creative centered on the quiet, personal act of washing off the night — leaning into the bar's 65-plus-year presence in the bathroom as a comfort object rather than a beauty step.</t>
        </is>
      </c>
      <c r="N7" s="113" t="inlineStr">
        <is>
          <t>soap, consumer-goods, cpg, fmcg, ooh, social, united-states, self-care, new-years, seasonal, multi-platform</t>
        </is>
      </c>
    </row>
    <row r="8">
      <c r="A8" s="127" t="n">
        <v>2025</v>
      </c>
      <c r="B8" s="140" t="inlineStr">
        <is>
          <t>Gold</t>
        </is>
      </c>
      <c r="C8" s="127" t="inlineStr">
        <is>
          <t>Mardi Gras</t>
        </is>
      </c>
      <c r="D8" s="127" t="inlineStr">
        <is>
          <t>Dove</t>
        </is>
      </c>
      <c r="E8" s="127" t="inlineStr">
        <is>
          <t>Dove Soap</t>
        </is>
      </c>
      <c r="F8" s="127" t="inlineStr">
        <is>
          <t>Ogilvy</t>
        </is>
      </c>
      <c r="G8" s="127" t="inlineStr">
        <is>
          <t>United States</t>
        </is>
      </c>
      <c r="H8" s="113" t="inlineStr">
        <is>
          <t>Consumer Goods</t>
        </is>
      </c>
      <c r="I8" s="128" t="inlineStr">
        <is>
          <t>https://ascentialcdn.filespin.io/api/v1/conversion/616e9779606e4684a96c828d12a9b7a0</t>
        </is>
      </c>
      <c r="J8" s="127" t="inlineStr">
        <is>
          <t>vimeo:1174772200</t>
        </is>
      </c>
      <c r="K8" s="127" t="n"/>
      <c r="L8" s="128" t="inlineStr">
        <is>
          <t>https://www.lovethework.com/work/entries/mardi-gras-739712</t>
        </is>
      </c>
      <c r="M8" s="113" t="inlineStr">
        <is>
          <t>A print campaign for Dove Soap that uses the visual language of Mardi Gras, Holi, and Carnaval — three festivals defined by the ritualized throwing or covering of color — as a backdrop for the brand's skin-care messaging. Each execution centers on a different celebration, pairing its signature palette and iconography with Dove's positioning around real skin.</t>
        </is>
      </c>
      <c r="N8" s="113" t="inlineStr">
        <is>
          <t>dove-soap, print, consumer-goods, cpg, fmcg, united-states, festival, skin-care, campaign, ogilvy</t>
        </is>
      </c>
    </row>
    <row r="9">
      <c r="A9" s="127" t="n">
        <v>2025</v>
      </c>
      <c r="B9" s="140" t="inlineStr">
        <is>
          <t>Gold</t>
        </is>
      </c>
      <c r="C9" s="127" t="inlineStr">
        <is>
          <t>Carnaval</t>
        </is>
      </c>
      <c r="D9" s="127" t="inlineStr">
        <is>
          <t>Dove</t>
        </is>
      </c>
      <c r="E9" s="127" t="inlineStr">
        <is>
          <t>Dove Soap</t>
        </is>
      </c>
      <c r="F9" s="127" t="inlineStr">
        <is>
          <t>Ogilvy</t>
        </is>
      </c>
      <c r="G9" s="127" t="inlineStr">
        <is>
          <t>United States</t>
        </is>
      </c>
      <c r="H9" s="113" t="inlineStr">
        <is>
          <t>Consumer Goods</t>
        </is>
      </c>
      <c r="I9" s="128" t="inlineStr">
        <is>
          <t>https://ascentialcdn.filespin.io/api/v1/conversion/3bc75956d7df4f839632c72343fb5cb5</t>
        </is>
      </c>
      <c r="J9" s="127" t="inlineStr">
        <is>
          <t>vimeo:1174772200</t>
        </is>
      </c>
      <c r="K9" s="127" t="n"/>
      <c r="L9" s="128" t="inlineStr">
        <is>
          <t>https://www.lovethework.com/work/entries/carnaval-739726</t>
        </is>
      </c>
      <c r="M9" s="113" t="inlineStr">
        <is>
          <t>A print campaign for Dove Beauty Bar built around three global skin-cleansing festivals — Mardi Gras, Holi, and Carnaval — each execution showing the bar removing the vivid pigments, body paint, and glitter associated with that celebration. The work positions Dove's facial cleansing benefits against the specific, intense residue left by each festival's traditions rather than generic everyday makeup.</t>
        </is>
      </c>
      <c r="N9" s="113" t="inlineStr">
        <is>
          <t>soap, print, consumer-goods, cpg, fmcg, festival, beauty, united-states, skincare, personal-care, ogilvy</t>
        </is>
      </c>
    </row>
    <row r="10">
      <c r="A10" s="127" t="n">
        <v>2025</v>
      </c>
      <c r="B10" s="140" t="inlineStr">
        <is>
          <t>Gold</t>
        </is>
      </c>
      <c r="C10" s="127" t="inlineStr">
        <is>
          <t>The Sip of Sanctuary</t>
        </is>
      </c>
      <c r="D10" s="127" t="inlineStr">
        <is>
          <t>Stella Artois</t>
        </is>
      </c>
      <c r="E10" s="127" t="inlineStr">
        <is>
          <t>Stella Artois</t>
        </is>
      </c>
      <c r="F10" s="127" t="inlineStr">
        <is>
          <t>Grey</t>
        </is>
      </c>
      <c r="G10" s="127" t="inlineStr">
        <is>
          <t>United Kingdom</t>
        </is>
      </c>
      <c r="H10" s="113" t="inlineStr">
        <is>
          <t>Consumer Goods</t>
        </is>
      </c>
      <c r="I10" s="128" t="inlineStr">
        <is>
          <t>https://ascentialcdn.filespin.io/api/v1/conversion/bc046e548975443980453424bc30515a</t>
        </is>
      </c>
      <c r="J10" s="127" t="n"/>
      <c r="K10" s="127" t="n"/>
      <c r="L10" s="128" t="inlineStr">
        <is>
          <t>https://www.lovethework.com/work/entries/the-sip-of-sanctuary-739632</t>
        </is>
      </c>
      <c r="M10" s="113" t="inlineStr">
        <is>
          <t>A print campaign for Stella Artois, created by Grey London, built around three posters — "The Sip of Sanctuary," "Protector of the Chalice," and "Happiness Within Chaos" — each depicting the Stella Artois chalice as a refuge of calm amid surrounding disorder or threat. The imagery uses the glass itself as the visual anchor, framing a quiet moment of stillness as something worth protecting.</t>
        </is>
      </c>
      <c r="N10" s="113" t="inlineStr">
        <is>
          <t>beer, alcohol, print, poster, visual-storytelling, united-kingdom, illustration, campaign</t>
        </is>
      </c>
    </row>
    <row r="11">
      <c r="A11" s="127" t="n">
        <v>2025</v>
      </c>
      <c r="B11" s="140" t="inlineStr">
        <is>
          <t>Gold</t>
        </is>
      </c>
      <c r="C11" s="127" t="inlineStr">
        <is>
          <t>Protector of the Chalice</t>
        </is>
      </c>
      <c r="D11" s="127" t="inlineStr">
        <is>
          <t>Stella Artois</t>
        </is>
      </c>
      <c r="E11" s="127" t="inlineStr">
        <is>
          <t>Stella Artois</t>
        </is>
      </c>
      <c r="F11" s="127" t="inlineStr">
        <is>
          <t>Grey</t>
        </is>
      </c>
      <c r="G11" s="127" t="inlineStr">
        <is>
          <t>United Kingdom</t>
        </is>
      </c>
      <c r="H11" s="113" t="inlineStr">
        <is>
          <t>Consumer Goods</t>
        </is>
      </c>
      <c r="I11" s="128" t="inlineStr">
        <is>
          <t>https://ascentialcdn.filespin.io/api/v1/conversion/a33c9462c05d4330895b056745b6a602</t>
        </is>
      </c>
      <c r="J11" s="127" t="n"/>
      <c r="K11" s="127" t="n"/>
      <c r="L11" s="128" t="inlineStr">
        <is>
          <t>https://www.lovethework.com/work/entries/protector-of-the-chalice-739644</t>
        </is>
      </c>
      <c r="M11" s="113" t="inlineStr">
        <is>
          <t>A series of posters by Grey London depicting people drinking a Stella Artois pint in crowded, chaotic surroundings — the chalice held steady and upright as the world presses in around it. Each execution frames the glass as a personal sanctuary, the one still point in a scene of noise and compression.</t>
        </is>
      </c>
      <c r="N11" s="113" t="inlineStr">
        <is>
          <t>beer, alcohol, print, ooh, poster, united-kingdom, illustration, consumer-goods, cpg, fmcg</t>
        </is>
      </c>
    </row>
    <row r="12">
      <c r="A12" s="127" t="n">
        <v>2025</v>
      </c>
      <c r="B12" s="132" t="inlineStr">
        <is>
          <t>Silver</t>
        </is>
      </c>
      <c r="C12" s="127" t="inlineStr">
        <is>
          <t>Roses</t>
        </is>
      </c>
      <c r="D12" s="127" t="inlineStr">
        <is>
          <t>Oreo</t>
        </is>
      </c>
      <c r="E12" s="127" t="inlineStr">
        <is>
          <t>Oreo</t>
        </is>
      </c>
      <c r="F12" s="127" t="inlineStr">
        <is>
          <t>LePub Bogota</t>
        </is>
      </c>
      <c r="G12" s="127" t="inlineStr">
        <is>
          <t>Colombia</t>
        </is>
      </c>
      <c r="H12" s="113" t="inlineStr">
        <is>
          <t>Consumer Goods</t>
        </is>
      </c>
      <c r="I12" s="128" t="inlineStr">
        <is>
          <t>https://ascentialcdn.filespin.io/api/v1/conversion/7e2d8fe4c7af49f0b2003ab42f27074e</t>
        </is>
      </c>
      <c r="J12" s="127" t="inlineStr">
        <is>
          <t>p_3AcLnU1A8</t>
        </is>
      </c>
      <c r="K12" s="127" t="n"/>
      <c r="L12" s="128" t="inlineStr">
        <is>
          <t>https://www.lovethework.com/work/entries/roses-764508</t>
        </is>
      </c>
      <c r="M12" s="113" t="inlineStr">
        <is>
          <t>A print visual from a five-part OREO campaign — Eggs, Roses, Bananas, Duck, and Toilet Paper — in which each image depicts an everyday object or food that has visibly been twisted apart in the same way as an OREO cookie. The series uses the gesture as a universal sign of a considered choice, running under the line "A Decision Was Made Here."</t>
        </is>
      </c>
      <c r="N12" s="113" t="inlineStr">
        <is>
          <t>snack, food, packaged-goods, cpg, fmcg, print, ooh, photography, colombia, visual-series, consumer-goods, humor</t>
        </is>
      </c>
    </row>
    <row r="13">
      <c r="A13" s="127" t="n">
        <v>2025</v>
      </c>
      <c r="B13" s="132" t="inlineStr">
        <is>
          <t>Silver</t>
        </is>
      </c>
      <c r="C13" s="127" t="inlineStr">
        <is>
          <t>Toilet Paper</t>
        </is>
      </c>
      <c r="D13" s="127" t="inlineStr">
        <is>
          <t>Oreo</t>
        </is>
      </c>
      <c r="E13" s="127" t="inlineStr">
        <is>
          <t>Oreo</t>
        </is>
      </c>
      <c r="F13" s="127" t="inlineStr">
        <is>
          <t>LePub Bogota</t>
        </is>
      </c>
      <c r="G13" s="127" t="inlineStr">
        <is>
          <t>Colombia</t>
        </is>
      </c>
      <c r="H13" s="113" t="inlineStr">
        <is>
          <t>Consumer Goods</t>
        </is>
      </c>
      <c r="I13" s="128" t="inlineStr">
        <is>
          <t>https://ascentialcdn.filespin.io/api/v1/conversion/96ea34877f1644f4a22d867dfa8e2f5d</t>
        </is>
      </c>
      <c r="J13" s="127" t="inlineStr">
        <is>
          <t>p_3AcLnU1A8</t>
        </is>
      </c>
      <c r="K13" s="127" t="n"/>
      <c r="L13" s="128" t="inlineStr">
        <is>
          <t>https://www.lovethework.com/work/entries/toilet-paper-764491</t>
        </is>
      </c>
      <c r="M13" s="113" t="inlineStr">
        <is>
          <t>A print campaign that places Oreo cookies inside mundane, everyday objects — toilet paper rolls, egg cartons, rose bouquets, banana bunches, and rubber ducks — as if the cookie naturally belongs there. Each execution uses a clean, precise art direction to let the visual joke land without copy, relying on the familiarity of the Oreo shape to create instant recognition in an unexpected context.</t>
        </is>
      </c>
      <c r="N13" s="113" t="inlineStr">
        <is>
          <t>oreo, snack, food, packaged-goods, cpg, fmcg, print, colombia, netherlands, humor, art-direction, consumer-goods</t>
        </is>
      </c>
    </row>
    <row r="14">
      <c r="A14" s="127" t="n">
        <v>2025</v>
      </c>
      <c r="B14" s="132" t="inlineStr">
        <is>
          <t>Silver</t>
        </is>
      </c>
      <c r="C14" s="127" t="inlineStr">
        <is>
          <t>Not Every Smile Starts as a Smile</t>
        </is>
      </c>
      <c r="D14" s="127" t="inlineStr">
        <is>
          <t>Colgate</t>
        </is>
      </c>
      <c r="E14" s="127" t="inlineStr">
        <is>
          <t>Colgate</t>
        </is>
      </c>
      <c r="F14" s="127" t="inlineStr">
        <is>
          <t>VML</t>
        </is>
      </c>
      <c r="G14" s="127" t="inlineStr">
        <is>
          <t>France</t>
        </is>
      </c>
      <c r="H14" s="113" t="inlineStr">
        <is>
          <t>Social Behaviour</t>
        </is>
      </c>
      <c r="I14" s="128" t="inlineStr">
        <is>
          <t>https://ascentialcdn.filespin.io/api/v1/conversion/7795062110544927acc4f73eedfb3d7d</t>
        </is>
      </c>
      <c r="J14" s="127" t="inlineStr">
        <is>
          <t>vimeo:1099341785</t>
        </is>
      </c>
      <c r="K14" s="127" t="n"/>
      <c r="L14" s="128" t="inlineStr">
        <is>
          <t>https://www.lovethework.com/work/entries/not-every-smile-starts-as-a-smile-740106</t>
        </is>
      </c>
      <c r="M14" s="113" t="inlineStr">
        <is>
          <t>A print campaign for Colgate, created by VML Paris with media handled by Wavemaker, built around the visual observation that many children's genuine smiles begin as something else — a grimace, a pout, a scrunched face mid-brush. The prints capture those in-between expressions to reframe the everyday friction of kids' tooth-brushing as the precursor to the smile itself.</t>
        </is>
      </c>
      <c r="N14" s="113" t="inlineStr">
        <is>
          <t>toothpaste, print, kids, oral-care, social-behaviour, france, united-kingdom, photography</t>
        </is>
      </c>
    </row>
    <row r="15">
      <c r="A15" s="127" t="n">
        <v>2025</v>
      </c>
      <c r="B15" s="132" t="inlineStr">
        <is>
          <t>Silver</t>
        </is>
      </c>
      <c r="C15" s="127" t="inlineStr">
        <is>
          <t>Notes on Notes</t>
        </is>
      </c>
      <c r="D15" s="127" t="inlineStr">
        <is>
          <t>Capital Bank</t>
        </is>
      </c>
      <c r="E15" s="127" t="inlineStr">
        <is>
          <t>Capital Bank Loans</t>
        </is>
      </c>
      <c r="F15" s="127" t="inlineStr">
        <is>
          <t>Adpro&amp;</t>
        </is>
      </c>
      <c r="G15" s="127" t="inlineStr">
        <is>
          <t>Jordan</t>
        </is>
      </c>
      <c r="H15" s="113" t="inlineStr">
        <is>
          <t>Social Behaviour</t>
        </is>
      </c>
      <c r="I15" s="128" t="inlineStr">
        <is>
          <t>https://ascentialcdn.filespin.io/api/v1/conversion/26f992b0fc0e4479b962853921264524</t>
        </is>
      </c>
      <c r="J15" s="127" t="inlineStr">
        <is>
          <t>vimeo:1093833076</t>
        </is>
      </c>
      <c r="K15" s="127" t="n"/>
      <c r="L15" s="128" t="inlineStr">
        <is>
          <t>https://www.lovethework.com/work/entries/notes-on-notes-739979</t>
        </is>
      </c>
      <c r="M15" s="113" t="inlineStr">
        <is>
          <t>Capital Bank tapped into the Jordanian tradition of writing wishes on money notes, reframing those hopes as goals people could act on with competitive loan rates. The campaign encouraged Jordanians to stop waiting for their dreams to circulate and start making them happen through housing, personal and car loans, driving major lifts in loan interest and traffic.</t>
        </is>
      </c>
      <c r="N15" s="113" t="inlineStr">
        <is>
          <t>banking, financial-services, finance, loans, jordan, cultural-engagement, print, integrated</t>
        </is>
      </c>
    </row>
    <row r="16">
      <c r="A16" s="127" t="n">
        <v>2025</v>
      </c>
      <c r="B16" s="132" t="inlineStr">
        <is>
          <t>Silver</t>
        </is>
      </c>
      <c r="C16" s="127" t="inlineStr">
        <is>
          <t>Public Transport</t>
        </is>
      </c>
      <c r="D16" s="127" t="inlineStr">
        <is>
          <t>KitKat</t>
        </is>
      </c>
      <c r="E16" s="127" t="inlineStr">
        <is>
          <t>Kitkat</t>
        </is>
      </c>
      <c r="F16" s="127" t="inlineStr">
        <is>
          <t>VML</t>
        </is>
      </c>
      <c r="G16" s="127" t="inlineStr">
        <is>
          <t>Czech Republic</t>
        </is>
      </c>
      <c r="H16" s="113" t="inlineStr">
        <is>
          <t>Consumer Goods</t>
        </is>
      </c>
      <c r="I16" s="128" t="inlineStr">
        <is>
          <t>https://ascentialcdn.filespin.io/api/v1/conversion/5faffc268ac047f7a20b5bf0e2fb5e1a</t>
        </is>
      </c>
      <c r="J16" s="127" t="inlineStr">
        <is>
          <t>ByGNQ3wEbEY</t>
        </is>
      </c>
      <c r="K16" s="127" t="n"/>
      <c r="L16" s="128" t="inlineStr">
        <is>
          <t>https://www.lovethework.com/work/entries/public-transport-760550</t>
        </is>
      </c>
      <c r="M16" s="113" t="inlineStr">
        <is>
          <t>An outdoor campaign across Czech Republic crowd, public transport, and street placements that depicted commuters and passersby in everyday phone-scrolling situations — but with KitKat bars swapped in place of their smartphones. The images required no explanation: the brand's longstanding "take a break" idea made literal by replacing the object people most compulsively reach for.</t>
        </is>
      </c>
      <c r="N16" s="113" t="inlineStr">
        <is>
          <t>snack, food, packaged-goods, cpg, fmcg, ooh, public-transport, street, czech-republic, print, photography, brand-awareness</t>
        </is>
      </c>
    </row>
    <row r="17">
      <c r="A17" s="127" t="n">
        <v>2025</v>
      </c>
      <c r="B17" s="132" t="inlineStr">
        <is>
          <t>Silver</t>
        </is>
      </c>
      <c r="C17" s="127" t="inlineStr">
        <is>
          <t>Street</t>
        </is>
      </c>
      <c r="D17" s="127" t="inlineStr">
        <is>
          <t>KitKat</t>
        </is>
      </c>
      <c r="E17" s="127" t="inlineStr">
        <is>
          <t>Kitkat</t>
        </is>
      </c>
      <c r="F17" s="127" t="inlineStr">
        <is>
          <t>VML</t>
        </is>
      </c>
      <c r="G17" s="127" t="inlineStr">
        <is>
          <t>Czech Republic</t>
        </is>
      </c>
      <c r="H17" s="113" t="inlineStr">
        <is>
          <t>Consumer Goods</t>
        </is>
      </c>
      <c r="I17" s="128" t="inlineStr">
        <is>
          <t>https://ascentialcdn.filespin.io/api/v1/conversion/1d6b4cb3e726479c8a6b03da24a5d79e</t>
        </is>
      </c>
      <c r="J17" s="127" t="inlineStr">
        <is>
          <t>ByGNQ3wEbEY</t>
        </is>
      </c>
      <c r="K17" s="127" t="n"/>
      <c r="L17" s="128" t="inlineStr">
        <is>
          <t>https://www.lovethework.com/work/entries/street-760556</t>
        </is>
      </c>
      <c r="M17" s="113" t="inlineStr">
        <is>
          <t>Outdoor installations across Czech Republic streets and public transport placements that replaced the expected KitKat branding with images of crowds of people — all looking down at their phones. The work revived the "Have a break, have a KitKat" line without stating it, letting the behavior of the crowd make the case for putting the phone down.</t>
        </is>
      </c>
      <c r="N17" s="113" t="inlineStr">
        <is>
          <t>snack, food, packaged-goods, cpg, fmcg, ooh, public-transport, street, czech-republic, consumer-goods, phone-behavior, outdoor-installation</t>
        </is>
      </c>
    </row>
    <row r="18">
      <c r="A18" s="127" t="n">
        <v>2025</v>
      </c>
      <c r="B18" s="132" t="inlineStr">
        <is>
          <t>Silver</t>
        </is>
      </c>
      <c r="C18" s="127" t="inlineStr">
        <is>
          <t>Crowd</t>
        </is>
      </c>
      <c r="D18" s="127" t="inlineStr">
        <is>
          <t>KitKat</t>
        </is>
      </c>
      <c r="E18" s="127" t="inlineStr">
        <is>
          <t>Kitkat</t>
        </is>
      </c>
      <c r="F18" s="127" t="inlineStr">
        <is>
          <t>VML</t>
        </is>
      </c>
      <c r="G18" s="127" t="inlineStr">
        <is>
          <t>Czech Republic</t>
        </is>
      </c>
      <c r="H18" s="113" t="inlineStr">
        <is>
          <t>Consumer Goods</t>
        </is>
      </c>
      <c r="I18" s="128" t="inlineStr">
        <is>
          <t>https://ascentialcdn.filespin.io/api/v1/conversion/f6a6e5cb949d4b8fa071221329aa94bf</t>
        </is>
      </c>
      <c r="J18" s="127" t="inlineStr">
        <is>
          <t>ByGNQ3wEbEY</t>
        </is>
      </c>
      <c r="K18" s="127" t="n"/>
      <c r="L18" s="128" t="inlineStr">
        <is>
          <t>https://www.lovethework.com/work/entries/crowd-760545</t>
        </is>
      </c>
      <c r="M18" s="113" t="inlineStr">
        <is>
          <t>A series of out-of-home placements across Czech Republic public transport and streets that use existing crowds of commuters and pedestrians as the visual content of the ad — positioning densely packed people as the reason to take a break. Each execution frames the surrounding crowd through the KitKat creative, making the real-world environment the message.</t>
        </is>
      </c>
      <c r="N18" s="113" t="inlineStr">
        <is>
          <t>chocolate, ooh, public-transport, street, czech-republic, ambient, experiential, consumer-goods, cpg, fmcg</t>
        </is>
      </c>
    </row>
    <row r="19">
      <c r="A19" s="127" t="n">
        <v>2025</v>
      </c>
      <c r="B19" s="132" t="inlineStr">
        <is>
          <t>Silver</t>
        </is>
      </c>
      <c r="C19" s="127" t="inlineStr">
        <is>
          <t>Game Day</t>
        </is>
      </c>
      <c r="D19" s="127" t="inlineStr">
        <is>
          <t>Stella Artois</t>
        </is>
      </c>
      <c r="E19" s="127" t="inlineStr">
        <is>
          <t>Stella Artois</t>
        </is>
      </c>
      <c r="F19" s="127" t="inlineStr">
        <is>
          <t>Ogilvy</t>
        </is>
      </c>
      <c r="G19" s="127" t="inlineStr">
        <is>
          <t>United States</t>
        </is>
      </c>
      <c r="H19" s="113" t="inlineStr">
        <is>
          <t>Consumer Goods</t>
        </is>
      </c>
      <c r="I19" s="128" t="inlineStr">
        <is>
          <t>https://ascentialcdn.filespin.io/api/v1/conversion/7bfaee649e4b417698823553cddf194e</t>
        </is>
      </c>
      <c r="J19" s="127" t="inlineStr">
        <is>
          <t>HLbAbQdJTtQ</t>
        </is>
      </c>
      <c r="K19" s="127" t="n"/>
      <c r="L19" s="128" t="inlineStr">
        <is>
          <t>https://www.lovethework.com/work/entries/game-day-739606</t>
        </is>
      </c>
      <c r="M19" s="113" t="inlineStr">
        <is>
          <t>Stella Artois turned the all-too-real party fear of someone stealing your premium beer into a playful print campaign. Hiders Keepers celebrates the classic move of hiding your Stella at house parties, sports gatherings and birthdays so no one else claims it first.</t>
        </is>
      </c>
      <c r="N19" s="113" t="inlineStr">
        <is>
          <t>beer, alcohol, print, humor, packaging, social, global</t>
        </is>
      </c>
    </row>
    <row r="20">
      <c r="A20" s="127" t="n">
        <v>2025</v>
      </c>
      <c r="B20" s="132" t="inlineStr">
        <is>
          <t>Silver</t>
        </is>
      </c>
      <c r="C20" s="127" t="inlineStr">
        <is>
          <t>Birthday Party</t>
        </is>
      </c>
      <c r="D20" s="127" t="inlineStr">
        <is>
          <t>Stella Artois</t>
        </is>
      </c>
      <c r="E20" s="127" t="inlineStr">
        <is>
          <t>Stella Artois</t>
        </is>
      </c>
      <c r="F20" s="127" t="inlineStr">
        <is>
          <t>Ogilvy</t>
        </is>
      </c>
      <c r="G20" s="127" t="inlineStr">
        <is>
          <t>United States</t>
        </is>
      </c>
      <c r="H20" s="113" t="inlineStr">
        <is>
          <t>Consumer Goods</t>
        </is>
      </c>
      <c r="I20" s="128" t="inlineStr">
        <is>
          <t>https://ascentialcdn.filespin.io/api/v1/conversion/7bfaee649e4b417698823553cddf194e</t>
        </is>
      </c>
      <c r="J20" s="127" t="inlineStr">
        <is>
          <t>kYb25YZDQ-E</t>
        </is>
      </c>
      <c r="K20" s="127" t="n"/>
      <c r="L20" s="128" t="inlineStr">
        <is>
          <t>https://www.lovethework.com/work/entries/birthday-party-739588</t>
        </is>
      </c>
      <c r="M20" s="113" t="inlineStr">
        <is>
          <t>Stella Artois turned the all-too-real party fear of someone stealing your premium beer into a playful print campaign. Hiders Keepers celebrates the classic move of hiding your Stella at house parties, sports gatherings and birthdays so no one else claims it first.</t>
        </is>
      </c>
      <c r="N20" s="113" t="inlineStr">
        <is>
          <t>beer, alcohol, print, humor, packaging, social, global</t>
        </is>
      </c>
    </row>
    <row r="21">
      <c r="A21" s="127" t="n">
        <v>2025</v>
      </c>
      <c r="B21" s="132" t="inlineStr">
        <is>
          <t>Silver</t>
        </is>
      </c>
      <c r="C21" s="127" t="inlineStr">
        <is>
          <t>Dinner</t>
        </is>
      </c>
      <c r="D21" s="127" t="inlineStr">
        <is>
          <t>Stella Artois</t>
        </is>
      </c>
      <c r="E21" s="127" t="inlineStr">
        <is>
          <t>Stella Artois</t>
        </is>
      </c>
      <c r="F21" s="127" t="inlineStr">
        <is>
          <t>Ogilvy</t>
        </is>
      </c>
      <c r="G21" s="127" t="inlineStr">
        <is>
          <t>United States</t>
        </is>
      </c>
      <c r="H21" s="113" t="inlineStr">
        <is>
          <t>Consumer Goods</t>
        </is>
      </c>
      <c r="I21" s="128" t="inlineStr">
        <is>
          <t>https://ascentialcdn.filespin.io/api/v1/conversion/7bfaee649e4b417698823553cddf194e</t>
        </is>
      </c>
      <c r="J21" s="127" t="inlineStr">
        <is>
          <t>bKyHQlIq-dQ</t>
        </is>
      </c>
      <c r="K21" s="127" t="n"/>
      <c r="L21" s="128" t="inlineStr">
        <is>
          <t>https://www.lovethework.com/work/entries/dinner-739600</t>
        </is>
      </c>
      <c r="M21" s="113" t="inlineStr">
        <is>
          <t>Stella Artois turned the all-too-real party fear of someone stealing your premium beer into a playful print campaign. Hiders Keepers celebrates the classic move of hiding your Stella at house parties, sports gatherings and birthdays so no one else claims it first.</t>
        </is>
      </c>
      <c r="N21" s="113" t="inlineStr">
        <is>
          <t>beer, alcohol, print, humor, packaging, social, global</t>
        </is>
      </c>
    </row>
    <row r="22">
      <c r="A22" s="127" t="n">
        <v>2025</v>
      </c>
      <c r="B22" s="132" t="inlineStr">
        <is>
          <t>Silver</t>
        </is>
      </c>
      <c r="C22" s="127" t="inlineStr">
        <is>
          <t>Bananas</t>
        </is>
      </c>
      <c r="D22" s="127" t="inlineStr">
        <is>
          <t>Oreo</t>
        </is>
      </c>
      <c r="E22" s="127" t="inlineStr">
        <is>
          <t>Oreo</t>
        </is>
      </c>
      <c r="F22" s="127" t="inlineStr">
        <is>
          <t>LePub Bogota</t>
        </is>
      </c>
      <c r="G22" s="127" t="inlineStr">
        <is>
          <t>Colombia</t>
        </is>
      </c>
      <c r="H22" s="113" t="inlineStr">
        <is>
          <t>Consumer Goods</t>
        </is>
      </c>
      <c r="I22" s="128" t="inlineStr">
        <is>
          <t>https://ascentialcdn.filespin.io/api/v1/conversion/2e8876adc7f74c79b691fdfab21733d3</t>
        </is>
      </c>
      <c r="J22" s="127" t="inlineStr">
        <is>
          <t>p_3AcLnU1A8</t>
        </is>
      </c>
      <c r="K22" s="127" t="n"/>
      <c r="L22" s="128" t="inlineStr">
        <is>
          <t>https://www.lovethework.com/work/entries/bananas-764516</t>
        </is>
      </c>
      <c r="M22" s="113" t="inlineStr">
        <is>
          <t>A print execution in the OREO 'A Decision Was Made Here' campaign showing a banana with a distinctive bite taken out of it — the shape of the missing piece unmistakably echoing an OREO cookie. Created by LePub Amsterdam and LePub Bogotá, the series uses everyday objects marked by a familiar crescent bite to imply that someone paused mid-snack to twist, lick, or dunk an OREO instead.</t>
        </is>
      </c>
      <c r="N22" s="113" t="inlineStr">
        <is>
          <t>oreo, snack, food, packaged-goods, cpg, fmcg, print, consumer-goods, colombia, netherlands, print-and-publishing</t>
        </is>
      </c>
    </row>
    <row r="23">
      <c r="A23" s="127" t="n">
        <v>2025</v>
      </c>
      <c r="B23" s="132" t="inlineStr">
        <is>
          <t>Silver</t>
        </is>
      </c>
      <c r="C23" s="127" t="inlineStr">
        <is>
          <t>Eggs</t>
        </is>
      </c>
      <c r="D23" s="127" t="inlineStr">
        <is>
          <t>Oreo</t>
        </is>
      </c>
      <c r="E23" s="127" t="inlineStr">
        <is>
          <t>Oreo</t>
        </is>
      </c>
      <c r="F23" s="127" t="inlineStr">
        <is>
          <t>LePub Bogota</t>
        </is>
      </c>
      <c r="G23" s="127" t="inlineStr">
        <is>
          <t>Colombia</t>
        </is>
      </c>
      <c r="H23" s="113" t="inlineStr">
        <is>
          <t>Consumer Goods</t>
        </is>
      </c>
      <c r="I23" s="128" t="inlineStr">
        <is>
          <t>https://ascentialcdn.filespin.io/api/v1/conversion/bde69bf2e7be40499498d5c2b091ec54</t>
        </is>
      </c>
      <c r="J23" s="127" t="inlineStr">
        <is>
          <t>p_3AcLnU1A8</t>
        </is>
      </c>
      <c r="K23" s="127" t="n"/>
      <c r="L23" s="128" t="inlineStr">
        <is>
          <t>https://www.lovethework.com/work/entries/eggs-764497</t>
        </is>
      </c>
      <c r="M23" s="113" t="inlineStr">
        <is>
          <t>A print ad for Oreo in which the cookie's familiar black-and-white pattern is revealed inside the cross-section of a cracked egg — the cream filling standing in for the yolk. Part of a campaign series (Eggs, Roses, Bananas, Duck) that hides the Oreo design within everyday objects that share its two-tone structure.</t>
        </is>
      </c>
      <c r="N23" s="113" t="inlineStr">
        <is>
          <t>oreo, snack, food, packaged-goods, cpg, fmcg, print, colombia, visual-identity, illustration, consumer-goods</t>
        </is>
      </c>
    </row>
    <row r="24">
      <c r="A24" s="127" t="n">
        <v>2025</v>
      </c>
      <c r="B24" s="132" t="inlineStr">
        <is>
          <t>Silver</t>
        </is>
      </c>
      <c r="C24" s="127" t="inlineStr">
        <is>
          <t>The Shakespeare Bic</t>
        </is>
      </c>
      <c r="D24" s="127" t="inlineStr">
        <is>
          <t>Bic</t>
        </is>
      </c>
      <c r="E24" s="127" t="inlineStr">
        <is>
          <t>Bic Crystal Pen</t>
        </is>
      </c>
      <c r="F24" s="127" t="inlineStr">
        <is>
          <t>VML</t>
        </is>
      </c>
      <c r="G24" s="127" t="inlineStr">
        <is>
          <t>Brazil</t>
        </is>
      </c>
      <c r="H24" s="113" t="inlineStr">
        <is>
          <t>Innovative and adapted use of Print &amp; Publishing</t>
        </is>
      </c>
      <c r="I24" s="128" t="inlineStr">
        <is>
          <t>https://ascentialcdn.filespin.io/api/v1/conversion/3bc3455889f14af89ad13e749464c1f2</t>
        </is>
      </c>
      <c r="J24" s="127" t="inlineStr">
        <is>
          <t>5ngNVTeyi4g</t>
        </is>
      </c>
      <c r="K24" s="127" t="n"/>
      <c r="L24" s="128" t="inlineStr">
        <is>
          <t>https://www.lovethework.com/work/entries/the-shakespeare-bic-740046</t>
        </is>
      </c>
      <c r="M24" s="113" t="inlineStr">
        <is>
          <t>A limited-edition BIC Crystal pen produced to mark the fact that Shakespeare's original manuscripts — including Romeo and Juliet — are lost, making the world's most famous plays exist only in later copies. BIC, whose Crystal is one of the most widely used writing instruments ever made, positioned the pen as the physical counterpart to that absence: the kind of object that keeps handwritten words from disappearing.</t>
        </is>
      </c>
      <c r="N24" s="113" t="inlineStr">
        <is>
          <t>ballpoint-pen, special-edition, packaging, print, brazil, writing-instrument, craft, cultural-heritage</t>
        </is>
      </c>
    </row>
    <row r="25">
      <c r="A25" s="127" t="n">
        <v>2025</v>
      </c>
      <c r="B25" s="132" t="inlineStr">
        <is>
          <t>Silver</t>
        </is>
      </c>
      <c r="C25" s="127" t="inlineStr">
        <is>
          <t>Duck</t>
        </is>
      </c>
      <c r="D25" s="127" t="inlineStr">
        <is>
          <t>Oreo</t>
        </is>
      </c>
      <c r="E25" s="127" t="inlineStr">
        <is>
          <t>Oreo</t>
        </is>
      </c>
      <c r="F25" s="127" t="inlineStr">
        <is>
          <t>LePub Bogota</t>
        </is>
      </c>
      <c r="G25" s="127" t="inlineStr">
        <is>
          <t>Colombia</t>
        </is>
      </c>
      <c r="H25" s="113" t="inlineStr">
        <is>
          <t>Consumer Goods</t>
        </is>
      </c>
      <c r="I25" s="128" t="inlineStr">
        <is>
          <t>https://ascentialcdn.filespin.io/api/v1/conversion/2b000adce52c43929b343bdac9dd757a</t>
        </is>
      </c>
      <c r="J25" s="127" t="inlineStr">
        <is>
          <t>p_3AcLnU1A8</t>
        </is>
      </c>
      <c r="K25" s="127" t="n"/>
      <c r="L25" s="128" t="inlineStr">
        <is>
          <t>https://www.lovethework.com/work/entries/duck-764523</t>
        </is>
      </c>
      <c r="M25" s="113" t="inlineStr">
        <is>
          <t>A print ad for OREO that communicates the cookie's twist-lick-dunk ritual using a single image of a duck — the bird's characteristic head-dipping behavior mirroring the motion of dunking an OREO in milk. Part of a series by LePub Amsterdam and LePub Bogotá in which everyday objects and animals stand in for the ritual without a word of copy.</t>
        </is>
      </c>
      <c r="N25" s="113" t="inlineStr">
        <is>
          <t>snack, food, packaged-goods, cpg, fmcg, print, photography, colombia, visual-metaphor, consumer-goods, single-image</t>
        </is>
      </c>
    </row>
    <row r="26">
      <c r="A26" s="127" t="n">
        <v>2025</v>
      </c>
      <c r="B26" s="132" t="inlineStr">
        <is>
          <t>Silver</t>
        </is>
      </c>
      <c r="C26" s="127" t="inlineStr">
        <is>
          <t>Corona Eclipse</t>
        </is>
      </c>
      <c r="D26" s="127" t="inlineStr">
        <is>
          <t>Corona</t>
        </is>
      </c>
      <c r="E26" s="127" t="inlineStr">
        <is>
          <t>Corona</t>
        </is>
      </c>
      <c r="F26" s="127" t="inlineStr">
        <is>
          <t>David</t>
        </is>
      </c>
      <c r="G26" s="127" t="inlineStr">
        <is>
          <t>United States</t>
        </is>
      </c>
      <c r="H26" s="113" t="inlineStr">
        <is>
          <t>Social Behaviour</t>
        </is>
      </c>
      <c r="I26" s="128" t="inlineStr">
        <is>
          <t>https://ascentialcdn.filespin.io/api/v1/conversion/f853d90cf7e444e99add88e4dc3a069b</t>
        </is>
      </c>
      <c r="J26" s="127" t="inlineStr">
        <is>
          <t>ViJvHO9BxvU</t>
        </is>
      </c>
      <c r="K26" s="127" t="n"/>
      <c r="L26" s="128" t="inlineStr">
        <is>
          <t>https://www.lovethework.com/work/entries/corona-eclipse-740137</t>
        </is>
      </c>
      <c r="M26" s="113" t="inlineStr">
        <is>
          <t>A real-time photography stunt timed to the 2024 Annular Solar Eclipse, in which Corona positioned the sun's crescent shape to stand in for the lime slice on its bottle. Guest photographers captured the alignment at key locations across the United States, producing images where the partially eclipsed sun completed the brand's signature serve.</t>
        </is>
      </c>
      <c r="N26" s="113" t="inlineStr">
        <is>
          <t>beer, alcohol, social-behaviour, experiential, photography, ooh, united-states, natural-ingredients, stunt</t>
        </is>
      </c>
    </row>
    <row r="27">
      <c r="A27" s="127" t="n">
        <v>2025</v>
      </c>
      <c r="B27" s="133" t="inlineStr">
        <is>
          <t>Bronze</t>
        </is>
      </c>
      <c r="C27" s="127" t="inlineStr">
        <is>
          <t>Jordan 23</t>
        </is>
      </c>
      <c r="D27" s="127" t="inlineStr">
        <is>
          <t>NBA India</t>
        </is>
      </c>
      <c r="E27" s="127" t="inlineStr">
        <is>
          <t>Basketball</t>
        </is>
      </c>
      <c r="F27" s="127" t="inlineStr">
        <is>
          <t>Leo</t>
        </is>
      </c>
      <c r="G27" s="127" t="inlineStr">
        <is>
          <t>United Arab Emirates</t>
        </is>
      </c>
      <c r="H27" s="113" t="inlineStr">
        <is>
          <t>Travel, Leisure, Retail, Restaurants &amp; Fast-Food Chains</t>
        </is>
      </c>
      <c r="I27" s="128" t="inlineStr">
        <is>
          <t>https://ascentialcdn.filespin.io/api/v1/conversion/c5b031a5911b4850a76ea7fd56dbea94</t>
        </is>
      </c>
      <c r="J27" s="127" t="inlineStr">
        <is>
          <t>v4Gr9oKgZR8</t>
        </is>
      </c>
      <c r="K27" s="127" t="n"/>
      <c r="L27" s="128" t="inlineStr">
        <is>
          <t>https://www.lovethework.com/work/entries/jordan-23-739924</t>
        </is>
      </c>
      <c r="M27" s="113" t="inlineStr">
        <is>
          <t>NBA India's The Great Indian Dunk reimagined iconic basketball dunks through everyday moments captured across India. The black-and-white print series connected legendary players like Jordan, Shaq, LeBron and Kobe to a billion-person culture, bringing India closer to basketball while suggesting the NBA's next great dunk could be found there.</t>
        </is>
      </c>
      <c r="N27" s="113" t="inlineStr">
        <is>
          <t>sport, basketball, print, partnership, india, cultural-engagement, photography, league</t>
        </is>
      </c>
    </row>
    <row r="28">
      <c r="A28" s="127" t="n">
        <v>2025</v>
      </c>
      <c r="B28" s="133" t="inlineStr">
        <is>
          <t>Bronze</t>
        </is>
      </c>
      <c r="C28" s="127" t="inlineStr">
        <is>
          <t>Running</t>
        </is>
      </c>
      <c r="D28" s="127" t="inlineStr">
        <is>
          <t>Dirt Is Good</t>
        </is>
      </c>
      <c r="E28" s="127" t="inlineStr">
        <is>
          <t>Persil</t>
        </is>
      </c>
      <c r="F28" s="127" t="inlineStr">
        <is>
          <t>MullenLowe UK</t>
        </is>
      </c>
      <c r="G28" s="127" t="inlineStr">
        <is>
          <t>United Kingdom</t>
        </is>
      </c>
      <c r="H28" s="113" t="inlineStr">
        <is>
          <t>Consumer Goods</t>
        </is>
      </c>
      <c r="I28" s="128" t="inlineStr">
        <is>
          <t>https://ascentialcdn.filespin.io/api/v1/conversion/7f9c50afbfc4459aa7a6bc82ca0b9c86</t>
        </is>
      </c>
      <c r="J28" s="127" t="inlineStr">
        <is>
          <t>invT2-ON-k4</t>
        </is>
      </c>
      <c r="K28" s="127" t="n"/>
      <c r="L28" s="128" t="inlineStr">
        <is>
          <t>https://www.lovethework.com/work/entries/running-739716</t>
        </is>
      </c>
      <c r="M28" s="113" t="inlineStr">
        <is>
          <t>Persil's Dirt Is Good campaign challenged the double standard that treats blood from sports injuries as bravery, but period blood as shame. Partnering with Arsenal, the brand reframed period leaks as just another stain that belongs in the game, encouraging girls to keep playing without fear or stigma.</t>
        </is>
      </c>
      <c r="N28" s="113" t="inlineStr">
        <is>
          <t>detergent, household, home, cpg, social-good, sport, gender-equality, partnership, print, womens-rights</t>
        </is>
      </c>
    </row>
    <row r="29">
      <c r="A29" s="127" t="n">
        <v>2025</v>
      </c>
      <c r="B29" s="133" t="inlineStr">
        <is>
          <t>Bronze</t>
        </is>
      </c>
      <c r="C29" s="127" t="inlineStr">
        <is>
          <t>Waves</t>
        </is>
      </c>
      <c r="D29" s="127" t="inlineStr">
        <is>
          <t>Cornetto</t>
        </is>
      </c>
      <c r="E29" s="127" t="inlineStr">
        <is>
          <t>Cornetto Ice Cream</t>
        </is>
      </c>
      <c r="F29" s="127" t="inlineStr">
        <is>
          <t>Lola MullenLowe</t>
        </is>
      </c>
      <c r="G29" s="127" t="inlineStr">
        <is>
          <t>Spain</t>
        </is>
      </c>
      <c r="H29" s="113" t="inlineStr">
        <is>
          <t>Consumer Goods</t>
        </is>
      </c>
      <c r="I29" s="128" t="inlineStr">
        <is>
          <t>https://ascentialcdn.filespin.io/api/v1/conversion/35c567148f6e40e1a267849bde62ba92</t>
        </is>
      </c>
      <c r="J29" s="127" t="inlineStr">
        <is>
          <t>hWhvFLwHOlE</t>
        </is>
      </c>
      <c r="K29" s="127" t="n"/>
      <c r="L29" s="128" t="inlineStr">
        <is>
          <t>https://www.lovethework.com/work/entries/waves-758582</t>
        </is>
      </c>
      <c r="M29" s="113" t="inlineStr">
        <is>
          <t>A series of outdoor and print posters built entirely from Cornetto ice cream wrappers, cut and assembled into collages depicting summer scenes — waves, surfers, boats, divers, and windsurfers — using only the packaging's own printed surface as raw material. Each scene is constructed from magazine-style clippings of the wrapper's existing imagery, so the product itself becomes the medium.</t>
        </is>
      </c>
      <c r="N29" s="113" t="inlineStr">
        <is>
          <t>ice-cream, print, ooh, packaging, collage, summer, spain, consumer-goods, cpg, fmcg</t>
        </is>
      </c>
    </row>
    <row r="30">
      <c r="A30" s="127" t="n">
        <v>2025</v>
      </c>
      <c r="B30" s="133" t="inlineStr">
        <is>
          <t>Bronze</t>
        </is>
      </c>
      <c r="C30" s="127" t="inlineStr">
        <is>
          <t>History Outnumbered</t>
        </is>
      </c>
      <c r="D30" s="127" t="inlineStr">
        <is>
          <t>History Channel</t>
        </is>
      </c>
      <c r="E30" s="127" t="inlineStr">
        <is>
          <t>History Channel</t>
        </is>
      </c>
      <c r="F30" s="127" t="inlineStr">
        <is>
          <t>Dentsu Creative</t>
        </is>
      </c>
      <c r="G30" s="127" t="inlineStr">
        <is>
          <t>Portugal</t>
        </is>
      </c>
      <c r="H30" s="113" t="inlineStr">
        <is>
          <t>Corporate Purpose &amp; Social Responsibility</t>
        </is>
      </c>
      <c r="I30" s="128" t="inlineStr">
        <is>
          <t>https://ascentialcdn.filespin.io/api/v1/conversion/07c2f6587e874a9db8f1446fd7f9d520</t>
        </is>
      </c>
      <c r="J30" s="127" t="inlineStr">
        <is>
          <t>W29029BIbvY</t>
        </is>
      </c>
      <c r="K30" s="127" t="n"/>
      <c r="L30" s="128" t="inlineStr">
        <is>
          <t>https://www.lovethework.com/work/entries/history-outnumbered-760429</t>
        </is>
      </c>
      <c r="M30" s="113" t="inlineStr">
        <is>
          <t>An outdoor campaign that placed Nazi concentration camp tattoo numbers alongside the total number of Nazi perpetrators and collaborators — turning the numerical record of Holocaust victims into a direct counter to white supremacist propaganda. Launched in Portugal to mark the 80th anniversary of the Holocaust and the History Channel's 25th anniversary, the work was created with Dentsu Creative Portugal.</t>
        </is>
      </c>
      <c r="N30" s="113" t="inlineStr">
        <is>
          <t>history-channel, ooh, corporate-purpose, social-responsibility, portugal, holocaust, typography, public-awareness</t>
        </is>
      </c>
    </row>
    <row r="31">
      <c r="A31" s="127" t="n">
        <v>2025</v>
      </c>
      <c r="B31" s="133" t="inlineStr">
        <is>
          <t>Bronze</t>
        </is>
      </c>
      <c r="C31" s="127" t="inlineStr">
        <is>
          <t>Windsurf</t>
        </is>
      </c>
      <c r="D31" s="127" t="inlineStr">
        <is>
          <t>Cornetto</t>
        </is>
      </c>
      <c r="E31" s="127" t="inlineStr">
        <is>
          <t>Cornetto Ice Cream</t>
        </is>
      </c>
      <c r="F31" s="127" t="inlineStr">
        <is>
          <t>Lola MullenLowe</t>
        </is>
      </c>
      <c r="G31" s="127" t="inlineStr">
        <is>
          <t>Spain</t>
        </is>
      </c>
      <c r="H31" s="113" t="inlineStr">
        <is>
          <t>Consumer Goods</t>
        </is>
      </c>
      <c r="I31" s="128" t="inlineStr">
        <is>
          <t>https://ascentialcdn.filespin.io/api/v1/conversion/2f9ebcc7b9ec4ad9a4dcf79bd56fa88b</t>
        </is>
      </c>
      <c r="J31" s="127" t="inlineStr">
        <is>
          <t>hWhvFLwHOlE</t>
        </is>
      </c>
      <c r="K31" s="127" t="n"/>
      <c r="L31" s="128" t="inlineStr">
        <is>
          <t>https://www.lovethework.com/work/entries/windsurf-758599</t>
        </is>
      </c>
      <c r="M31" s="113" t="inlineStr">
        <is>
          <t>A series of outdoor print ads for Cornetto in Spain, each built around the shape of an unwrapped Cornetto cone used as the central graphic element — the wafer tip and chocolate base forming the hull of a boat, the body of a windsurfer, the arc of a wave, and the silhouette of a diver. Each execution in the "Unwrap It" campaign uses only the product's own geometry to construct a summer scene, with no additional illustration.</t>
        </is>
      </c>
      <c r="N31" s="113" t="inlineStr">
        <is>
          <t>ice-cream, ooh, print, outdoor, illustration, spain, summer, product-as-image, graphic-design</t>
        </is>
      </c>
    </row>
    <row r="32">
      <c r="A32" s="127" t="n">
        <v>2025</v>
      </c>
      <c r="B32" s="133" t="inlineStr">
        <is>
          <t>Bronze</t>
        </is>
      </c>
      <c r="C32" s="127" t="inlineStr">
        <is>
          <t>Shaq 34</t>
        </is>
      </c>
      <c r="D32" s="127" t="inlineStr">
        <is>
          <t>NBA India</t>
        </is>
      </c>
      <c r="E32" s="127" t="inlineStr">
        <is>
          <t>Basketball</t>
        </is>
      </c>
      <c r="F32" s="127" t="inlineStr">
        <is>
          <t>Leo</t>
        </is>
      </c>
      <c r="G32" s="127" t="inlineStr">
        <is>
          <t>United Arab Emirates</t>
        </is>
      </c>
      <c r="H32" s="113" t="inlineStr">
        <is>
          <t>Travel, Leisure, Retail, Restaurants &amp; Fast-Food Chains</t>
        </is>
      </c>
      <c r="I32" s="128" t="inlineStr">
        <is>
          <t>https://ascentialcdn.filespin.io/api/v1/conversion/e7cc0c06262e42b19cab333197725351</t>
        </is>
      </c>
      <c r="J32" s="127" t="inlineStr">
        <is>
          <t>v4Gr9oKgZR8</t>
        </is>
      </c>
      <c r="K32" s="127" t="n"/>
      <c r="L32" s="128" t="inlineStr">
        <is>
          <t>https://www.lovethework.com/work/entries/shaq-34-739934</t>
        </is>
      </c>
      <c r="M32" s="113" t="inlineStr">
        <is>
          <t>NBA India's The Great Indian Dunk reimagined iconic basketball dunks through everyday moments captured across India. The black-and-white print series connected legendary players like Jordan, Shaq, LeBron and Kobe to a billion-person culture, bringing India closer to basketball while suggesting the NBA's next great dunk could be found there.</t>
        </is>
      </c>
      <c r="N32" s="113" t="inlineStr">
        <is>
          <t>sport, basketball, print, partnership, india, cultural-engagement, photography, league</t>
        </is>
      </c>
    </row>
    <row r="33">
      <c r="A33" s="127" t="n">
        <v>2025</v>
      </c>
      <c r="B33" s="133" t="inlineStr">
        <is>
          <t>Bronze</t>
        </is>
      </c>
      <c r="C33" s="127" t="inlineStr">
        <is>
          <t>Kick Boxing</t>
        </is>
      </c>
      <c r="D33" s="127" t="inlineStr">
        <is>
          <t>Dirt Is Good</t>
        </is>
      </c>
      <c r="E33" s="127" t="inlineStr">
        <is>
          <t>Persil</t>
        </is>
      </c>
      <c r="F33" s="127" t="inlineStr">
        <is>
          <t>MullenLowe UK</t>
        </is>
      </c>
      <c r="G33" s="127" t="inlineStr">
        <is>
          <t>United Kingdom</t>
        </is>
      </c>
      <c r="H33" s="113" t="inlineStr">
        <is>
          <t>Consumer Goods</t>
        </is>
      </c>
      <c r="I33" s="128" t="inlineStr">
        <is>
          <t>https://ascentialcdn.filespin.io/api/v1/conversion/38843c3e975e4cdfb57d5df8c625382d</t>
        </is>
      </c>
      <c r="J33" s="127" t="inlineStr">
        <is>
          <t>invT2-ON-k4</t>
        </is>
      </c>
      <c r="K33" s="127" t="n"/>
      <c r="L33" s="128" t="inlineStr">
        <is>
          <t>https://www.lovethework.com/work/entries/kick-boxing-739728</t>
        </is>
      </c>
      <c r="M33" s="113" t="inlineStr">
        <is>
          <t>Persil's Dirt Is Good campaign challenged the double standard that treats blood from sports injuries as bravery, but period blood as shame. Partnering with Arsenal, the brand reframed period leaks as just another stain that belongs in the game, encouraging girls to keep playing without fear or stigma.</t>
        </is>
      </c>
      <c r="N33" s="113" t="inlineStr">
        <is>
          <t>detergent, household, home, cpg, social-good, sport, gender-equality, partnership, print, womens-rights</t>
        </is>
      </c>
    </row>
    <row r="34">
      <c r="A34" s="127" t="n">
        <v>2025</v>
      </c>
      <c r="B34" s="133" t="inlineStr">
        <is>
          <t>Bronze</t>
        </is>
      </c>
      <c r="C34" s="127" t="inlineStr">
        <is>
          <t>Lebron 6</t>
        </is>
      </c>
      <c r="D34" s="127" t="inlineStr">
        <is>
          <t>NBA India</t>
        </is>
      </c>
      <c r="E34" s="127" t="inlineStr">
        <is>
          <t>Basketball</t>
        </is>
      </c>
      <c r="F34" s="127" t="inlineStr">
        <is>
          <t>Leo</t>
        </is>
      </c>
      <c r="G34" s="127" t="inlineStr">
        <is>
          <t>United Arab Emirates</t>
        </is>
      </c>
      <c r="H34" s="113" t="inlineStr">
        <is>
          <t>Travel, Leisure, Retail, Restaurants &amp; Fast-Food Chains</t>
        </is>
      </c>
      <c r="I34" s="128" t="inlineStr">
        <is>
          <t>https://ascentialcdn.filespin.io/api/v1/conversion/c9a1239df73f4604809221939576d7f1</t>
        </is>
      </c>
      <c r="J34" s="127" t="inlineStr">
        <is>
          <t>v4Gr9oKgZR8</t>
        </is>
      </c>
      <c r="K34" s="127" t="n"/>
      <c r="L34" s="128" t="inlineStr">
        <is>
          <t>https://www.lovethework.com/work/entries/lebron-6-739952</t>
        </is>
      </c>
      <c r="M34" s="113" t="inlineStr">
        <is>
          <t>NBA India's The Great Indian Dunk reimagined iconic basketball dunks through everyday moments captured across India. The black-and-white print series connected legendary players like Jordan, Shaq, LeBron and Kobe to a billion-person culture, bringing India closer to basketball while suggesting the NBA's next great dunk could be found there.</t>
        </is>
      </c>
      <c r="N34" s="113" t="inlineStr">
        <is>
          <t>sport, basketball, print, partnership, india, cultural-engagement, photography, league</t>
        </is>
      </c>
    </row>
    <row r="35">
      <c r="A35" s="127" t="n">
        <v>2025</v>
      </c>
      <c r="B35" s="133" t="inlineStr">
        <is>
          <t>Bronze</t>
        </is>
      </c>
      <c r="C35" s="127" t="inlineStr">
        <is>
          <t>Found in Translation</t>
        </is>
      </c>
      <c r="D35" s="127" t="inlineStr">
        <is>
          <t>Medalla Light</t>
        </is>
      </c>
      <c r="E35" s="127" t="inlineStr">
        <is>
          <t>Medalla Light</t>
        </is>
      </c>
      <c r="F35" s="127" t="inlineStr">
        <is>
          <t>DDB Latina Puerto Rico</t>
        </is>
      </c>
      <c r="G35" s="127" t="inlineStr">
        <is>
          <t>Puerto Rico</t>
        </is>
      </c>
      <c r="H35" s="113" t="inlineStr">
        <is>
          <t>Cultural Engagement</t>
        </is>
      </c>
      <c r="I35" s="128" t="inlineStr">
        <is>
          <t>https://ascentialcdn.filespin.io/api/v1/conversion/e7509fe94193449ab6656099498b127b</t>
        </is>
      </c>
      <c r="J35" s="127" t="inlineStr">
        <is>
          <t>O_uAjIgBx2g</t>
        </is>
      </c>
      <c r="K35" s="127" t="n"/>
      <c r="L35" s="128" t="inlineStr">
        <is>
          <t>https://www.lovethework.com/work/entries/found-in-translation-740061</t>
        </is>
      </c>
      <c r="M35" s="113" t="inlineStr">
        <is>
          <t>A print and outdoor campaign for Medalla Light, Puerto Rico's local beer, that turned the Spanglish spoken by the Puerto Rican diaspora in the U.S. into the creative medium — blending Spanish and English mid-sentence to reflect how the community actually talks. The ads ran in U.S. markets where Puerto Ricans live, treating their hybrid language not as a barrier but as a distinct cultural identity worth celebrating.</t>
        </is>
      </c>
      <c r="N35" s="113" t="inlineStr">
        <is>
          <t>beer, alcohol, print, ooh, cultural-engagement, diaspora, spanglish, puerto-rico, united-states, language</t>
        </is>
      </c>
    </row>
    <row r="36">
      <c r="A36" s="127" t="n">
        <v>2025</v>
      </c>
      <c r="B36" s="133" t="inlineStr">
        <is>
          <t>Bronze</t>
        </is>
      </c>
      <c r="C36" s="127" t="inlineStr">
        <is>
          <t>Diver</t>
        </is>
      </c>
      <c r="D36" s="127" t="inlineStr">
        <is>
          <t>Cornetto</t>
        </is>
      </c>
      <c r="E36" s="127" t="inlineStr">
        <is>
          <t>Cornetto Ice Cream</t>
        </is>
      </c>
      <c r="F36" s="127" t="inlineStr">
        <is>
          <t>Lola MullenLowe</t>
        </is>
      </c>
      <c r="G36" s="127" t="inlineStr">
        <is>
          <t>Spain</t>
        </is>
      </c>
      <c r="H36" s="113" t="inlineStr">
        <is>
          <t>Consumer Goods</t>
        </is>
      </c>
      <c r="I36" s="128" t="inlineStr">
        <is>
          <t>https://ascentialcdn.filespin.io/api/v1/conversion/e42388f28bfb41c7ad9b20fe7d0d6982</t>
        </is>
      </c>
      <c r="J36" s="127" t="inlineStr">
        <is>
          <t>hWhvFLwHOlE</t>
        </is>
      </c>
      <c r="K36" s="127" t="n"/>
      <c r="L36" s="128" t="inlineStr">
        <is>
          <t>https://www.lovethework.com/work/entries/diver-758726</t>
        </is>
      </c>
      <c r="M36" s="113" t="inlineStr">
        <is>
          <t>A print series for Cornetto ice cream in which the wrapper's signature swirl is used as the graphic centerpiece of five outdoor visuals — "Diver," "Boat," "Waves," "Surfer," and "Windsurf" — each placing the unwrapped cone's spiral ribbon in the role of ocean water, waves, or wake. Created by Lola MullenLowe Madrid, the campaign runs across Spain under the umbrella title "Unwrap It."</t>
        </is>
      </c>
      <c r="N36" s="113" t="inlineStr">
        <is>
          <t>ice-cream, print, ooh, outdoor, graphic-design, spain, illustration, packaging-as-medium</t>
        </is>
      </c>
    </row>
    <row r="37">
      <c r="A37" s="127" t="n">
        <v>2025</v>
      </c>
      <c r="B37" s="133" t="inlineStr">
        <is>
          <t>Bronze</t>
        </is>
      </c>
      <c r="C37" s="127" t="inlineStr">
        <is>
          <t>Eye - Shot on Faber-Castell</t>
        </is>
      </c>
      <c r="D37" s="127" t="inlineStr">
        <is>
          <t>Faber Castell</t>
        </is>
      </c>
      <c r="E37" s="127" t="inlineStr">
        <is>
          <t>Faber-Castell</t>
        </is>
      </c>
      <c r="F37" s="127" t="inlineStr">
        <is>
          <t>David</t>
        </is>
      </c>
      <c r="G37" s="127" t="inlineStr">
        <is>
          <t>Brazil</t>
        </is>
      </c>
      <c r="H37" s="113" t="inlineStr">
        <is>
          <t>Consumer Goods</t>
        </is>
      </c>
      <c r="I37" s="128" t="inlineStr">
        <is>
          <t>https://ascentialcdn.filespin.io/api/v1/conversion/13a4275fa0744f33abce7c940e31f041</t>
        </is>
      </c>
      <c r="J37" s="127" t="inlineStr">
        <is>
          <t>vimeo:946365669</t>
        </is>
      </c>
      <c r="K37" s="127" t="n"/>
      <c r="L37" s="128" t="inlineStr">
        <is>
          <t>https://www.lovethework.com/work/entries/eye-shot-on-faber-castell-739620</t>
        </is>
      </c>
      <c r="M37" s="113" t="inlineStr">
        <is>
          <t>Faber-Castell hijacked the language of tech advertising by presenting ultra-realistic images that looked like they were 'shot on iPhone,' then revealing they were actually handmade with colored pencils. Created by five artists over 400 hours using 100+ colors, the campaign proves that amazing resolution doesn't need lenses, cameras or AI—it can come from SuperSoft by Faber-Castell.</t>
        </is>
      </c>
      <c r="N37" s="113" t="inlineStr">
        <is>
          <t>stationery, art-supplies, print, craft, branded-content, illustration, hyperrealism, brazil</t>
        </is>
      </c>
    </row>
    <row r="38">
      <c r="A38" s="127" t="n">
        <v>2025</v>
      </c>
      <c r="B38" s="133" t="inlineStr">
        <is>
          <t>Bronze</t>
        </is>
      </c>
      <c r="C38" s="127" t="inlineStr">
        <is>
          <t>boAt</t>
        </is>
      </c>
      <c r="D38" s="127" t="inlineStr">
        <is>
          <t>Cornetto</t>
        </is>
      </c>
      <c r="E38" s="127" t="inlineStr">
        <is>
          <t>Cornetto Ice Cream</t>
        </is>
      </c>
      <c r="F38" s="127" t="inlineStr">
        <is>
          <t>Lola MullenLowe</t>
        </is>
      </c>
      <c r="G38" s="127" t="inlineStr">
        <is>
          <t>Spain</t>
        </is>
      </c>
      <c r="H38" s="113" t="inlineStr">
        <is>
          <t>Consumer Goods</t>
        </is>
      </c>
      <c r="I38" s="128" t="inlineStr">
        <is>
          <t>https://ascentialcdn.filespin.io/api/v1/conversion/3a177c8b37754037a19ddf0d99c858db</t>
        </is>
      </c>
      <c r="J38" s="127" t="inlineStr">
        <is>
          <t>hWhvFLwHOlE</t>
        </is>
      </c>
      <c r="K38" s="127" t="n"/>
      <c r="L38" s="128" t="inlineStr">
        <is>
          <t>https://www.lovethework.com/work/entries/boat-758573</t>
        </is>
      </c>
      <c r="M38" s="113" t="inlineStr">
        <is>
          <t>A print series for Cornetto ice cream in which the wrapper of each cone is peeled back to reveal a summer scene — a boat, waves, a surfer, a diver, a windsurfer — illustrated within the negative space of the unwrapped packaging. Each execution uses the act of unwrapping as the visual mechanic, so the cone's foil becomes both the frame and the subject.</t>
        </is>
      </c>
      <c r="N38" s="113" t="inlineStr">
        <is>
          <t>ice-cream, print, outdoor, packaging, illustration, spain, consumer-goods, cpg, fmcg, ooh</t>
        </is>
      </c>
    </row>
    <row r="39">
      <c r="A39" s="127" t="n">
        <v>2025</v>
      </c>
      <c r="B39" s="133" t="inlineStr">
        <is>
          <t>Bronze</t>
        </is>
      </c>
      <c r="C39" s="127" t="inlineStr">
        <is>
          <t>Lemon - Shot on Faber-Castell</t>
        </is>
      </c>
      <c r="D39" s="127" t="inlineStr">
        <is>
          <t>Faber Castell</t>
        </is>
      </c>
      <c r="E39" s="127" t="inlineStr">
        <is>
          <t>Faber-Castell</t>
        </is>
      </c>
      <c r="F39" s="127" t="inlineStr">
        <is>
          <t>David</t>
        </is>
      </c>
      <c r="G39" s="127" t="inlineStr">
        <is>
          <t>Brazil</t>
        </is>
      </c>
      <c r="H39" s="113" t="inlineStr">
        <is>
          <t>Consumer Goods</t>
        </is>
      </c>
      <c r="I39" s="128" t="inlineStr">
        <is>
          <t>https://ascentialcdn.filespin.io/api/v1/conversion/3a49c191a12941509feeea5c2f551a2b</t>
        </is>
      </c>
      <c r="J39" s="127" t="inlineStr">
        <is>
          <t>vimeo:946365669</t>
        </is>
      </c>
      <c r="K39" s="127" t="n"/>
      <c r="L39" s="128" t="inlineStr">
        <is>
          <t>https://www.lovethework.com/work/entries/lemon-shot-on-faber-castell-739605</t>
        </is>
      </c>
      <c r="M39" s="113" t="inlineStr">
        <is>
          <t>Faber-Castell hijacked the language of tech advertising by presenting ultra-realistic images that looked like they were 'shot on iPhone,' then revealing they were actually handmade with colored pencils. Created by five artists over 400 hours using 100+ colors, the campaign proves that amazing resolution doesn't need lenses, cameras or AI—it can come from SuperSoft by Faber-Castell.</t>
        </is>
      </c>
      <c r="N39" s="113" t="inlineStr">
        <is>
          <t>stationery, art-supplies, print, craft, branded-content, illustration, hyperrealism, brazil</t>
        </is>
      </c>
    </row>
    <row r="40">
      <c r="A40" s="127" t="n">
        <v>2025</v>
      </c>
      <c r="B40" s="133" t="inlineStr">
        <is>
          <t>Bronze</t>
        </is>
      </c>
      <c r="C40" s="127" t="inlineStr">
        <is>
          <t>Surfer</t>
        </is>
      </c>
      <c r="D40" s="127" t="inlineStr">
        <is>
          <t>Cornetto</t>
        </is>
      </c>
      <c r="E40" s="127" t="inlineStr">
        <is>
          <t>Cornetto Ice Cream</t>
        </is>
      </c>
      <c r="F40" s="127" t="inlineStr">
        <is>
          <t>Lola MullenLowe</t>
        </is>
      </c>
      <c r="G40" s="127" t="inlineStr">
        <is>
          <t>Spain</t>
        </is>
      </c>
      <c r="H40" s="113" t="inlineStr">
        <is>
          <t>Consumer Goods</t>
        </is>
      </c>
      <c r="I40" s="128" t="inlineStr">
        <is>
          <t>https://ascentialcdn.filespin.io/api/v1/conversion/9ceaf650a007496f90b6d5670786b4df</t>
        </is>
      </c>
      <c r="J40" s="127" t="inlineStr">
        <is>
          <t>hWhvFLwHOlE</t>
        </is>
      </c>
      <c r="K40" s="127" t="n"/>
      <c r="L40" s="128" t="inlineStr">
        <is>
          <t>https://www.lovethework.com/work/entries/surfer-758590</t>
        </is>
      </c>
      <c r="M40" s="113" t="inlineStr">
        <is>
          <t>A graphic print series for Cornetto ice cream in which the wrapper of a half-unwrapped cone doubles as a visual element of a summer scene — a sail, a wave, a surfer's board, a diver's arc. Each execution uses only the product and its packaging to complete the image, with no additional illustration.</t>
        </is>
      </c>
      <c r="N40" s="113" t="inlineStr">
        <is>
          <t>ice-cream, print, ooh, packaging, outdoor, graphic-design, spain, consumer-goods, cpg, fmcg</t>
        </is>
      </c>
    </row>
    <row r="41">
      <c r="A41" s="127" t="n">
        <v>2025</v>
      </c>
      <c r="B41" s="133" t="inlineStr">
        <is>
          <t>Bronze</t>
        </is>
      </c>
      <c r="C41" s="127" t="inlineStr">
        <is>
          <t>Kobe 8</t>
        </is>
      </c>
      <c r="D41" s="127" t="inlineStr">
        <is>
          <t>NBA India</t>
        </is>
      </c>
      <c r="E41" s="127" t="inlineStr">
        <is>
          <t>Basketball</t>
        </is>
      </c>
      <c r="F41" s="127" t="inlineStr">
        <is>
          <t>Leo</t>
        </is>
      </c>
      <c r="G41" s="127" t="inlineStr">
        <is>
          <t>United Arab Emirates</t>
        </is>
      </c>
      <c r="H41" s="113" t="inlineStr">
        <is>
          <t>Travel, Leisure, Retail, Restaurants &amp; Fast-Food Chains</t>
        </is>
      </c>
      <c r="I41" s="128" t="inlineStr">
        <is>
          <t>https://ascentialcdn.filespin.io/api/v1/conversion/d693c1e769a741a4b475d5ec8a7e89a1</t>
        </is>
      </c>
      <c r="J41" s="127" t="inlineStr">
        <is>
          <t>v4Gr9oKgZR8</t>
        </is>
      </c>
      <c r="K41" s="127" t="n"/>
      <c r="L41" s="128" t="inlineStr">
        <is>
          <t>https://www.lovethework.com/work/entries/kobe-8-739945</t>
        </is>
      </c>
      <c r="M41" s="113" t="inlineStr">
        <is>
          <t>NBA India's The Great Indian Dunk reimagined iconic basketball dunks through everyday moments captured across India. The black-and-white print series connected legendary players like Jordan, Shaq, LeBron and Kobe to a billion-person culture, bringing India closer to basketball while suggesting the NBA's next great dunk could be found there.</t>
        </is>
      </c>
      <c r="N41" s="113" t="inlineStr">
        <is>
          <t>sport, basketball, print, partnership, india, cultural-engagement, photography, league</t>
        </is>
      </c>
    </row>
    <row r="42">
      <c r="A42" s="127" t="n">
        <v>2025</v>
      </c>
      <c r="B42" s="133" t="inlineStr">
        <is>
          <t>Bronze</t>
        </is>
      </c>
      <c r="C42" s="127" t="inlineStr">
        <is>
          <t>Scholarship in Books</t>
        </is>
      </c>
      <c r="D42" s="127" t="inlineStr">
        <is>
          <t>Uniasselvi</t>
        </is>
      </c>
      <c r="E42" s="127" t="inlineStr">
        <is>
          <t>Scholarships</t>
        </is>
      </c>
      <c r="F42" s="127" t="inlineStr">
        <is>
          <t>BETC Havas</t>
        </is>
      </c>
      <c r="G42" s="127" t="inlineStr">
        <is>
          <t>Brazil</t>
        </is>
      </c>
      <c r="H42" s="113" t="inlineStr">
        <is>
          <t>Corporate Purpose &amp; Social Responsibility</t>
        </is>
      </c>
      <c r="I42" s="128" t="inlineStr">
        <is>
          <t>https://ascentialcdn.filespin.io/api/v1/conversion/9dcab7bc84b744cea2a588c2b63f30c2</t>
        </is>
      </c>
      <c r="J42" s="127" t="inlineStr">
        <is>
          <t>vimeo:1093833192</t>
        </is>
      </c>
      <c r="K42" s="127" t="n"/>
      <c r="L42" s="128" t="inlineStr">
        <is>
          <t>https://www.lovethework.com/work/entries/scholarship-in-books-740104</t>
        </is>
      </c>
      <c r="M42" s="113" t="inlineStr">
        <is>
          <t>A print campaign in which Uniasselvi hid scholarship codes inside the paragraphs of widely read books — titles including "Quem Pensa Enriquece" ("Think and Grow Rich") and "Projeto de Vida" — so that readers who reached certain passages discovered a full scholarship rather than just a line of text. The mechanic turned the act of reading itself into the application process, reaching an audience already motivated to self-improve.</t>
        </is>
      </c>
      <c r="N42" s="113" t="inlineStr">
        <is>
          <t>scholarships, print, higher-education, brazil, books, hidden-message, corporate-purpose, social-responsibility, betc-havas</t>
        </is>
      </c>
    </row>
    <row r="43">
      <c r="A43" s="127" t="n">
        <v>2025</v>
      </c>
      <c r="B43" s="133" t="inlineStr">
        <is>
          <t>Bronze</t>
        </is>
      </c>
      <c r="C43" s="127" t="inlineStr">
        <is>
          <t>Pubic Service Announcement</t>
        </is>
      </c>
      <c r="D43" s="127" t="inlineStr">
        <is>
          <t>Kiehl's</t>
        </is>
      </c>
      <c r="E43" s="127" t="inlineStr">
        <is>
          <t>KIEHLâS DERMATOLOGIST BRANDâS INTIMATE CARE LINE-UP INCLUDING INGROWN HAIR &amp; TONE CORRECTIVE DROPS.</t>
        </is>
      </c>
      <c r="F43" s="127" t="inlineStr">
        <is>
          <t>Marcel</t>
        </is>
      </c>
      <c r="G43" s="127" t="inlineStr">
        <is>
          <t>France</t>
        </is>
      </c>
      <c r="H43" s="113" t="inlineStr">
        <is>
          <t>Cultural Engagement</t>
        </is>
      </c>
      <c r="I43" s="127" t="inlineStr">
        <is>
          <t>digital-presentation-images/print-and-publishing-kiehls-public-service-announcement.webp</t>
        </is>
      </c>
      <c r="J43" s="127" t="inlineStr">
        <is>
          <t>HhChMlLE2QU</t>
        </is>
      </c>
      <c r="K43" s="127" t="n"/>
      <c r="L43" s="128" t="inlineStr">
        <is>
          <t>https://www.lovethework.com/work/entries/pubic-service-announcement-760516</t>
        </is>
      </c>
      <c r="M43" s="113" t="inlineStr">
        <is>
          <t>A custom typeface designed and physically crafted from 100% real human pubic hair, created by Kiehl's and Marcel Paris to promote an intimate grooming oil after platform censorship forced the brand to pull campaign imagery showing models with visible pubic hair. The open-source font was released for public download so anyone could write in it, and was deployed across OOH, print, and social — with the censored model photos replaced by typographic statements like "OUR PHOTOS OF MODELS WITH PUBIC HAIR WERE CENSORED SO WE REMOVED THE MODELS."</t>
        </is>
      </c>
      <c r="N43" s="113" t="inlineStr">
        <is>
          <t>skincare, personal-care, beauty, typography, custom-font, ooh, social-media, body-positivity, intimate-care, france, open-source, censorship</t>
        </is>
      </c>
    </row>
    <row r="44">
      <c r="A44" s="127" t="n">
        <v>2025</v>
      </c>
      <c r="B44" s="133" t="inlineStr">
        <is>
          <t>Bronze</t>
        </is>
      </c>
      <c r="C44" s="127" t="inlineStr">
        <is>
          <t>Coffee - Shot on Faber-Castell</t>
        </is>
      </c>
      <c r="D44" s="127" t="inlineStr">
        <is>
          <t>Faber Castell</t>
        </is>
      </c>
      <c r="E44" s="127" t="inlineStr">
        <is>
          <t>Faber-Castell</t>
        </is>
      </c>
      <c r="F44" s="127" t="inlineStr">
        <is>
          <t>David</t>
        </is>
      </c>
      <c r="G44" s="127" t="inlineStr">
        <is>
          <t>Brazil</t>
        </is>
      </c>
      <c r="H44" s="113" t="inlineStr">
        <is>
          <t>Consumer Goods</t>
        </is>
      </c>
      <c r="I44" s="128" t="inlineStr">
        <is>
          <t>https://ascentialcdn.filespin.io/api/v1/conversion/2d1f419e936b4d0ea17e3840fa1b8a50</t>
        </is>
      </c>
      <c r="J44" s="127" t="inlineStr">
        <is>
          <t>vimeo:946365669</t>
        </is>
      </c>
      <c r="K44" s="127" t="n"/>
      <c r="L44" s="128" t="inlineStr">
        <is>
          <t>https://www.lovethework.com/work/entries/coffee-shot-on-faber-castell-739612</t>
        </is>
      </c>
      <c r="M44" s="113" t="inlineStr">
        <is>
          <t>Faber-Castell hijacked the language of tech advertising by presenting ultra-realistic images that looked like they were 'shot on iPhone,' then revealing they were actually handmade with colored pencils. Created by five artists over 400 hours using 100+ colors, the campaign proves that amazing resolution doesn't need lenses, cameras or AI—it can come from SuperSoft by Faber-Castell.</t>
        </is>
      </c>
      <c r="N44" s="113" t="inlineStr">
        <is>
          <t>stationery, art-supplies, print, craft, branded-content, illustration, hyperrealism, brazil</t>
        </is>
      </c>
    </row>
    <row r="45">
      <c r="A45" s="127" t="n">
        <v>2025</v>
      </c>
      <c r="B45" s="133" t="inlineStr">
        <is>
          <t>Bronze</t>
        </is>
      </c>
      <c r="C45" s="127" t="inlineStr">
        <is>
          <t>Football</t>
        </is>
      </c>
      <c r="D45" s="127" t="inlineStr">
        <is>
          <t>Dirt Is Good</t>
        </is>
      </c>
      <c r="E45" s="127" t="inlineStr">
        <is>
          <t>Persil</t>
        </is>
      </c>
      <c r="F45" s="127" t="inlineStr">
        <is>
          <t>MullenLowe UK</t>
        </is>
      </c>
      <c r="G45" s="127" t="inlineStr">
        <is>
          <t>United Kingdom</t>
        </is>
      </c>
      <c r="H45" s="113" t="inlineStr">
        <is>
          <t>Consumer Goods</t>
        </is>
      </c>
      <c r="I45" s="128" t="inlineStr">
        <is>
          <t>https://ascentialcdn.filespin.io/api/v1/conversion/9d66925a6eb0418eb99f0354abd04b27</t>
        </is>
      </c>
      <c r="J45" s="127" t="inlineStr">
        <is>
          <t>invT2-ON-k4</t>
        </is>
      </c>
      <c r="K45" s="127" t="n"/>
      <c r="L45" s="128" t="inlineStr">
        <is>
          <t>https://www.lovethework.com/work/entries/football-739709</t>
        </is>
      </c>
      <c r="M45" s="113" t="inlineStr">
        <is>
          <t>Persil's Dirt Is Good campaign challenged the double standard that treats blood from sports injuries as bravery, but period blood as shame. Partnering with Arsenal, the brand reframed period leaks as just another stain that belongs in the game, encouraging girls to keep playing without fear or stigma.</t>
        </is>
      </c>
      <c r="N45" s="113" t="inlineStr">
        <is>
          <t>detergent, household, home, cpg, social-good, sport, gender-equality, partnership, print, womens-rights</t>
        </is>
      </c>
    </row>
    <row r="46">
      <c r="A46" s="127" t="n">
        <v>2025</v>
      </c>
      <c r="B46" s="133" t="inlineStr">
        <is>
          <t>Bronze</t>
        </is>
      </c>
      <c r="C46" s="127" t="inlineStr">
        <is>
          <t>Coupon Rain</t>
        </is>
      </c>
      <c r="D46" s="127" t="inlineStr">
        <is>
          <t>Mercado Livre</t>
        </is>
      </c>
      <c r="E46" s="127" t="inlineStr">
        <is>
          <t>Mercado Livre</t>
        </is>
      </c>
      <c r="F46" s="127" t="inlineStr">
        <is>
          <t>Gut</t>
        </is>
      </c>
      <c r="G46" s="127" t="inlineStr">
        <is>
          <t>Brazil</t>
        </is>
      </c>
      <c r="H46" s="113" t="inlineStr">
        <is>
          <t>Single-Market Campaign</t>
        </is>
      </c>
      <c r="I46" s="128" t="inlineStr">
        <is>
          <t>https://ascentialcdn.filespin.io/api/v1/conversion/36fd55aacbed488286697152f0a3eeb3</t>
        </is>
      </c>
      <c r="J46" s="127" t="inlineStr">
        <is>
          <t>vimeo:1093414319</t>
        </is>
      </c>
      <c r="K46" s="127" t="n"/>
      <c r="L46" s="128" t="inlineStr">
        <is>
          <t>https://www.lovethework.com/work/entries/coupon-rain-760474</t>
        </is>
      </c>
      <c r="M46" s="113" t="inlineStr">
        <is>
          <t>Mercado Livre sponsored the trophy lift at the final of one of Brazil's major football championships and replaced the customary confetti with thousands of branded discount coupons. The moment the winning captain raised the cup, the field rained with redeemable codes — putting the brand directly inside the photograph that ran on every front page.</t>
        </is>
      </c>
      <c r="N46" s="113" t="inlineStr">
        <is>
          <t>ecommerce, retail, online-shopping, sponsorship, football, soccer, sport, retail-promo, stunt, brazil, partnership</t>
        </is>
      </c>
    </row>
    <row r="47">
      <c r="A47" s="127" t="n">
        <v>2025</v>
      </c>
      <c r="B47" s="133" t="inlineStr">
        <is>
          <t>Bronze</t>
        </is>
      </c>
      <c r="C47" s="127" t="inlineStr">
        <is>
          <t>The Freedom Edition</t>
        </is>
      </c>
      <c r="D47" s="127" t="inlineStr">
        <is>
          <t>Society</t>
        </is>
      </c>
      <c r="E47" s="127" t="inlineStr">
        <is>
          <t>Society</t>
        </is>
      </c>
      <c r="F47" s="127" t="inlineStr">
        <is>
          <t>BETC</t>
        </is>
      </c>
      <c r="G47" s="127" t="inlineStr">
        <is>
          <t>France</t>
        </is>
      </c>
      <c r="H47" s="113" t="inlineStr">
        <is>
          <t>Corporate Purpose &amp; Social Responsibility</t>
        </is>
      </c>
      <c r="I47" s="128" t="inlineStr">
        <is>
          <t>https://ascentialcdn.filespin.io/api/v1/conversion/e09e1f0a06fc44109db762800cac9584</t>
        </is>
      </c>
      <c r="J47" s="127" t="inlineStr">
        <is>
          <t>WK6ONFfbUvI</t>
        </is>
      </c>
      <c r="K47" s="127" t="n"/>
      <c r="L47" s="128" t="inlineStr">
        <is>
          <t>https://www.lovethework.com/work/entries/the-freedom-edition-740070</t>
        </is>
      </c>
      <c r="M47" s="113" t="inlineStr">
        <is>
          <t>A special print edition of French biweekly magazine Society, conceived with Reporters Sans Frontières (RSF) and written entirely by eight journalists currently imprisoned around the world. The issue was designed as both a functional magazine and a direct argument for press freedom, with each article authored from inside a prison cell.</t>
        </is>
      </c>
      <c r="N47" s="113" t="inlineStr">
        <is>
          <t>magazine, print, press-freedom, publishing, corporate-purpose, journalism, france, partnership, ooh</t>
        </is>
      </c>
    </row>
    <row r="48">
      <c r="A48" s="33" t="n">
        <v>2026</v>
      </c>
      <c r="B48" s="167" t="inlineStr">
        <is>
          <t>Grand Prix</t>
        </is>
      </c>
      <c r="C48" s="107" t="inlineStr">
        <is>
          <t>Look Familiar?</t>
        </is>
      </c>
      <c r="D48" s="33" t="inlineStr">
        <is>
          <t>Heinz Ketchup</t>
        </is>
      </c>
      <c r="E48" s="33" t="inlineStr">
        <is>
          <t>Kraft Heinz</t>
        </is>
      </c>
      <c r="F48" s="33" t="inlineStr">
        <is>
          <t>Rethink</t>
        </is>
      </c>
      <c r="G48" s="33" t="inlineStr">
        <is>
          <t>Canada</t>
        </is>
      </c>
      <c r="H48" s="33" t="inlineStr">
        <is>
          <t>Market Disruption</t>
        </is>
      </c>
      <c r="I48" s="33" t="inlineStr">
        <is>
          <t>https://ascentialcdn.filespin.io/api/v1/conversion/213499378a8c445f99fab33b4bc5c39a</t>
        </is>
      </c>
      <c r="J48" s="33" t="inlineStr">
        <is>
          <t>7vuZx0ue7z0</t>
        </is>
      </c>
      <c r="L48" s="33" t="inlineStr">
        <is>
          <t>https://www.lovethework.com/work/entries/look-familiar-781056</t>
        </is>
      </c>
      <c r="M48" s="33" t="inlineStr">
        <is>
          <t>The Grand Prix winner: a Heinz poster series built on the idea that the ketchup is so iconic that everyday scenes seem to imitate it. Each execution frames an ordinary moment whose silhouette and deep-red palette unmistakably read as a pour of Heinz, captioned "Look Familiar?" — letting the brand claim ownership of its own visual signature instead of competing on price.</t>
        </is>
      </c>
      <c r="N48" s="33" t="inlineStr">
        <is>
          <t>heinz, ketchup, condiment, sauce, food, posters, print, art direction, brand iconography, visual pun, market disruption, rethink, canada</t>
        </is>
      </c>
    </row>
    <row r="49">
      <c r="A49" s="33" t="n">
        <v>2026</v>
      </c>
      <c r="B49" s="164" t="inlineStr">
        <is>
          <t>Gold</t>
        </is>
      </c>
      <c r="C49" s="107" t="inlineStr">
        <is>
          <t>Iconic Home - Original</t>
        </is>
      </c>
      <c r="D49" s="33" t="inlineStr">
        <is>
          <t>Dunkin' At Home</t>
        </is>
      </c>
      <c r="E49" s="33" t="inlineStr">
        <is>
          <t>Dunkin' At Home</t>
        </is>
      </c>
      <c r="F49" s="33" t="inlineStr">
        <is>
          <t>BBH</t>
        </is>
      </c>
      <c r="G49" s="33" t="inlineStr">
        <is>
          <t>United States</t>
        </is>
      </c>
      <c r="H49" s="33" t="inlineStr">
        <is>
          <t>Consumer Goods</t>
        </is>
      </c>
      <c r="I49" s="33" t="inlineStr">
        <is>
          <t>https://ascentialcdn.filespin.io/api/v1/conversion/33d1bc75f5734096a802cd224f77ce5d</t>
        </is>
      </c>
      <c r="J49" s="33" t="inlineStr">
        <is>
          <t>meg1Y627z3w</t>
        </is>
      </c>
      <c r="L49" s="33" t="inlineStr">
        <is>
          <t>https://www.lovethework.com/work/entries/iconic-home-original-780971</t>
        </is>
      </c>
      <c r="M49" s="33" t="inlineStr">
        <is>
          <t>An execution in Dunkin' At Home's "Iconic Home" print and out-of-home series by BBH, in which a pack of the coffee is cropped so that its top edge becomes the roofline of a house, turning the packaging itself into the picture of home. This execution features the Original blend.</t>
        </is>
      </c>
      <c r="N49" s="33" t="inlineStr">
        <is>
          <t>dunkin, dunkin at home, coffee, beverages, drinks, packaging, print, posters, out of home, art direction, consumer goods, bbh, united states</t>
        </is>
      </c>
    </row>
    <row r="50">
      <c r="A50" s="33" t="n">
        <v>2026</v>
      </c>
      <c r="B50" s="164" t="inlineStr">
        <is>
          <t>Gold</t>
        </is>
      </c>
      <c r="C50" s="107" t="inlineStr">
        <is>
          <t>Iconic Home - French Vanilla</t>
        </is>
      </c>
      <c r="D50" s="33" t="inlineStr">
        <is>
          <t>Dunkin' At Home</t>
        </is>
      </c>
      <c r="E50" s="33" t="inlineStr">
        <is>
          <t>Dunkin' At Home</t>
        </is>
      </c>
      <c r="F50" s="33" t="inlineStr">
        <is>
          <t>BBH</t>
        </is>
      </c>
      <c r="G50" s="33" t="inlineStr">
        <is>
          <t>United States</t>
        </is>
      </c>
      <c r="H50" s="33" t="inlineStr">
        <is>
          <t>Consumer Goods</t>
        </is>
      </c>
      <c r="I50" s="33" t="inlineStr">
        <is>
          <t>https://ascentialcdn.filespin.io/api/v1/conversion/85600e0a2bbb4184a2f742fb7bd144be</t>
        </is>
      </c>
      <c r="J50" s="33" t="inlineStr">
        <is>
          <t>meg1Y627z3w</t>
        </is>
      </c>
      <c r="L50" s="33" t="inlineStr">
        <is>
          <t>https://www.lovethework.com/work/entries/iconic-home-french-vanilla-780972</t>
        </is>
      </c>
      <c r="M50" s="33" t="inlineStr">
        <is>
          <t>An execution in Dunkin' At Home's "Iconic Home" print and out-of-home series by BBH, in which a pack of the coffee is cropped so that its top edge becomes the roofline of a house, turning the packaging itself into the picture of home. This execution features the French Vanilla blend.</t>
        </is>
      </c>
      <c r="N50" s="33" t="inlineStr">
        <is>
          <t>dunkin, dunkin at home, coffee, beverages, drinks, packaging, print, posters, out of home, art direction, consumer goods, bbh, united states</t>
        </is>
      </c>
    </row>
    <row r="51">
      <c r="A51" s="33" t="n">
        <v>2026</v>
      </c>
      <c r="B51" s="164" t="inlineStr">
        <is>
          <t>Gold</t>
        </is>
      </c>
      <c r="C51" s="107" t="inlineStr">
        <is>
          <t>Iconic Home - Midnight</t>
        </is>
      </c>
      <c r="D51" s="33" t="inlineStr">
        <is>
          <t>Dunkin' At Home</t>
        </is>
      </c>
      <c r="E51" s="33" t="inlineStr">
        <is>
          <t>Dunkin' At Home</t>
        </is>
      </c>
      <c r="F51" s="33" t="inlineStr">
        <is>
          <t>BBH</t>
        </is>
      </c>
      <c r="G51" s="33" t="inlineStr">
        <is>
          <t>United States</t>
        </is>
      </c>
      <c r="H51" s="33" t="inlineStr">
        <is>
          <t>Consumer Goods</t>
        </is>
      </c>
      <c r="I51" s="33" t="inlineStr">
        <is>
          <t>https://ascentialcdn.filespin.io/api/v1/conversion/71eab80461fe4658b78adfcdd9262275</t>
        </is>
      </c>
      <c r="J51" s="33" t="inlineStr">
        <is>
          <t>meg1Y627z3w</t>
        </is>
      </c>
      <c r="L51" s="33" t="inlineStr">
        <is>
          <t>https://www.lovethework.com/work/entries/iconic-home-midnight-780973</t>
        </is>
      </c>
      <c r="M51" s="33" t="inlineStr">
        <is>
          <t>An execution in Dunkin' At Home's "Iconic Home" print and out-of-home series by BBH, in which a pack of the coffee is cropped so that its top edge becomes the roofline of a house, turning the packaging itself into the picture of home. This execution features the Midnight blend.</t>
        </is>
      </c>
      <c r="N51" s="33" t="inlineStr">
        <is>
          <t>dunkin, dunkin at home, coffee, beverages, drinks, packaging, print, posters, out of home, art direction, consumer goods, bbh, united states</t>
        </is>
      </c>
    </row>
    <row r="52">
      <c r="A52" s="33" t="n">
        <v>2026</v>
      </c>
      <c r="B52" s="164" t="inlineStr">
        <is>
          <t>Gold</t>
        </is>
      </c>
      <c r="C52" s="107" t="inlineStr">
        <is>
          <t>The Trojan Fax</t>
        </is>
      </c>
      <c r="D52" s="33" t="inlineStr">
        <is>
          <t>IUCN French Committee x Fujifilm Print</t>
        </is>
      </c>
      <c r="E52" s="33" t="inlineStr">
        <is>
          <t>IUCN French Committee (International Union for Conservation of Nature)</t>
        </is>
      </c>
      <c r="F52" s="33" t="inlineStr">
        <is>
          <t>BETC</t>
        </is>
      </c>
      <c r="G52" s="33" t="inlineStr">
        <is>
          <t>France</t>
        </is>
      </c>
      <c r="H52" s="33" t="inlineStr">
        <is>
          <t>Innovative and adapted use of Print &amp; Publishing</t>
        </is>
      </c>
      <c r="I52" s="33" t="inlineStr">
        <is>
          <t>https://ascentialcdn.filespin.io/api/v1/conversion/d3630efc1bab4ef1a231b5e5f1d14e8d</t>
        </is>
      </c>
      <c r="J52" s="33" t="inlineStr">
        <is>
          <t>vimeo:1203429857</t>
        </is>
      </c>
      <c r="L52" s="33" t="inlineStr">
        <is>
          <t>https://www.lovethework.com/work/entries/the-trojan-fax-773680</t>
        </is>
      </c>
      <c r="M52" s="33" t="inlineStr">
        <is>
          <t>An innovative-use-of-print execution by BETC for the IUCN French Committee, produced with Fujifilm Print. Exploiting the fact that public administrations are still legally obliged to receive and print incoming faxes, the campaign delivered the conservation reports governments routinely ignore as email straight onto their office printers — a Trojan-horse route past the bureaucracy.</t>
        </is>
      </c>
      <c r="N52" s="33" t="inlineStr">
        <is>
          <t>iucn, fujifilm, conservation, environment, sustainability, nature, wildlife, charity, public service, fax, print, innovative use, betc, france</t>
        </is>
      </c>
    </row>
    <row r="53">
      <c r="A53" s="33" t="n">
        <v>2026</v>
      </c>
      <c r="B53" s="165" t="inlineStr">
        <is>
          <t>Silver</t>
        </is>
      </c>
      <c r="C53" s="107" t="inlineStr">
        <is>
          <t>"Los Campeones" Restaurant</t>
        </is>
      </c>
      <c r="D53" s="33" t="inlineStr">
        <is>
          <t>Amstel</t>
        </is>
      </c>
      <c r="E53" s="33" t="inlineStr">
        <is>
          <t>Amstel</t>
        </is>
      </c>
      <c r="F53" s="33" t="inlineStr">
        <is>
          <t>Ingo</t>
        </is>
      </c>
      <c r="G53" s="33" t="inlineStr">
        <is>
          <t>Sweden</t>
        </is>
      </c>
      <c r="H53" s="33" t="inlineStr">
        <is>
          <t>Consumer Goods</t>
        </is>
      </c>
      <c r="I53" s="33" t="inlineStr">
        <is>
          <t>https://ascentialcdn.filespin.io/api/v1/conversion/739be0dab43d42efb0ff27650fba1a05</t>
        </is>
      </c>
      <c r="J53" s="33" t="inlineStr">
        <is>
          <t>l88beT9gxCk</t>
        </is>
      </c>
      <c r="L53" s="33" t="inlineStr">
        <is>
          <t>https://www.lovethework.com/work/entries/los-campeones-restaurant-780614</t>
        </is>
      </c>
      <c r="M53" s="33" t="inlineStr">
        <is>
          <t>An execution in Amstel's "Shot Without Permission" print series by INGO, made of candid, unstaged photographs of real friends in everyday neighbourhood spots — shot in Argentina and Romania with no direction — to champion authentic human moments over polished advertising. This piece is set in the "Los Campeones" restaurant.</t>
        </is>
      </c>
      <c r="N53" s="33" t="inlineStr">
        <is>
          <t>amstel, beer, alcohol, lager, drinks, photography, print, posters, documentary, film, entertainment, cinema, authenticity, friendship, consumer goods, ingo, sweden</t>
        </is>
      </c>
    </row>
    <row r="54">
      <c r="A54" s="33" t="n">
        <v>2026</v>
      </c>
      <c r="B54" s="165" t="inlineStr">
        <is>
          <t>Silver</t>
        </is>
      </c>
      <c r="C54" s="107" t="inlineStr">
        <is>
          <t>"Lo De Facu" Pub</t>
        </is>
      </c>
      <c r="D54" s="33" t="inlineStr">
        <is>
          <t>Amstel</t>
        </is>
      </c>
      <c r="E54" s="33" t="inlineStr">
        <is>
          <t>Amstel</t>
        </is>
      </c>
      <c r="F54" s="33" t="inlineStr">
        <is>
          <t>Ingo</t>
        </is>
      </c>
      <c r="G54" s="33" t="inlineStr">
        <is>
          <t>Sweden</t>
        </is>
      </c>
      <c r="H54" s="33" t="inlineStr">
        <is>
          <t>Consumer Goods</t>
        </is>
      </c>
      <c r="I54" s="33" t="inlineStr">
        <is>
          <t>https://ascentialcdn.filespin.io/api/v1/conversion/a7be0c72b69b4b789d3b814f8501ef9b</t>
        </is>
      </c>
      <c r="J54" s="33" t="inlineStr">
        <is>
          <t>l88beT9gxCk</t>
        </is>
      </c>
      <c r="L54" s="33" t="inlineStr">
        <is>
          <t>https://www.lovethework.com/work/entries/lo-de-facu-pub-773695</t>
        </is>
      </c>
      <c r="M54" s="33" t="inlineStr">
        <is>
          <t>An execution in Amstel's "Shot Without Permission" print series by INGO, made of candid, unstaged photographs of real friends in everyday neighbourhood spots — shot in Argentina and Romania with no direction — to champion authentic human moments over polished advertising. This piece is set in the "Lo de Facu" pub.</t>
        </is>
      </c>
      <c r="N54" s="33" t="inlineStr">
        <is>
          <t>amstel, beer, alcohol, lager, drinks, photography, print, posters, documentary, film, entertainment, cinema, authenticity, friendship, consumer goods, ingo, sweden</t>
        </is>
      </c>
    </row>
    <row r="55">
      <c r="A55" s="33" t="n">
        <v>2026</v>
      </c>
      <c r="B55" s="165" t="inlineStr">
        <is>
          <t>Silver</t>
        </is>
      </c>
      <c r="C55" s="107" t="inlineStr">
        <is>
          <t>"La Guitarrita" Bar</t>
        </is>
      </c>
      <c r="D55" s="33" t="inlineStr">
        <is>
          <t>Amstel</t>
        </is>
      </c>
      <c r="E55" s="33" t="inlineStr">
        <is>
          <t>Amstel</t>
        </is>
      </c>
      <c r="F55" s="33" t="inlineStr">
        <is>
          <t>Ingo</t>
        </is>
      </c>
      <c r="G55" s="33" t="inlineStr">
        <is>
          <t>Sweden</t>
        </is>
      </c>
      <c r="H55" s="33" t="inlineStr">
        <is>
          <t>Consumer Goods</t>
        </is>
      </c>
      <c r="I55" s="33" t="inlineStr">
        <is>
          <t>https://ascentialcdn.filespin.io/api/v1/conversion/71a9f55d20f641e4a1e42465a3df6ac3</t>
        </is>
      </c>
      <c r="J55" s="33" t="inlineStr">
        <is>
          <t>l88beT9gxCk</t>
        </is>
      </c>
      <c r="L55" s="33" t="inlineStr">
        <is>
          <t>https://www.lovethework.com/work/entries/la-guitarrita-bar-773699</t>
        </is>
      </c>
      <c r="M55" s="33" t="inlineStr">
        <is>
          <t>An execution in Amstel's "Shot Without Permission" print series by INGO, made of candid, unstaged photographs of real friends in everyday neighbourhood spots — shot in Argentina and Romania with no direction — to champion authentic human moments over polished advertising. This piece is set in the "La Guitarrita" bar.</t>
        </is>
      </c>
      <c r="N55" s="33" t="inlineStr">
        <is>
          <t>amstel, beer, alcohol, lager, drinks, photography, print, posters, documentary, film, entertainment, cinema, authenticity, friendship, consumer goods, ingo, sweden</t>
        </is>
      </c>
    </row>
    <row r="56">
      <c r="A56" s="33" t="n">
        <v>2026</v>
      </c>
      <c r="B56" s="165" t="inlineStr">
        <is>
          <t>Silver</t>
        </is>
      </c>
      <c r="C56" s="107" t="inlineStr">
        <is>
          <t>No Blue, No Green</t>
        </is>
      </c>
      <c r="D56" s="33" t="inlineStr">
        <is>
          <t>SOS Oceano</t>
        </is>
      </c>
      <c r="E56" s="33" t="inlineStr">
        <is>
          <t>SOS Oceano</t>
        </is>
      </c>
      <c r="F56" s="33" t="inlineStr">
        <is>
          <t>Droga5</t>
        </is>
      </c>
      <c r="G56" s="33" t="inlineStr">
        <is>
          <t>Brazil</t>
        </is>
      </c>
      <c r="H56" s="33" t="inlineStr">
        <is>
          <t>Single-Market Campaign</t>
        </is>
      </c>
      <c r="I56" s="33" t="inlineStr">
        <is>
          <t>https://ascentialcdn.filespin.io/api/v1/conversion/39fbcbeeaa8b42ef8493415e15468f7c</t>
        </is>
      </c>
      <c r="J56" s="33" t="inlineStr">
        <is>
          <t>vimeo:1201108240</t>
        </is>
      </c>
      <c r="L56" s="33" t="inlineStr">
        <is>
          <t>https://www.lovethework.com/work/entries/no-blue-no-green-773775</t>
        </is>
      </c>
      <c r="M56" s="33" t="inlineStr">
        <is>
          <t>A print campaign by Droga5 São Paulo for SOS Oceano, a coalition of NGOs pushing to expand Brazil's marine protected areas. Inspired by Sylvia Earle's line "without blue, there is no green," the work strips the blue and green from the Brazilian flag and, in its craft phase, fills the flag's yellow diamond with original screen-printed artworks pairing each marine species with its land counterpart.</t>
        </is>
      </c>
      <c r="N56" s="33" t="inlineStr">
        <is>
          <t>sos oceano, ocean, marine conservation, environment, sustainability, nature, charity, public service, brazilian flag, screen printing, print, posters, single-market campaign, droga5, brazil</t>
        </is>
      </c>
    </row>
    <row r="57">
      <c r="A57" s="33" t="n">
        <v>2026</v>
      </c>
      <c r="B57" s="165" t="inlineStr">
        <is>
          <t>Silver</t>
        </is>
      </c>
      <c r="C57" s="107" t="inlineStr">
        <is>
          <t>Silent Edition</t>
        </is>
      </c>
      <c r="D57" s="33" t="inlineStr">
        <is>
          <t>Jeep</t>
        </is>
      </c>
      <c r="E57" s="33" t="inlineStr">
        <is>
          <t>Jeep</t>
        </is>
      </c>
      <c r="F57" s="33" t="inlineStr">
        <is>
          <t>Publicis Canada</t>
        </is>
      </c>
      <c r="G57" s="33" t="inlineStr">
        <is>
          <t>Canada</t>
        </is>
      </c>
      <c r="H57" s="33" t="inlineStr">
        <is>
          <t>Single-Market Campaign</t>
        </is>
      </c>
      <c r="I57" s="33" t="inlineStr">
        <is>
          <t>https://ascentialcdn.filespin.io/api/v1/conversion/d7abd148ba5b4152a93c9025976776f7</t>
        </is>
      </c>
      <c r="J57" s="33" t="inlineStr">
        <is>
          <t>vimeo:1185650047</t>
        </is>
      </c>
      <c r="L57" s="33" t="inlineStr">
        <is>
          <t>https://www.lovethework.com/work/entries/silent-edition-781901</t>
        </is>
      </c>
      <c r="M57" s="33" t="inlineStr">
        <is>
          <t>A wildlife print campaign by Publicis Canada for the 2026 Jeep Cherokee Hybrid, shot entirely in nature with conservation photojournalist Patricia Homonylo. The vehicle's hybrid drivetrain let it move silently through habitats without disturbing animals, capturing images a combustion engine would have scared away.</t>
        </is>
      </c>
      <c r="N57" s="33" t="inlineStr">
        <is>
          <t>jeep, cherokee, automotive, cars, transport, car, suv, hybrid, wildlife, nature, photography, conservation, print, posters, single-market campaign, publicis canada, canada</t>
        </is>
      </c>
    </row>
    <row r="58">
      <c r="A58" s="33" t="n">
        <v>2026</v>
      </c>
      <c r="B58" s="165" t="inlineStr">
        <is>
          <t>Silver</t>
        </is>
      </c>
      <c r="C58" s="107" t="inlineStr">
        <is>
          <t>Uncovering Racism</t>
        </is>
      </c>
      <c r="D58" s="33" t="inlineStr">
        <is>
          <t>Sport Club Corinthians Paulista</t>
        </is>
      </c>
      <c r="E58" s="33" t="inlineStr">
        <is>
          <t>Jersey - Special Edition</t>
        </is>
      </c>
      <c r="F58" s="33" t="inlineStr">
        <is>
          <t>AlmapBBDO</t>
        </is>
      </c>
      <c r="G58" s="33" t="inlineStr">
        <is>
          <t>Brazil</t>
        </is>
      </c>
      <c r="H58" s="33" t="inlineStr">
        <is>
          <t>Corporate Purpose &amp; Social Responsibility</t>
        </is>
      </c>
      <c r="I58" s="33" t="inlineStr">
        <is>
          <t>https://ascentialcdn.filespin.io/api/v1/conversion/e57584c0748244bbaac3b2fcf92427cd</t>
        </is>
      </c>
      <c r="J58" s="33" t="inlineStr">
        <is>
          <t>aVAw0goCyE0</t>
        </is>
      </c>
      <c r="L58" s="33" t="inlineStr">
        <is>
          <t>https://www.lovethework.com/work/entries/uncovering-racism-773688</t>
        </is>
      </c>
      <c r="M58" s="33" t="inlineStr">
        <is>
          <t>A print execution by AlmapBBDO for Sport Club Corinthians Paulista, built around a special-edition club jersey used to confront racism in football. Produced with Alob Sports and Cabaret, the work turns the team shirt into a printed medium for surfacing and calling out racist abuse in the sport.</t>
        </is>
      </c>
      <c r="N58" s="33" t="inlineStr">
        <is>
          <t>corinthians, football, soccer, sport, jersey, anti-racism, diversity, equity, inclusion, social good, print, corporate purpose, almapbbdo, brazil</t>
        </is>
      </c>
    </row>
    <row r="59">
      <c r="A59" s="33" t="n">
        <v>2026</v>
      </c>
      <c r="B59" s="166" t="inlineStr">
        <is>
          <t>Bronze</t>
        </is>
      </c>
      <c r="C59" s="107" t="inlineStr">
        <is>
          <t>Is That A Pinntorp?</t>
        </is>
      </c>
      <c r="D59" s="33" t="inlineStr">
        <is>
          <t>IKEA Alsulaiman</t>
        </is>
      </c>
      <c r="E59" s="33" t="inlineStr">
        <is>
          <t>IKEA Furniture Collection</t>
        </is>
      </c>
      <c r="F59" s="33" t="inlineStr">
        <is>
          <t>MEMAC Ogilvy</t>
        </is>
      </c>
      <c r="G59" s="33" t="inlineStr">
        <is>
          <t>United Arab Emirates</t>
        </is>
      </c>
      <c r="H59" s="33" t="inlineStr">
        <is>
          <t>Consumer Goods</t>
        </is>
      </c>
      <c r="I59" s="33" t="inlineStr">
        <is>
          <t>https://ascentialcdn.filespin.io/api/v1/conversion/4ed57ea18b694d76b1578114193c08d0</t>
        </is>
      </c>
      <c r="J59" s="33" t="inlineStr">
        <is>
          <t>mp4:videos/print-publishing-ikea-alsulaiman-is-that-a-pinntorp.mp4</t>
        </is>
      </c>
      <c r="L59" s="33" t="inlineStr">
        <is>
          <t>https://www.lovethework.com/work/entries/is-that-a-pinntorp-780977</t>
        </is>
      </c>
      <c r="M59" s="33" t="inlineStr">
        <is>
          <t>An execution in IKEA AlSulaiman's "Affordable Masterpieces" print series by Memac Ogilvy, which presents the brand's everyday furniture like fine art in a gallery — the headline "Is That a Pinntorp?" inviting viewers to mistake an affordable IKEA piece for a priceless work.</t>
        </is>
      </c>
      <c r="N59" s="33" t="inlineStr">
        <is>
          <t>ikea, ikea alsulaiman, furniture, home, home furnishing, retail, art, fine art, print, posters, art direction, consumer goods, memac ogilvy, united arab emirates</t>
        </is>
      </c>
    </row>
    <row r="60">
      <c r="A60" s="33" t="n">
        <v>2026</v>
      </c>
      <c r="B60" s="166" t="inlineStr">
        <is>
          <t>Bronze</t>
        </is>
      </c>
      <c r="C60" s="107" t="inlineStr">
        <is>
          <t>Georgia</t>
        </is>
      </c>
      <c r="D60" s="33" t="inlineStr">
        <is>
          <t>Change The Ref</t>
        </is>
      </c>
      <c r="E60" s="33" t="inlineStr">
        <is>
          <t>Change The Ref</t>
        </is>
      </c>
      <c r="F60" s="33" t="inlineStr">
        <is>
          <t>Alma</t>
        </is>
      </c>
      <c r="G60" s="33" t="inlineStr">
        <is>
          <t>United States</t>
        </is>
      </c>
      <c r="H60" s="33" t="inlineStr">
        <is>
          <t>Not-for-Profit / Charity / Government</t>
        </is>
      </c>
      <c r="I60" s="33" t="inlineStr">
        <is>
          <t>https://ascentialcdn.filespin.io/api/v1/conversion/58aa767b77be444d836da577522e3174</t>
        </is>
      </c>
      <c r="J60" s="33" t="inlineStr">
        <is>
          <t>O5fq09z_CqU</t>
        </is>
      </c>
      <c r="L60" s="33" t="inlineStr">
        <is>
          <t>https://www.lovethework.com/work/entries/georgia-780628</t>
        </is>
      </c>
      <c r="M60" s="33" t="inlineStr">
        <is>
          <t>An execution in Change the Ref's "states" print series by Alma for the gun-violence-prevention nonprofit, using each US state as a frame to turn print into a tool of protest, memory and advocacy against gun violence. This execution centres on Georgia.</t>
        </is>
      </c>
      <c r="N60" s="33" t="inlineStr">
        <is>
          <t>change the ref, gun violence, gun control, nonprofit, charity, public service, activism, social-good, protest, print, posters, not-for-profit, ngo, alma, united states</t>
        </is>
      </c>
    </row>
    <row r="61">
      <c r="A61" s="33" t="n">
        <v>2026</v>
      </c>
      <c r="B61" s="166" t="inlineStr">
        <is>
          <t>Bronze</t>
        </is>
      </c>
      <c r="C61" s="107" t="inlineStr">
        <is>
          <t>Missouri</t>
        </is>
      </c>
      <c r="D61" s="33" t="inlineStr">
        <is>
          <t>Change The Ref</t>
        </is>
      </c>
      <c r="E61" s="33" t="inlineStr">
        <is>
          <t>Change The Ref</t>
        </is>
      </c>
      <c r="F61" s="33" t="inlineStr">
        <is>
          <t>Alma</t>
        </is>
      </c>
      <c r="G61" s="33" t="inlineStr">
        <is>
          <t>United States</t>
        </is>
      </c>
      <c r="H61" s="33" t="inlineStr">
        <is>
          <t>Not-for-Profit / Charity / Government</t>
        </is>
      </c>
      <c r="I61" s="33" t="inlineStr">
        <is>
          <t>https://ascentialcdn.filespin.io/api/v1/conversion/2c17990a14af4b9385b0ca854dee1faa</t>
        </is>
      </c>
      <c r="J61" s="33" t="inlineStr">
        <is>
          <t>O5fq09z_CqU</t>
        </is>
      </c>
      <c r="L61" s="33" t="inlineStr">
        <is>
          <t>https://www.lovethework.com/work/entries/missouri-773684</t>
        </is>
      </c>
      <c r="M61" s="33" t="inlineStr">
        <is>
          <t>An execution in Change the Ref's "states" print series by Alma for the gun-violence-prevention nonprofit, using each US state as a frame to turn print into a tool of protest, memory and advocacy against gun violence. This execution centres on Missouri.</t>
        </is>
      </c>
      <c r="N61" s="33" t="inlineStr">
        <is>
          <t>change the ref, gun violence, gun control, nonprofit, charity, public service, activism, social-good, protest, print, posters, not-for-profit, ngo, alma, united states</t>
        </is>
      </c>
    </row>
    <row r="62">
      <c r="A62" s="33" t="n">
        <v>2026</v>
      </c>
      <c r="B62" s="166" t="inlineStr">
        <is>
          <t>Bronze</t>
        </is>
      </c>
      <c r="C62" s="107" t="inlineStr">
        <is>
          <t>Pennsylvania</t>
        </is>
      </c>
      <c r="D62" s="33" t="inlineStr">
        <is>
          <t>Change The Ref</t>
        </is>
      </c>
      <c r="E62" s="33" t="inlineStr">
        <is>
          <t>Change The Ref</t>
        </is>
      </c>
      <c r="F62" s="33" t="inlineStr">
        <is>
          <t>Alma</t>
        </is>
      </c>
      <c r="G62" s="33" t="inlineStr">
        <is>
          <t>United States</t>
        </is>
      </c>
      <c r="H62" s="33" t="inlineStr">
        <is>
          <t>Not-for-Profit / Charity / Government</t>
        </is>
      </c>
      <c r="I62" s="33" t="inlineStr">
        <is>
          <t>https://ascentialcdn.filespin.io/api/v1/conversion/22b013316b08496180171e3e96dce8a4</t>
        </is>
      </c>
      <c r="J62" s="33" t="inlineStr">
        <is>
          <t>O5fq09z_CqU</t>
        </is>
      </c>
      <c r="L62" s="33" t="inlineStr">
        <is>
          <t>https://www.lovethework.com/work/entries/pennsylvania-773690</t>
        </is>
      </c>
      <c r="M62" s="33" t="inlineStr">
        <is>
          <t>An execution in Change the Ref's "states" print series by Alma for the gun-violence-prevention nonprofit, using each US state as a frame to turn print into a tool of protest, memory and advocacy against gun violence. This execution centres on Pennsylvania.</t>
        </is>
      </c>
      <c r="N62" s="33" t="inlineStr">
        <is>
          <t>change the ref, gun violence, gun control, nonprofit, charity, public service, activism, social-good, protest, print, posters, not-for-profit, ngo, alma, united states</t>
        </is>
      </c>
    </row>
    <row r="63">
      <c r="A63" s="33" t="n">
        <v>2026</v>
      </c>
      <c r="B63" s="166" t="inlineStr">
        <is>
          <t>Bronze</t>
        </is>
      </c>
      <c r="C63" s="107" t="inlineStr">
        <is>
          <t>Let's End Fast Tech</t>
        </is>
      </c>
      <c r="D63" s="33" t="inlineStr">
        <is>
          <t>Back Market</t>
        </is>
      </c>
      <c r="E63" s="33" t="inlineStr">
        <is>
          <t>Refurbished Electronics Marketplace</t>
        </is>
      </c>
      <c r="F63" s="33" t="inlineStr">
        <is>
          <t>Marcel</t>
        </is>
      </c>
      <c r="G63" s="33" t="inlineStr">
        <is>
          <t>France</t>
        </is>
      </c>
      <c r="H63" s="33" t="inlineStr">
        <is>
          <t>Challenger Brand</t>
        </is>
      </c>
      <c r="I63" s="33" t="inlineStr">
        <is>
          <t>https://ascentialcdn.filespin.io/api/v1/conversion/acbc18e8616c430d8d0426f781209d64</t>
        </is>
      </c>
      <c r="J63" s="33" t="inlineStr">
        <is>
          <t>vimeo:1203484921</t>
        </is>
      </c>
      <c r="L63" s="33" t="inlineStr">
        <is>
          <t>https://www.lovethework.com/work/entries/lets-end-fast-tech-781031</t>
        </is>
      </c>
      <c r="M63" s="33" t="inlineStr">
        <is>
          <t>A print execution by Marcel for refurbished-electronics marketplace Back Market, arguing against "fast tech" — the throwaway cycle of constantly upgraded devices and its environmental toll — and making the case for buying refurbished instead.</t>
        </is>
      </c>
      <c r="N63" s="33" t="inlineStr">
        <is>
          <t>back market, refurbished, electronics, technology, gadgets, sustainability, environment, ecommerce, retail, online-shopping, print, posters, challenger brand, marcel, france</t>
        </is>
      </c>
    </row>
    <row r="64">
      <c r="A64" s="33" t="n">
        <v>2026</v>
      </c>
      <c r="B64" s="166" t="inlineStr">
        <is>
          <t>Bronze</t>
        </is>
      </c>
      <c r="C64" s="107" t="inlineStr">
        <is>
          <t>Wherever Life Goes</t>
        </is>
      </c>
      <c r="D64" s="33" t="inlineStr">
        <is>
          <t>IKEA</t>
        </is>
      </c>
      <c r="E64" s="33" t="inlineStr">
        <is>
          <t>IKEA</t>
        </is>
      </c>
      <c r="F64" s="33" t="inlineStr">
        <is>
          <t>Noa Akestam Holst</t>
        </is>
      </c>
      <c r="G64" s="33" t="inlineStr">
        <is>
          <t>Sweden</t>
        </is>
      </c>
      <c r="H64" s="33" t="inlineStr">
        <is>
          <t>Social Behaviour</t>
        </is>
      </c>
      <c r="I64" s="33" t="inlineStr">
        <is>
          <t>https://ascentialcdn.filespin.io/api/v1/conversion/e96525833faf47a58d2bb17826eb4da0</t>
        </is>
      </c>
      <c r="J64" s="33" t="inlineStr">
        <is>
          <t>2tEXR0kzngw</t>
        </is>
      </c>
      <c r="L64" s="33" t="inlineStr">
        <is>
          <t>https://www.lovethework.com/work/entries/wherever-life-goes-782149</t>
        </is>
      </c>
      <c r="M64" s="33" t="inlineStr">
        <is>
          <t>A print campaign by Åkestam Holst for IKEA, telling real-life stories of how a home shifts and adapts through the events of life, positioning IKEA furniture as a constant companion wherever life goes.</t>
        </is>
      </c>
      <c r="N64" s="33" t="inlineStr">
        <is>
          <t>ikea, furniture, home, home furnishing, retail, real life, storytelling, print, posters, social behaviour, akestam holst, sweden</t>
        </is>
      </c>
    </row>
    <row r="65">
      <c r="A65" s="33" t="n">
        <v>2026</v>
      </c>
      <c r="B65" s="166" t="inlineStr">
        <is>
          <t>Bronze</t>
        </is>
      </c>
      <c r="C65" s="107" t="inlineStr">
        <is>
          <t>30Under30</t>
        </is>
      </c>
      <c r="D65" s="33" t="inlineStr">
        <is>
          <t>Change The Ref</t>
        </is>
      </c>
      <c r="E65" s="33" t="inlineStr">
        <is>
          <t>Change The Ref</t>
        </is>
      </c>
      <c r="F65" s="33" t="inlineStr">
        <is>
          <t>Founders</t>
        </is>
      </c>
      <c r="G65" s="33" t="inlineStr">
        <is>
          <t>United States</t>
        </is>
      </c>
      <c r="H65" s="33" t="inlineStr">
        <is>
          <t>Social Behaviour</t>
        </is>
      </c>
      <c r="I65" s="33" t="inlineStr">
        <is>
          <t>https://ascentialcdn.filespin.io/api/v1/conversion/5393f4844a3648e8bbec9ebd1d6cbee2</t>
        </is>
      </c>
      <c r="J65" s="33" t="inlineStr">
        <is>
          <t>ZcIX4jEKUo0</t>
        </is>
      </c>
      <c r="L65" s="33" t="inlineStr">
        <is>
          <t>https://www.lovethework.com/work/entries/30under30-782218</t>
        </is>
      </c>
      <c r="M65" s="33" t="inlineStr">
        <is>
          <t>A print execution by Founders for gun-violence-prevention nonprofit Change the Ref. It repurposes the familiar "30 Under 30" recognition-list format to honour young lives cut short by gun violence before they reached thirty.</t>
        </is>
      </c>
      <c r="N65" s="33" t="inlineStr">
        <is>
          <t>change the ref, gun violence, gun control, nonprofit, charity, public service, activism, social-good, youth, print, posters, social behaviour, founders, united states</t>
        </is>
      </c>
    </row>
    <row r="66">
      <c r="A66" s="33" t="n">
        <v>2026</v>
      </c>
      <c r="B66" s="166" t="inlineStr">
        <is>
          <t>Bronze</t>
        </is>
      </c>
      <c r="C66" s="107" t="inlineStr">
        <is>
          <t>It Starts Outside</t>
        </is>
      </c>
      <c r="D66" s="33" t="inlineStr">
        <is>
          <t>Dirt Is Good | Persil</t>
        </is>
      </c>
      <c r="E66" s="33" t="inlineStr">
        <is>
          <t>Persil</t>
        </is>
      </c>
      <c r="F66" s="33" t="inlineStr">
        <is>
          <t>Frank</t>
        </is>
      </c>
      <c r="G66" s="33" t="inlineStr">
        <is>
          <t>United Kingdom</t>
        </is>
      </c>
      <c r="H66" s="33" t="inlineStr">
        <is>
          <t>Cultural Engagement</t>
        </is>
      </c>
      <c r="I66" s="33" t="inlineStr">
        <is>
          <t>https://ascentialcdn.filespin.io/api/v1/conversion/ac57f1401301462a935dab09e3fa96d8</t>
        </is>
      </c>
      <c r="J66" s="33" t="inlineStr">
        <is>
          <t>9fkJ8uvZsmM</t>
        </is>
      </c>
      <c r="L66" s="33" t="inlineStr">
        <is>
          <t>https://www.lovethework.com/work/entries/it-starts-outside-781799</t>
        </is>
      </c>
      <c r="M66" s="33" t="inlineStr">
        <is>
          <t>A print and out-of-home execution by Frank for Unilever's Dirt Is Good (Persil), made with Arsenal Women, encouraging girls to get outside and play and embracing the mess of childhood as part of growing up rather than something to keep clean.</t>
        </is>
      </c>
      <c r="N66" s="33" t="inlineStr">
        <is>
          <t>persil, dirt is good, laundry, detergent, cleaning, fmcg, cpg, arsenal, football, soccer, sport, girls, outdoor play, gender equality, print, posters, cultural engagement, frank, united kingdom</t>
        </is>
      </c>
    </row>
  </sheetData>
  <autoFilter ref="A1:N47"/>
  <hyperlinks>
    <hyperlink xmlns:r="http://schemas.openxmlformats.org/officeDocument/2006/relationships" ref="I2" r:id="rId1"/>
    <hyperlink xmlns:r="http://schemas.openxmlformats.org/officeDocument/2006/relationships" ref="L2" r:id="rId2"/>
    <hyperlink xmlns:r="http://schemas.openxmlformats.org/officeDocument/2006/relationships" ref="L3" r:id="rId3"/>
    <hyperlink xmlns:r="http://schemas.openxmlformats.org/officeDocument/2006/relationships" ref="I4" r:id="rId4"/>
    <hyperlink xmlns:r="http://schemas.openxmlformats.org/officeDocument/2006/relationships" ref="L4" r:id="rId5"/>
    <hyperlink xmlns:r="http://schemas.openxmlformats.org/officeDocument/2006/relationships" ref="I5" r:id="rId6"/>
    <hyperlink xmlns:r="http://schemas.openxmlformats.org/officeDocument/2006/relationships" ref="L5" r:id="rId7"/>
    <hyperlink xmlns:r="http://schemas.openxmlformats.org/officeDocument/2006/relationships" ref="I6" r:id="rId8"/>
    <hyperlink xmlns:r="http://schemas.openxmlformats.org/officeDocument/2006/relationships" ref="L6" r:id="rId9"/>
    <hyperlink xmlns:r="http://schemas.openxmlformats.org/officeDocument/2006/relationships" ref="I7" r:id="rId10"/>
    <hyperlink xmlns:r="http://schemas.openxmlformats.org/officeDocument/2006/relationships" ref="L7" r:id="rId11"/>
    <hyperlink xmlns:r="http://schemas.openxmlformats.org/officeDocument/2006/relationships" ref="I8" r:id="rId12"/>
    <hyperlink xmlns:r="http://schemas.openxmlformats.org/officeDocument/2006/relationships" ref="L8" r:id="rId13"/>
    <hyperlink xmlns:r="http://schemas.openxmlformats.org/officeDocument/2006/relationships" ref="I9" r:id="rId14"/>
    <hyperlink xmlns:r="http://schemas.openxmlformats.org/officeDocument/2006/relationships" ref="L9" r:id="rId15"/>
    <hyperlink xmlns:r="http://schemas.openxmlformats.org/officeDocument/2006/relationships" ref="I10" r:id="rId16"/>
    <hyperlink xmlns:r="http://schemas.openxmlformats.org/officeDocument/2006/relationships" ref="L10" r:id="rId17"/>
    <hyperlink xmlns:r="http://schemas.openxmlformats.org/officeDocument/2006/relationships" ref="I11" r:id="rId18"/>
    <hyperlink xmlns:r="http://schemas.openxmlformats.org/officeDocument/2006/relationships" ref="L11" r:id="rId19"/>
    <hyperlink xmlns:r="http://schemas.openxmlformats.org/officeDocument/2006/relationships" ref="I12" r:id="rId20"/>
    <hyperlink xmlns:r="http://schemas.openxmlformats.org/officeDocument/2006/relationships" ref="L12" r:id="rId21"/>
    <hyperlink xmlns:r="http://schemas.openxmlformats.org/officeDocument/2006/relationships" ref="I13" r:id="rId22"/>
    <hyperlink xmlns:r="http://schemas.openxmlformats.org/officeDocument/2006/relationships" ref="L13" r:id="rId23"/>
    <hyperlink xmlns:r="http://schemas.openxmlformats.org/officeDocument/2006/relationships" ref="I14" r:id="rId24"/>
    <hyperlink xmlns:r="http://schemas.openxmlformats.org/officeDocument/2006/relationships" ref="L14" r:id="rId25"/>
    <hyperlink xmlns:r="http://schemas.openxmlformats.org/officeDocument/2006/relationships" ref="I15" r:id="rId26"/>
    <hyperlink xmlns:r="http://schemas.openxmlformats.org/officeDocument/2006/relationships" ref="L15" r:id="rId27"/>
    <hyperlink xmlns:r="http://schemas.openxmlformats.org/officeDocument/2006/relationships" ref="I16" r:id="rId28"/>
    <hyperlink xmlns:r="http://schemas.openxmlformats.org/officeDocument/2006/relationships" ref="L16" r:id="rId29"/>
    <hyperlink xmlns:r="http://schemas.openxmlformats.org/officeDocument/2006/relationships" ref="I17" r:id="rId30"/>
    <hyperlink xmlns:r="http://schemas.openxmlformats.org/officeDocument/2006/relationships" ref="L17" r:id="rId31"/>
    <hyperlink xmlns:r="http://schemas.openxmlformats.org/officeDocument/2006/relationships" ref="I18" r:id="rId32"/>
    <hyperlink xmlns:r="http://schemas.openxmlformats.org/officeDocument/2006/relationships" ref="L18" r:id="rId33"/>
    <hyperlink xmlns:r="http://schemas.openxmlformats.org/officeDocument/2006/relationships" ref="I19" r:id="rId34"/>
    <hyperlink xmlns:r="http://schemas.openxmlformats.org/officeDocument/2006/relationships" ref="L19" r:id="rId35"/>
    <hyperlink xmlns:r="http://schemas.openxmlformats.org/officeDocument/2006/relationships" ref="I20" r:id="rId36"/>
    <hyperlink xmlns:r="http://schemas.openxmlformats.org/officeDocument/2006/relationships" ref="L20" r:id="rId37"/>
    <hyperlink xmlns:r="http://schemas.openxmlformats.org/officeDocument/2006/relationships" ref="I21" r:id="rId38"/>
    <hyperlink xmlns:r="http://schemas.openxmlformats.org/officeDocument/2006/relationships" ref="L21" r:id="rId39"/>
    <hyperlink xmlns:r="http://schemas.openxmlformats.org/officeDocument/2006/relationships" ref="I22" r:id="rId40"/>
    <hyperlink xmlns:r="http://schemas.openxmlformats.org/officeDocument/2006/relationships" ref="L22" r:id="rId41"/>
    <hyperlink xmlns:r="http://schemas.openxmlformats.org/officeDocument/2006/relationships" ref="I23" r:id="rId42"/>
    <hyperlink xmlns:r="http://schemas.openxmlformats.org/officeDocument/2006/relationships" ref="L23" r:id="rId43"/>
    <hyperlink xmlns:r="http://schemas.openxmlformats.org/officeDocument/2006/relationships" ref="I24" r:id="rId44"/>
    <hyperlink xmlns:r="http://schemas.openxmlformats.org/officeDocument/2006/relationships" ref="L24" r:id="rId45"/>
    <hyperlink xmlns:r="http://schemas.openxmlformats.org/officeDocument/2006/relationships" ref="I25" r:id="rId46"/>
    <hyperlink xmlns:r="http://schemas.openxmlformats.org/officeDocument/2006/relationships" ref="L25" r:id="rId47"/>
    <hyperlink xmlns:r="http://schemas.openxmlformats.org/officeDocument/2006/relationships" ref="I26" r:id="rId48"/>
    <hyperlink xmlns:r="http://schemas.openxmlformats.org/officeDocument/2006/relationships" ref="L26" r:id="rId49"/>
    <hyperlink xmlns:r="http://schemas.openxmlformats.org/officeDocument/2006/relationships" ref="I27" r:id="rId50"/>
    <hyperlink xmlns:r="http://schemas.openxmlformats.org/officeDocument/2006/relationships" ref="L27" r:id="rId51"/>
    <hyperlink xmlns:r="http://schemas.openxmlformats.org/officeDocument/2006/relationships" ref="I28" r:id="rId52"/>
    <hyperlink xmlns:r="http://schemas.openxmlformats.org/officeDocument/2006/relationships" ref="L28" r:id="rId53"/>
    <hyperlink xmlns:r="http://schemas.openxmlformats.org/officeDocument/2006/relationships" ref="I29" r:id="rId54"/>
    <hyperlink xmlns:r="http://schemas.openxmlformats.org/officeDocument/2006/relationships" ref="L29" r:id="rId55"/>
    <hyperlink xmlns:r="http://schemas.openxmlformats.org/officeDocument/2006/relationships" ref="I30" r:id="rId56"/>
    <hyperlink xmlns:r="http://schemas.openxmlformats.org/officeDocument/2006/relationships" ref="L30" r:id="rId57"/>
    <hyperlink xmlns:r="http://schemas.openxmlformats.org/officeDocument/2006/relationships" ref="I31" r:id="rId58"/>
    <hyperlink xmlns:r="http://schemas.openxmlformats.org/officeDocument/2006/relationships" ref="L31" r:id="rId59"/>
    <hyperlink xmlns:r="http://schemas.openxmlformats.org/officeDocument/2006/relationships" ref="I32" r:id="rId60"/>
    <hyperlink xmlns:r="http://schemas.openxmlformats.org/officeDocument/2006/relationships" ref="L32" r:id="rId61"/>
    <hyperlink xmlns:r="http://schemas.openxmlformats.org/officeDocument/2006/relationships" ref="I33" r:id="rId62"/>
    <hyperlink xmlns:r="http://schemas.openxmlformats.org/officeDocument/2006/relationships" ref="L33" r:id="rId63"/>
    <hyperlink xmlns:r="http://schemas.openxmlformats.org/officeDocument/2006/relationships" ref="I34" r:id="rId64"/>
    <hyperlink xmlns:r="http://schemas.openxmlformats.org/officeDocument/2006/relationships" ref="L34" r:id="rId65"/>
    <hyperlink xmlns:r="http://schemas.openxmlformats.org/officeDocument/2006/relationships" ref="I35" r:id="rId66"/>
    <hyperlink xmlns:r="http://schemas.openxmlformats.org/officeDocument/2006/relationships" ref="L35" r:id="rId67"/>
    <hyperlink xmlns:r="http://schemas.openxmlformats.org/officeDocument/2006/relationships" ref="I36" r:id="rId68"/>
    <hyperlink xmlns:r="http://schemas.openxmlformats.org/officeDocument/2006/relationships" ref="L36" r:id="rId69"/>
    <hyperlink xmlns:r="http://schemas.openxmlformats.org/officeDocument/2006/relationships" ref="I37" r:id="rId70"/>
    <hyperlink xmlns:r="http://schemas.openxmlformats.org/officeDocument/2006/relationships" ref="L37" r:id="rId71"/>
    <hyperlink xmlns:r="http://schemas.openxmlformats.org/officeDocument/2006/relationships" ref="I38" r:id="rId72"/>
    <hyperlink xmlns:r="http://schemas.openxmlformats.org/officeDocument/2006/relationships" ref="L38" r:id="rId73"/>
    <hyperlink xmlns:r="http://schemas.openxmlformats.org/officeDocument/2006/relationships" ref="I39" r:id="rId74"/>
    <hyperlink xmlns:r="http://schemas.openxmlformats.org/officeDocument/2006/relationships" ref="L39" r:id="rId75"/>
    <hyperlink xmlns:r="http://schemas.openxmlformats.org/officeDocument/2006/relationships" ref="I40" r:id="rId76"/>
    <hyperlink xmlns:r="http://schemas.openxmlformats.org/officeDocument/2006/relationships" ref="L40" r:id="rId77"/>
    <hyperlink xmlns:r="http://schemas.openxmlformats.org/officeDocument/2006/relationships" ref="I41" r:id="rId78"/>
    <hyperlink xmlns:r="http://schemas.openxmlformats.org/officeDocument/2006/relationships" ref="L41" r:id="rId79"/>
    <hyperlink xmlns:r="http://schemas.openxmlformats.org/officeDocument/2006/relationships" ref="I42" r:id="rId80"/>
    <hyperlink xmlns:r="http://schemas.openxmlformats.org/officeDocument/2006/relationships" ref="L42" r:id="rId81"/>
    <hyperlink xmlns:r="http://schemas.openxmlformats.org/officeDocument/2006/relationships" ref="L43" r:id="rId82"/>
    <hyperlink xmlns:r="http://schemas.openxmlformats.org/officeDocument/2006/relationships" ref="I44" r:id="rId83"/>
    <hyperlink xmlns:r="http://schemas.openxmlformats.org/officeDocument/2006/relationships" ref="L44" r:id="rId84"/>
    <hyperlink xmlns:r="http://schemas.openxmlformats.org/officeDocument/2006/relationships" ref="I45" r:id="rId85"/>
    <hyperlink xmlns:r="http://schemas.openxmlformats.org/officeDocument/2006/relationships" ref="L45" r:id="rId86"/>
    <hyperlink xmlns:r="http://schemas.openxmlformats.org/officeDocument/2006/relationships" ref="I46" r:id="rId87"/>
    <hyperlink xmlns:r="http://schemas.openxmlformats.org/officeDocument/2006/relationships" ref="L46" r:id="rId88"/>
    <hyperlink xmlns:r="http://schemas.openxmlformats.org/officeDocument/2006/relationships" ref="I47" r:id="rId89"/>
    <hyperlink xmlns:r="http://schemas.openxmlformats.org/officeDocument/2006/relationships" ref="L47" r:id="rId90"/>
    <hyperlink xmlns:r="http://schemas.openxmlformats.org/officeDocument/2006/relationships" ref="I48" r:id="rId91"/>
    <hyperlink xmlns:r="http://schemas.openxmlformats.org/officeDocument/2006/relationships" ref="L48" r:id="rId92"/>
    <hyperlink xmlns:r="http://schemas.openxmlformats.org/officeDocument/2006/relationships" ref="I49" r:id="rId93"/>
    <hyperlink xmlns:r="http://schemas.openxmlformats.org/officeDocument/2006/relationships" ref="L49" r:id="rId94"/>
    <hyperlink xmlns:r="http://schemas.openxmlformats.org/officeDocument/2006/relationships" ref="I50" r:id="rId95"/>
    <hyperlink xmlns:r="http://schemas.openxmlformats.org/officeDocument/2006/relationships" ref="L50" r:id="rId96"/>
    <hyperlink xmlns:r="http://schemas.openxmlformats.org/officeDocument/2006/relationships" ref="I51" r:id="rId97"/>
    <hyperlink xmlns:r="http://schemas.openxmlformats.org/officeDocument/2006/relationships" ref="L51" r:id="rId98"/>
    <hyperlink xmlns:r="http://schemas.openxmlformats.org/officeDocument/2006/relationships" ref="I52" r:id="rId99"/>
    <hyperlink xmlns:r="http://schemas.openxmlformats.org/officeDocument/2006/relationships" ref="L52" r:id="rId100"/>
    <hyperlink xmlns:r="http://schemas.openxmlformats.org/officeDocument/2006/relationships" ref="I53" r:id="rId101"/>
    <hyperlink xmlns:r="http://schemas.openxmlformats.org/officeDocument/2006/relationships" ref="L53" r:id="rId102"/>
    <hyperlink xmlns:r="http://schemas.openxmlformats.org/officeDocument/2006/relationships" ref="I54" r:id="rId103"/>
    <hyperlink xmlns:r="http://schemas.openxmlformats.org/officeDocument/2006/relationships" ref="L54" r:id="rId104"/>
    <hyperlink xmlns:r="http://schemas.openxmlformats.org/officeDocument/2006/relationships" ref="I55" r:id="rId105"/>
    <hyperlink xmlns:r="http://schemas.openxmlformats.org/officeDocument/2006/relationships" ref="L55" r:id="rId106"/>
    <hyperlink xmlns:r="http://schemas.openxmlformats.org/officeDocument/2006/relationships" ref="I56" r:id="rId107"/>
    <hyperlink xmlns:r="http://schemas.openxmlformats.org/officeDocument/2006/relationships" ref="L56" r:id="rId108"/>
    <hyperlink xmlns:r="http://schemas.openxmlformats.org/officeDocument/2006/relationships" ref="I57" r:id="rId109"/>
    <hyperlink xmlns:r="http://schemas.openxmlformats.org/officeDocument/2006/relationships" ref="L57" r:id="rId110"/>
    <hyperlink xmlns:r="http://schemas.openxmlformats.org/officeDocument/2006/relationships" ref="I58" r:id="rId111"/>
    <hyperlink xmlns:r="http://schemas.openxmlformats.org/officeDocument/2006/relationships" ref="L58" r:id="rId112"/>
    <hyperlink xmlns:r="http://schemas.openxmlformats.org/officeDocument/2006/relationships" ref="I59" r:id="rId113"/>
    <hyperlink xmlns:r="http://schemas.openxmlformats.org/officeDocument/2006/relationships" ref="L59" r:id="rId114"/>
    <hyperlink xmlns:r="http://schemas.openxmlformats.org/officeDocument/2006/relationships" ref="I60" r:id="rId115"/>
    <hyperlink xmlns:r="http://schemas.openxmlformats.org/officeDocument/2006/relationships" ref="L60" r:id="rId116"/>
    <hyperlink xmlns:r="http://schemas.openxmlformats.org/officeDocument/2006/relationships" ref="I61" r:id="rId117"/>
    <hyperlink xmlns:r="http://schemas.openxmlformats.org/officeDocument/2006/relationships" ref="L61" r:id="rId118"/>
    <hyperlink xmlns:r="http://schemas.openxmlformats.org/officeDocument/2006/relationships" ref="I62" r:id="rId119"/>
    <hyperlink xmlns:r="http://schemas.openxmlformats.org/officeDocument/2006/relationships" ref="L62" r:id="rId120"/>
    <hyperlink xmlns:r="http://schemas.openxmlformats.org/officeDocument/2006/relationships" ref="I63" r:id="rId121"/>
    <hyperlink xmlns:r="http://schemas.openxmlformats.org/officeDocument/2006/relationships" ref="L63" r:id="rId122"/>
    <hyperlink xmlns:r="http://schemas.openxmlformats.org/officeDocument/2006/relationships" ref="I64" r:id="rId123"/>
    <hyperlink xmlns:r="http://schemas.openxmlformats.org/officeDocument/2006/relationships" ref="L64" r:id="rId124"/>
    <hyperlink xmlns:r="http://schemas.openxmlformats.org/officeDocument/2006/relationships" ref="I65" r:id="rId125"/>
    <hyperlink xmlns:r="http://schemas.openxmlformats.org/officeDocument/2006/relationships" ref="L65" r:id="rId126"/>
    <hyperlink xmlns:r="http://schemas.openxmlformats.org/officeDocument/2006/relationships" ref="I66" r:id="rId127"/>
    <hyperlink xmlns:r="http://schemas.openxmlformats.org/officeDocument/2006/relationships" ref="L66" r:id="rId128"/>
  </hyperlinks>
  <pageMargins left="0.75" right="0.75" top="1" bottom="1" header="0.5" footer="0.5"/>
</worksheet>
</file>

<file path=xl/worksheets/sheet7.xml><?xml version="1.0" encoding="utf-8"?>
<worksheet xmlns="http://schemas.openxmlformats.org/spreadsheetml/2006/main">
  <sheetPr filterMode="0">
    <outlinePr summaryBelow="1" summaryRight="1"/>
    <pageSetUpPr fitToPage="0"/>
  </sheetPr>
  <dimension ref="A1:N58"/>
  <sheetViews>
    <sheetView showFormulas="0" showGridLines="1" showRowColHeaders="1" showZeros="1" rightToLeft="0" tabSelected="0" showOutlineSymbols="1" defaultGridColor="1" view="normal" topLeftCell="A1" colorId="64" zoomScale="100" zoomScaleNormal="100" zoomScalePageLayoutView="100" workbookViewId="0">
      <pane ySplit="1" topLeftCell="A2" activePane="bottomLeft" state="frozen"/>
      <selection pane="bottom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6" customWidth="1" style="33" min="1" max="1"/>
    <col width="16" customWidth="1" style="33" min="2" max="2"/>
    <col width="34" customWidth="1" style="33" min="3" max="3"/>
    <col width="22" customWidth="1" style="33" min="4" max="4"/>
    <col width="26" customWidth="1" style="33" min="5" max="5"/>
    <col width="28" customWidth="1" style="33" min="6" max="6"/>
    <col width="16" customWidth="1" style="33" min="7" max="7"/>
    <col width="34" customWidth="1" style="33" min="8" max="8"/>
    <col width="18" customWidth="1" style="33" min="9" max="9"/>
    <col width="16" customWidth="1" style="34" min="10" max="10"/>
    <col width="22" customWidth="1" style="34" min="11" max="11"/>
    <col hidden="1" width="20" customWidth="1" style="34" min="12" max="12"/>
    <col width="60" customWidth="1" style="34" min="13" max="13"/>
    <col width="40" customWidth="1" style="34" min="14" max="14"/>
  </cols>
  <sheetData>
    <row r="1" ht="22" customHeight="1" s="34">
      <c r="A1" s="122" t="inlineStr">
        <is>
          <t>Year</t>
        </is>
      </c>
      <c r="B1" s="122" t="inlineStr">
        <is>
          <t>Tier</t>
        </is>
      </c>
      <c r="C1" s="122" t="inlineStr">
        <is>
          <t>Campaign</t>
        </is>
      </c>
      <c r="D1" s="122" t="inlineStr">
        <is>
          <t>Brand</t>
        </is>
      </c>
      <c r="E1" s="122" t="inlineStr">
        <is>
          <t>Product/Service</t>
        </is>
      </c>
      <c r="F1" s="122" t="inlineStr">
        <is>
          <t>Agency</t>
        </is>
      </c>
      <c r="G1" s="122" t="inlineStr">
        <is>
          <t>Country</t>
        </is>
      </c>
      <c r="H1" s="122" t="inlineStr">
        <is>
          <t>Subcategory</t>
        </is>
      </c>
      <c r="I1" s="122" t="inlineStr">
        <is>
          <t>Image URL</t>
        </is>
      </c>
      <c r="J1" s="122" t="inlineStr">
        <is>
          <t>YouTube ID</t>
        </is>
      </c>
      <c r="K1" s="122" t="inlineStr">
        <is>
          <t>Campaign Group</t>
        </is>
      </c>
      <c r="L1" s="122" t="inlineStr">
        <is>
          <t>Entry URL</t>
        </is>
      </c>
      <c r="M1" s="122" t="inlineStr">
        <is>
          <t>Description</t>
        </is>
      </c>
      <c r="N1" s="122" t="inlineStr">
        <is>
          <t>Keywords</t>
        </is>
      </c>
    </row>
    <row r="2" ht="34.5" customHeight="1" s="34">
      <c r="A2" s="141" t="n">
        <v>2025</v>
      </c>
      <c r="B2" s="142" t="inlineStr">
        <is>
          <t>Grand Prix</t>
        </is>
      </c>
      <c r="C2" s="143" t="inlineStr">
        <is>
          <t>Caption with Intention</t>
        </is>
      </c>
      <c r="D2" s="141" t="inlineStr">
        <is>
          <t>Academy of Motion Picture Arts &amp; Sciences</t>
        </is>
      </c>
      <c r="E2" s="141" t="inlineStr">
        <is>
          <t>Closed Captioning</t>
        </is>
      </c>
      <c r="F2" s="141" t="inlineStr">
        <is>
          <t>FCB Chicago</t>
        </is>
      </c>
      <c r="G2" s="141" t="inlineStr">
        <is>
          <t>United States</t>
        </is>
      </c>
      <c r="H2" s="80" t="inlineStr">
        <is>
          <t>B01 - Inclusive Design</t>
        </is>
      </c>
      <c r="I2" s="128" t="inlineStr">
        <is>
          <t>https://ascentialcdn.filespin.io/api/v1/conversion/1a22539ff6e94e288d6a3aa1a3a9ace5</t>
        </is>
      </c>
      <c r="J2" s="141" t="inlineStr">
        <is>
          <t>F48khKZhKHM</t>
        </is>
      </c>
      <c r="K2" s="127" t="n"/>
      <c r="L2" s="128" t="inlineStr">
        <is>
          <t>https://www.lovethework.com/work/entries/caption-with-intention-758922</t>
        </is>
      </c>
      <c r="M2" s="113" t="inlineStr">
        <is>
          <t>A design system for film and television captions that pairs word-by-word sync with expressive typography — type weight, color, and motion communicate volume, tone, and which character is speaking. Built over six years in partnership with the Deaf and Hard of Hearing community, it was adopted by the Academy as the standard for Oscar submissions and earned a technology Oscar.</t>
        </is>
      </c>
      <c r="N2" s="113" t="inlineStr">
        <is>
          <t>accessibility, captioning, film, cinema, entertainment, typography, deaf-and-hard-of-hearing, product-design, inclusion, united-states</t>
        </is>
      </c>
    </row>
    <row r="3" ht="34.5" customHeight="1" s="34">
      <c r="A3" s="141" t="n">
        <v>2025</v>
      </c>
      <c r="B3" s="144" t="inlineStr">
        <is>
          <t>Gold</t>
        </is>
      </c>
      <c r="C3" s="143" t="inlineStr">
        <is>
          <t>AirPods Pro 2 Hearing Aid Feature</t>
        </is>
      </c>
      <c r="D3" s="141" t="inlineStr">
        <is>
          <t>Apple</t>
        </is>
      </c>
      <c r="E3" s="141" t="inlineStr">
        <is>
          <t>AirPods Pro 2</t>
        </is>
      </c>
      <c r="F3" s="141" t="inlineStr">
        <is>
          <t>Apple</t>
        </is>
      </c>
      <c r="G3" s="141" t="inlineStr">
        <is>
          <t>United States</t>
        </is>
      </c>
      <c r="H3" s="80" t="inlineStr">
        <is>
          <t>A04 - Product Design</t>
        </is>
      </c>
      <c r="I3" s="128" t="inlineStr">
        <is>
          <t>https://ascentialcdn.filespin.io/api/v1/conversion/d124f3704bf34fe8a63e19e8325d9220</t>
        </is>
      </c>
      <c r="J3" s="141" t="inlineStr">
        <is>
          <t>vimeo:1093371918</t>
        </is>
      </c>
      <c r="K3" s="127" t="n"/>
      <c r="L3" s="128" t="inlineStr">
        <is>
          <t>https://www.lovethework.com/work/entries/airpods-pro-2-hearing-aid-feature-748829</t>
        </is>
      </c>
      <c r="M3" s="113" t="inlineStr">
        <is>
          <t>A software update to AirPods Pro 2 that adds a clinically validated, over-the-counter hearing aid mode — users complete an in-ear audiogram test on their iPhone, and the earbuds adjust their audio output to compensate for measured hearing loss. The feature launched in the United States, Germany, Japan, and New Zealand, where regulatory frameworks permit software-enabled OTC hearing aids, bypassing the traditional audiology clinic model.</t>
        </is>
      </c>
      <c r="N3" s="113" t="inlineStr">
        <is>
          <t>headphones, product-design, hearing-health, mobile-app, united-states, germany, japan, new-zealand, accessibility</t>
        </is>
      </c>
    </row>
    <row r="4" ht="34.5" customHeight="1" s="34">
      <c r="A4" s="141" t="n">
        <v>2025</v>
      </c>
      <c r="B4" s="144" t="inlineStr">
        <is>
          <t>Gold</t>
        </is>
      </c>
      <c r="C4" s="143" t="inlineStr">
        <is>
          <t>Nigrum Corpus</t>
        </is>
      </c>
      <c r="D4" s="141" t="inlineStr">
        <is>
          <t>Idomed</t>
        </is>
      </c>
      <c r="E4" s="141" t="inlineStr">
        <is>
          <t>Nigrum Corpus</t>
        </is>
      </c>
      <c r="F4" s="141" t="inlineStr">
        <is>
          <t>Artplan</t>
        </is>
      </c>
      <c r="G4" s="141" t="inlineStr">
        <is>
          <t>Brazil</t>
        </is>
      </c>
      <c r="H4" s="80" t="inlineStr">
        <is>
          <t>A06 - Books</t>
        </is>
      </c>
      <c r="I4" s="128" t="inlineStr">
        <is>
          <t>https://ascentialcdn.filespin.io/api/v1/conversion/83e9fc2a93254c029a34755ff3c96853</t>
        </is>
      </c>
      <c r="J4" s="141" t="inlineStr">
        <is>
          <t>RCK4iiCB2P0</t>
        </is>
      </c>
      <c r="K4" s="127" t="n"/>
      <c r="L4" s="128" t="inlineStr">
        <is>
          <t>https://www.lovethework.com/work/entries/nigrum-corpus-764511</t>
        </is>
      </c>
      <c r="M4" s="113" t="inlineStr">
        <is>
          <t>A medical anatomy book created for Instituto de Educação Médica (IDOMED) that replaces the white-body illustrations standard in medical education with Black bodies, pairing anatomical diagrams with floral patterns to celebrate Black beauty. The book addresses the medical racism embedded in curricula that has historically treated white anatomy as the default human reference.</t>
        </is>
      </c>
      <c r="N4" s="113" t="inlineStr">
        <is>
          <t>medical-education, book, illustration, typography, brazil, health-equity, racial-inclusion, print</t>
        </is>
      </c>
    </row>
    <row r="5" ht="34.5" customHeight="1" s="34">
      <c r="A5" s="141" t="n">
        <v>2025</v>
      </c>
      <c r="B5" s="144" t="inlineStr">
        <is>
          <t>Gold</t>
        </is>
      </c>
      <c r="C5" s="143" t="inlineStr">
        <is>
          <t>CarrefourSA - Ghost Town</t>
        </is>
      </c>
      <c r="D5" s="141" t="inlineStr">
        <is>
          <t>CarrefourSA</t>
        </is>
      </c>
      <c r="E5" s="141" t="inlineStr">
        <is>
          <t>Retail</t>
        </is>
      </c>
      <c r="F5" s="141" t="inlineStr">
        <is>
          <t>TBWA\Istanbul</t>
        </is>
      </c>
      <c r="G5" s="141" t="inlineStr">
        <is>
          <t>Turkey</t>
        </is>
      </c>
      <c r="H5" s="80" t="inlineStr">
        <is>
          <t>A08 - Brand Environment &amp; Experience Design</t>
        </is>
      </c>
      <c r="I5" s="128" t="inlineStr">
        <is>
          <t>https://ascentialcdn.filespin.io/api/v1/conversion/a8b0865217084e348df3921cebc7c41f</t>
        </is>
      </c>
      <c r="J5" s="141" t="inlineStr">
        <is>
          <t>0tKFbogECr4</t>
        </is>
      </c>
      <c r="K5" s="127" t="n"/>
      <c r="L5" s="128" t="inlineStr">
        <is>
          <t>https://www.lovethework.com/work/entries/carrefoursa-ghost-town-748805</t>
        </is>
      </c>
      <c r="M5" s="113" t="inlineStr">
        <is>
          <t>A special-build installation that turned an abandoned town in Turkey into a full-scale Carrefoursa store — shelves, signage, and product displays staged inside empty, derelict buildings. The build used the ghost town's existing structures as aisles and storefronts, drawing a contrast between emptied communities and the retail presence Carrefoursa brings to populated neighborhoods.</t>
        </is>
      </c>
      <c r="N5" s="113" t="inlineStr">
        <is>
          <t>retail, special-build, out-of-home, installation, turkey, experiential, ambient</t>
        </is>
      </c>
    </row>
    <row r="6" ht="34.5" customHeight="1" s="34">
      <c r="A6" s="141" t="n">
        <v>2025</v>
      </c>
      <c r="B6" s="144" t="inlineStr">
        <is>
          <t>Gold</t>
        </is>
      </c>
      <c r="C6" s="143" t="inlineStr">
        <is>
          <t>Spreadbeats</t>
        </is>
      </c>
      <c r="D6" s="141" t="inlineStr">
        <is>
          <t>Spotify</t>
        </is>
      </c>
      <c r="E6" s="141" t="inlineStr">
        <is>
          <t>Spotify</t>
        </is>
      </c>
      <c r="F6" s="141" t="inlineStr">
        <is>
          <t>FCB New York</t>
        </is>
      </c>
      <c r="G6" s="141" t="inlineStr">
        <is>
          <t>United States</t>
        </is>
      </c>
      <c r="H6" s="80" t="inlineStr">
        <is>
          <t>A09 - Design-Driven Effectiveness</t>
        </is>
      </c>
      <c r="I6" s="128" t="inlineStr">
        <is>
          <t>https://ascentialcdn.filespin.io/api/v1/conversion/4ebdb10e5b80456a925dc283ac7e501a</t>
        </is>
      </c>
      <c r="J6" s="141" t="inlineStr">
        <is>
          <t>vimeo:1000498095</t>
        </is>
      </c>
      <c r="K6" s="127" t="n"/>
      <c r="L6" s="128" t="inlineStr">
        <is>
          <t>https://www.lovethework.com/work/entries/spreadbeats-748953</t>
        </is>
      </c>
      <c r="M6" s="113" t="inlineStr">
        <is>
          <t>A music video coded entirely inside the Excel sales decks Spotify sends to media planners — a character bouncing around the cells of a working spreadsheet, scored to a John Summit track, built using only formulas and conditional formatting. The recipient opens the file expecting numbers and the spreadsheet itself starts performing.</t>
        </is>
      </c>
      <c r="N6" s="113" t="inlineStr">
        <is>
          <t>b2b, business, sales-enablement, digital-craft, music, entertainment, spreadsheet, united-states, audio-platform, streaming, tv, design</t>
        </is>
      </c>
    </row>
    <row r="7" ht="34.5" customHeight="1" s="34">
      <c r="A7" s="141" t="n">
        <v>2025</v>
      </c>
      <c r="B7" s="145" t="inlineStr">
        <is>
          <t>Silver</t>
        </is>
      </c>
      <c r="C7" s="143" t="inlineStr">
        <is>
          <t>Spreadbeats</t>
        </is>
      </c>
      <c r="D7" s="141" t="inlineStr">
        <is>
          <t>Spotify</t>
        </is>
      </c>
      <c r="E7" s="141" t="inlineStr">
        <is>
          <t>Spotify</t>
        </is>
      </c>
      <c r="F7" s="141" t="inlineStr">
        <is>
          <t>FCB New York</t>
        </is>
      </c>
      <c r="G7" s="141" t="inlineStr">
        <is>
          <t>United States</t>
        </is>
      </c>
      <c r="H7" s="80" t="inlineStr">
        <is>
          <t>A07 - Digital Design</t>
        </is>
      </c>
      <c r="I7" s="128" t="inlineStr">
        <is>
          <t>https://ascentialcdn.filespin.io/api/v1/conversion/1cc1b629542a4d1db92e5b0d90116de7</t>
        </is>
      </c>
      <c r="J7" s="141" t="inlineStr">
        <is>
          <t>vimeo:1000498095</t>
        </is>
      </c>
      <c r="K7" s="127" t="n"/>
      <c r="L7" s="128" t="inlineStr">
        <is>
          <t>https://www.lovethework.com/work/entries/spreadbeats-748925</t>
        </is>
      </c>
      <c r="M7" s="113" t="inlineStr">
        <is>
          <t>A music video coded entirely inside the Excel sales decks Spotify sends to media planners — a character bouncing around the cells of a working spreadsheet, scored to a John Summit track, built using only formulas and conditional formatting. The recipient opens the file expecting numbers and the spreadsheet itself starts performing.</t>
        </is>
      </c>
      <c r="N7" s="113" t="inlineStr">
        <is>
          <t>b2b, business, sales-enablement, digital-craft, music, entertainment, spreadsheet, united-states, audio-platform, streaming, tv, design</t>
        </is>
      </c>
    </row>
    <row r="8" ht="34.5" customHeight="1" s="34">
      <c r="A8" s="141" t="n">
        <v>2025</v>
      </c>
      <c r="B8" s="145" t="inlineStr">
        <is>
          <t>Silver</t>
        </is>
      </c>
      <c r="C8" s="143" t="inlineStr">
        <is>
          <t>Price Packs</t>
        </is>
      </c>
      <c r="D8" s="141" t="inlineStr">
        <is>
          <t>Penny</t>
        </is>
      </c>
      <c r="E8" s="141" t="inlineStr">
        <is>
          <t>Food/Non-Food</t>
        </is>
      </c>
      <c r="F8" s="141" t="inlineStr">
        <is>
          <t>Serviceplan Germany</t>
        </is>
      </c>
      <c r="G8" s="141" t="inlineStr">
        <is>
          <t>Germany</t>
        </is>
      </c>
      <c r="H8" s="80" t="inlineStr">
        <is>
          <t>A09 - Design-Driven Effectiveness</t>
        </is>
      </c>
      <c r="I8" s="128" t="inlineStr">
        <is>
          <t>https://ascentialcdn.filespin.io/api/v1/conversion/67b6df2a0fe64deeb274c91d50040c54</t>
        </is>
      </c>
      <c r="J8" s="141" t="inlineStr">
        <is>
          <t>cnAXR4lk6R0</t>
        </is>
      </c>
      <c r="K8" s="127" t="n"/>
      <c r="L8" s="128" t="inlineStr">
        <is>
          <t>https://www.lovethework.com/work/entries/price-packs-748846</t>
        </is>
      </c>
      <c r="M8" s="113" t="inlineStr">
        <is>
          <t>A packaging redesign for five Penny staples — oatmeal, toast, salt, crisps, mayonnaise — that swaps standard product graphics for the locked-in low price rendered enormous on the front of the pack. The shelf becomes its own price-stability ad, with the same visual extended to outdoor across all 2,100 stores.</t>
        </is>
      </c>
      <c r="N8" s="113" t="inlineStr">
        <is>
          <t>packaging, retail, ooh, supermarket, grocery, design, price, germany, market-disruption</t>
        </is>
      </c>
    </row>
    <row r="9" ht="34.5" customHeight="1" s="34">
      <c r="A9" s="141" t="n">
        <v>2025</v>
      </c>
      <c r="B9" s="145" t="inlineStr">
        <is>
          <t>Silver</t>
        </is>
      </c>
      <c r="C9" s="143" t="inlineStr">
        <is>
          <t>The Shakespeare BIC</t>
        </is>
      </c>
      <c r="D9" s="141" t="inlineStr">
        <is>
          <t>Bic</t>
        </is>
      </c>
      <c r="E9" s="141" t="inlineStr">
        <is>
          <t>BIC Crystal Pen</t>
        </is>
      </c>
      <c r="F9" s="141" t="inlineStr">
        <is>
          <t>VML</t>
        </is>
      </c>
      <c r="G9" s="141" t="inlineStr">
        <is>
          <t>Brazil</t>
        </is>
      </c>
      <c r="H9" s="80" t="inlineStr">
        <is>
          <t>A11 - Special Editions &amp; Bespoke Items</t>
        </is>
      </c>
      <c r="I9" s="128" t="inlineStr">
        <is>
          <t>https://ascentialcdn.filespin.io/api/v1/conversion/352257f3d008491e95e0ccbdfe8a4469</t>
        </is>
      </c>
      <c r="J9" s="141" t="inlineStr">
        <is>
          <t>5ngNVTeyi4g</t>
        </is>
      </c>
      <c r="K9" s="127" t="n"/>
      <c r="L9" s="128" t="inlineStr">
        <is>
          <t>https://www.lovethework.com/work/entries/the-shakespeare-bic-749146</t>
        </is>
      </c>
      <c r="M9" s="113" t="inlineStr">
        <is>
          <t>A limited-edition BIC Crystal pen produced to mark the fact that Shakespeare's original manuscripts — including Romeo and Juliet — are lost, making the world's most famous plays exist only in later copies. BIC, whose Crystal is one of the most widely used writing instruments ever made, positioned the pen as the physical counterpart to that absence: the kind of object that keeps handwritten words from disappearing.</t>
        </is>
      </c>
      <c r="N9" s="113" t="inlineStr">
        <is>
          <t>ballpoint-pen, special-edition, packaging, print, brazil, writing-instrument, craft, cultural-heritage</t>
        </is>
      </c>
    </row>
    <row r="10" ht="34.5" customHeight="1" s="34">
      <c r="A10" s="141" t="n">
        <v>2025</v>
      </c>
      <c r="B10" s="145" t="inlineStr">
        <is>
          <t>Silver</t>
        </is>
      </c>
      <c r="C10" s="143" t="inlineStr">
        <is>
          <t>Sounds of the Land</t>
        </is>
      </c>
      <c r="D10" s="141" t="inlineStr">
        <is>
          <t>Billboard Arabia</t>
        </is>
      </c>
      <c r="E10" s="141" t="inlineStr">
        <is>
          <t>Billboard Arabia</t>
        </is>
      </c>
      <c r="F10" s="141" t="inlineStr">
        <is>
          <t>SRMG Labs</t>
        </is>
      </c>
      <c r="G10" s="141" t="inlineStr">
        <is>
          <t>Saudi Arabia</t>
        </is>
      </c>
      <c r="H10" s="80" t="inlineStr">
        <is>
          <t>A14 - Promotional Items/Promotional Printed Media</t>
        </is>
      </c>
      <c r="I10" s="128" t="inlineStr">
        <is>
          <t>https://ascentialcdn.filespin.io/api/v1/conversion/19a407ae77ab4664baed61135cc5ae9f</t>
        </is>
      </c>
      <c r="J10" s="141" t="inlineStr">
        <is>
          <t>gD1XqvQaMR0</t>
        </is>
      </c>
      <c r="K10" s="127" t="n"/>
      <c r="L10" s="128" t="inlineStr">
        <is>
          <t>https://www.lovethework.com/work/entries/sounds-of-the-land-758892</t>
        </is>
      </c>
      <c r="M10" s="113" t="inlineStr">
        <is>
          <t>A 10-track album produced by Billboard Arabia and SRMG Labs in which the topography of Arab landscapes — their terrain, geography, and natural features — is translated into sound. Each track is built from acoustic data drawn from a distinct region of the Arab world, turning the physical land itself into the raw material for music. The album was produced in partnership with gamma., the media and technology company founded by Larry Jackson and Ike Youssef, with packaging designed to reflect the initiative's geographic source material.</t>
        </is>
      </c>
      <c r="N10" s="113" t="inlineStr">
        <is>
          <t>music-magazine, packaging, music-marketing, promotional-item, saudi-arabia, united-states, album, nature, design</t>
        </is>
      </c>
    </row>
    <row r="11" ht="34.5" customHeight="1" s="34">
      <c r="A11" s="141" t="n">
        <v>2025</v>
      </c>
      <c r="B11" s="145" t="inlineStr">
        <is>
          <t>Silver</t>
        </is>
      </c>
      <c r="C11" s="143" t="inlineStr">
        <is>
          <t>Code My Crown</t>
        </is>
      </c>
      <c r="D11" s="141" t="inlineStr">
        <is>
          <t>Dove</t>
        </is>
      </c>
      <c r="E11" s="141" t="inlineStr">
        <is>
          <t>Dove</t>
        </is>
      </c>
      <c r="F11" s="141" t="inlineStr">
        <is>
          <t>Edelman</t>
        </is>
      </c>
      <c r="G11" s="141" t="inlineStr">
        <is>
          <t>United Kingdom</t>
        </is>
      </c>
      <c r="H11" s="80" t="inlineStr">
        <is>
          <t>B01 - Inclusive Design</t>
        </is>
      </c>
      <c r="I11" s="128" t="inlineStr">
        <is>
          <t>https://ascentialcdn.filespin.io/api/v1/conversion/dc773a5191b947ea85626af886046a69</t>
        </is>
      </c>
      <c r="J11" s="141" t="inlineStr">
        <is>
          <t>stQ442QJ9pg</t>
        </is>
      </c>
      <c r="K11" s="127" t="n"/>
      <c r="L11" s="128" t="inlineStr">
        <is>
          <t>https://www.lovethework.com/work/entries/code-my-crown-749303</t>
        </is>
      </c>
      <c r="M11" s="113" t="inlineStr">
        <is>
          <t>A guide and training resource built for game developers that shows how to accurately code Black hair styles and textures inside video game character creators — covering curl patterns, locs, braids, and protective styles that are routinely absent or poorly rendered in mainstream titles. Developed by Dove and Edelman London, it addresses the gap between the diversity of Black hair and the limited, often inaccurate options players encounter when building avatars that look like them.</t>
        </is>
      </c>
      <c r="N11" s="113" t="inlineStr">
        <is>
          <t>personal-care, gaming, video-games, entertainment, inclusive-design, developer-tool, united-kingdom, black-hair, digital, representation</t>
        </is>
      </c>
    </row>
    <row r="12" ht="34.5" customHeight="1" s="34">
      <c r="A12" s="141" t="n">
        <v>2025</v>
      </c>
      <c r="B12" s="145" t="inlineStr">
        <is>
          <t>Silver</t>
        </is>
      </c>
      <c r="C12" s="143" t="inlineStr">
        <is>
          <t>1837 Tiffany Blue Conservation</t>
        </is>
      </c>
      <c r="D12" s="141" t="inlineStr">
        <is>
          <t>Tiffany &amp; Co.</t>
        </is>
      </c>
      <c r="E12" s="141" t="inlineStr">
        <is>
          <t>Tiffany &amp; Co.</t>
        </is>
      </c>
      <c r="F12" s="141" t="inlineStr">
        <is>
          <t>L&amp;C</t>
        </is>
      </c>
      <c r="G12" s="141" t="inlineStr">
        <is>
          <t>United States</t>
        </is>
      </c>
      <c r="H12" s="80" t="inlineStr">
        <is>
          <t>B02 - Sustainability-Focused Design</t>
        </is>
      </c>
      <c r="I12" s="128" t="inlineStr">
        <is>
          <t>https://ascentialcdn.filespin.io/api/v1/conversion/a9e8fdb5892d441587b7c4c55eb3d5fb</t>
        </is>
      </c>
      <c r="J12" s="141" t="inlineStr">
        <is>
          <t>npGswWNcZC8</t>
        </is>
      </c>
      <c r="K12" s="127" t="n"/>
      <c r="L12" s="128" t="inlineStr">
        <is>
          <t>https://www.lovethework.com/work/entries/1837-tiffany-blue-conservation-749213</t>
        </is>
      </c>
      <c r="M12" s="113" t="inlineStr">
        <is>
          <t>A photography and awareness campaign built around the natural occurrence of Tiffany Blue® in ocean waters across Africa, Australia, and the Caribbean — documenting those specific bodies of water as living proof that the brand's signature color exists in nature. Created with L&amp;C New York, the work ties the 1837 founding color to ocean conservation by treating the shade itself as the thing worth protecting.</t>
        </is>
      </c>
      <c r="N12" s="113" t="inlineStr">
        <is>
          <t>luxury-jewelry, sustainability, photography, ocean-conservation, united-states, africa, australia, caribbean, brand-identity</t>
        </is>
      </c>
    </row>
    <row r="13" ht="34.5" customHeight="1" s="34">
      <c r="A13" s="141" t="n">
        <v>2025</v>
      </c>
      <c r="B13" s="145" t="inlineStr">
        <is>
          <t>Silver</t>
        </is>
      </c>
      <c r="C13" s="143" t="inlineStr">
        <is>
          <t>Fixables</t>
        </is>
      </c>
      <c r="D13" s="141" t="inlineStr">
        <is>
          <t>Philips</t>
        </is>
      </c>
      <c r="E13" s="141" t="inlineStr">
        <is>
          <t>Philips Personal Care</t>
        </is>
      </c>
      <c r="F13" s="141" t="inlineStr">
        <is>
          <t>LePub</t>
        </is>
      </c>
      <c r="G13" s="141" t="inlineStr">
        <is>
          <t>Netherlands</t>
        </is>
      </c>
      <c r="H13" s="80" t="inlineStr">
        <is>
          <t>B02 - Sustainability-Focused Design</t>
        </is>
      </c>
      <c r="I13" s="128" t="inlineStr">
        <is>
          <t>https://ascentialcdn.filespin.io/api/v1/conversion/9e978f653c5c45cf903985a90708656d</t>
        </is>
      </c>
      <c r="J13" s="141" t="inlineStr">
        <is>
          <t>vimeo:1093399093</t>
        </is>
      </c>
      <c r="K13" s="127" t="n"/>
      <c r="L13" s="128" t="inlineStr">
        <is>
          <t>https://www.lovethework.com/work/entries/fixables-761443</t>
        </is>
      </c>
      <c r="M13" s="113" t="inlineStr">
        <is>
          <t>A library of free, downloadable 3D-printable replacement parts for Philips personal care products — broken clips, covers, and components that would otherwise send a device to landfill — developed with 3D printer manufacturer Prusa Research and LePub Amsterdam and Milan. The parts are designed to spec so consumers can print exact replacements at home or through a local print service, extending the life of products already in circulation.</t>
        </is>
      </c>
      <c r="N13" s="113" t="inlineStr">
        <is>
          <t>personal-care, sustainability, 3d-printing, product-design, netherlands, repair, consumer-electronics, design-for-behaviour-change</t>
        </is>
      </c>
    </row>
    <row r="14" ht="34.5" customHeight="1" s="34">
      <c r="A14" s="141" t="n">
        <v>2025</v>
      </c>
      <c r="B14" s="145" t="inlineStr">
        <is>
          <t>Silver</t>
        </is>
      </c>
      <c r="C14" s="143" t="inlineStr">
        <is>
          <t>Airquity</t>
        </is>
      </c>
      <c r="D14" s="141" t="inlineStr">
        <is>
          <t>Ear Switch</t>
        </is>
      </c>
      <c r="E14" s="141" t="inlineStr">
        <is>
          <t>Health Equity - Diagnostics</t>
        </is>
      </c>
      <c r="F14" s="141" t="inlineStr">
        <is>
          <t>Havas Lynx</t>
        </is>
      </c>
      <c r="G14" s="141" t="inlineStr">
        <is>
          <t>United Kingdom</t>
        </is>
      </c>
      <c r="H14" s="80" t="inlineStr">
        <is>
          <t>B03 - Innovation in Design</t>
        </is>
      </c>
      <c r="I14" s="128" t="inlineStr">
        <is>
          <t>https://ascentialcdn.filespin.io/api/v1/conversion/14dd689fdcf14ce4a777dc6c4aad2522</t>
        </is>
      </c>
      <c r="J14" s="141" t="inlineStr">
        <is>
          <t>Un9NkS9jsws</t>
        </is>
      </c>
      <c r="K14" s="127" t="n"/>
      <c r="L14" s="128" t="inlineStr">
        <is>
          <t>https://www.lovethework.com/work/entries/airquity-749221</t>
        </is>
      </c>
      <c r="M14" s="113" t="inlineStr">
        <is>
          <t>A core pulse oximeter designed to take blood-oxygen readings from inside the ear canal rather than from the fingertip — a site where skin pigmentation does not affect the light-absorption readings that cause standard fingertip oximeters to return less accurate results for darker skin tones. Developed by EarSwitch with Havas Lynx, Manchester, the device delivers medical-grade biometric data from a location where, as the brief puts it, all skin looks the same.</t>
        </is>
      </c>
      <c r="N14" s="113" t="inlineStr">
        <is>
          <t>health-diagnostics, medical-device, product-design, health-equity, wearable, united-kingdom, b2c, racial-inclusion</t>
        </is>
      </c>
    </row>
    <row r="15" ht="34.5" customHeight="1" s="34">
      <c r="A15" s="141" t="n">
        <v>2025</v>
      </c>
      <c r="B15" s="145" t="inlineStr">
        <is>
          <t>Silver</t>
        </is>
      </c>
      <c r="C15" s="143" t="inlineStr">
        <is>
          <t>The 100% Home Compostable Sticker</t>
        </is>
      </c>
      <c r="D15" s="141" t="inlineStr">
        <is>
          <t>Zespri</t>
        </is>
      </c>
      <c r="E15" s="141" t="inlineStr">
        <is>
          <t>Kiwifruit</t>
        </is>
      </c>
      <c r="F15" s="141" t="inlineStr">
        <is>
          <t>Grey</t>
        </is>
      </c>
      <c r="G15" s="141" t="inlineStr">
        <is>
          <t>Brazil</t>
        </is>
      </c>
      <c r="H15" s="80" t="inlineStr">
        <is>
          <t>B03 - Innovation in Design</t>
        </is>
      </c>
      <c r="I15" s="128" t="inlineStr">
        <is>
          <t>https://ascentialcdn.filespin.io/api/v1/conversion/b852cca2fa1a4002b499bc5cf7f064f1</t>
        </is>
      </c>
      <c r="J15" s="141" t="inlineStr">
        <is>
          <t>vimeo:1117425129</t>
        </is>
      </c>
      <c r="K15" s="127" t="n"/>
      <c r="L15" s="128" t="inlineStr">
        <is>
          <t>https://www.lovethework.com/work/entries/the-100-home-compostable-sticker-749240</t>
        </is>
      </c>
      <c r="M15" s="113" t="inlineStr">
        <is>
          <t>A fruit sticker redesigned from scratch to be fully home compostable — replacing the conventional plastic PLU label that typically ends up in landfill after peeling. Developed by Grey São Paulo for Zespri over four years, the sticker is made to break down in a standard home compost bin alongside the kiwifruit's skin and core.</t>
        </is>
      </c>
      <c r="N15" s="113" t="inlineStr">
        <is>
          <t>kiwifruit, packaging, sustainability, design, brazil, compostable, produce, fmcg</t>
        </is>
      </c>
    </row>
    <row r="16" ht="34.5" customHeight="1" s="34">
      <c r="A16" s="141" t="n">
        <v>2025</v>
      </c>
      <c r="B16" s="145" t="inlineStr">
        <is>
          <t>Silver</t>
        </is>
      </c>
      <c r="C16" s="143" t="inlineStr">
        <is>
          <t>Self-Packing Cheese</t>
        </is>
      </c>
      <c r="D16" s="141" t="inlineStr">
        <is>
          <t>Nestlé</t>
        </is>
      </c>
      <c r="E16" s="141" t="inlineStr">
        <is>
          <t>Que Rico Cheese</t>
        </is>
      </c>
      <c r="F16" s="141" t="inlineStr">
        <is>
          <t>Ogilvy Colombia</t>
        </is>
      </c>
      <c r="G16" s="141" t="inlineStr">
        <is>
          <t>Colombia</t>
        </is>
      </c>
      <c r="H16" s="80" t="inlineStr">
        <is>
          <t>B03 - Innovation in Design</t>
        </is>
      </c>
      <c r="I16" s="128" t="inlineStr">
        <is>
          <t>https://ascentialcdn.filespin.io/api/v1/conversion/897a79315f0b4bf2a5afd35d6e3217ac</t>
        </is>
      </c>
      <c r="J16" s="141" t="inlineStr">
        <is>
          <t>vimeo:1172671869</t>
        </is>
      </c>
      <c r="K16" s="127" t="n"/>
      <c r="L16" s="128" t="inlineStr">
        <is>
          <t>https://www.lovethework.com/work/entries/self-packing-cheese-758771</t>
        </is>
      </c>
      <c r="M16" s="113" t="inlineStr">
        <is>
          <t>A biodegradable cheese wrapper for Nestlé's ¡Qué Rico! brand, developed with Ogilvy Colombia, made from whey and other byproducts recovered directly from the cheese production process — meaning the packaging and the product share the same origin. Controlled microorganisms break the bioplastic down after use, replacing the conventional plastic film the product previously shipped in across Central America, currently being piloted in Panama.</t>
        </is>
      </c>
      <c r="N16" s="113" t="inlineStr">
        <is>
          <t>cheese, packaging, biodegradable, sustainability, colombia, panama, central-america, bioplastic, food</t>
        </is>
      </c>
    </row>
    <row r="17" ht="34.5" customHeight="1" s="34">
      <c r="A17" s="141" t="n">
        <v>2025</v>
      </c>
      <c r="B17" s="146" t="inlineStr">
        <is>
          <t>Bronze</t>
        </is>
      </c>
      <c r="C17" s="143" t="inlineStr">
        <is>
          <t>Forest Carbon - In Tune with Nature</t>
        </is>
      </c>
      <c r="D17" s="141" t="inlineStr">
        <is>
          <t>Forest Carbon</t>
        </is>
      </c>
      <c r="E17" s="141" t="inlineStr">
        <is>
          <t>Forest Carbon</t>
        </is>
      </c>
      <c r="F17" s="141" t="inlineStr">
        <is>
          <t>Design Bridge and Partners</t>
        </is>
      </c>
      <c r="G17" s="141" t="inlineStr">
        <is>
          <t>Singapore</t>
        </is>
      </c>
      <c r="H17" s="80" t="inlineStr">
        <is>
          <t>A02 - Rebrand/Refresh of an Existing Brand</t>
        </is>
      </c>
      <c r="I17" s="128" t="inlineStr">
        <is>
          <t>https://ascentialcdn.filespin.io/api/v1/conversion/760f7006f943444ab3c918192eebdfad</t>
        </is>
      </c>
      <c r="J17" s="141" t="inlineStr">
        <is>
          <t>XwYYolWWG-4</t>
        </is>
      </c>
      <c r="K17" s="127" t="n"/>
      <c r="L17" s="128" t="inlineStr">
        <is>
          <t>https://www.lovethework.com/work/entries/forest-carbon-in-tune-with-nature-748684</t>
        </is>
      </c>
      <c r="M17" s="113" t="inlineStr">
        <is>
          <t>A visual identity for Forest Carbon built by Design Bridge and Partners in Singapore that converts returning wildlife sounds — recorded as biodiversity recovers in restored forests — into a dynamic design system. The audio waveforms and ecosystem soundscapes shape the brand's graphic language, shifting its positioning away from carbon credits toward ecosystem restoration, biodiversity, and community impact.</t>
        </is>
      </c>
      <c r="N17" s="113" t="inlineStr">
        <is>
          <t>forest-carbon, branding, visual-identity, sound-design, biodiversity, ecosystem-restoration, singapore, typography, environmental</t>
        </is>
      </c>
    </row>
    <row r="18" ht="34.5" customHeight="1" s="34">
      <c r="A18" s="141" t="n">
        <v>2025</v>
      </c>
      <c r="B18" s="146" t="inlineStr">
        <is>
          <t>Bronze</t>
        </is>
      </c>
      <c r="C18" s="143" t="inlineStr">
        <is>
          <t>Imperia - Genius of Form and Substance</t>
        </is>
      </c>
      <c r="D18" s="141" t="inlineStr">
        <is>
          <t>Imperia</t>
        </is>
      </c>
      <c r="E18" s="141" t="inlineStr">
        <is>
          <t>Pasta Machines</t>
        </is>
      </c>
      <c r="F18" s="141" t="inlineStr">
        <is>
          <t>Imperia &amp; Monferrina</t>
        </is>
      </c>
      <c r="G18" s="141" t="inlineStr">
        <is>
          <t>Italy</t>
        </is>
      </c>
      <c r="H18" s="80" t="inlineStr">
        <is>
          <t>A02 - Rebrand/Refresh of an Existing Brand</t>
        </is>
      </c>
      <c r="I18" s="128" t="inlineStr">
        <is>
          <t>https://ascentialcdn.filespin.io/api/v1/conversion/145b3050646d4642adeb6588b0db97cf</t>
        </is>
      </c>
      <c r="J18" s="141" t="inlineStr">
        <is>
          <t>tS0qNXl9a4U</t>
        </is>
      </c>
      <c r="K18" s="127" t="n"/>
      <c r="L18" s="128" t="inlineStr">
        <is>
          <t>https://www.lovethework.com/work/entries/imperia-genius-of-form-and-substance-748618</t>
        </is>
      </c>
      <c r="M18" s="113" t="inlineStr">
        <is>
          <t>A brand refresh for Imperia, a historic Italian pasta machine manufacturer with a 90-year legacy, centered on the dual meaning of its product: the precision engineering of the machine's form and the craft of the pasta it produces. The campaign repositioned the brand's identity around this tension between industrial design and culinary tradition.</t>
        </is>
      </c>
      <c r="N18" s="113" t="inlineStr">
        <is>
          <t>pasta-machine, rebrand, brand-identity, italy, food-equipment, heritage, print</t>
        </is>
      </c>
    </row>
    <row r="19" ht="34.5" customHeight="1" s="34">
      <c r="A19" s="141" t="n">
        <v>2025</v>
      </c>
      <c r="B19" s="146" t="inlineStr">
        <is>
          <t>Bronze</t>
        </is>
      </c>
      <c r="C19" s="143" t="inlineStr">
        <is>
          <t>Fc25</t>
        </is>
      </c>
      <c r="D19" s="141" t="inlineStr">
        <is>
          <t>EA Sports FC</t>
        </is>
      </c>
      <c r="E19" s="141" t="inlineStr">
        <is>
          <t>Entertainment</t>
        </is>
      </c>
      <c r="F19" s="141" t="inlineStr">
        <is>
          <t>Uncommon Creative Studio</t>
        </is>
      </c>
      <c r="G19" s="141" t="inlineStr">
        <is>
          <t>United Kingdom</t>
        </is>
      </c>
      <c r="H19" s="80" t="inlineStr">
        <is>
          <t>A02 - Rebrand/Refresh of an Existing Brand</t>
        </is>
      </c>
      <c r="I19" s="128" t="inlineStr">
        <is>
          <t>https://ascentialcdn.filespin.io/api/v1/conversion/5d4639fd2bc1430db0604b45d23a8ed6</t>
        </is>
      </c>
      <c r="J19" s="141" t="inlineStr">
        <is>
          <t>vimeo:1015306334</t>
        </is>
      </c>
      <c r="K19" s="127" t="n"/>
      <c r="L19" s="128" t="inlineStr">
        <is>
          <t>https://www.lovethework.com/work/entries/fc25-758851</t>
        </is>
      </c>
      <c r="M19" s="113" t="inlineStr">
        <is>
          <t>A packaging redesign for EA Sports FC 25 that overhauled the visual identity of the football video game's physical and promotional materials. Developed by Uncommon Creative Studio in London, the work refreshed the brand's design language across packaging formats to mark the franchise's evolution from its previous FIFA branding.</t>
        </is>
      </c>
      <c r="N19" s="113" t="inlineStr">
        <is>
          <t>entertainment, video-game, packaging, rebrand, united-kingdom, sports, design</t>
        </is>
      </c>
    </row>
    <row r="20" ht="34.5" customHeight="1" s="34">
      <c r="A20" s="141" t="n">
        <v>2025</v>
      </c>
      <c r="B20" s="146" t="inlineStr">
        <is>
          <t>Bronze</t>
        </is>
      </c>
      <c r="C20" s="143" t="inlineStr">
        <is>
          <t>Price Packs</t>
        </is>
      </c>
      <c r="D20" s="141" t="inlineStr">
        <is>
          <t>Penny</t>
        </is>
      </c>
      <c r="E20" s="141" t="inlineStr">
        <is>
          <t>Food/Non-Food</t>
        </is>
      </c>
      <c r="F20" s="141" t="inlineStr">
        <is>
          <t>Serviceplan Germany</t>
        </is>
      </c>
      <c r="G20" s="141" t="inlineStr">
        <is>
          <t>Germany</t>
        </is>
      </c>
      <c r="H20" s="80" t="inlineStr">
        <is>
          <t>A03 - Packaging Design</t>
        </is>
      </c>
      <c r="I20" s="128" t="inlineStr">
        <is>
          <t>https://ascentialcdn.filespin.io/api/v1/conversion/67b6df2a0fe64deeb274c91d50040c54</t>
        </is>
      </c>
      <c r="J20" s="141" t="inlineStr">
        <is>
          <t>cnAXR4lk6R0</t>
        </is>
      </c>
      <c r="K20" s="127" t="n"/>
      <c r="L20" s="128" t="inlineStr">
        <is>
          <t>https://www.lovethework.com/work/entries/price-packs-748709</t>
        </is>
      </c>
      <c r="M20" s="113" t="inlineStr">
        <is>
          <t>A packaging redesign for five Penny staples — oatmeal, toast, salt, crisps, mayonnaise — that swaps standard product graphics for the locked-in low price rendered enormous on the front of the pack. The shelf becomes its own price-stability ad, with the same visual extended to outdoor across all 2,100 stores.</t>
        </is>
      </c>
      <c r="N20" s="113" t="inlineStr">
        <is>
          <t>packaging, retail, ooh, supermarket, grocery, design, price, germany, market-disruption</t>
        </is>
      </c>
    </row>
    <row r="21" ht="34.5" customHeight="1" s="34">
      <c r="A21" s="141" t="n">
        <v>2025</v>
      </c>
      <c r="B21" s="146" t="inlineStr">
        <is>
          <t>Bronze</t>
        </is>
      </c>
      <c r="C21" s="143" t="inlineStr">
        <is>
          <t>Mattel Creations Not Wheels</t>
        </is>
      </c>
      <c r="D21" s="141" t="inlineStr">
        <is>
          <t>Mattel Creations</t>
        </is>
      </c>
      <c r="E21" s="141" t="inlineStr">
        <is>
          <t>Hot Wheels x MSCHF</t>
        </is>
      </c>
      <c r="F21" s="141" t="inlineStr">
        <is>
          <t>Mattel</t>
        </is>
      </c>
      <c r="G21" s="141" t="inlineStr">
        <is>
          <t>United States</t>
        </is>
      </c>
      <c r="H21" s="80" t="inlineStr">
        <is>
          <t>A04 - Product Design</t>
        </is>
      </c>
      <c r="I21" s="128" t="inlineStr">
        <is>
          <t>https://ascentialcdn.filespin.io/api/v1/conversion/558c6e807d6740a6a711540be7529132</t>
        </is>
      </c>
      <c r="J21" s="141" t="inlineStr">
        <is>
          <t>2uWOMMH9PLk</t>
        </is>
      </c>
      <c r="K21" s="127" t="n"/>
      <c r="L21" s="128" t="inlineStr">
        <is>
          <t>https://www.lovethework.com/work/entries/mattel-creations-not-wheels-748931</t>
        </is>
      </c>
      <c r="M21" s="113" t="inlineStr">
        <is>
          <t>Mattel Creations launched 'Not Wheels' by turning Hot Wheels' polished fantasy into a broken, wheel-less collectible sold through a deliberately janky, Craigslist-style campaign. From gritty product photos to 'does not roll' copy and collector forum chaos, every touchpoint made the dumbest car in the garage feel like the hottest drop on the internet.</t>
        </is>
      </c>
      <c r="N21" s="113" t="inlineStr">
        <is>
          <t>toys, packaged-goods, cpg, fmcg, product-design, drop, social-media, humor, collectible, united-states</t>
        </is>
      </c>
    </row>
    <row r="22" ht="34.5" customHeight="1" s="34">
      <c r="A22" s="141" t="n">
        <v>2025</v>
      </c>
      <c r="B22" s="146" t="inlineStr">
        <is>
          <t>Bronze</t>
        </is>
      </c>
      <c r="C22" s="143" t="inlineStr">
        <is>
          <t>Winter Takes on Colors</t>
        </is>
      </c>
      <c r="D22" s="141" t="inlineStr">
        <is>
          <t>McDonald's Polska</t>
        </is>
      </c>
      <c r="E22" s="141" t="inlineStr">
        <is>
          <t>Drwala Burger (LTO)</t>
        </is>
      </c>
      <c r="F22" s="141" t="inlineStr">
        <is>
          <t>DDB Warsaw</t>
        </is>
      </c>
      <c r="G22" s="141" t="inlineStr">
        <is>
          <t>Poland</t>
        </is>
      </c>
      <c r="H22" s="80" t="inlineStr">
        <is>
          <t>A08 - Brand Environment &amp; Experience Design</t>
        </is>
      </c>
      <c r="I22" s="128" t="inlineStr">
        <is>
          <t>https://ascentialcdn.filespin.io/api/v1/conversion/0bcb01dc0d92499c8033fe42497178ff</t>
        </is>
      </c>
      <c r="J22" s="141" t="inlineStr">
        <is>
          <t>qcSHtBgAB6o</t>
        </is>
      </c>
      <c r="K22" s="127" t="n"/>
      <c r="L22" s="128" t="inlineStr">
        <is>
          <t>https://www.lovethework.com/work/entries/winter-takes-on-colors-748849</t>
        </is>
      </c>
      <c r="M22" s="113" t="inlineStr">
        <is>
          <t>A McDonald's restaurant in the Polish ski town of Ustroń wrapped — inside and out — in five months of hand-knit wool, paired with a 'Hot N Cold' apparel line of branded fleeces, balaclavas, and trousers. Both built around the Polish winter return of the Drwala lumberjack burger, turning a seasonal menu item into a destination.</t>
        </is>
      </c>
      <c r="N22" s="113" t="inlineStr">
        <is>
          <t>qsr, fast-food, restaurant, food, retail-experience, branded-merch, craft, fashion, poland, seasonal, ooh</t>
        </is>
      </c>
    </row>
    <row r="23" ht="34.5" customHeight="1" s="34">
      <c r="A23" s="141" t="n">
        <v>2025</v>
      </c>
      <c r="B23" s="146" t="inlineStr">
        <is>
          <t>Bronze</t>
        </is>
      </c>
      <c r="C23" s="143" t="inlineStr">
        <is>
          <t>Justice by Her Type</t>
        </is>
      </c>
      <c r="D23" s="141" t="inlineStr">
        <is>
          <t>Families Surviving Feminicides Collective</t>
        </is>
      </c>
      <c r="E23" s="141" t="inlineStr">
        <is>
          <t>Families Surviving Feminicides Collective</t>
        </is>
      </c>
      <c r="F23" s="141" t="inlineStr">
        <is>
          <t>Garnier BBDO</t>
        </is>
      </c>
      <c r="G23" s="141" t="inlineStr">
        <is>
          <t>Costa Rica</t>
        </is>
      </c>
      <c r="H23" s="80" t="inlineStr">
        <is>
          <t>A09 - Design-Driven Effectiveness</t>
        </is>
      </c>
      <c r="I23" s="128" t="inlineStr">
        <is>
          <t>https://ascentialcdn.filespin.io/api/v1/conversion/09f9e036aeb845c58e96f2c55d8dd7f9</t>
        </is>
      </c>
      <c r="J23" s="141" t="inlineStr">
        <is>
          <t>W_-UgnjJBRc</t>
        </is>
      </c>
      <c r="K23" s="127" t="n"/>
      <c r="L23" s="128" t="inlineStr">
        <is>
          <t>https://www.lovethework.com/work/entries/justice-by-her-type-748777</t>
        </is>
      </c>
      <c r="M23" s="113" t="inlineStr">
        <is>
          <t>A typeface collection drawn from the handwriting of women killed by femicide in Costa Rica, created by Garnier BBDO so that each victim's personal script becomes a usable public font. The typefaces are made freely available, letting anyone who sets text in them carry the women's own letterforms into documents, posters, and legal materials.</t>
        </is>
      </c>
      <c r="N23" s="113" t="inlineStr">
        <is>
          <t>public-service, typography, design, gender-based-violence, costa-rica, print, latin-america, advocacy</t>
        </is>
      </c>
    </row>
    <row r="24" ht="34.5" customHeight="1" s="34">
      <c r="A24" s="141" t="n">
        <v>2025</v>
      </c>
      <c r="B24" s="146" t="inlineStr">
        <is>
          <t>Bronze</t>
        </is>
      </c>
      <c r="C24" s="143" t="inlineStr">
        <is>
          <t>Sad Kama-Chan</t>
        </is>
      </c>
      <c r="D24" s="141" t="inlineStr">
        <is>
          <t>Bar B Q Plaza</t>
        </is>
      </c>
      <c r="E24" s="141" t="inlineStr">
        <is>
          <t>Bar B Q Plaza</t>
        </is>
      </c>
      <c r="F24" s="141" t="inlineStr">
        <is>
          <t>Grey Thailand</t>
        </is>
      </c>
      <c r="G24" s="141" t="inlineStr">
        <is>
          <t>Thailand</t>
        </is>
      </c>
      <c r="H24" s="80" t="inlineStr">
        <is>
          <t>A09 - Design-Driven Effectiveness</t>
        </is>
      </c>
      <c r="I24" s="128" t="inlineStr">
        <is>
          <t>https://ascentialcdn.filespin.io/api/v1/conversion/b1a090f7c816487f8dcee01d4c656df9</t>
        </is>
      </c>
      <c r="J24" s="141" t="inlineStr">
        <is>
          <t>h7MYlQFAKMg</t>
        </is>
      </c>
      <c r="K24" s="127" t="n"/>
      <c r="L24" s="128" t="inlineStr">
        <is>
          <t>https://www.lovethework.com/work/entries/sad-kama-chan-748974</t>
        </is>
      </c>
      <c r="M24" s="113" t="inlineStr">
        <is>
          <t>A mascot redesign for Bar B Q Plaza in Thailand that turned the brand's cheerful fishball character, Kama-Chan, permanently sad — drooping eyes, downturned mouth — and rolled the new look across packaging, in-restaurant materials, and digital touchpoints. The shift was built on the observation that Thai customers associate hot pot and barbecue dining with gathering to process heartbreak and bad days, not just celebration.</t>
        </is>
      </c>
      <c r="N24" s="113" t="inlineStr">
        <is>
          <t>restaurant, food, mascot-design, packaging, experiential, integrated, thailand, character-design, retail-design</t>
        </is>
      </c>
    </row>
    <row r="25" ht="34.5" customHeight="1" s="34">
      <c r="A25" s="141" t="n">
        <v>2025</v>
      </c>
      <c r="B25" s="146" t="inlineStr">
        <is>
          <t>Bronze</t>
        </is>
      </c>
      <c r="C25" s="143" t="inlineStr">
        <is>
          <t>Packed Full of History</t>
        </is>
      </c>
      <c r="D25" s="141" t="inlineStr">
        <is>
          <t>Samsung Australia</t>
        </is>
      </c>
      <c r="E25" s="141" t="inlineStr">
        <is>
          <t>Samsung Galaxy S24 Ultra</t>
        </is>
      </c>
      <c r="F25" s="141" t="inlineStr">
        <is>
          <t>Clemenger BBDO</t>
        </is>
      </c>
      <c r="G25" s="141" t="inlineStr">
        <is>
          <t>Australia</t>
        </is>
      </c>
      <c r="H25" s="80" t="inlineStr">
        <is>
          <t>A11 - Special Editions &amp; Bespoke Items</t>
        </is>
      </c>
      <c r="I25" s="128" t="inlineStr">
        <is>
          <t>https://ascentialcdn.filespin.io/api/v1/conversion/1403dc4c3f49430e95623bac41b290a1</t>
        </is>
      </c>
      <c r="J25" s="141" t="inlineStr">
        <is>
          <t>vimeo:1046618979</t>
        </is>
      </c>
      <c r="K25" s="127" t="n"/>
      <c r="L25" s="128" t="inlineStr">
        <is>
          <t>https://www.lovethework.com/work/entries/packed-full-of-history-749085</t>
        </is>
      </c>
      <c r="M25" s="113" t="inlineStr">
        <is>
          <t>A Galaxy S24 Ultra unboxing experience built around Samsung's origin story: the packaging and its contents traced the company's history back to 1938, when it began as a grocery store in Daegu, South Korea. Clemenger BBDO Australia redesigned the retail box as a historical artifact, filling it with references to Samsung's journey from food trader to consumer electronics manufacturer.</t>
        </is>
      </c>
      <c r="N25" s="113" t="inlineStr">
        <is>
          <t>smartphone, packaging, special-edition, unboxing, retail, australia, south-korea, brand-history, clemenger-bbdo</t>
        </is>
      </c>
    </row>
    <row r="26" ht="34.5" customHeight="1" s="34">
      <c r="A26" s="141" t="n">
        <v>2025</v>
      </c>
      <c r="B26" s="146" t="inlineStr">
        <is>
          <t>Bronze</t>
        </is>
      </c>
      <c r="C26" s="143" t="inlineStr">
        <is>
          <t>Eye Test Menu</t>
        </is>
      </c>
      <c r="D26" s="141" t="inlineStr">
        <is>
          <t>Titan Company Limited</t>
        </is>
      </c>
      <c r="E26" s="141" t="inlineStr">
        <is>
          <t>Eyewear</t>
        </is>
      </c>
      <c r="F26" s="141" t="inlineStr">
        <is>
          <t>Ogilvy</t>
        </is>
      </c>
      <c r="G26" s="141" t="inlineStr">
        <is>
          <t>India</t>
        </is>
      </c>
      <c r="H26" s="80" t="inlineStr">
        <is>
          <t>A13 - Posters</t>
        </is>
      </c>
      <c r="I26" s="128" t="inlineStr">
        <is>
          <t>https://ascentialcdn.filespin.io/api/v1/conversion/e1437e92753d4a789ee8e1f1be1c30ba</t>
        </is>
      </c>
      <c r="J26" s="141" t="inlineStr">
        <is>
          <t>vimeo:1093963149</t>
        </is>
      </c>
      <c r="K26" s="127" t="n"/>
      <c r="L26" s="128" t="inlineStr">
        <is>
          <t>https://www.lovethework.com/work/entries/eye-test-menu-748977</t>
        </is>
      </c>
      <c r="M26" s="113" t="inlineStr">
        <is>
          <t>A swap-out of the standard eye chart at Indian truck-stop diners ('dhabas') with food menus printed in the same diminishing point sizes. Long-haul truck drivers ordered a meal and unknowingly took an eyesight test — and any driver who struggled to read the lower lines got a free on-site exam from a Titan Eye+ optometrist.</t>
        </is>
      </c>
      <c r="N26" s="113" t="inlineStr">
        <is>
          <t>healthcare, eye-care, optometry, medical, ooh, partnership, road-safety, india, social-good, retail</t>
        </is>
      </c>
    </row>
    <row r="27" ht="34.5" customHeight="1" s="34">
      <c r="A27" s="141" t="n">
        <v>2025</v>
      </c>
      <c r="B27" s="146" t="inlineStr">
        <is>
          <t>Bronze</t>
        </is>
      </c>
      <c r="C27" s="143" t="inlineStr">
        <is>
          <t>Rice of Glory</t>
        </is>
      </c>
      <c r="D27" s="141" t="inlineStr">
        <is>
          <t>Super Extra Rice</t>
        </is>
      </c>
      <c r="E27" s="141" t="inlineStr">
        <is>
          <t>Super Extra Rice</t>
        </is>
      </c>
      <c r="F27" s="141" t="inlineStr">
        <is>
          <t>Maruri</t>
        </is>
      </c>
      <c r="G27" s="141" t="inlineStr">
        <is>
          <t>Ecuador</t>
        </is>
      </c>
      <c r="H27" s="80" t="inlineStr">
        <is>
          <t>A14 - Promotional Items/Promotional Printed Media</t>
        </is>
      </c>
      <c r="I27" s="128" t="inlineStr">
        <is>
          <t>https://ascentialcdn.filespin.io/api/v1/conversion/4023e98735c5497cb6e2d7dea5c76318</t>
        </is>
      </c>
      <c r="J27" s="141" t="inlineStr">
        <is>
          <t>vimeo:1116149596</t>
        </is>
      </c>
      <c r="K27" s="127" t="n"/>
      <c r="L27" s="128" t="inlineStr">
        <is>
          <t>https://www.lovethework.com/work/entries/rice-of-glory-749256</t>
        </is>
      </c>
      <c r="M27" s="113" t="inlineStr">
        <is>
          <t>A set of promotional rice packaging for Super Extra, designed to celebrate Ecuador's national football team, in which the brand's product becomes the medium for patriotic pride during a tournament campaign. Created by Maruri Grey Ecuador with Grey Argentina and Grey Brasil, the packs were designed as collectible printed items that turned an everyday staple into supporter merchandise.</t>
        </is>
      </c>
      <c r="N27" s="113" t="inlineStr">
        <is>
          <t>rice, packaging, promotional-item, promotional-printed-media, football, soccer, sport, ecuador, sports, collectible</t>
        </is>
      </c>
    </row>
    <row r="28" ht="34.5" customHeight="1" s="34">
      <c r="A28" s="141" t="n">
        <v>2025</v>
      </c>
      <c r="B28" s="146" t="inlineStr">
        <is>
          <t>Bronze</t>
        </is>
      </c>
      <c r="C28" s="143" t="inlineStr">
        <is>
          <t>Workwear for Kids</t>
        </is>
      </c>
      <c r="D28" s="141" t="inlineStr">
        <is>
          <t>SOS Children's Villages</t>
        </is>
      </c>
      <c r="E28" s="141" t="inlineStr">
        <is>
          <t>Charity</t>
        </is>
      </c>
      <c r="F28" s="141" t="inlineStr">
        <is>
          <t>Nord DDB</t>
        </is>
      </c>
      <c r="G28" s="141" t="inlineStr">
        <is>
          <t>Sweden</t>
        </is>
      </c>
      <c r="H28" s="80" t="inlineStr">
        <is>
          <t>A14 - Promotional Items/Promotional Printed Media</t>
        </is>
      </c>
      <c r="I28" s="128" t="inlineStr">
        <is>
          <t>https://ascentialcdn.filespin.io/api/v1/conversion/eeb72dfd60ee48fa902e472badb2512e</t>
        </is>
      </c>
      <c r="J28" s="141" t="inlineStr">
        <is>
          <t>mp4:videos/workwear-for-kids.mp4</t>
        </is>
      </c>
      <c r="K28" s="127" t="n"/>
      <c r="L28" s="128" t="inlineStr">
        <is>
          <t>https://www.lovethework.com/work/entries/workwear-for-kids-749238</t>
        </is>
      </c>
      <c r="M28" s="113" t="inlineStr">
        <is>
          <t>A clothing collection designed to look like industry-specific workwear scaled down to children's sizes — garments built for brickmaking, mining, and tobacco work, made for bodies that shouldn't be doing it. Created by Nord DDB Stockholm for SOS Children's Villages, each piece is presented as clothes that shouldn't exist, for conditions that can't be allowed.</t>
        </is>
      </c>
      <c r="N28" s="113" t="inlineStr">
        <is>
          <t>charity, promotional-item, child-labour, apparel, sweden, awareness, print, social-cause</t>
        </is>
      </c>
    </row>
    <row r="29" ht="34.5" customHeight="1" s="34">
      <c r="A29" s="141" t="n">
        <v>2025</v>
      </c>
      <c r="B29" s="146" t="inlineStr">
        <is>
          <t>Bronze</t>
        </is>
      </c>
      <c r="C29" s="143" t="inlineStr">
        <is>
          <t>Project Voice</t>
        </is>
      </c>
      <c r="D29" s="141" t="inlineStr">
        <is>
          <t>Google</t>
        </is>
      </c>
      <c r="E29" s="141" t="inlineStr">
        <is>
          <t>Project Voice</t>
        </is>
      </c>
      <c r="F29" s="141" t="inlineStr">
        <is>
          <t>Google</t>
        </is>
      </c>
      <c r="G29" s="141" t="inlineStr">
        <is>
          <t>Japan</t>
        </is>
      </c>
      <c r="H29" s="80" t="inlineStr">
        <is>
          <t>B01 - Inclusive Design</t>
        </is>
      </c>
      <c r="I29" s="128" t="inlineStr">
        <is>
          <t>https://ascentialcdn.filespin.io/api/v1/conversion/afc236f1ded24f46a0b77a8e8bbb969b</t>
        </is>
      </c>
      <c r="J29" s="141" t="inlineStr">
        <is>
          <t>U-twTRUItjY</t>
        </is>
      </c>
      <c r="K29" s="127" t="n"/>
      <c r="L29" s="128" t="inlineStr">
        <is>
          <t>https://www.lovethework.com/work/entries/project-voice-749358</t>
        </is>
      </c>
      <c r="M29" s="113" t="inlineStr">
        <is>
          <t>A voice-based accessibility project developed by Google in Japan to create and preserve personalized synthetic voices for people who have lost or are losing their ability to speak — allowing individuals to record their natural voice before it deteriorates and use it as their own text-to-speech output. The project addresses the gap between generic, impersonal assistive voices and the identity tied to a person's own speech.</t>
        </is>
      </c>
      <c r="N29" s="113" t="inlineStr">
        <is>
          <t>google-assistant, inclusive-design, accessibility, voice-technology, japan, text-to-speech, assistive-technology</t>
        </is>
      </c>
    </row>
    <row r="30" ht="34.5" customHeight="1" s="34">
      <c r="A30" s="141" t="n">
        <v>2025</v>
      </c>
      <c r="B30" s="146" t="inlineStr">
        <is>
          <t>Bronze</t>
        </is>
      </c>
      <c r="C30" s="143" t="inlineStr">
        <is>
          <t>RooBadge</t>
        </is>
      </c>
      <c r="D30" s="141" t="inlineStr">
        <is>
          <t>Volkswagen</t>
        </is>
      </c>
      <c r="E30" s="141" t="inlineStr">
        <is>
          <t>Automotive Accessory</t>
        </is>
      </c>
      <c r="F30" s="141" t="inlineStr">
        <is>
          <t>DDB Sydney</t>
        </is>
      </c>
      <c r="G30" s="141" t="inlineStr">
        <is>
          <t>Australia</t>
        </is>
      </c>
      <c r="H30" s="80" t="inlineStr">
        <is>
          <t>B03 - Innovation in Design</t>
        </is>
      </c>
      <c r="I30" s="128" t="inlineStr">
        <is>
          <t>https://ascentialcdn.filespin.io/api/v1/conversion/2d6b647363d9454ea677267064f19ea9</t>
        </is>
      </c>
      <c r="J30" s="141" t="inlineStr">
        <is>
          <t>vimeo:1093418498</t>
        </is>
      </c>
      <c r="K30" s="127" t="n"/>
      <c r="L30" s="128" t="inlineStr">
        <is>
          <t>https://www.lovethework.com/work/entries/roobadge-749288</t>
        </is>
      </c>
      <c r="M30" s="113" t="inlineStr">
        <is>
          <t>A drop-in replacement Volkswagen badge that doubles as a directional ultrasound speaker. A paired app cross-references the car's GPS with kangaroo distribution data, identifies which species you're driving through, and plays a deterrent sound tuned to that species' hearing. Developed with the University of Melbourne and wildlife group WIRES.</t>
        </is>
      </c>
      <c r="N30" s="113" t="inlineStr">
        <is>
          <t>automotive, cars, transport, product-innovation, wildlife, audio, machine-learning, ai, technology, australia, road-safety, partnership</t>
        </is>
      </c>
    </row>
    <row r="31" ht="34.5" customHeight="1" s="34">
      <c r="A31" s="141" t="n">
        <v>2025</v>
      </c>
      <c r="B31" s="146" t="inlineStr">
        <is>
          <t>Bronze</t>
        </is>
      </c>
      <c r="C31" s="143" t="inlineStr">
        <is>
          <t>Signs from Heaven</t>
        </is>
      </c>
      <c r="D31" s="141" t="inlineStr">
        <is>
          <t>Pangu Cloud</t>
        </is>
      </c>
      <c r="E31" s="141" t="inlineStr">
        <is>
          <t>Pangu Meteorological Model</t>
        </is>
      </c>
      <c r="F31" s="141" t="inlineStr">
        <is>
          <t>Ogilvy</t>
        </is>
      </c>
      <c r="G31" s="141" t="inlineStr">
        <is>
          <t>China</t>
        </is>
      </c>
      <c r="H31" s="80" t="inlineStr">
        <is>
          <t>B05 - Design for Behavioural Change</t>
        </is>
      </c>
      <c r="I31" s="128" t="inlineStr">
        <is>
          <t>https://ascentialcdn.filespin.io/api/v1/conversion/09dbff10bf5e4eaeae2d578fe9cc19b0</t>
        </is>
      </c>
      <c r="J31" s="141" t="inlineStr">
        <is>
          <t>CLTN81ECv6E</t>
        </is>
      </c>
      <c r="K31" s="127" t="n"/>
      <c r="L31" s="128" t="inlineStr">
        <is>
          <t>https://www.lovethework.com/work/entries/signs-from-heaven-749243</t>
        </is>
      </c>
      <c r="M31" s="113" t="inlineStr">
        <is>
          <t>An early-warning system built for remote fishing communities and villages in Madagascar, using Pangu Cloud's AI-powered meteorological model to detect incoming storms and deliver life-saving weather alerts before they strike. Because thousands of fishermen and villagers die each year from storms they had no advance notice of, the alerts were distributed through local channels accessible to communities with no reliable digital infrastructure.</t>
        </is>
      </c>
      <c r="N31" s="113" t="inlineStr">
        <is>
          <t>meteorological-model, ai, technology, public-safety, ooh, madagascar, china, early-warning, weather</t>
        </is>
      </c>
    </row>
    <row r="32" ht="34.5" customHeight="1" s="34">
      <c r="A32" s="141" t="n">
        <v>2025</v>
      </c>
      <c r="B32" s="146" t="inlineStr">
        <is>
          <t>Bronze</t>
        </is>
      </c>
      <c r="C32" s="143" t="inlineStr">
        <is>
          <t>Fixables</t>
        </is>
      </c>
      <c r="D32" s="141" t="inlineStr">
        <is>
          <t>Philips</t>
        </is>
      </c>
      <c r="E32" s="141" t="inlineStr">
        <is>
          <t>Philips Personal Care</t>
        </is>
      </c>
      <c r="F32" s="141" t="inlineStr">
        <is>
          <t>LePub</t>
        </is>
      </c>
      <c r="G32" s="141" t="inlineStr">
        <is>
          <t>Netherlands</t>
        </is>
      </c>
      <c r="H32" s="80" t="inlineStr">
        <is>
          <t>B05 - Design for Behavioural Change</t>
        </is>
      </c>
      <c r="I32" s="128" t="inlineStr">
        <is>
          <t>https://ascentialcdn.filespin.io/api/v1/conversion/9e978f653c5c45cf903985a90708656d</t>
        </is>
      </c>
      <c r="J32" s="141" t="inlineStr">
        <is>
          <t>vimeo:1093399093</t>
        </is>
      </c>
      <c r="K32" s="127" t="n"/>
      <c r="L32" s="128" t="inlineStr">
        <is>
          <t>https://www.lovethework.com/work/entries/fixables-761474</t>
        </is>
      </c>
      <c r="M32" s="113" t="inlineStr">
        <is>
          <t>A library of free, downloadable 3D-printable replacement parts for Philips personal care products — broken clips, covers, and components that would otherwise send a device to landfill — developed with 3D printer manufacturer Prusa Research and LePub Amsterdam and Milan. The parts are designed to spec so consumers can print exact replacements at home or through a local print service, extending the life of products already in circulation.</t>
        </is>
      </c>
      <c r="N32" s="113" t="inlineStr">
        <is>
          <t>personal-care, sustainability, 3d-printing, product-design, netherlands, repair, consumer-electronics, design-for-behaviour-change</t>
        </is>
      </c>
    </row>
    <row r="33">
      <c r="A33" s="33" t="n">
        <v>2026</v>
      </c>
      <c r="B33" s="167" t="inlineStr">
        <is>
          <t>Grand Prix</t>
        </is>
      </c>
      <c r="C33" s="107" t="inlineStr">
        <is>
          <t>Apple TV Rebrand</t>
        </is>
      </c>
      <c r="D33" s="33" t="inlineStr">
        <is>
          <t>Apple</t>
        </is>
      </c>
      <c r="E33" s="33" t="inlineStr">
        <is>
          <t>Apple TV</t>
        </is>
      </c>
      <c r="F33" s="33" t="inlineStr">
        <is>
          <t>TBWA\Media Arts Lab</t>
        </is>
      </c>
      <c r="G33" s="33" t="inlineStr">
        <is>
          <t>United States</t>
        </is>
      </c>
      <c r="H33" s="33" t="inlineStr">
        <is>
          <t>B06 - Brand Transformation</t>
        </is>
      </c>
      <c r="I33" s="33" t="inlineStr">
        <is>
          <t>https://ascentialcdn.filespin.io/api/v1/conversion/83147eccb7f34d4d9ab76b4096338806</t>
        </is>
      </c>
      <c r="J33" s="33" t="inlineStr">
        <is>
          <t>MWfJcl8deLE</t>
        </is>
      </c>
      <c r="L33" s="33" t="inlineStr">
        <is>
          <t>https://www.lovethework.com/work/entries/apple-tv-rebrand-786182</t>
        </is>
      </c>
      <c r="M33" s="33" t="inlineStr">
        <is>
          <t>The Design Grand Prix: a full rebrand of Apple TV built around a new logo rendered as a hand-crafted glass sculpture — sculpted and filmed in a real studio rather than computer-generated — that refracts light and colour as it rotates. The identity champions analogue craft over CGI, paired with an original sonic signature, to reposition the streaming service.</t>
        </is>
      </c>
      <c r="N33" s="33" t="inlineStr">
        <is>
          <t>apple, apple tv, streaming, tv, entertainment, technology, rebrand, brand transformation, logo, glass sculpture, craft, analogue, sonic identity, design, tbwa media arts lab, united states</t>
        </is>
      </c>
    </row>
    <row r="34">
      <c r="A34" s="33" t="n">
        <v>2026</v>
      </c>
      <c r="B34" s="164" t="inlineStr">
        <is>
          <t>Gold</t>
        </is>
      </c>
      <c r="C34" s="107" t="inlineStr">
        <is>
          <t>The Volvo Cars Safety Standard</t>
        </is>
      </c>
      <c r="D34" s="33" t="inlineStr">
        <is>
          <t>Volvo</t>
        </is>
      </c>
      <c r="E34" s="33" t="inlineStr">
        <is>
          <t>Automobile</t>
        </is>
      </c>
      <c r="F34" s="33" t="inlineStr">
        <is>
          <t>AKQA</t>
        </is>
      </c>
      <c r="G34" s="33" t="inlineStr">
        <is>
          <t>Sweden</t>
        </is>
      </c>
      <c r="H34" s="33" t="inlineStr">
        <is>
          <t>A02 - Rebrand/Refresh of an Existing Brand</t>
        </is>
      </c>
      <c r="I34" s="33" t="inlineStr">
        <is>
          <t>https://ascentialcdn.filespin.io/api/v1/conversion/f1357aaae4ed464ca0a17ccb1adb5e98</t>
        </is>
      </c>
      <c r="J34" s="33" t="inlineStr">
        <is>
          <t>jL3XxEk0HX0</t>
        </is>
      </c>
      <c r="L34" s="33" t="inlineStr">
        <is>
          <t>https://www.lovethework.com/work/entries/the-volvo-cars-safety-standard-782377</t>
        </is>
      </c>
      <c r="M34" s="33" t="inlineStr">
        <is>
          <t>A rebrand for Volvo built entirely around the company's founding promise of safety. The system spans a typeface engineered for instant readability, a colour drawn from high-visibility safety testing, a reinvention of the iconic three-point seatbelt and stories pulled from Volvo's Safety Centre — turning safety itself into the brand's design language.</t>
        </is>
      </c>
      <c r="N34" s="33" t="inlineStr">
        <is>
          <t>volvo, automobile, car, automotive, cars, transport, safety, rebrand, brand identity, typeface, seatbelt, design system, akqa, sweden</t>
        </is>
      </c>
    </row>
    <row r="35">
      <c r="A35" s="33" t="n">
        <v>2026</v>
      </c>
      <c r="B35" s="164" t="inlineStr">
        <is>
          <t>Gold</t>
        </is>
      </c>
      <c r="C35" s="107" t="inlineStr">
        <is>
          <t>Supernova Adaptive</t>
        </is>
      </c>
      <c r="D35" s="33" t="inlineStr">
        <is>
          <t>Adidas</t>
        </is>
      </c>
      <c r="E35" s="33" t="inlineStr">
        <is>
          <t>Adidas</t>
        </is>
      </c>
      <c r="F35" s="33" t="inlineStr">
        <is>
          <t>TBWA\Canada</t>
        </is>
      </c>
      <c r="G35" s="33" t="inlineStr">
        <is>
          <t>Canada</t>
        </is>
      </c>
      <c r="H35" s="33" t="inlineStr">
        <is>
          <t>A04 - Product Design</t>
        </is>
      </c>
      <c r="I35" s="33" t="inlineStr">
        <is>
          <t>https://ascentialcdn.filespin.io/api/v1/conversion/1e629829a1314891907fcdf2e45ced1c</t>
        </is>
      </c>
      <c r="J35" s="33" t="inlineStr">
        <is>
          <t>vimeo:1203657943</t>
        </is>
      </c>
      <c r="L35" s="33" t="inlineStr">
        <is>
          <t>https://www.lovethework.com/work/entries/supernova-adaptive-785947</t>
        </is>
      </c>
      <c r="M35" s="33" t="inlineStr">
        <is>
          <t>An adaptive running shoe designed by Adidas for runners with disabilities, reengineering the Supernova for easier, more independent entry and a secure fit without compromising performance — bringing inclusive design to mainstream running footwear.</t>
        </is>
      </c>
      <c r="N35" s="33" t="inlineStr">
        <is>
          <t>adidas, supernova, running shoe, footwear, sportswear, product design, adaptive, inclusive design, accessibility, disability, sport, tbwa canada, canada</t>
        </is>
      </c>
    </row>
    <row r="36">
      <c r="A36" s="33" t="n">
        <v>2026</v>
      </c>
      <c r="B36" s="164" t="inlineStr">
        <is>
          <t>Gold</t>
        </is>
      </c>
      <c r="C36" s="107" t="inlineStr">
        <is>
          <t>Dancebook Brasil</t>
        </is>
      </c>
      <c r="D36" s="33" t="inlineStr">
        <is>
          <t>Bradesco</t>
        </is>
      </c>
      <c r="E36" s="33" t="inlineStr">
        <is>
          <t>Dancebook</t>
        </is>
      </c>
      <c r="F36" s="33" t="inlineStr">
        <is>
          <t>Lovely</t>
        </is>
      </c>
      <c r="G36" s="33" t="inlineStr">
        <is>
          <t>Brazil</t>
        </is>
      </c>
      <c r="H36" s="33" t="inlineStr">
        <is>
          <t>A06 - Books</t>
        </is>
      </c>
      <c r="I36" s="33" t="inlineStr">
        <is>
          <t>https://ascentialcdn.filespin.io/api/v1/conversion/b415c78034584c779670a38d6621b19c</t>
        </is>
      </c>
      <c r="J36" s="33" t="inlineStr">
        <is>
          <t>NxkU4hE_GLw</t>
        </is>
      </c>
      <c r="L36" s="33" t="inlineStr">
        <is>
          <t>https://www.lovethework.com/work/entries/dancebook-brasil-778348</t>
        </is>
      </c>
      <c r="M36" s="33" t="inlineStr">
        <is>
          <t>A book by Bradesco that records Brazil's national dances as written notation. Created with choreographer Carlinhos de Jesus, it translates the movement of traditional Brazilian dance into a printed score, preserving a physical, oral heritage in book form.</t>
        </is>
      </c>
      <c r="N36" s="33" t="inlineStr">
        <is>
          <t>bradesco, banking, financial-services, finance, dancebook, book, publishing, dance, notation, brazilian culture, heritage, design, lovely, brazil</t>
        </is>
      </c>
    </row>
    <row r="37">
      <c r="A37" s="33" t="n">
        <v>2026</v>
      </c>
      <c r="B37" s="164" t="inlineStr">
        <is>
          <t>Gold</t>
        </is>
      </c>
      <c r="C37" s="107" t="inlineStr">
        <is>
          <t>NPR: For Your Right to Be Curious</t>
        </is>
      </c>
      <c r="D37" s="33" t="inlineStr">
        <is>
          <t>NPR</t>
        </is>
      </c>
      <c r="E37" s="33" t="inlineStr">
        <is>
          <t>NPR</t>
        </is>
      </c>
      <c r="F37" s="33" t="inlineStr">
        <is>
          <t>Mischief at No Fixed Address</t>
        </is>
      </c>
      <c r="G37" s="33" t="inlineStr">
        <is>
          <t>United States</t>
        </is>
      </c>
      <c r="H37" s="33" t="inlineStr">
        <is>
          <t>A15 - IP-led Brand Identity &amp; Storytelling</t>
        </is>
      </c>
      <c r="I37" s="33" t="inlineStr">
        <is>
          <t>https://ascentialcdn.filespin.io/api/v1/conversion/421c42333cb94a249d2298fdf9ead951</t>
        </is>
      </c>
      <c r="J37" s="33" t="inlineStr">
        <is>
          <t>enk5Z1Ph5E8</t>
        </is>
      </c>
      <c r="L37" s="33" t="inlineStr">
        <is>
          <t>https://www.lovethework.com/work/entries/npr-for-your-right-to-be-curious-786087</t>
        </is>
      </c>
      <c r="M37" s="33" t="inlineStr">
        <is>
          <t>A campaign that, for the first time, rewrites NPR's iconic three-letter logo — swapping 'NPR' for the three-letter questions 'how,' 'who,' 'why' (and 'wtf' on a tote) — to champion the right to be curious. The flexible identity runs across video, social, a New York Times print placement and limited-edition merchandise.</t>
        </is>
      </c>
      <c r="N37" s="33" t="inlineStr">
        <is>
          <t>npr, public radio, media, broadcasting, logo, brand identity, ip-led, curiosity, typography, merchandise, design, mischief at no fixed address, united states</t>
        </is>
      </c>
    </row>
    <row r="38">
      <c r="A38" s="33" t="n">
        <v>2026</v>
      </c>
      <c r="B38" s="165" t="inlineStr">
        <is>
          <t>Silver</t>
        </is>
      </c>
      <c r="C38" s="107" t="inlineStr">
        <is>
          <t>Tigris – Condensed Identity</t>
        </is>
      </c>
      <c r="D38" s="33" t="inlineStr">
        <is>
          <t>Tigris</t>
        </is>
      </c>
      <c r="E38" s="33" t="inlineStr">
        <is>
          <t>Tigris</t>
        </is>
      </c>
      <c r="F38" s="33" t="inlineStr">
        <is>
          <t>Hakuhodo</t>
        </is>
      </c>
      <c r="G38" s="33" t="inlineStr">
        <is>
          <t>Japan</t>
        </is>
      </c>
      <c r="H38" s="33" t="inlineStr">
        <is>
          <t>A01 - Brand/Corporate Identity</t>
        </is>
      </c>
      <c r="I38" s="33" t="inlineStr">
        <is>
          <t>https://ascentialcdn.filespin.io/api/v1/conversion/b94d607b9b964c7d8d16c9b32fdb6697</t>
        </is>
      </c>
      <c r="J38" s="33" t="inlineStr">
        <is>
          <t>vimeo:1203791570</t>
        </is>
      </c>
      <c r="L38" s="33" t="inlineStr">
        <is>
          <t>https://www.lovethework.com/work/entries/tigris-condensed-identity-779601</t>
        </is>
      </c>
      <c r="M38" s="33" t="inlineStr">
        <is>
          <t>A brand and corporate identity system for Tigris by Hakuhodo, built on a condensed design language that compresses the brand's typography and visual elements into a tight, distinctive identity.</t>
        </is>
      </c>
      <c r="N38" s="33" t="inlineStr">
        <is>
          <t>tigris, brand identity, corporate identity, design, typography, condensed, visual system, hakuhodo, japan</t>
        </is>
      </c>
    </row>
    <row r="39">
      <c r="A39" s="33" t="n">
        <v>2026</v>
      </c>
      <c r="B39" s="165" t="inlineStr">
        <is>
          <t>Silver</t>
        </is>
      </c>
      <c r="C39" s="107" t="inlineStr">
        <is>
          <t>Amazonia</t>
        </is>
      </c>
      <c r="D39" s="33" t="inlineStr">
        <is>
          <t>Embratur and RAI</t>
        </is>
      </c>
      <c r="E39" s="33" t="inlineStr">
        <is>
          <t>The Brazilian Amazon as a Traveling Destination</t>
        </is>
      </c>
      <c r="F39" s="33" t="inlineStr">
        <is>
          <t>FutureBrand</t>
        </is>
      </c>
      <c r="G39" s="33" t="inlineStr">
        <is>
          <t>Brazil</t>
        </is>
      </c>
      <c r="H39" s="33" t="inlineStr">
        <is>
          <t>A01 - Brand/Corporate Identity</t>
        </is>
      </c>
      <c r="I39" s="33" t="inlineStr">
        <is>
          <t>https://ascentialcdn.filespin.io/api/v1/conversion/ea167258677745959ec7eb94bf4a0b71</t>
        </is>
      </c>
      <c r="J39" s="33" t="inlineStr">
        <is>
          <t>bJiJQbaniR8</t>
        </is>
      </c>
      <c r="L39" s="33" t="inlineStr">
        <is>
          <t>https://www.lovethework.com/work/entries/amazonia-782361</t>
        </is>
      </c>
      <c r="M39" s="33" t="inlineStr">
        <is>
          <t>The first-ever destination brand for the Brazilian Amazon, created by FutureBrand for Embratur and RAI (Integrated Amazon Routes). It unifies the Legal Amazon — nine states and 60% of Brazil's territory — under a single identity, 'Amazônia,' built to promote sustainable tourism and generate value for local producers.</t>
        </is>
      </c>
      <c r="N39" s="33" t="inlineStr">
        <is>
          <t>embratur, rai, amazonia, amazon, brazil, tourism, travel, destination brand, place branding, brand identity, sustainability, environment, design, futurebrand</t>
        </is>
      </c>
    </row>
    <row r="40">
      <c r="A40" s="33" t="n">
        <v>2026</v>
      </c>
      <c r="B40" s="165" t="inlineStr">
        <is>
          <t>Silver</t>
        </is>
      </c>
      <c r="C40" s="107" t="inlineStr">
        <is>
          <t>Dear Difference</t>
        </is>
      </c>
      <c r="D40" s="33" t="inlineStr">
        <is>
          <t>Nikka Whisky</t>
        </is>
      </c>
      <c r="E40" s="33" t="inlineStr">
        <is>
          <t>Taketsuru Pure Malt</t>
        </is>
      </c>
      <c r="F40" s="33" t="inlineStr">
        <is>
          <t>Dentsu</t>
        </is>
      </c>
      <c r="G40" s="33" t="inlineStr">
        <is>
          <t>Japan</t>
        </is>
      </c>
      <c r="H40" s="33" t="inlineStr">
        <is>
          <t>A02 - Rebrand/Refresh of an Existing Brand</t>
        </is>
      </c>
      <c r="I40" s="33" t="inlineStr">
        <is>
          <t>https://ascentialcdn.filespin.io/api/v1/conversion/989a30f1e03d4419b8afc46a016f5f01</t>
        </is>
      </c>
      <c r="J40" s="33" t="inlineStr">
        <is>
          <t>vimeo:1203783616</t>
        </is>
      </c>
      <c r="L40" s="33" t="inlineStr">
        <is>
          <t>https://www.lovethework.com/work/entries/dear-difference-779290</t>
        </is>
      </c>
      <c r="M40" s="33" t="inlineStr">
        <is>
          <t>A design for Nikka's Taketsuru Pure Malt that visualises the whisky through microscopic analogue dots made from physical paint experiments, crafting artwork that depicts both the blending of the malt and the life story of the brand's founder.</t>
        </is>
      </c>
      <c r="N40" s="33" t="inlineStr">
        <is>
          <t>nikka, whisky, whiskey, taketsuru, alcohol, spirits, drinks, rebrand, packaging, art direction, analogue, craft, design, dentsu, japan</t>
        </is>
      </c>
    </row>
    <row r="41">
      <c r="A41" s="33" t="n">
        <v>2026</v>
      </c>
      <c r="B41" s="165" t="inlineStr">
        <is>
          <t>Silver</t>
        </is>
      </c>
      <c r="C41" s="107" t="inlineStr">
        <is>
          <t>Tilt Accessible Beauty - Product Design</t>
        </is>
      </c>
      <c r="D41" s="33" t="inlineStr">
        <is>
          <t>Tilt</t>
        </is>
      </c>
      <c r="E41" s="33" t="inlineStr">
        <is>
          <t>Tilt</t>
        </is>
      </c>
      <c r="F41" s="33" t="inlineStr">
        <is>
          <t>Established</t>
        </is>
      </c>
      <c r="G41" s="33" t="inlineStr">
        <is>
          <t>United States</t>
        </is>
      </c>
      <c r="H41" s="33" t="inlineStr">
        <is>
          <t>A04 - Product Design</t>
        </is>
      </c>
      <c r="I41" s="33" t="inlineStr">
        <is>
          <t>https://ascentialcdn.filespin.io/api/v1/conversion/5c6873f287dc49608a5ddd2e045a5b0e</t>
        </is>
      </c>
      <c r="J41" s="33" t="inlineStr">
        <is>
          <t>sugJkmlq9To</t>
        </is>
      </c>
      <c r="L41" s="33" t="inlineStr">
        <is>
          <t>https://www.lovethework.com/work/entries/tilt-accessible-beauty-product-design-785940</t>
        </is>
      </c>
      <c r="M41" s="33" t="inlineStr">
        <is>
          <t>Cosmetic packaging from Tilt Beauty reengineered for real hands. Built around the Arthritis Foundation's Ease of Use guidelines, the packaging is redesigned for grip, torque and control so people with limited dexterity can open and apply their own makeup. (Product Design entry.)</t>
        </is>
      </c>
      <c r="N41" s="33" t="inlineStr">
        <is>
          <t>tilt, tilt beauty, cosmetics, personal-care, beauty, makeup, packaging, product design, accessibility, inclusive design, arthritis, dexterity, design, established, united states</t>
        </is>
      </c>
    </row>
    <row r="42">
      <c r="A42" s="33" t="n">
        <v>2026</v>
      </c>
      <c r="B42" s="165" t="inlineStr">
        <is>
          <t>Silver</t>
        </is>
      </c>
      <c r="C42" s="107" t="inlineStr">
        <is>
          <t>Craftman.ships</t>
        </is>
      </c>
      <c r="D42" s="33" t="inlineStr">
        <is>
          <t>Ships</t>
        </is>
      </c>
      <c r="E42" s="33" t="inlineStr">
        <is>
          <t>Ships</t>
        </is>
      </c>
      <c r="F42" s="33" t="inlineStr">
        <is>
          <t>Hakuhodo Gravity</t>
        </is>
      </c>
      <c r="G42" s="33" t="inlineStr">
        <is>
          <t>Japan</t>
        </is>
      </c>
      <c r="H42" s="33" t="inlineStr">
        <is>
          <t>A09 - Design-Driven Effectiveness</t>
        </is>
      </c>
      <c r="I42" s="33" t="inlineStr">
        <is>
          <t>https://ascentialcdn.filespin.io/api/v1/conversion/a564d50f9bf442f2a538ebf19954b74e</t>
        </is>
      </c>
      <c r="J42" s="33" t="inlineStr">
        <is>
          <t>vimeo:1203783886</t>
        </is>
      </c>
      <c r="L42" s="33" t="inlineStr">
        <is>
          <t>https://www.lovethework.com/work/entries/craftmanships-782399</t>
        </is>
      </c>
      <c r="M42" s="33" t="inlineStr">
        <is>
          <t>A design-driven campaign for Japanese fashion retailer Ships by Hakuhodo Gravity, playing on the pun 'Craftman.ships' to spotlight the craftsmanship behind the brand's clothing.</t>
        </is>
      </c>
      <c r="N42" s="33" t="inlineStr">
        <is>
          <t>ships, fashion, apparel, retail, clothing, design-driven effectiveness, craftsmanship, art direction, design, hakuhodo gravity, japan</t>
        </is>
      </c>
    </row>
    <row r="43">
      <c r="A43" s="33" t="n">
        <v>2026</v>
      </c>
      <c r="B43" s="165" t="inlineStr">
        <is>
          <t>Silver</t>
        </is>
      </c>
      <c r="C43" s="107" t="inlineStr">
        <is>
          <t>Zip Code Exam</t>
        </is>
      </c>
      <c r="D43" s="33" t="inlineStr">
        <is>
          <t>Equality Health Foundation</t>
        </is>
      </c>
      <c r="E43" s="33" t="inlineStr">
        <is>
          <t>Zip Code Exam</t>
        </is>
      </c>
      <c r="F43" s="33" t="inlineStr">
        <is>
          <t>Area 23</t>
        </is>
      </c>
      <c r="G43" s="33" t="inlineStr">
        <is>
          <t>United States</t>
        </is>
      </c>
      <c r="H43" s="33" t="inlineStr">
        <is>
          <t>A09 - Design-Driven Effectiveness</t>
        </is>
      </c>
      <c r="I43" s="33" t="inlineStr">
        <is>
          <t>https://ascentialcdn.filespin.io/api/v1/conversion/b3d90269b33e4a59bf35bb51f993a884</t>
        </is>
      </c>
      <c r="J43" s="33" t="inlineStr">
        <is>
          <t>iSAmHA_hjuw</t>
        </is>
      </c>
      <c r="L43" s="33" t="inlineStr">
        <is>
          <t>https://www.lovethework.com/work/entries/zip-code-exam-782427</t>
        </is>
      </c>
      <c r="M43" s="33" t="inlineStr">
        <is>
          <t>A digital health experience from the Equality Health Foundation that begins not with a stethoscope but with your address. By examining how a person's ZIP code shapes their environment, it reveals how place affects health and life expectancy — turning location data into a personal health assessment.</t>
        </is>
      </c>
      <c r="N43" s="33" t="inlineStr">
        <is>
          <t>equality health foundation, healthcare, health, public health, zip code, data, digital design, design-driven effectiveness, social determinants, nonprofit, design, area 23, united states</t>
        </is>
      </c>
    </row>
    <row r="44">
      <c r="A44" s="33" t="n">
        <v>2026</v>
      </c>
      <c r="B44" s="165" t="inlineStr">
        <is>
          <t>Silver</t>
        </is>
      </c>
      <c r="C44" s="107" t="inlineStr">
        <is>
          <t>Dressed for Wimbledon</t>
        </is>
      </c>
      <c r="D44" s="33" t="inlineStr">
        <is>
          <t>Stella Artois</t>
        </is>
      </c>
      <c r="E44" s="33" t="inlineStr">
        <is>
          <t>Stella Artois</t>
        </is>
      </c>
      <c r="F44" s="33" t="inlineStr">
        <is>
          <t>Gut</t>
        </is>
      </c>
      <c r="G44" s="33" t="inlineStr">
        <is>
          <t>Netherlands</t>
        </is>
      </c>
      <c r="H44" s="33" t="inlineStr">
        <is>
          <t>A15 - IP-led Brand Identity &amp; Storytelling</t>
        </is>
      </c>
      <c r="I44" s="33" t="inlineStr">
        <is>
          <t>https://ascentialcdn.filespin.io/api/v1/conversion/4bab5b8e9ac1446ca85f68c2614208e0</t>
        </is>
      </c>
      <c r="J44" s="33" t="inlineStr">
        <is>
          <t>mp4:videos/design-stella-artois-dressed-for-wimbledon.mp4</t>
        </is>
      </c>
      <c r="L44" s="33" t="inlineStr">
        <is>
          <t>https://www.lovethework.com/work/entries/dressed-for-wimbledon-787829</t>
        </is>
      </c>
      <c r="M44" s="33" t="inlineStr">
        <is>
          <t>A limited-edition Stella Artois brand world created for Wimbledon, dressing the beer in the tournament's visual codes to build a storytelling-led identity around the championship. (IP-led Brand Identity &amp; Storytelling entry.)</t>
        </is>
      </c>
      <c r="N44" s="33" t="inlineStr">
        <is>
          <t>stella artois, beer, alcohol, lager, drinks, wimbledon, tennis, sport, ip-led, brand identity, storytelling, limited edition, design, gut, netherlands</t>
        </is>
      </c>
    </row>
    <row r="45">
      <c r="A45" s="33" t="n">
        <v>2026</v>
      </c>
      <c r="B45" s="165" t="inlineStr">
        <is>
          <t>Silver</t>
        </is>
      </c>
      <c r="C45" s="107" t="inlineStr">
        <is>
          <t>Tilt Accessible Beauty - Inclusive Design</t>
        </is>
      </c>
      <c r="D45" s="33" t="inlineStr">
        <is>
          <t>Tilt</t>
        </is>
      </c>
      <c r="E45" s="33" t="inlineStr">
        <is>
          <t>Tilt</t>
        </is>
      </c>
      <c r="F45" s="33" t="inlineStr">
        <is>
          <t>Established</t>
        </is>
      </c>
      <c r="G45" s="33" t="inlineStr">
        <is>
          <t>United States</t>
        </is>
      </c>
      <c r="H45" s="33" t="inlineStr">
        <is>
          <t>B01 - Inclusive Design</t>
        </is>
      </c>
      <c r="I45" s="33" t="inlineStr">
        <is>
          <t>https://ascentialcdn.filespin.io/api/v1/conversion/5c6873f287dc49608a5ddd2e045a5b0e</t>
        </is>
      </c>
      <c r="J45" s="33" t="inlineStr">
        <is>
          <t>sugJkmlq9To</t>
        </is>
      </c>
      <c r="L45" s="33" t="inlineStr">
        <is>
          <t>https://www.lovethework.com/work/entries/tilt-accessible-beauty-inclusive-design-782430</t>
        </is>
      </c>
      <c r="M45" s="33" t="inlineStr">
        <is>
          <t>Cosmetic packaging from Tilt Beauty reengineered for real hands. Built around the Arthritis Foundation's Ease of Use guidelines, the packaging is redesigned for grip, torque and control so people with limited dexterity can open and apply their own makeup. (Inclusive Design entry.)</t>
        </is>
      </c>
      <c r="N45" s="33" t="inlineStr">
        <is>
          <t>tilt, tilt beauty, cosmetics, personal-care, beauty, makeup, packaging, inclusive design, accessibility, product design, arthritis, dexterity, design, established, united states</t>
        </is>
      </c>
    </row>
    <row r="46">
      <c r="A46" s="33" t="n">
        <v>2026</v>
      </c>
      <c r="B46" s="166" t="inlineStr">
        <is>
          <t>Bronze</t>
        </is>
      </c>
      <c r="C46" s="107" t="inlineStr">
        <is>
          <t>The Grit &amp; The Glitter</t>
        </is>
      </c>
      <c r="D46" s="33" t="inlineStr">
        <is>
          <t>London Museum</t>
        </is>
      </c>
      <c r="E46" s="33" t="inlineStr">
        <is>
          <t>London Museum</t>
        </is>
      </c>
      <c r="F46" s="33" t="inlineStr">
        <is>
          <t>Uncommon Creative Studio</t>
        </is>
      </c>
      <c r="G46" s="33" t="inlineStr">
        <is>
          <t>United Kingdom</t>
        </is>
      </c>
      <c r="H46" s="33" t="inlineStr">
        <is>
          <t>A01 - Brand/Corporate Identity</t>
        </is>
      </c>
      <c r="I46" s="33" t="inlineStr">
        <is>
          <t>https://ascentialcdn.filespin.io/api/v1/conversion/782dc9a9903e4cf1a3f46e3f253a104e</t>
        </is>
      </c>
      <c r="J46" s="33" t="inlineStr">
        <is>
          <t>w0PXDwXygLE</t>
        </is>
      </c>
      <c r="L46" s="33" t="inlineStr">
        <is>
          <t>https://www.lovethework.com/work/entries/the-grit-the-glitter-782354</t>
        </is>
      </c>
      <c r="M46" s="33" t="inlineStr">
        <is>
          <t>The new brand identity for the London Museum, built around an unlikely icon: a white clay pigeon trailed by a glittering gold 'splat.' The pigeon-and-splat motif embodies the city's dualities — the grit and the glitter that have coexisted in London for millennia.</t>
        </is>
      </c>
      <c r="N46" s="33" t="inlineStr">
        <is>
          <t>london museum, museum, culture, arts, brand identity, corporate identity, logo, pigeon, london, design, uncommon creative studio, united kingdom</t>
        </is>
      </c>
    </row>
    <row r="47">
      <c r="A47" s="33" t="n">
        <v>2026</v>
      </c>
      <c r="B47" s="166" t="inlineStr">
        <is>
          <t>Bronze</t>
        </is>
      </c>
      <c r="C47" s="107" t="inlineStr">
        <is>
          <t>Dressed for Wimbledon</t>
        </is>
      </c>
      <c r="D47" s="33" t="inlineStr">
        <is>
          <t>Stella Artois</t>
        </is>
      </c>
      <c r="E47" s="33" t="inlineStr">
        <is>
          <t>Stella Artois</t>
        </is>
      </c>
      <c r="F47" s="33" t="inlineStr">
        <is>
          <t>Gut</t>
        </is>
      </c>
      <c r="G47" s="33" t="inlineStr">
        <is>
          <t>Netherlands</t>
        </is>
      </c>
      <c r="H47" s="33" t="inlineStr">
        <is>
          <t>A03 - Packaging Design</t>
        </is>
      </c>
      <c r="I47" s="33" t="inlineStr">
        <is>
          <t>https://ascentialcdn.filespin.io/api/v1/conversion/4bab5b8e9ac1446ca85f68c2614208e0</t>
        </is>
      </c>
      <c r="J47" s="33" t="inlineStr">
        <is>
          <t>mp4:videos/design-stella-artois-dressed-for-wimbledon.mp4</t>
        </is>
      </c>
      <c r="L47" s="33" t="inlineStr">
        <is>
          <t>https://www.lovethework.com/work/entries/dressed-for-wimbledon-782375</t>
        </is>
      </c>
      <c r="M47" s="33" t="inlineStr">
        <is>
          <t>Limited-edition Stella Artois packaging designed for Wimbledon, dressing the bottle and serve in the tournament's iconic visual language. (Packaging Design entry.)</t>
        </is>
      </c>
      <c r="N47" s="33" t="inlineStr">
        <is>
          <t>stella artois, beer, alcohol, lager, drinks, wimbledon, tennis, sport, packaging, limited edition, design, gut, netherlands</t>
        </is>
      </c>
    </row>
    <row r="48">
      <c r="A48" s="33" t="n">
        <v>2026</v>
      </c>
      <c r="B48" s="166" t="inlineStr">
        <is>
          <t>Bronze</t>
        </is>
      </c>
      <c r="C48" s="107" t="inlineStr">
        <is>
          <t>DIN – The Magazine in All Formats</t>
        </is>
      </c>
      <c r="D48" s="33" t="inlineStr">
        <is>
          <t>DIN</t>
        </is>
      </c>
      <c r="E48" s="33" t="inlineStr">
        <is>
          <t>DIN Standard of Paper Sizes</t>
        </is>
      </c>
      <c r="F48" s="33" t="inlineStr">
        <is>
          <t>RYSM</t>
        </is>
      </c>
      <c r="G48" s="33" t="inlineStr">
        <is>
          <t>Germany</t>
        </is>
      </c>
      <c r="H48" s="33" t="inlineStr">
        <is>
          <t>A05 - Publications &amp; Editorial Design</t>
        </is>
      </c>
      <c r="I48" s="33" t="inlineStr">
        <is>
          <t>https://ascentialcdn.filespin.io/api/v1/conversion/030c3e9e68684c859c6c3b04420e6ceb</t>
        </is>
      </c>
      <c r="J48" s="33" t="inlineStr">
        <is>
          <t>VCq3MyrBack</t>
        </is>
      </c>
      <c r="L48" s="33" t="inlineStr">
        <is>
          <t>https://www.lovethework.com/work/entries/din-the-magazine-in-all-formats-782352</t>
        </is>
      </c>
      <c r="M48" s="33" t="inlineStr">
        <is>
          <t>A magazine for DIN — the German standards body behind the A-series paper sizes — published across all of those formats at once. The editorial design turns the standard it created into the medium itself, printing the publication in the full range of DIN paper sizes.</t>
        </is>
      </c>
      <c r="N48" s="33" t="inlineStr">
        <is>
          <t>din, standards, paper sizes, magazine, editorial, publishing, publication design, print, germany, design, rysm</t>
        </is>
      </c>
    </row>
    <row r="49">
      <c r="A49" s="33" t="n">
        <v>2026</v>
      </c>
      <c r="B49" s="166" t="inlineStr">
        <is>
          <t>Bronze</t>
        </is>
      </c>
      <c r="C49" s="107" t="inlineStr">
        <is>
          <t>The Birdwatcher</t>
        </is>
      </c>
      <c r="D49" s="33" t="inlineStr">
        <is>
          <t>Spoor</t>
        </is>
      </c>
      <c r="E49" s="33" t="inlineStr">
        <is>
          <t>AI-Powered Bird Monitoring for Wind Projects</t>
        </is>
      </c>
      <c r="F49" s="33" t="inlineStr">
        <is>
          <t>FP7 McCann</t>
        </is>
      </c>
      <c r="G49" s="33" t="inlineStr">
        <is>
          <t>United Arab Emirates</t>
        </is>
      </c>
      <c r="H49" s="33" t="inlineStr">
        <is>
          <t>A07 - Digital Design</t>
        </is>
      </c>
      <c r="I49" s="33" t="inlineStr">
        <is>
          <t>https://ascentialcdn.filespin.io/api/v1/conversion/0eb636bf154a4ef1aea8148155642885</t>
        </is>
      </c>
      <c r="J49" s="33" t="inlineStr">
        <is>
          <t>DbL7yAqIQaw</t>
        </is>
      </c>
      <c r="L49" s="33" t="inlineStr">
        <is>
          <t>https://www.lovethework.com/work/entries/the-birdwatcher-782381</t>
        </is>
      </c>
      <c r="M49" s="33" t="inlineStr">
        <is>
          <t>A digital experience from AI wildlife-monitoring company Spoor that makes invisible bird activity around wind farms visible. It transforms complex monitoring data into an open, accessible interface for policymakers, industry and the public, supporting biodiversity and permitting decisions for wind energy.</t>
        </is>
      </c>
      <c r="N49" s="33" t="inlineStr">
        <is>
          <t>spoor, wind energy, renewable energy, wildlife, birds, conservation, environment, sustainability, ai, technology, data visualization, digital design, design, fp7 mccann, united arab emirates</t>
        </is>
      </c>
    </row>
    <row r="50">
      <c r="A50" s="33" t="n">
        <v>2026</v>
      </c>
      <c r="B50" s="166" t="inlineStr">
        <is>
          <t>Bronze</t>
        </is>
      </c>
      <c r="C50" s="107" t="inlineStr">
        <is>
          <t>Rail Clock</t>
        </is>
      </c>
      <c r="D50" s="33" t="inlineStr">
        <is>
          <t>Network Rail</t>
        </is>
      </c>
      <c r="E50" s="33" t="inlineStr">
        <is>
          <t>Rail Clock</t>
        </is>
      </c>
      <c r="F50" s="33" t="inlineStr">
        <is>
          <t>Design Bridge and Partners</t>
        </is>
      </c>
      <c r="G50" s="33" t="inlineStr">
        <is>
          <t>United Kingdom</t>
        </is>
      </c>
      <c r="H50" s="33" t="inlineStr">
        <is>
          <t>A08 - Brand Environment &amp; Experience Design</t>
        </is>
      </c>
      <c r="I50" s="33" t="inlineStr">
        <is>
          <t>https://ascentialcdn.filespin.io/api/v1/conversion/fb423dd872794ac5af45d162fa535799</t>
        </is>
      </c>
      <c r="J50" s="33" t="inlineStr">
        <is>
          <t>vimeo:1127539727</t>
        </is>
      </c>
      <c r="L50" s="33" t="inlineStr">
        <is>
          <t>https://www.lovethework.com/work/entries/rail-clock-782423</t>
        </is>
      </c>
      <c r="M50" s="33" t="inlineStr">
        <is>
          <t>A new public timepiece for Britain's railways, unveiled at London Bridge Station. The 1.8-metre clock takes the railway's iconic 1965 double-arrow symbol and integrates it into the clock face, its two halves travelling in opposite directions to converge precisely on the hour.</t>
        </is>
      </c>
      <c r="N50" s="33" t="inlineStr">
        <is>
          <t>network rail, railway, transport, infrastructure, clock, timepiece, environmental design, experience design, double arrow, public design, design bridge and partners, united kingdom</t>
        </is>
      </c>
    </row>
    <row r="51">
      <c r="A51" s="33" t="n">
        <v>2026</v>
      </c>
      <c r="B51" s="166" t="inlineStr">
        <is>
          <t>Bronze</t>
        </is>
      </c>
      <c r="C51" s="107" t="inlineStr">
        <is>
          <t>The Periodic Fable</t>
        </is>
      </c>
      <c r="D51" s="33" t="inlineStr">
        <is>
          <t>The Ordinary</t>
        </is>
      </c>
      <c r="E51" s="33" t="inlineStr">
        <is>
          <t>The Ordinary</t>
        </is>
      </c>
      <c r="F51" s="33" t="inlineStr">
        <is>
          <t>Uncommon Creative Studio</t>
        </is>
      </c>
      <c r="G51" s="33" t="inlineStr">
        <is>
          <t>United Kingdom</t>
        </is>
      </c>
      <c r="H51" s="33" t="inlineStr">
        <is>
          <t>A10 - Brand Collateral</t>
        </is>
      </c>
      <c r="I51" s="33" t="inlineStr">
        <is>
          <t>https://ascentialcdn.filespin.io/api/v1/conversion/68e9398659d74a86812704e4e5e814d4</t>
        </is>
      </c>
      <c r="J51" s="33" t="inlineStr">
        <is>
          <t>mp4:videos/the-ordinary-the-periodic-fable.mp4</t>
        </is>
      </c>
      <c r="L51" s="33" t="inlineStr">
        <is>
          <t>https://www.lovethework.com/work/entries/the-periodic-fable-782446</t>
        </is>
      </c>
      <c r="M51" s="33" t="inlineStr">
        <is>
          <t>Collateral for skincare brand The Ordinary that debunks the beauty industry's marketing language. Using clinical typography and a lab aesthetic, it reworks the periodic table, replacing elements with baseless beauty buzzwords like 'age-defying' and 'wrinkle-erasing' to expose persuasive design dressed up as science.</t>
        </is>
      </c>
      <c r="N51" s="33" t="inlineStr">
        <is>
          <t>the ordinary, skincare, personal-care, beauty, cosmetics, brand collateral, periodic table, typography, science, marketing critique, design, uncommon creative studio, united kingdom</t>
        </is>
      </c>
    </row>
    <row r="52">
      <c r="A52" s="33" t="n">
        <v>2026</v>
      </c>
      <c r="B52" s="166" t="inlineStr">
        <is>
          <t>Bronze</t>
        </is>
      </c>
      <c r="C52" s="107" t="inlineStr">
        <is>
          <t>Little Breaks</t>
        </is>
      </c>
      <c r="D52" s="33" t="inlineStr">
        <is>
          <t>KitKat</t>
        </is>
      </c>
      <c r="E52" s="33" t="inlineStr">
        <is>
          <t>KitKat</t>
        </is>
      </c>
      <c r="F52" s="33" t="inlineStr">
        <is>
          <t>VML</t>
        </is>
      </c>
      <c r="G52" s="33" t="inlineStr">
        <is>
          <t>United Kingdom</t>
        </is>
      </c>
      <c r="H52" s="33" t="inlineStr">
        <is>
          <t>A13 - Posters</t>
        </is>
      </c>
      <c r="I52" s="33" t="inlineStr">
        <is>
          <t>https://ascentialcdn.filespin.io/api/v1/conversion/f781b33aaf214714a14219e4576d0257</t>
        </is>
      </c>
      <c r="J52" s="33" t="inlineStr">
        <is>
          <t>1tpXWMAMRhU</t>
        </is>
      </c>
      <c r="L52" s="33" t="inlineStr">
        <is>
          <t>https://www.lovethework.com/work/entries/little-breaks-782388</t>
        </is>
      </c>
      <c r="M52" s="33" t="inlineStr">
        <is>
          <t>A series of minimalist out-of-home posters for KitKat that transform the familiar logo into subtle hand-drawn illustrations of small everyday moments of pause. Rewarding a closer look, the work drops the tagline entirely, trusting the brand to carry the 'have a break' idea on its own.</t>
        </is>
      </c>
      <c r="N52" s="33" t="inlineStr">
        <is>
          <t>kitkat, chocolate, confectionery, candy, snack, packaged-goods, food, cpg, fmcg, posters, out of home, illustration, minimalism, hand-drawn, design, vml, united kingdom</t>
        </is>
      </c>
    </row>
    <row r="53">
      <c r="A53" s="33" t="n">
        <v>2026</v>
      </c>
      <c r="B53" s="166" t="inlineStr">
        <is>
          <t>Bronze</t>
        </is>
      </c>
      <c r="C53" s="107" t="inlineStr">
        <is>
          <t>Stranger Things in Search</t>
        </is>
      </c>
      <c r="D53" s="33" t="inlineStr">
        <is>
          <t>Google and Netflix</t>
        </is>
      </c>
      <c r="E53" s="33" t="inlineStr">
        <is>
          <t>Google Search and Stranger Things</t>
        </is>
      </c>
      <c r="F53" s="33" t="inlineStr">
        <is>
          <t>Google</t>
        </is>
      </c>
      <c r="G53" s="33" t="inlineStr">
        <is>
          <t>United States</t>
        </is>
      </c>
      <c r="H53" s="33" t="inlineStr">
        <is>
          <t>A14 - Promotional Items/Promotional Printed Media</t>
        </is>
      </c>
      <c r="I53" s="33" t="inlineStr">
        <is>
          <t>https://ascentialcdn.filespin.io/api/v1/conversion/1f0fc0e906a04d56a8ccafe863da9c9a</t>
        </is>
      </c>
      <c r="J53" s="33" t="inlineStr">
        <is>
          <t>FDnNW_HPEwg</t>
        </is>
      </c>
      <c r="L53" s="33" t="inlineStr">
        <is>
          <t>https://www.lovethework.com/work/entries/stranger-things-in-search-782407</t>
        </is>
      </c>
      <c r="M53" s="33" t="inlineStr">
        <is>
          <t>A promotional collaboration between Google and Netflix for Stranger Things. Searching the show on Google triggers a hidden interaction that flips the results page into the show's shadowy, upside-down world, with a button to restore it — turning the search results page itself into branded promotional media.</t>
        </is>
      </c>
      <c r="N53" s="33" t="inlineStr">
        <is>
          <t>google, netflix, stranger things, search, entertainment, streaming, tv, promotional, easter egg, interactive, digital, design, united states</t>
        </is>
      </c>
    </row>
    <row r="54">
      <c r="A54" s="33" t="n">
        <v>2026</v>
      </c>
      <c r="B54" s="166" t="inlineStr">
        <is>
          <t>Bronze</t>
        </is>
      </c>
      <c r="C54" s="107" t="inlineStr">
        <is>
          <t>Lime Guides</t>
        </is>
      </c>
      <c r="D54" s="33" t="inlineStr">
        <is>
          <t>Corona</t>
        </is>
      </c>
      <c r="E54" s="33" t="inlineStr">
        <is>
          <t>Corona</t>
        </is>
      </c>
      <c r="F54" s="33" t="inlineStr">
        <is>
          <t>Grey</t>
        </is>
      </c>
      <c r="G54" s="33" t="inlineStr">
        <is>
          <t>United States</t>
        </is>
      </c>
      <c r="H54" s="33" t="inlineStr">
        <is>
          <t>A14 - Promotional Items/Promotional Printed Media</t>
        </is>
      </c>
      <c r="I54" s="33" t="inlineStr">
        <is>
          <t>https://ascentialcdn.filespin.io/api/v1/conversion/69614d6489d54169b37f9d4f29af9ce2</t>
        </is>
      </c>
      <c r="J54" s="33" t="inlineStr">
        <is>
          <t>vimeo:1188248881</t>
        </is>
      </c>
      <c r="L54" s="33" t="inlineStr">
        <is>
          <t>https://www.lovethework.com/work/entries/lime-guides-782410</t>
        </is>
      </c>
      <c r="M54" s="33" t="inlineStr">
        <is>
          <t>Promotional design for Corona built around the brand's signature ritual of adding a lime to the bottle. The 'Lime Guides' give drinkers a precise guide to the perfect serve, rolled out across trade, digital and social channels.</t>
        </is>
      </c>
      <c r="N54" s="33" t="inlineStr">
        <is>
          <t>corona, beer, alcohol, lager, drinks, lime, ritual, promotional, packaging, design, grey, united states</t>
        </is>
      </c>
    </row>
    <row r="55">
      <c r="A55" s="33" t="n">
        <v>2026</v>
      </c>
      <c r="B55" s="166" t="inlineStr">
        <is>
          <t>Bronze</t>
        </is>
      </c>
      <c r="C55" s="107" t="inlineStr">
        <is>
          <t>The Thousand Sponsors of Muni</t>
        </is>
      </c>
      <c r="D55" s="33" t="inlineStr">
        <is>
          <t>Club Deportivo Municipal</t>
        </is>
      </c>
      <c r="E55" s="33" t="inlineStr">
        <is>
          <t>Club Deportivo Municipal</t>
        </is>
      </c>
      <c r="F55" s="33" t="inlineStr">
        <is>
          <t>McCann Lima</t>
        </is>
      </c>
      <c r="G55" s="33" t="inlineStr">
        <is>
          <t>Peru</t>
        </is>
      </c>
      <c r="H55" s="33" t="inlineStr">
        <is>
          <t>A14 - Promotional Items/Promotional Printed Media</t>
        </is>
      </c>
      <c r="I55" s="33" t="inlineStr">
        <is>
          <t>https://ascentialcdn.filespin.io/api/v1/conversion/cb42507ba80f4fb09424dbb1750b6ab6</t>
        </is>
      </c>
      <c r="J55" s="33" t="inlineStr">
        <is>
          <t>tq775MZGE48</t>
        </is>
      </c>
      <c r="L55" s="33" t="inlineStr">
        <is>
          <t>https://www.lovethework.com/work/entries/the-thousand-sponsors-of-muni-782416</t>
        </is>
      </c>
      <c r="M55" s="33" t="inlineStr">
        <is>
          <t>A promotional design idea for Peruvian football club Deportivo Municipal that turns its supporters into sponsors. In place of a single corporate logo, the club's kit and materials carry the names of a thousand fans, redefining who gets to back the team.</t>
        </is>
      </c>
      <c r="N55" s="33" t="inlineStr">
        <is>
          <t>club deportivo municipal, deportivo municipal, football, soccer, sport, peru, promotional, sponsorship, fans, jersey, kit, design, mccann lima</t>
        </is>
      </c>
    </row>
    <row r="56">
      <c r="A56" s="33" t="n">
        <v>2026</v>
      </c>
      <c r="B56" s="166" t="inlineStr">
        <is>
          <t>Bronze</t>
        </is>
      </c>
      <c r="C56" s="107" t="inlineStr">
        <is>
          <t>Drawn to D&amp;AD</t>
        </is>
      </c>
      <c r="D56" s="33" t="inlineStr">
        <is>
          <t>D&amp;AD</t>
        </is>
      </c>
      <c r="E56" s="33" t="inlineStr">
        <is>
          <t>D&amp;AD</t>
        </is>
      </c>
      <c r="F56" s="33" t="inlineStr">
        <is>
          <t>Jones Knowles Ritchie</t>
        </is>
      </c>
      <c r="G56" s="33" t="inlineStr">
        <is>
          <t>United Kingdom</t>
        </is>
      </c>
      <c r="H56" s="33" t="inlineStr">
        <is>
          <t>A15 - IP-led Brand Identity &amp; Storytelling</t>
        </is>
      </c>
      <c r="I56" s="33" t="inlineStr">
        <is>
          <t>https://ascentialcdn.filespin.io/api/v1/conversion/6691bae68bb94d72911f8037e00c5c49</t>
        </is>
      </c>
      <c r="J56" s="33" t="inlineStr">
        <is>
          <t>9b6Co_CnpO8</t>
        </is>
      </c>
      <c r="L56" s="33" t="inlineStr">
        <is>
          <t>https://www.lovethework.com/work/entries/drawn-to-dad-782453</t>
        </is>
      </c>
      <c r="M56" s="33" t="inlineStr">
        <is>
          <t>An IP-led identity and storytelling system for design-and-advertising body D&amp;AD, created by Jones Knowles Ritchie and built around hand-drawn craft to express the organisation's belief in work made by hand.</t>
        </is>
      </c>
      <c r="N56" s="33" t="inlineStr">
        <is>
          <t>d&amp;ad, design, advertising, awards, brand identity, ip-led, storytelling, illustration, craft, jones knowles ritchie, united kingdom</t>
        </is>
      </c>
    </row>
    <row r="57">
      <c r="A57" s="33" t="n">
        <v>2026</v>
      </c>
      <c r="B57" s="166" t="inlineStr">
        <is>
          <t>Bronze</t>
        </is>
      </c>
      <c r="C57" s="107" t="inlineStr">
        <is>
          <t>Vision Pulse: Sight Beyond Seeing</t>
        </is>
      </c>
      <c r="D57" s="33" t="inlineStr">
        <is>
          <t>Hyundai Motor Group</t>
        </is>
      </c>
      <c r="E57" s="33" t="inlineStr">
        <is>
          <t>Vision Pulse</t>
        </is>
      </c>
      <c r="F57" s="33" t="inlineStr">
        <is>
          <t>Paulus</t>
        </is>
      </c>
      <c r="G57" s="33" t="inlineStr">
        <is>
          <t>South Korea</t>
        </is>
      </c>
      <c r="H57" s="33" t="inlineStr">
        <is>
          <t>B04 - Use of Emerging Technology</t>
        </is>
      </c>
      <c r="I57" s="33" t="inlineStr">
        <is>
          <t>https://ascentialcdn.filespin.io/api/v1/conversion/d07f768f947f447883119e18a0e275cd</t>
        </is>
      </c>
      <c r="J57" s="33" t="inlineStr">
        <is>
          <t>vimeo:1203792583</t>
        </is>
      </c>
      <c r="L57" s="33" t="inlineStr">
        <is>
          <t>https://www.lovethework.com/work/entries/vision-pulse-sight-beyond-seeing-782367</t>
        </is>
      </c>
      <c r="M57" s="33" t="inlineStr">
        <is>
          <t>A driver-safety technology from Hyundai Motor Group that detects hazards hidden outside a vehicle's line of sight. Vision Pulse uses ultra-wideband (UWB) signals to locate objects in real time — accurate to within ten centimetres at up to a hundred metres — and alerts drivers to risks conventional systems would miss.</t>
        </is>
      </c>
      <c r="N57" s="33" t="inlineStr">
        <is>
          <t>hyundai, kia, automotive, cars, transport, car, vehicle, safety, vision pulse, emerging technology, uwb, ultra-wideband, sensor, design, paulus, south korea</t>
        </is>
      </c>
    </row>
    <row r="58">
      <c r="A58" s="33" t="n">
        <v>2026</v>
      </c>
      <c r="B58" s="166" t="inlineStr">
        <is>
          <t>Bronze</t>
        </is>
      </c>
      <c r="C58" s="107" t="inlineStr">
        <is>
          <t>The Undropped Kit</t>
        </is>
      </c>
      <c r="D58" s="33" t="inlineStr">
        <is>
          <t>ASICS</t>
        </is>
      </c>
      <c r="E58" s="33" t="inlineStr">
        <is>
          <t>ASICS</t>
        </is>
      </c>
      <c r="F58" s="33" t="inlineStr">
        <is>
          <t>GUT Toronto</t>
        </is>
      </c>
      <c r="G58" s="33" t="inlineStr">
        <is>
          <t>United Kingdom</t>
        </is>
      </c>
      <c r="H58" s="33" t="inlineStr">
        <is>
          <t>B05 - Design for Behavioural Change</t>
        </is>
      </c>
      <c r="I58" s="33" t="inlineStr">
        <is>
          <t>https://ascentialcdn.filespin.io/api/v1/conversion/c0eaaf5e1bb347e4a08da10527da46c8</t>
        </is>
      </c>
      <c r="J58" s="33" t="inlineStr">
        <is>
          <t>gyzNtC_3Fnw</t>
        </is>
      </c>
      <c r="L58" s="33" t="inlineStr">
        <is>
          <t>https://www.lovethework.com/work/entries/the-undropped-kit-782365</t>
        </is>
      </c>
      <c r="M58" s="33" t="inlineStr">
        <is>
          <t>A reimagined PE kit from ASICS designed to keep teenage girls in sport. Co-created with more than 2,000 UK girls, athlete Tess Howard and inclusive-sportswear experts, the redesigned kit tackles the discomfort and self-consciousness that drive girls to drop out — using design to change behaviour around participation.</t>
        </is>
      </c>
      <c r="N58" s="33" t="inlineStr">
        <is>
          <t>asics, sportswear, pe kit, school, sport, design for behavioural change, girls, participation, inclusive design, gender equality, co-creation, design, golin ketchum, united kingdom</t>
        </is>
      </c>
    </row>
  </sheetData>
  <autoFilter ref="A1:N32"/>
  <hyperlinks>
    <hyperlink xmlns:r="http://schemas.openxmlformats.org/officeDocument/2006/relationships" ref="I2" r:id="rId1"/>
    <hyperlink xmlns:r="http://schemas.openxmlformats.org/officeDocument/2006/relationships" ref="L2" r:id="rId2"/>
    <hyperlink xmlns:r="http://schemas.openxmlformats.org/officeDocument/2006/relationships" ref="I3" r:id="rId3"/>
    <hyperlink xmlns:r="http://schemas.openxmlformats.org/officeDocument/2006/relationships" ref="L3" r:id="rId4"/>
    <hyperlink xmlns:r="http://schemas.openxmlformats.org/officeDocument/2006/relationships" ref="I4" r:id="rId5"/>
    <hyperlink xmlns:r="http://schemas.openxmlformats.org/officeDocument/2006/relationships" ref="L4" r:id="rId6"/>
    <hyperlink xmlns:r="http://schemas.openxmlformats.org/officeDocument/2006/relationships" ref="I5" r:id="rId7"/>
    <hyperlink xmlns:r="http://schemas.openxmlformats.org/officeDocument/2006/relationships" ref="L5" r:id="rId8"/>
    <hyperlink xmlns:r="http://schemas.openxmlformats.org/officeDocument/2006/relationships" ref="I6" r:id="rId9"/>
    <hyperlink xmlns:r="http://schemas.openxmlformats.org/officeDocument/2006/relationships" ref="L6" r:id="rId10"/>
    <hyperlink xmlns:r="http://schemas.openxmlformats.org/officeDocument/2006/relationships" ref="I7" r:id="rId11"/>
    <hyperlink xmlns:r="http://schemas.openxmlformats.org/officeDocument/2006/relationships" ref="L7" r:id="rId12"/>
    <hyperlink xmlns:r="http://schemas.openxmlformats.org/officeDocument/2006/relationships" ref="I8" r:id="rId13"/>
    <hyperlink xmlns:r="http://schemas.openxmlformats.org/officeDocument/2006/relationships" ref="L8" r:id="rId14"/>
    <hyperlink xmlns:r="http://schemas.openxmlformats.org/officeDocument/2006/relationships" ref="I9" r:id="rId15"/>
    <hyperlink xmlns:r="http://schemas.openxmlformats.org/officeDocument/2006/relationships" ref="L9" r:id="rId16"/>
    <hyperlink xmlns:r="http://schemas.openxmlformats.org/officeDocument/2006/relationships" ref="I10" r:id="rId17"/>
    <hyperlink xmlns:r="http://schemas.openxmlformats.org/officeDocument/2006/relationships" ref="L10" r:id="rId18"/>
    <hyperlink xmlns:r="http://schemas.openxmlformats.org/officeDocument/2006/relationships" ref="I11" r:id="rId19"/>
    <hyperlink xmlns:r="http://schemas.openxmlformats.org/officeDocument/2006/relationships" ref="L11" r:id="rId20"/>
    <hyperlink xmlns:r="http://schemas.openxmlformats.org/officeDocument/2006/relationships" ref="I12" r:id="rId21"/>
    <hyperlink xmlns:r="http://schemas.openxmlformats.org/officeDocument/2006/relationships" ref="L12" r:id="rId22"/>
    <hyperlink xmlns:r="http://schemas.openxmlformats.org/officeDocument/2006/relationships" ref="I13" r:id="rId23"/>
    <hyperlink xmlns:r="http://schemas.openxmlformats.org/officeDocument/2006/relationships" ref="L13" r:id="rId24"/>
    <hyperlink xmlns:r="http://schemas.openxmlformats.org/officeDocument/2006/relationships" ref="I14" r:id="rId25"/>
    <hyperlink xmlns:r="http://schemas.openxmlformats.org/officeDocument/2006/relationships" ref="L14" r:id="rId26"/>
    <hyperlink xmlns:r="http://schemas.openxmlformats.org/officeDocument/2006/relationships" ref="I15" r:id="rId27"/>
    <hyperlink xmlns:r="http://schemas.openxmlformats.org/officeDocument/2006/relationships" ref="L15" r:id="rId28"/>
    <hyperlink xmlns:r="http://schemas.openxmlformats.org/officeDocument/2006/relationships" ref="I16" r:id="rId29"/>
    <hyperlink xmlns:r="http://schemas.openxmlformats.org/officeDocument/2006/relationships" ref="L16" r:id="rId30"/>
    <hyperlink xmlns:r="http://schemas.openxmlformats.org/officeDocument/2006/relationships" ref="I17" r:id="rId31"/>
    <hyperlink xmlns:r="http://schemas.openxmlformats.org/officeDocument/2006/relationships" ref="L17" r:id="rId32"/>
    <hyperlink xmlns:r="http://schemas.openxmlformats.org/officeDocument/2006/relationships" ref="I18" r:id="rId33"/>
    <hyperlink xmlns:r="http://schemas.openxmlformats.org/officeDocument/2006/relationships" ref="L18" r:id="rId34"/>
    <hyperlink xmlns:r="http://schemas.openxmlformats.org/officeDocument/2006/relationships" ref="I19" r:id="rId35"/>
    <hyperlink xmlns:r="http://schemas.openxmlformats.org/officeDocument/2006/relationships" ref="L19" r:id="rId36"/>
    <hyperlink xmlns:r="http://schemas.openxmlformats.org/officeDocument/2006/relationships" ref="I20" r:id="rId37"/>
    <hyperlink xmlns:r="http://schemas.openxmlformats.org/officeDocument/2006/relationships" ref="L20" r:id="rId38"/>
    <hyperlink xmlns:r="http://schemas.openxmlformats.org/officeDocument/2006/relationships" ref="I21" r:id="rId39"/>
    <hyperlink xmlns:r="http://schemas.openxmlformats.org/officeDocument/2006/relationships" ref="L21" r:id="rId40"/>
    <hyperlink xmlns:r="http://schemas.openxmlformats.org/officeDocument/2006/relationships" ref="I22" r:id="rId41"/>
    <hyperlink xmlns:r="http://schemas.openxmlformats.org/officeDocument/2006/relationships" ref="L22" r:id="rId42"/>
    <hyperlink xmlns:r="http://schemas.openxmlformats.org/officeDocument/2006/relationships" ref="I23" r:id="rId43"/>
    <hyperlink xmlns:r="http://schemas.openxmlformats.org/officeDocument/2006/relationships" ref="L23" r:id="rId44"/>
    <hyperlink xmlns:r="http://schemas.openxmlformats.org/officeDocument/2006/relationships" ref="I24" r:id="rId45"/>
    <hyperlink xmlns:r="http://schemas.openxmlformats.org/officeDocument/2006/relationships" ref="L24" r:id="rId46"/>
    <hyperlink xmlns:r="http://schemas.openxmlformats.org/officeDocument/2006/relationships" ref="I25" r:id="rId47"/>
    <hyperlink xmlns:r="http://schemas.openxmlformats.org/officeDocument/2006/relationships" ref="L25" r:id="rId48"/>
    <hyperlink xmlns:r="http://schemas.openxmlformats.org/officeDocument/2006/relationships" ref="I26" r:id="rId49"/>
    <hyperlink xmlns:r="http://schemas.openxmlformats.org/officeDocument/2006/relationships" ref="L26" r:id="rId50"/>
    <hyperlink xmlns:r="http://schemas.openxmlformats.org/officeDocument/2006/relationships" ref="I27" r:id="rId51"/>
    <hyperlink xmlns:r="http://schemas.openxmlformats.org/officeDocument/2006/relationships" ref="L27" r:id="rId52"/>
    <hyperlink xmlns:r="http://schemas.openxmlformats.org/officeDocument/2006/relationships" ref="I28" r:id="rId53"/>
    <hyperlink xmlns:r="http://schemas.openxmlformats.org/officeDocument/2006/relationships" ref="L28" r:id="rId54"/>
    <hyperlink xmlns:r="http://schemas.openxmlformats.org/officeDocument/2006/relationships" ref="I29" r:id="rId55"/>
    <hyperlink xmlns:r="http://schemas.openxmlformats.org/officeDocument/2006/relationships" ref="L29" r:id="rId56"/>
    <hyperlink xmlns:r="http://schemas.openxmlformats.org/officeDocument/2006/relationships" ref="I30" r:id="rId57"/>
    <hyperlink xmlns:r="http://schemas.openxmlformats.org/officeDocument/2006/relationships" ref="L30" r:id="rId58"/>
    <hyperlink xmlns:r="http://schemas.openxmlformats.org/officeDocument/2006/relationships" ref="I31" r:id="rId59"/>
    <hyperlink xmlns:r="http://schemas.openxmlformats.org/officeDocument/2006/relationships" ref="L31" r:id="rId60"/>
    <hyperlink xmlns:r="http://schemas.openxmlformats.org/officeDocument/2006/relationships" ref="I32" r:id="rId61"/>
    <hyperlink xmlns:r="http://schemas.openxmlformats.org/officeDocument/2006/relationships" ref="L32" r:id="rId62"/>
    <hyperlink xmlns:r="http://schemas.openxmlformats.org/officeDocument/2006/relationships" ref="I33" r:id="rId63"/>
    <hyperlink xmlns:r="http://schemas.openxmlformats.org/officeDocument/2006/relationships" ref="L33" r:id="rId64"/>
    <hyperlink xmlns:r="http://schemas.openxmlformats.org/officeDocument/2006/relationships" ref="I34" r:id="rId65"/>
    <hyperlink xmlns:r="http://schemas.openxmlformats.org/officeDocument/2006/relationships" ref="L34" r:id="rId66"/>
    <hyperlink xmlns:r="http://schemas.openxmlformats.org/officeDocument/2006/relationships" ref="I35" r:id="rId67"/>
    <hyperlink xmlns:r="http://schemas.openxmlformats.org/officeDocument/2006/relationships" ref="L35" r:id="rId68"/>
    <hyperlink xmlns:r="http://schemas.openxmlformats.org/officeDocument/2006/relationships" ref="I36" r:id="rId69"/>
    <hyperlink xmlns:r="http://schemas.openxmlformats.org/officeDocument/2006/relationships" ref="L36" r:id="rId70"/>
    <hyperlink xmlns:r="http://schemas.openxmlformats.org/officeDocument/2006/relationships" ref="I37" r:id="rId71"/>
    <hyperlink xmlns:r="http://schemas.openxmlformats.org/officeDocument/2006/relationships" ref="L37" r:id="rId72"/>
    <hyperlink xmlns:r="http://schemas.openxmlformats.org/officeDocument/2006/relationships" ref="I38" r:id="rId73"/>
    <hyperlink xmlns:r="http://schemas.openxmlformats.org/officeDocument/2006/relationships" ref="L38" r:id="rId74"/>
    <hyperlink xmlns:r="http://schemas.openxmlformats.org/officeDocument/2006/relationships" ref="I39" r:id="rId75"/>
    <hyperlink xmlns:r="http://schemas.openxmlformats.org/officeDocument/2006/relationships" ref="L39" r:id="rId76"/>
    <hyperlink xmlns:r="http://schemas.openxmlformats.org/officeDocument/2006/relationships" ref="I40" r:id="rId77"/>
    <hyperlink xmlns:r="http://schemas.openxmlformats.org/officeDocument/2006/relationships" ref="L40" r:id="rId78"/>
    <hyperlink xmlns:r="http://schemas.openxmlformats.org/officeDocument/2006/relationships" ref="I41" r:id="rId79"/>
    <hyperlink xmlns:r="http://schemas.openxmlformats.org/officeDocument/2006/relationships" ref="L41" r:id="rId80"/>
    <hyperlink xmlns:r="http://schemas.openxmlformats.org/officeDocument/2006/relationships" ref="I42" r:id="rId81"/>
    <hyperlink xmlns:r="http://schemas.openxmlformats.org/officeDocument/2006/relationships" ref="L42" r:id="rId82"/>
    <hyperlink xmlns:r="http://schemas.openxmlformats.org/officeDocument/2006/relationships" ref="I43" r:id="rId83"/>
    <hyperlink xmlns:r="http://schemas.openxmlformats.org/officeDocument/2006/relationships" ref="L43" r:id="rId84"/>
    <hyperlink xmlns:r="http://schemas.openxmlformats.org/officeDocument/2006/relationships" ref="I44" r:id="rId85"/>
    <hyperlink xmlns:r="http://schemas.openxmlformats.org/officeDocument/2006/relationships" ref="L44" r:id="rId86"/>
    <hyperlink xmlns:r="http://schemas.openxmlformats.org/officeDocument/2006/relationships" ref="I45" r:id="rId87"/>
    <hyperlink xmlns:r="http://schemas.openxmlformats.org/officeDocument/2006/relationships" ref="L45" r:id="rId88"/>
    <hyperlink xmlns:r="http://schemas.openxmlformats.org/officeDocument/2006/relationships" ref="I46" r:id="rId89"/>
    <hyperlink xmlns:r="http://schemas.openxmlformats.org/officeDocument/2006/relationships" ref="L46" r:id="rId90"/>
    <hyperlink xmlns:r="http://schemas.openxmlformats.org/officeDocument/2006/relationships" ref="I47" r:id="rId91"/>
    <hyperlink xmlns:r="http://schemas.openxmlformats.org/officeDocument/2006/relationships" ref="L47" r:id="rId92"/>
    <hyperlink xmlns:r="http://schemas.openxmlformats.org/officeDocument/2006/relationships" ref="I48" r:id="rId93"/>
    <hyperlink xmlns:r="http://schemas.openxmlformats.org/officeDocument/2006/relationships" ref="L48" r:id="rId94"/>
    <hyperlink xmlns:r="http://schemas.openxmlformats.org/officeDocument/2006/relationships" ref="I49" r:id="rId95"/>
    <hyperlink xmlns:r="http://schemas.openxmlformats.org/officeDocument/2006/relationships" ref="L49" r:id="rId96"/>
    <hyperlink xmlns:r="http://schemas.openxmlformats.org/officeDocument/2006/relationships" ref="I50" r:id="rId97"/>
    <hyperlink xmlns:r="http://schemas.openxmlformats.org/officeDocument/2006/relationships" ref="L50" r:id="rId98"/>
    <hyperlink xmlns:r="http://schemas.openxmlformats.org/officeDocument/2006/relationships" ref="I51" r:id="rId99"/>
    <hyperlink xmlns:r="http://schemas.openxmlformats.org/officeDocument/2006/relationships" ref="L51" r:id="rId100"/>
    <hyperlink xmlns:r="http://schemas.openxmlformats.org/officeDocument/2006/relationships" ref="I52" r:id="rId101"/>
    <hyperlink xmlns:r="http://schemas.openxmlformats.org/officeDocument/2006/relationships" ref="L52" r:id="rId102"/>
    <hyperlink xmlns:r="http://schemas.openxmlformats.org/officeDocument/2006/relationships" ref="I53" r:id="rId103"/>
    <hyperlink xmlns:r="http://schemas.openxmlformats.org/officeDocument/2006/relationships" ref="L53" r:id="rId104"/>
    <hyperlink xmlns:r="http://schemas.openxmlformats.org/officeDocument/2006/relationships" ref="I54" r:id="rId105"/>
    <hyperlink xmlns:r="http://schemas.openxmlformats.org/officeDocument/2006/relationships" ref="L54" r:id="rId106"/>
    <hyperlink xmlns:r="http://schemas.openxmlformats.org/officeDocument/2006/relationships" ref="I55" r:id="rId107"/>
    <hyperlink xmlns:r="http://schemas.openxmlformats.org/officeDocument/2006/relationships" ref="L55" r:id="rId108"/>
    <hyperlink xmlns:r="http://schemas.openxmlformats.org/officeDocument/2006/relationships" ref="I56" r:id="rId109"/>
    <hyperlink xmlns:r="http://schemas.openxmlformats.org/officeDocument/2006/relationships" ref="L56" r:id="rId110"/>
    <hyperlink xmlns:r="http://schemas.openxmlformats.org/officeDocument/2006/relationships" ref="I57" r:id="rId111"/>
    <hyperlink xmlns:r="http://schemas.openxmlformats.org/officeDocument/2006/relationships" ref="L57" r:id="rId112"/>
    <hyperlink xmlns:r="http://schemas.openxmlformats.org/officeDocument/2006/relationships" ref="I58" r:id="rId113"/>
    <hyperlink xmlns:r="http://schemas.openxmlformats.org/officeDocument/2006/relationships" ref="L58" r:id="rId114"/>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outlinePr summaryBelow="1" summaryRight="1"/>
    <pageSetUpPr/>
  </sheetPr>
  <dimension ref="A1:N29"/>
  <sheetViews>
    <sheetView workbookViewId="0">
      <pane ySplit="1" topLeftCell="A2" activePane="bottomLeft" state="frozen"/>
      <selection pane="bottomLeft" activeCell="A1" sqref="A1"/>
    </sheetView>
  </sheetViews>
  <sheetFormatPr baseColWidth="8" defaultRowHeight="15"/>
  <cols>
    <col width="6" customWidth="1" style="34" min="1" max="1"/>
    <col width="16" customWidth="1" style="34" min="2" max="2"/>
    <col width="34" customWidth="1" style="34" min="3" max="3"/>
    <col width="22" customWidth="1" style="34" min="4" max="4"/>
    <col width="26" customWidth="1" style="34" min="5" max="5"/>
    <col width="28" customWidth="1" style="34" min="6" max="6"/>
    <col width="16" customWidth="1" style="34" min="7" max="7"/>
    <col width="34" customWidth="1" style="34" min="8" max="8"/>
    <col width="18" customWidth="1" style="34" min="9" max="9"/>
    <col width="16" customWidth="1" style="34" min="10" max="10"/>
    <col width="22" customWidth="1" style="34" min="11" max="11"/>
    <col hidden="1" width="20" customWidth="1" style="34" min="12" max="12"/>
    <col width="60" customWidth="1" style="34" min="13" max="13"/>
    <col width="40" customWidth="1" style="34" min="14" max="14"/>
  </cols>
  <sheetData>
    <row r="1" ht="22" customHeight="1" s="34">
      <c r="A1" s="122" t="inlineStr">
        <is>
          <t>Year</t>
        </is>
      </c>
      <c r="B1" s="122" t="inlineStr">
        <is>
          <t>Tier</t>
        </is>
      </c>
      <c r="C1" s="122" t="inlineStr">
        <is>
          <t>Campaign</t>
        </is>
      </c>
      <c r="D1" s="122" t="inlineStr">
        <is>
          <t>Brand</t>
        </is>
      </c>
      <c r="E1" s="122" t="inlineStr">
        <is>
          <t>Product/Service</t>
        </is>
      </c>
      <c r="F1" s="122" t="inlineStr">
        <is>
          <t>Agency</t>
        </is>
      </c>
      <c r="G1" s="122" t="inlineStr">
        <is>
          <t>Country</t>
        </is>
      </c>
      <c r="H1" s="122" t="inlineStr">
        <is>
          <t>Subcategory</t>
        </is>
      </c>
      <c r="I1" s="122" t="inlineStr">
        <is>
          <t>Image URL</t>
        </is>
      </c>
      <c r="J1" s="122" t="inlineStr">
        <is>
          <t>YouTube ID</t>
        </is>
      </c>
      <c r="K1" s="122" t="inlineStr">
        <is>
          <t>Campaign Group</t>
        </is>
      </c>
      <c r="L1" s="122" t="inlineStr">
        <is>
          <t>Entry URL</t>
        </is>
      </c>
      <c r="M1" s="122" t="inlineStr">
        <is>
          <t>Description</t>
        </is>
      </c>
      <c r="N1" s="122" t="inlineStr">
        <is>
          <t>Keywords</t>
        </is>
      </c>
    </row>
    <row r="2">
      <c r="A2" s="127" t="n">
        <v>2025</v>
      </c>
      <c r="B2" s="139" t="inlineStr">
        <is>
          <t>Grand Prix</t>
        </is>
      </c>
      <c r="C2" s="127" t="inlineStr">
        <is>
          <t>Caption with Intention</t>
        </is>
      </c>
      <c r="D2" s="127" t="inlineStr">
        <is>
          <t>Academy of Motion Picture Arts &amp; Sciences</t>
        </is>
      </c>
      <c r="E2" s="127" t="inlineStr">
        <is>
          <t>Closed Captioning</t>
        </is>
      </c>
      <c r="F2" s="127" t="inlineStr">
        <is>
          <t>FCB Chicago</t>
        </is>
      </c>
      <c r="G2" s="127" t="inlineStr">
        <is>
          <t>United States</t>
        </is>
      </c>
      <c r="H2" s="113" t="inlineStr">
        <is>
          <t>UX &amp; Journey Design</t>
        </is>
      </c>
      <c r="I2" s="128" t="inlineStr">
        <is>
          <t>https://ascentialcdn.filespin.io/api/v1/conversion/3a8020f6426f40968730b5a8c68a0b35</t>
        </is>
      </c>
      <c r="J2" s="127" t="inlineStr">
        <is>
          <t>F48khKZhKHM</t>
        </is>
      </c>
      <c r="K2" s="127" t="n"/>
      <c r="L2" s="128" t="inlineStr">
        <is>
          <t>https://www.lovethework.com/work/entries/caption-with-intention-754389</t>
        </is>
      </c>
      <c r="M2" s="113" t="inlineStr">
        <is>
          <t>A caption design system for film and television that moves beyond static white text — word-by-word sync pairs with expressive typography, where type weight, color, and motion signal volume, tone, and speaker identity. Developed by FCB Chicago in close partnership with the Chicago Hearing Society, Rakish, and the Academy of Motion Picture Arts and Sciences, which adopted it as a new standard for cinematic accessibility.</t>
        </is>
      </c>
      <c r="N2" s="113" t="inlineStr">
        <is>
          <t>closed-captioning, accessibility, typography, film, cinema, entertainment, societal-innovation, united-states, design-system, deaf-hard-of-hearing</t>
        </is>
      </c>
    </row>
    <row r="3">
      <c r="A3" s="127" t="n">
        <v>2025</v>
      </c>
      <c r="B3" s="140" t="inlineStr">
        <is>
          <t>Gold</t>
        </is>
      </c>
      <c r="C3" s="127" t="inlineStr">
        <is>
          <t>Tree Correspondents</t>
        </is>
      </c>
      <c r="D3" s="127" t="inlineStr">
        <is>
          <t>Hyundai</t>
        </is>
      </c>
      <c r="E3" s="127" t="inlineStr">
        <is>
          <t>Hyundai Ioniq Forest</t>
        </is>
      </c>
      <c r="F3" s="127" t="inlineStr">
        <is>
          <t>FCB New York</t>
        </is>
      </c>
      <c r="G3" s="127" t="inlineStr">
        <is>
          <t>United States</t>
        </is>
      </c>
      <c r="H3" s="113" t="inlineStr">
        <is>
          <t>Data Storytelling</t>
        </is>
      </c>
      <c r="I3" s="128" t="inlineStr">
        <is>
          <t>https://ascentialcdn.filespin.io/api/v1/conversion/82542e7381744bb783bb6c60f2929b2c</t>
        </is>
      </c>
      <c r="J3" s="127" t="inlineStr">
        <is>
          <t>vimeo:1109390480</t>
        </is>
      </c>
      <c r="K3" s="127" t="n"/>
      <c r="L3" s="128" t="inlineStr">
        <is>
          <t>https://www.lovethework.com/work/entries/tree-correspondents-762045</t>
        </is>
      </c>
      <c r="M3" s="113" t="inlineStr">
        <is>
          <t>A data storytelling campaign in which individual trees — a Silver Fir in Czechia, a Juçara Palm in Brazil, a Tulip Tree in the United States — send first-person audio and written dispatches translated from their real environmental sensor data. Built to mark ten years of Hyundai's IONIQ Forest reforestation initiative, the work was developed with FCB New York and turns ecological monitoring data into voiced field reports narrated by the trees themselves.</t>
        </is>
      </c>
      <c r="N3" s="113" t="inlineStr">
        <is>
          <t>automotive, cars, transport, data-storytelling, audio, reforestation, environmental, united-states, brazil, czechia, branded-content</t>
        </is>
      </c>
    </row>
    <row r="4">
      <c r="A4" s="127" t="n">
        <v>2025</v>
      </c>
      <c r="B4" s="140" t="inlineStr">
        <is>
          <t>Gold</t>
        </is>
      </c>
      <c r="C4" s="127" t="inlineStr">
        <is>
          <t>Caption with Intention</t>
        </is>
      </c>
      <c r="D4" s="127" t="inlineStr">
        <is>
          <t>Academy of Motion Picture Arts &amp; Sciences</t>
        </is>
      </c>
      <c r="E4" s="127" t="inlineStr">
        <is>
          <t>Closed Captioning</t>
        </is>
      </c>
      <c r="F4" s="127" t="inlineStr">
        <is>
          <t>FCB Chicago</t>
        </is>
      </c>
      <c r="G4" s="127" t="inlineStr">
        <is>
          <t>United States</t>
        </is>
      </c>
      <c r="H4" s="113" t="inlineStr">
        <is>
          <t>Innovative Use of Technology</t>
        </is>
      </c>
      <c r="I4" s="128" t="inlineStr">
        <is>
          <t>https://ascentialcdn.filespin.io/api/v1/conversion/6e437af497a34d6bbc71738a2b9c581b</t>
        </is>
      </c>
      <c r="J4" s="127" t="inlineStr">
        <is>
          <t>F48khKZhKHM</t>
        </is>
      </c>
      <c r="K4" s="127" t="n"/>
      <c r="L4" s="128" t="inlineStr">
        <is>
          <t>https://www.lovethework.com/work/entries/caption-with-intention-754831</t>
        </is>
      </c>
      <c r="M4" s="113" t="inlineStr">
        <is>
          <t>A caption design system for film and television that moves beyond static white text — word-by-word sync pairs with expressive typography, where type weight, color, and motion signal volume, tone, and speaker identity. Developed by FCB Chicago in close partnership with the Chicago Hearing Society, Rakish, and the Academy of Motion Picture Arts and Sciences, which adopted it as a new standard for cinematic accessibility.</t>
        </is>
      </c>
      <c r="N4" s="113" t="inlineStr">
        <is>
          <t>closed-captioning, accessibility, typography, film, cinema, entertainment, societal-innovation, united-states, design-system, deaf-hard-of-hearing</t>
        </is>
      </c>
    </row>
    <row r="5">
      <c r="A5" s="127" t="n">
        <v>2025</v>
      </c>
      <c r="B5" s="140" t="inlineStr">
        <is>
          <t>Gold</t>
        </is>
      </c>
      <c r="C5" s="127" t="inlineStr">
        <is>
          <t>Tree Correspondents</t>
        </is>
      </c>
      <c r="D5" s="127" t="inlineStr">
        <is>
          <t>Hyundai</t>
        </is>
      </c>
      <c r="E5" s="127" t="inlineStr">
        <is>
          <t>Hyundai Ioniq Forest</t>
        </is>
      </c>
      <c r="F5" s="127" t="inlineStr">
        <is>
          <t>FCB New York</t>
        </is>
      </c>
      <c r="G5" s="127" t="inlineStr">
        <is>
          <t>United States</t>
        </is>
      </c>
      <c r="H5" s="113" t="inlineStr">
        <is>
          <t>Curation of Data</t>
        </is>
      </c>
      <c r="I5" s="128" t="inlineStr">
        <is>
          <t>https://ascentialcdn.filespin.io/api/v1/conversion/82542e7381744bb783bb6c60f2929b2c</t>
        </is>
      </c>
      <c r="J5" s="127" t="inlineStr">
        <is>
          <t>vimeo:1109390480</t>
        </is>
      </c>
      <c r="K5" s="127" t="n"/>
      <c r="L5" s="128" t="inlineStr">
        <is>
          <t>https://www.lovethework.com/work/entries/tree-correspondents-762045</t>
        </is>
      </c>
      <c r="M5" s="113" t="inlineStr">
        <is>
          <t>A data storytelling campaign in which individual trees — a Silver Fir in Czechia, a Juçara Palm in Brazil, a Tulip Tree in the United States — send first-person audio and written dispatches translated from their real environmental sensor data. Built to mark ten years of Hyundai's IONIQ Forest reforestation initiative, the work was developed with FCB New York and turns ecological monitoring data into voiced field reports narrated by the trees themselves.</t>
        </is>
      </c>
      <c r="N5" s="113" t="inlineStr">
        <is>
          <t>automotive, cars, transport, data-storytelling, audio, reforestation, environmental, united-states, brazil, czechia, branded-content</t>
        </is>
      </c>
    </row>
    <row r="6">
      <c r="A6" s="127" t="n">
        <v>2025</v>
      </c>
      <c r="B6" s="132" t="inlineStr">
        <is>
          <t>Silver</t>
        </is>
      </c>
      <c r="C6" s="127" t="inlineStr">
        <is>
          <t>The Shaded Route</t>
        </is>
      </c>
      <c r="D6" s="127" t="inlineStr">
        <is>
          <t>HungerStation</t>
        </is>
      </c>
      <c r="E6" s="127" t="inlineStr">
        <is>
          <t>Hungerstation Delivery App</t>
        </is>
      </c>
      <c r="F6" s="127" t="inlineStr">
        <is>
          <t>VML</t>
        </is>
      </c>
      <c r="G6" s="127" t="inlineStr">
        <is>
          <t>Saudi Arabia</t>
        </is>
      </c>
      <c r="H6" s="113" t="inlineStr">
        <is>
          <t>Real-Time Usage &amp; Targeting</t>
        </is>
      </c>
      <c r="I6" s="128" t="inlineStr">
        <is>
          <t>https://ascentialcdn.filespin.io/api/v1/conversion/a5387631458b48648c6dba4b21efb3d0</t>
        </is>
      </c>
      <c r="J6" s="127" t="inlineStr">
        <is>
          <t>5cGxg-wRzsE</t>
        </is>
      </c>
      <c r="K6" s="127" t="n"/>
      <c r="L6" s="128" t="inlineStr">
        <is>
          <t>https://www.lovethework.com/work/entries/the-shaded-route-754725</t>
        </is>
      </c>
      <c r="M6" s="113" t="inlineStr">
        <is>
          <t>A routing feature built into the HungerStation delivery app that calculates the shadiest path between pickup and drop-off points across Saudi Arabia — plotting roads and turns that maximize shade cover during each journey. The feature uses real-time sun position data alongside mapped building and infrastructure footprints to dynamically update routes as conditions change throughout the day.</t>
        </is>
      </c>
      <c r="N6" s="113" t="inlineStr">
        <is>
          <t>delivery-app, mobile-app, technology, data, real-time, rider-welfare, saudi-arabia, navigation, heat</t>
        </is>
      </c>
    </row>
    <row r="7">
      <c r="A7" s="127" t="n">
        <v>2025</v>
      </c>
      <c r="B7" s="132" t="inlineStr">
        <is>
          <t>Silver</t>
        </is>
      </c>
      <c r="C7" s="127" t="inlineStr">
        <is>
          <t>Tree Correspondents</t>
        </is>
      </c>
      <c r="D7" s="127" t="inlineStr">
        <is>
          <t>Hyundai</t>
        </is>
      </c>
      <c r="E7" s="127" t="inlineStr">
        <is>
          <t>Hyundai Ioniq Forest</t>
        </is>
      </c>
      <c r="F7" s="127" t="inlineStr">
        <is>
          <t>FCB New York</t>
        </is>
      </c>
      <c r="G7" s="127" t="inlineStr">
        <is>
          <t>United States</t>
        </is>
      </c>
      <c r="H7" s="113" t="inlineStr">
        <is>
          <t>Technological Achievement in Digital Craft</t>
        </is>
      </c>
      <c r="I7" s="128" t="inlineStr">
        <is>
          <t>https://ascentialcdn.filespin.io/api/v1/conversion/82542e7381744bb783bb6c60f2929b2c</t>
        </is>
      </c>
      <c r="J7" s="127" t="inlineStr">
        <is>
          <t>vimeo:1109390480</t>
        </is>
      </c>
      <c r="K7" s="127" t="n"/>
      <c r="L7" s="128" t="inlineStr">
        <is>
          <t>https://www.lovethework.com/work/entries/tree-correspondents-762150</t>
        </is>
      </c>
      <c r="M7" s="113" t="inlineStr">
        <is>
          <t>A data storytelling campaign in which individual trees — a Silver Fir in Czechia, a Juçara Palm in Brazil, a Tulip Tree in the United States — send first-person audio and written dispatches translated from their real environmental sensor data. Built to mark ten years of Hyundai's IONIQ Forest reforestation initiative, the work was developed with FCB New York and turns ecological monitoring data into voiced field reports narrated by the trees themselves.</t>
        </is>
      </c>
      <c r="N7" s="113" t="inlineStr">
        <is>
          <t>automotive, cars, transport, data-storytelling, audio, reforestation, environmental, united-states, brazil, czechia, branded-content</t>
        </is>
      </c>
    </row>
    <row r="8">
      <c r="A8" s="127" t="n">
        <v>2025</v>
      </c>
      <c r="B8" s="132" t="inlineStr">
        <is>
          <t>Silver</t>
        </is>
      </c>
      <c r="C8" s="127" t="inlineStr">
        <is>
          <t>In Hot Water</t>
        </is>
      </c>
      <c r="D8" s="127" t="inlineStr">
        <is>
          <t>World Wildlife Fund (wwf)</t>
        </is>
      </c>
      <c r="E8" s="127" t="inlineStr">
        <is>
          <t>WWF</t>
        </is>
      </c>
      <c r="F8" s="127" t="inlineStr">
        <is>
          <t>Nomint</t>
        </is>
      </c>
      <c r="G8" s="127" t="inlineStr">
        <is>
          <t>United Kingdom</t>
        </is>
      </c>
      <c r="H8" s="113" t="inlineStr">
        <is>
          <t>Motion Graphics Design &amp; Animation</t>
        </is>
      </c>
      <c r="I8" s="128" t="inlineStr">
        <is>
          <t>https://ascentialcdn.filespin.io/api/v1/conversion/f2ca9488d23e45d5b432ce4a6c2e8f08</t>
        </is>
      </c>
      <c r="J8" s="127" t="inlineStr">
        <is>
          <t>vimeo:1028875237</t>
        </is>
      </c>
      <c r="K8" s="127" t="n"/>
      <c r="L8" s="128" t="inlineStr">
        <is>
          <t>https://www.lovethework.com/work/entries/in-hot-water-754526</t>
        </is>
      </c>
      <c r="M8" s="113" t="inlineStr">
        <is>
          <t>A stop-motion film for WWF, made by NOMINT, shot entirely on a thermal camera — each frame built around 1,000 3D-printed replacement models heated to precise temperatures (accurate to 0.1°C) using ovens, heat guns, and freezing sprays, so that heat itself becomes the visual medium. Because figures began cooling the moment they left the oven, every shot was a race to position and capture each model before its thermal color shifted, with the most complex frames — a boy and a fish overlapping at slightly different temperatures — taking days to complete. The film was scored to a reworked version of Radiohead's "No Surprises," with additional production by Neil Barnes of Leftfield, and launched at COP29.</t>
        </is>
      </c>
      <c r="N8" s="113" t="inlineStr">
        <is>
          <t>non-profit, animation, stop-motion, thermal-camera, 3d-printing, ocean-conservation, climate, sustainability, environment, film, cinema, entertainment, united-kingdom, craft</t>
        </is>
      </c>
    </row>
    <row r="9">
      <c r="A9" s="127" t="n">
        <v>2025</v>
      </c>
      <c r="B9" s="132" t="inlineStr">
        <is>
          <t>Silver</t>
        </is>
      </c>
      <c r="C9" s="127" t="inlineStr">
        <is>
          <t>Saltanat Light</t>
        </is>
      </c>
      <c r="D9" s="127" t="inlineStr">
        <is>
          <t>Citix</t>
        </is>
      </c>
      <c r="E9" s="127" t="inlineStr">
        <is>
          <t>Citix</t>
        </is>
      </c>
      <c r="F9" s="127" t="inlineStr">
        <is>
          <t>GForce</t>
        </is>
      </c>
      <c r="G9" s="127" t="inlineStr">
        <is>
          <t>Kazakhstan</t>
        </is>
      </c>
      <c r="H9" s="113" t="inlineStr">
        <is>
          <t>Real-Time Contextual Content</t>
        </is>
      </c>
      <c r="I9" s="128" t="inlineStr">
        <is>
          <t>https://ascentialcdn.filespin.io/api/v1/conversion/68f2c53ebcea42bd9ab7b58852b5aa95</t>
        </is>
      </c>
      <c r="J9" s="127" t="inlineStr">
        <is>
          <t>POZJDa6y23g</t>
        </is>
      </c>
      <c r="K9" s="127" t="n"/>
      <c r="L9" s="128" t="inlineStr">
        <is>
          <t>https://www.lovethework.com/work/entries/saltanat-light-764174</t>
        </is>
      </c>
      <c r="M9" s="113" t="inlineStr">
        <is>
          <t>A network of digital out-of-home screens across Kazakhstan that dims its brightness in real time whenever a domestic violence call is made nearby — each darkening panel a live signal of an incident in that location. The campaign is named after Saltanat Nukenova, who was killed by her husband, former minister Kuandyk Bishimbayev, who was sentenced to 24 years in prison in May 2024. A companion Telegram bot extends the system, connecting people to available support resources.</t>
        </is>
      </c>
      <c r="N9" s="113" t="inlineStr">
        <is>
          <t>digital-out-of-home, ai, technology, domestic-violence, gender-equality, social-good, telegram, ambient, real-time, kazakhstan, citix</t>
        </is>
      </c>
    </row>
    <row r="10">
      <c r="A10" s="127" t="n">
        <v>2025</v>
      </c>
      <c r="B10" s="132" t="inlineStr">
        <is>
          <t>Silver</t>
        </is>
      </c>
      <c r="C10" s="127" t="inlineStr">
        <is>
          <t>Daisy vs Scammers</t>
        </is>
      </c>
      <c r="D10" s="127" t="inlineStr">
        <is>
          <t>O2</t>
        </is>
      </c>
      <c r="E10" s="127" t="inlineStr">
        <is>
          <t>Daisy vs Scammers</t>
        </is>
      </c>
      <c r="F10" s="127" t="inlineStr">
        <is>
          <t>VCCP</t>
        </is>
      </c>
      <c r="G10" s="127" t="inlineStr">
        <is>
          <t>United Kingdom</t>
        </is>
      </c>
      <c r="H10" s="113" t="inlineStr">
        <is>
          <t>Innovative Use of Technology</t>
        </is>
      </c>
      <c r="I10" s="128" t="inlineStr">
        <is>
          <t>https://ascentialcdn.filespin.io/api/v1/conversion/2d7855910ffa41a78e83fffe11540c7b</t>
        </is>
      </c>
      <c r="J10" s="127" t="inlineStr">
        <is>
          <t>tnfhe_XMg7U</t>
        </is>
      </c>
      <c r="K10" s="127" t="n"/>
      <c r="L10" s="128" t="inlineStr">
        <is>
          <t>https://www.lovethework.com/work/entries/daisy-vs-scammers-754726</t>
        </is>
      </c>
      <c r="M10" s="113" t="inlineStr">
        <is>
          <t>An AI-generated elderly woman named Daisy, built by O2 and VCCP to engage phone scammers in extended, rambling conversations — keeping them on the line and away from real potential victims. Daisy is deployed as a live phone persona, realistic enough to hold fraudsters in lengthy calls while collecting intelligence on active scam scripts, at a time when 7 in 10 people in the UK were being targeted by scammers.</t>
        </is>
      </c>
      <c r="N10" s="113" t="inlineStr">
        <is>
          <t>telecommunications, ai, technology, public-safety, conversational-ai, united-kingdom, use-of-technology, consumer-protection, voice</t>
        </is>
      </c>
    </row>
    <row r="11">
      <c r="A11" s="127" t="n">
        <v>2025</v>
      </c>
      <c r="B11" s="133" t="inlineStr">
        <is>
          <t>Bronze</t>
        </is>
      </c>
      <c r="C11" s="127" t="inlineStr">
        <is>
          <t>Allevia Pollen Passport</t>
        </is>
      </c>
      <c r="D11" s="127" t="inlineStr">
        <is>
          <t>Opella-Allegra</t>
        </is>
      </c>
      <c r="E11" s="127" t="inlineStr">
        <is>
          <t>Allegra</t>
        </is>
      </c>
      <c r="F11" s="127" t="inlineStr">
        <is>
          <t>MRM Worldwide</t>
        </is>
      </c>
      <c r="G11" s="127" t="inlineStr">
        <is>
          <t>Spain</t>
        </is>
      </c>
      <c r="H11" s="113" t="inlineStr">
        <is>
          <t>Data Visualisation</t>
        </is>
      </c>
      <c r="I11" s="128" t="inlineStr">
        <is>
          <t>https://ascentialcdn.filespin.io/api/v1/conversion/5bdbab28251f44eda6fdb7d90fe1a6eb</t>
        </is>
      </c>
      <c r="J11" s="127" t="inlineStr">
        <is>
          <t>vimeo:1080313277</t>
        </is>
      </c>
      <c r="K11" s="127" t="n"/>
      <c r="L11" s="128" t="inlineStr">
        <is>
          <t>https://www.lovethework.com/work/entries/allevia-pollen-passport-754613</t>
        </is>
      </c>
      <c r="M11" s="113" t="inlineStr">
        <is>
          <t>A travel-planning tool launched in January — peak holiday-booking season in the UK — that maps real-time and forecast pollen data against travel destinations, letting users see allergy risk levels before they book a trip. Built on the insight that climate change is extending allergy seasons beyond spring, the passport gave Allegra a presence in winter conversations where allergy brands rarely appear.</t>
        </is>
      </c>
      <c r="N11" s="113" t="inlineStr">
        <is>
          <t>allergy-medication, data-visualisation, mobile-app, digital, travel, tourism, spain, united-kingdom, seasonal-health, user-tool</t>
        </is>
      </c>
    </row>
    <row r="12">
      <c r="A12" s="127" t="n">
        <v>2025</v>
      </c>
      <c r="B12" s="133" t="inlineStr">
        <is>
          <t>Bronze</t>
        </is>
      </c>
      <c r="C12" s="127" t="inlineStr">
        <is>
          <t>Apple 100 Best Albums</t>
        </is>
      </c>
      <c r="D12" s="127" t="inlineStr">
        <is>
          <t>Apple</t>
        </is>
      </c>
      <c r="E12" s="127" t="inlineStr">
        <is>
          <t>Apple Music</t>
        </is>
      </c>
      <c r="F12" s="127" t="inlineStr">
        <is>
          <t>TBWA\Media Arts Lab</t>
        </is>
      </c>
      <c r="G12" s="127" t="inlineStr">
        <is>
          <t>United States</t>
        </is>
      </c>
      <c r="H12" s="113" t="inlineStr">
        <is>
          <t>Digital Illustration &amp; Image Design</t>
        </is>
      </c>
      <c r="I12" s="128" t="inlineStr">
        <is>
          <t>https://ascentialcdn.filespin.io/api/v1/conversion/c56cee379a1249b9912bbe50964ff0d2</t>
        </is>
      </c>
      <c r="J12" s="127" t="inlineStr">
        <is>
          <t>vimeo:1039756308</t>
        </is>
      </c>
      <c r="K12" s="127" t="n"/>
      <c r="L12" s="128" t="inlineStr">
        <is>
          <t>https://www.lovethework.com/work/entries/apple-100-best-albums-754412</t>
        </is>
      </c>
      <c r="M12" s="113" t="inlineStr">
        <is>
          <t>A series of digitally illustrated still-life compositions ranking 100 albums in Apple Music's canon, each rendering a physical artifact tied to the record — including a recreation of the minivan from Kendrick Lamar's *good kid, m.A.A.d city* (#7) cast in gold — dramatically lit against black to evoke a museum display case. Each piece pairs the object with its ranking number, treating the artifact as a stand-in for the album's cultural weight. The campaign was produced in partnership with Model Citizen, BeGrizzlee, and MNFST.</t>
        </is>
      </c>
      <c r="N12" s="113" t="inlineStr">
        <is>
          <t>apple-music, digital-illustration, series, music, entertainment, ooh, art-direction, united-states, streaming, tv</t>
        </is>
      </c>
    </row>
    <row r="13">
      <c r="A13" s="127" t="n">
        <v>2025</v>
      </c>
      <c r="B13" s="133" t="inlineStr">
        <is>
          <t>Bronze</t>
        </is>
      </c>
      <c r="C13" s="127" t="inlineStr">
        <is>
          <t>The Odyssey of Wilson</t>
        </is>
      </c>
      <c r="D13" s="127" t="inlineStr">
        <is>
          <t>Vivo</t>
        </is>
      </c>
      <c r="E13" s="127" t="inlineStr">
        <is>
          <t>Telephone Company</t>
        </is>
      </c>
      <c r="F13" s="127" t="inlineStr">
        <is>
          <t>Africa Creative DDB</t>
        </is>
      </c>
      <c r="G13" s="127" t="inlineStr">
        <is>
          <t>Brazil</t>
        </is>
      </c>
      <c r="H13" s="113" t="inlineStr">
        <is>
          <t>Data Storytelling</t>
        </is>
      </c>
      <c r="I13" s="128" t="inlineStr">
        <is>
          <t>https://ascentialcdn.filespin.io/api/v1/conversion/d824fa39d9d94210af54fc45e5e11735</t>
        </is>
      </c>
      <c r="J13" s="127" t="inlineStr">
        <is>
          <t>vimeo:1082349787</t>
        </is>
      </c>
      <c r="K13" s="127" t="n"/>
      <c r="L13" s="128" t="inlineStr">
        <is>
          <t>https://www.lovethework.com/work/entries/the-odissey-of-wilson-754689</t>
        </is>
      </c>
      <c r="M13" s="113" t="inlineStr">
        <is>
          <t>An interactive data-storytelling platform built around Wilson — the volleyball from the film Cast Away — that traces a 450-year simulated ocean drift using real plastic-pollution datasets to show where the ball would travel and what marine damage it would cause along the way. Developed by Africa Creative DDB for Vivo in partnership with the Onda Azul Institute, the experience was timed to coincide with the UN Ocean Conference in Nice and aligned with UN Sustainable Development Goal 14: Life Below Water.</t>
        </is>
      </c>
      <c r="N13" s="113" t="inlineStr">
        <is>
          <t>telephone-company, data-storytelling, digital, interactive, ocean-pollution, film-reference, brazil, environmental, un-partnership</t>
        </is>
      </c>
    </row>
    <row r="14">
      <c r="A14" s="127" t="n">
        <v>2025</v>
      </c>
      <c r="B14" s="133" t="inlineStr">
        <is>
          <t>Bronze</t>
        </is>
      </c>
      <c r="C14" s="127" t="inlineStr">
        <is>
          <t>Body Swap</t>
        </is>
      </c>
      <c r="D14" s="127" t="inlineStr">
        <is>
          <t>Netflix</t>
        </is>
      </c>
      <c r="E14" s="127" t="inlineStr">
        <is>
          <t>Online Game</t>
        </is>
      </c>
      <c r="F14" s="127" t="inlineStr">
        <is>
          <t>AKQA</t>
        </is>
      </c>
      <c r="G14" s="127" t="inlineStr">
        <is>
          <t>New Zealand</t>
        </is>
      </c>
      <c r="H14" s="113" t="inlineStr">
        <is>
          <t>Experience Design: Multi-Platform</t>
        </is>
      </c>
      <c r="I14" s="128" t="inlineStr">
        <is>
          <t>https://ascentialcdn.filespin.io/api/v1/conversion/898d378102884b909c675f8264248952</t>
        </is>
      </c>
      <c r="J14" s="127" t="inlineStr">
        <is>
          <t>vimeo:1088570858</t>
        </is>
      </c>
      <c r="K14" s="127" t="n"/>
      <c r="L14" s="128" t="inlineStr">
        <is>
          <t>https://www.lovethework.com/work/entries/body-swap-758391</t>
        </is>
      </c>
      <c r="M14" s="113" t="inlineStr">
        <is>
          <t>An online multiplayer game built by AKQA New Zealand, Australia, and São Paulo to promote Netflix's film *It's What's Inside* — a sci-fi story centered on friends using a body-swapping machine at a party. Players enter the game and are swapped into each other's bodies, mirroring the film's central mechanic in a playable format they could experience with their own friend groups before or after watching.</t>
        </is>
      </c>
      <c r="N14" s="113" t="inlineStr">
        <is>
          <t>streaming, tv, entertainment, online-game, multi-platform, branded-entertainment, new-zealand, australia, brazil, film-promotion, experience-design</t>
        </is>
      </c>
    </row>
    <row r="15">
      <c r="A15" s="127" t="n">
        <v>2025</v>
      </c>
      <c r="B15" s="133" t="inlineStr">
        <is>
          <t>Bronze</t>
        </is>
      </c>
      <c r="C15" s="127" t="inlineStr">
        <is>
          <t>The Final Exam</t>
        </is>
      </c>
      <c r="D15" s="127" t="inlineStr">
        <is>
          <t>Change the Ref</t>
        </is>
      </c>
      <c r="E15" s="127" t="inlineStr">
        <is>
          <t>Pro Bono</t>
        </is>
      </c>
      <c r="F15" s="127" t="inlineStr">
        <is>
          <t>Energy BBDO</t>
        </is>
      </c>
      <c r="G15" s="127" t="inlineStr">
        <is>
          <t>United States</t>
        </is>
      </c>
      <c r="H15" s="113" t="inlineStr">
        <is>
          <t>Data Storytelling</t>
        </is>
      </c>
      <c r="I15" s="128" t="inlineStr">
        <is>
          <t>https://ascentialcdn.filespin.io/api/v1/conversion/f944731d441e4447a823753bb907d334</t>
        </is>
      </c>
      <c r="J15" s="127" t="inlineStr">
        <is>
          <t>y8LkiSNPJUs</t>
        </is>
      </c>
      <c r="K15" s="127" t="n"/>
      <c r="L15" s="128" t="inlineStr">
        <is>
          <t>https://www.lovethework.com/work/entries/the-final-exam-762133</t>
        </is>
      </c>
      <c r="M15" s="113" t="inlineStr">
        <is>
          <t>A playable PC game in which the player tries to survive a U.S. school shooting. Every level is reconstructed from real architectural layouts and eyewitness accounts from Columbine, Parkland, and Sandy Hook; survival depends on finding five actual U.S. gun-safety bills hidden as in-game items. Premiered at TwitchCon.</t>
        </is>
      </c>
      <c r="N15" s="113" t="inlineStr">
        <is>
          <t>gaming, video-games, entertainment, gun-violence, social-good, not-for-profit, charity, ngo, activism, united-states, twitch, advocacy</t>
        </is>
      </c>
    </row>
    <row r="16">
      <c r="A16" s="127" t="n">
        <v>2025</v>
      </c>
      <c r="B16" s="133" t="inlineStr">
        <is>
          <t>Bronze</t>
        </is>
      </c>
      <c r="C16" s="127" t="inlineStr">
        <is>
          <t>Kia Soundscapes</t>
        </is>
      </c>
      <c r="D16" s="127" t="inlineStr">
        <is>
          <t>Kia Europe</t>
        </is>
      </c>
      <c r="E16" s="127" t="inlineStr">
        <is>
          <t>Kia Ev9</t>
        </is>
      </c>
      <c r="F16" s="127" t="inlineStr">
        <is>
          <t>Innocean Berlin</t>
        </is>
      </c>
      <c r="G16" s="127" t="inlineStr">
        <is>
          <t>Germany</t>
        </is>
      </c>
      <c r="H16" s="113" t="inlineStr">
        <is>
          <t>Music/Sound Design</t>
        </is>
      </c>
      <c r="I16" s="128" t="inlineStr">
        <is>
          <t>https://ascentialcdn.filespin.io/api/v1/conversion/4483476cdcdf4250b70cf3ba56e70e55</t>
        </is>
      </c>
      <c r="J16" s="127" t="inlineStr">
        <is>
          <t>vimeo:1078212592</t>
        </is>
      </c>
      <c r="K16" s="127" t="n"/>
      <c r="L16" s="128" t="inlineStr">
        <is>
          <t>https://www.lovethework.com/work/entries/kia-soundscapes-754384</t>
        </is>
      </c>
      <c r="M16" s="113" t="inlineStr">
        <is>
          <t>A feature built into the Kia EV9 that reads the landscape through the car's sensors and cameras as it drives, converting terrain, weather, and natural surroundings into real-time symphonic music — developed with creative coder Harald Schaack and music studio DaHouse. Designed to give visually impaired passengers a way to experience a road trip through sound rather than sight.</t>
        </is>
      </c>
      <c r="N16" s="113" t="inlineStr">
        <is>
          <t>automotive, cars, transport, music-sound-design, accessibility, ev, visually-impaired, germany, generative-audio, in-car-technology</t>
        </is>
      </c>
    </row>
    <row r="17">
      <c r="A17" s="127" t="n">
        <v>2025</v>
      </c>
      <c r="B17" s="133" t="inlineStr">
        <is>
          <t>Bronze</t>
        </is>
      </c>
      <c r="C17" s="127" t="inlineStr">
        <is>
          <t>Read Better</t>
        </is>
      </c>
      <c r="D17" s="127" t="inlineStr">
        <is>
          <t>Waterstones</t>
        </is>
      </c>
      <c r="E17" s="127" t="inlineStr">
        <is>
          <t>Books</t>
        </is>
      </c>
      <c r="F17" s="127" t="inlineStr">
        <is>
          <t>FP7 McCann</t>
        </is>
      </c>
      <c r="G17" s="127" t="inlineStr">
        <is>
          <t>United Arab Emirates</t>
        </is>
      </c>
      <c r="H17" s="113" t="inlineStr">
        <is>
          <t>Data Storytelling</t>
        </is>
      </c>
      <c r="I17" s="128" t="inlineStr">
        <is>
          <t>https://ascentialcdn.filespin.io/api/v1/conversion/fdf308fea817428794e5b51cfe09d79e</t>
        </is>
      </c>
      <c r="J17" s="127" t="inlineStr">
        <is>
          <t>vimeo:1104424991</t>
        </is>
      </c>
      <c r="K17" s="127" t="n"/>
      <c r="L17" s="128" t="inlineStr">
        <is>
          <t>https://www.lovethework.com/work/entries/read-better-762153</t>
        </is>
      </c>
      <c r="M17" s="113" t="inlineStr">
        <is>
          <t>A film and digital campaign for Waterstones, created with McCann Bristol and UM Central, built around the idea that reading books makes you better at interpreting the world around you. The work delivers a social-behaviour message — that regular reading sharpens comprehension and critical thinking — through demonstration rather than instruction.</t>
        </is>
      </c>
      <c r="N17" s="113" t="inlineStr">
        <is>
          <t>books, film, cinema, entertainment, digital, social-behaviour, united-arab-emirates, united-kingdom, reading, retail</t>
        </is>
      </c>
    </row>
    <row r="18">
      <c r="A18" s="127" t="n">
        <v>2025</v>
      </c>
      <c r="B18" s="133" t="inlineStr">
        <is>
          <t>Bronze</t>
        </is>
      </c>
      <c r="C18" s="127" t="inlineStr">
        <is>
          <t>Interface of Humanity Powered by Ntt</t>
        </is>
      </c>
      <c r="D18" s="127" t="inlineStr">
        <is>
          <t>Ntt Human Informatics Laboratories</t>
        </is>
      </c>
      <c r="E18" s="127" t="inlineStr">
        <is>
          <t>Ntt Human Informatics Laboratories</t>
        </is>
      </c>
      <c r="F18" s="127" t="inlineStr">
        <is>
          <t>Dentsu Inc.</t>
        </is>
      </c>
      <c r="G18" s="127" t="inlineStr">
        <is>
          <t>Japan</t>
        </is>
      </c>
      <c r="H18" s="113" t="inlineStr">
        <is>
          <t>UX &amp; Journey Design</t>
        </is>
      </c>
      <c r="I18" s="128" t="inlineStr">
        <is>
          <t>https://ascentialcdn.filespin.io/api/v1/conversion/15acf37ec83847ee82067e734a40a3de</t>
        </is>
      </c>
      <c r="J18" s="127" t="inlineStr">
        <is>
          <t>9Yv1aq_N-Ss</t>
        </is>
      </c>
      <c r="K18" s="127" t="n"/>
      <c r="L18" s="128" t="inlineStr">
        <is>
          <t>https://www.lovethework.com/work/entries/interface-of-humanity-powered-by-ntt-754473</t>
        </is>
      </c>
      <c r="M18" s="113" t="inlineStr">
        <is>
          <t>An interface system built by NTT Human Informatics Laboratories and Dentsu Inc. that enables bedridden people to operate devices and participate as active players — using new sensing and control technologies to work around the physical limitations of being confined to bed. The system is designed as an ongoing development platform, continuously expanding the tools available to people with severely restricted mobility.</t>
        </is>
      </c>
      <c r="N18" s="113" t="inlineStr">
        <is>
          <t>health-wellness-tech, assistive-technology, interface, gaming, video-games, entertainment, mobile-app, japan, disability, research-and-development</t>
        </is>
      </c>
    </row>
    <row r="19">
      <c r="A19" s="33" t="n">
        <v>2026</v>
      </c>
      <c r="B19" s="165" t="inlineStr">
        <is>
          <t>Silver</t>
        </is>
      </c>
      <c r="C19" s="107" t="inlineStr">
        <is>
          <t>Amazonia</t>
        </is>
      </c>
      <c r="D19" s="33" t="inlineStr">
        <is>
          <t>Embratur and RAI</t>
        </is>
      </c>
      <c r="E19" s="33" t="inlineStr">
        <is>
          <t>The Brazilian Amazon as a Traveling Destination</t>
        </is>
      </c>
      <c r="F19" s="33" t="inlineStr">
        <is>
          <t>FutureBrand</t>
        </is>
      </c>
      <c r="G19" s="33" t="inlineStr">
        <is>
          <t>Brazil</t>
        </is>
      </c>
      <c r="H19" s="33" t="inlineStr">
        <is>
          <t>Digital Illustration &amp; Image Design</t>
        </is>
      </c>
      <c r="I19" s="33" t="inlineStr">
        <is>
          <t>https://ascentialcdn.filespin.io/api/v1/conversion/578e6a51b5d440e1bf37d3e9835154d7</t>
        </is>
      </c>
      <c r="J19" s="33" t="inlineStr">
        <is>
          <t>bJiJQbaniR8</t>
        </is>
      </c>
      <c r="L19" s="33" t="inlineStr">
        <is>
          <t>https://www.lovethework.com/work/entries/amazonia-782451</t>
        </is>
      </c>
      <c r="M19" s="33" t="inlineStr">
        <is>
          <t>The Amazônia destination brand entered in digital illustration: the first-ever identity for the Brazilian Amazon, created by FutureBrand for Embratur and RAI, with a visual world built alongside Amazonian artists and creatives to represent the region's cultural and natural diversity. (Digital Illustration &amp; Image Design entry.)</t>
        </is>
      </c>
      <c r="N19" s="33" t="inlineStr">
        <is>
          <t>embratur, rai, amazonia, amazon, brazil, tourism, travel, destination brand, place branding, digital illustration, image design, sustainability, environment, digital craft, futurebrand</t>
        </is>
      </c>
    </row>
    <row r="20">
      <c r="A20" s="33" t="n">
        <v>2026</v>
      </c>
      <c r="B20" s="166" t="inlineStr">
        <is>
          <t>Bronze</t>
        </is>
      </c>
      <c r="C20" s="107" t="inlineStr">
        <is>
          <t>No Frame Missed</t>
        </is>
      </c>
      <c r="D20" s="33" t="inlineStr">
        <is>
          <t>Apple</t>
        </is>
      </c>
      <c r="E20" s="33" t="inlineStr">
        <is>
          <t>iPhone</t>
        </is>
      </c>
      <c r="F20" s="33" t="inlineStr">
        <is>
          <t>TBWA\Media Arts Lab</t>
        </is>
      </c>
      <c r="G20" s="33" t="inlineStr">
        <is>
          <t>United States</t>
        </is>
      </c>
      <c r="H20" s="33" t="inlineStr">
        <is>
          <t>Video/Moving Image</t>
        </is>
      </c>
      <c r="I20" s="33" t="inlineStr">
        <is>
          <t>https://ascentialcdn.filespin.io/api/v1/conversion/62c0c233f40144d7970516cb87619496</t>
        </is>
      </c>
      <c r="J20" s="33" t="inlineStr">
        <is>
          <t>vimeo:1112735008</t>
        </is>
      </c>
      <c r="L20" s="33" t="inlineStr">
        <is>
          <t>https://www.lovethework.com/work/entries/no-frame-missed-792104</t>
        </is>
      </c>
      <c r="M20" s="33" t="inlineStr">
        <is>
          <t>A docu-style short film for Apple showing how the new iPhone's stabilisation helps people living with Parkinson's capture steady footage. The craft sits in the moving image — emotional, observational filmmaking shot on iPhone. (Video/Moving Image entry.)</t>
        </is>
      </c>
      <c r="N20" s="33" t="inlineStr">
        <is>
          <t>apple, iphone, smartphone, technology, parkinsons, accessibility, film, cinema, entertainment, moving image, documentary, video craft, digital craft, tbwa media arts lab, united states</t>
        </is>
      </c>
    </row>
    <row r="21">
      <c r="A21" s="33" t="n">
        <v>2026</v>
      </c>
      <c r="B21" s="166" t="inlineStr">
        <is>
          <t>Bronze</t>
        </is>
      </c>
      <c r="C21" s="107" t="inlineStr">
        <is>
          <t>Project Genie</t>
        </is>
      </c>
      <c r="D21" s="33" t="inlineStr">
        <is>
          <t>Google</t>
        </is>
      </c>
      <c r="E21" s="33" t="inlineStr">
        <is>
          <t>Genie 3</t>
        </is>
      </c>
      <c r="F21" s="33" t="inlineStr">
        <is>
          <t>Google</t>
        </is>
      </c>
      <c r="G21" s="33" t="inlineStr">
        <is>
          <t>United States</t>
        </is>
      </c>
      <c r="H21" s="33" t="inlineStr">
        <is>
          <t>UX &amp; Journey Design</t>
        </is>
      </c>
      <c r="I21" s="33" t="inlineStr">
        <is>
          <t>https://ascentialcdn.filespin.io/api/v1/conversion/26ce428a89844783bf3319fb70637067</t>
        </is>
      </c>
      <c r="J21" s="33" t="inlineStr">
        <is>
          <t>D448m_QWf74</t>
        </is>
      </c>
      <c r="L21" s="33" t="inlineStr">
        <is>
          <t>https://www.lovethework.com/work/entries/project-genie-791907</t>
        </is>
      </c>
      <c r="M21" s="33" t="inlineStr">
        <is>
          <t>A prototype consumer interface for Google's Genie 3 world-model AI. This entry focuses on the journey and UX design that turn DeepMind's frontier research into a usable way to explore AI-generated, interactive worlds. (UX &amp; Journey Design entry.)</t>
        </is>
      </c>
      <c r="N21" s="33" t="inlineStr">
        <is>
          <t>google, genie 3, deepmind, ai, technology, artificial intelligence, world model, ux design, journey design, interface, prototype, digital craft, united states</t>
        </is>
      </c>
    </row>
    <row r="22">
      <c r="A22" s="33" t="n">
        <v>2026</v>
      </c>
      <c r="B22" s="164" t="inlineStr">
        <is>
          <t>Gold</t>
        </is>
      </c>
      <c r="C22" s="107" t="inlineStr">
        <is>
          <t>Language of Bedwetting</t>
        </is>
      </c>
      <c r="D22" s="33" t="inlineStr">
        <is>
          <t>Autism Society</t>
        </is>
      </c>
      <c r="E22" s="33" t="inlineStr">
        <is>
          <t>Autism Society</t>
        </is>
      </c>
      <c r="F22" s="33" t="inlineStr">
        <is>
          <t>McCann New York</t>
        </is>
      </c>
      <c r="G22" s="33" t="inlineStr">
        <is>
          <t>United States</t>
        </is>
      </c>
      <c r="H22" s="33" t="inlineStr">
        <is>
          <t>UX &amp; Journey Design</t>
        </is>
      </c>
      <c r="I22" s="33" t="inlineStr">
        <is>
          <t>https://ascentialcdn.filespin.io/api/v1/conversion/3e001d90d93543368c563dfb6651e36c</t>
        </is>
      </c>
      <c r="J22" s="33" t="inlineStr">
        <is>
          <t>vimeo:1188452653</t>
        </is>
      </c>
      <c r="L22" s="33" t="inlineStr">
        <is>
          <t>https://www.lovethework.com/work/entries/language-of-bedwetting-778279</t>
        </is>
      </c>
      <c r="M22" s="33" t="inlineStr">
        <is>
          <t>The first complete augmentative and alternative communication (AAC) vocabulary built around bedwetting — a symbol-based system designed with autism advocates, parents and communication experts to help non-verbal and autistic children express needs, wants and feelings about wetting the bed. Created with nighttime-underwear brand Goodnites.</t>
        </is>
      </c>
      <c r="N22" s="33" t="inlineStr">
        <is>
          <t>autism society, goodnites, autism, accessibility, aac, communication, non-verbal, children, bedwetting, health, ux design, symbols, digital craft, mccann new york, united states</t>
        </is>
      </c>
    </row>
    <row r="23">
      <c r="A23" s="33" t="n">
        <v>2026</v>
      </c>
      <c r="B23" s="165" t="inlineStr">
        <is>
          <t>Silver</t>
        </is>
      </c>
      <c r="C23" s="107" t="inlineStr">
        <is>
          <t>A Critter Carol</t>
        </is>
      </c>
      <c r="D23" s="33" t="inlineStr">
        <is>
          <t>Apple</t>
        </is>
      </c>
      <c r="E23" s="33" t="inlineStr">
        <is>
          <t>iPhone</t>
        </is>
      </c>
      <c r="F23" s="33" t="inlineStr">
        <is>
          <t>TBWA\Media Arts Lab</t>
        </is>
      </c>
      <c r="G23" s="33" t="inlineStr">
        <is>
          <t>United States</t>
        </is>
      </c>
      <c r="H23" s="33" t="inlineStr">
        <is>
          <t>Cross-Channel Storytelling</t>
        </is>
      </c>
      <c r="I23" s="33" t="inlineStr">
        <is>
          <t>https://beastgrip.com/cdn/shop/articles/shot-on-iphone-17-pro-a-critter-carol-beastgrip-gear-behind-the-magic_10ea192b-ee14-4514-915e-2d46daad1ef4.jpg</t>
        </is>
      </c>
      <c r="J23" s="33" t="inlineStr">
        <is>
          <t>vimeo:1140829189</t>
        </is>
      </c>
      <c r="L23" s="33" t="inlineStr">
        <is>
          <t>https://www.lovethework.com/work/entries/a-critter-carol-790281</t>
        </is>
      </c>
      <c r="M23" s="33" t="inlineStr">
        <is>
          <t>Apple's holiday 'Shot on iPhone' film: after a hiker drops an iPhone in a snowy forest, a group of handmade puppet critters — a raccoon, bear, owl, deer and others — find it and film themselves in a joyful musical number celebrating friendship and craft. Directed by Mark Molloy. (Cross-Channel Storytelling entry.)</t>
        </is>
      </c>
      <c r="N23" s="33" t="inlineStr">
        <is>
          <t>apple, iphone, smartphone, technology, holiday, christmas, puppets, animation, film, cinema, entertainment, storytelling, cross-channel, music, digital craft, tbwa media arts lab, united states</t>
        </is>
      </c>
    </row>
    <row r="24">
      <c r="A24" s="33" t="n">
        <v>2026</v>
      </c>
      <c r="B24" s="166" t="inlineStr">
        <is>
          <t>Bronze</t>
        </is>
      </c>
      <c r="C24" s="107" t="inlineStr">
        <is>
          <t>Code Her</t>
        </is>
      </c>
      <c r="D24" s="33" t="inlineStr">
        <is>
          <t>O Boticário</t>
        </is>
      </c>
      <c r="E24" s="33" t="inlineStr">
        <is>
          <t>Her Code</t>
        </is>
      </c>
      <c r="F24" s="33" t="inlineStr">
        <is>
          <t>AlmapBBDO</t>
        </is>
      </c>
      <c r="G24" s="33" t="inlineStr">
        <is>
          <t>Brazil</t>
        </is>
      </c>
      <c r="H24" s="33" t="inlineStr">
        <is>
          <t>Real-Time Contextual Content</t>
        </is>
      </c>
      <c r="I24" s="33" t="inlineStr">
        <is>
          <t>https://ascentialcdn.filespin.io/api/v1/conversion/127afab26f2c470989af159082bc7da4</t>
        </is>
      </c>
      <c r="J24" s="33" t="inlineStr">
        <is>
          <t>vimeo:1202270006</t>
        </is>
      </c>
      <c r="L24" s="33" t="inlineStr">
        <is>
          <t>https://www.lovethework.com/work/entries/code-her-791551</t>
        </is>
      </c>
      <c r="M24" s="33" t="inlineStr">
        <is>
          <t>A movement by O Boticário against AI image manipulation of women. 'Code Her' is a bot on X that a user can trigger when she posts her photos, alerting her to and acting against attempts to alter or deepfake her images. (Real-Time Contextual Content entry.)</t>
        </is>
      </c>
      <c r="N24" s="33" t="inlineStr">
        <is>
          <t>o boticario, beauty, cosmetics, personal-care, deepfake, ai manipulation, women, online safety, bot, social media, real-time content, digital craft, almapbbdo, brazil</t>
        </is>
      </c>
    </row>
    <row r="25">
      <c r="A25" s="33" t="n">
        <v>2026</v>
      </c>
      <c r="B25" s="166" t="inlineStr">
        <is>
          <t>Bronze</t>
        </is>
      </c>
      <c r="C25" s="107" t="inlineStr">
        <is>
          <t>Run Back the Miracle</t>
        </is>
      </c>
      <c r="D25" s="33" t="inlineStr">
        <is>
          <t>Michelob Ultra</t>
        </is>
      </c>
      <c r="E25" s="33" t="inlineStr">
        <is>
          <t>Michelob Ultra</t>
        </is>
      </c>
      <c r="F25" s="33" t="inlineStr">
        <is>
          <t>Wieden+Kennedy</t>
        </is>
      </c>
      <c r="G25" s="33" t="inlineStr">
        <is>
          <t>United States</t>
        </is>
      </c>
      <c r="H25" s="33" t="inlineStr">
        <is>
          <t>Personalised Storytelling &amp; Experience</t>
        </is>
      </c>
      <c r="I25" s="33" t="inlineStr">
        <is>
          <t>https://ascentialcdn.filespin.io/api/v1/conversion/174fb4bce1814e0ebfdf7f04f9ba6c96</t>
        </is>
      </c>
      <c r="J25" s="33" t="inlineStr">
        <is>
          <t>twUi2ykMybw</t>
        </is>
      </c>
      <c r="L25" s="33" t="inlineStr">
        <is>
          <t>https://www.lovethework.com/work/entries/run-back-the-miracle-782383</t>
        </is>
      </c>
      <c r="M25" s="33" t="inlineStr">
        <is>
          <t>An experiential activation for Michelob Ultra that brings the 1980 'Miracle on Ice' hockey game back to life, letting fans relive and replay the iconic match through an emerging-tech experience. (Personalised Storytelling &amp; Experience entry.)</t>
        </is>
      </c>
      <c r="N25" s="33" t="inlineStr">
        <is>
          <t>michelob ultra, beer, alcohol, drinks, hockey, miracle on ice, sport, fandom, experiential, personalised, storytelling, digital craft, wieden kennedy, united states</t>
        </is>
      </c>
    </row>
    <row r="26">
      <c r="A26" s="33" t="n">
        <v>2026</v>
      </c>
      <c r="B26" s="166" t="inlineStr">
        <is>
          <t>Bronze</t>
        </is>
      </c>
      <c r="C26" s="107" t="inlineStr">
        <is>
          <t>The Birdwatcher</t>
        </is>
      </c>
      <c r="D26" s="33" t="inlineStr">
        <is>
          <t>Spoor</t>
        </is>
      </c>
      <c r="E26" s="33" t="inlineStr">
        <is>
          <t>AI-Powered Bird Monitoring for Wind Projects</t>
        </is>
      </c>
      <c r="F26" s="33" t="inlineStr">
        <is>
          <t>FP7 McCann</t>
        </is>
      </c>
      <c r="G26" s="33" t="inlineStr">
        <is>
          <t>United Arab Emirates</t>
        </is>
      </c>
      <c r="H26" s="33" t="inlineStr">
        <is>
          <t>Curation of Data</t>
        </is>
      </c>
      <c r="I26" s="33" t="inlineStr">
        <is>
          <t>https://ascentialcdn.filespin.io/api/v1/conversion/9a60a9386d6144adafe502c5491797d6</t>
        </is>
      </c>
      <c r="J26" s="33" t="inlineStr">
        <is>
          <t>DbL7yAqIQaw</t>
        </is>
      </c>
      <c r="L26" s="33" t="inlineStr">
        <is>
          <t>https://www.lovethework.com/work/entries/the-birdwatcher-782437</t>
        </is>
      </c>
      <c r="M26" s="33" t="inlineStr">
        <is>
          <t>A digital experience from AI wildlife-monitoring company Spoor that turns complex bird-monitoring data from wind farms into an open, accessible public record — making previously invisible bird activity visible to policymakers, industry and the public to show wind energy and wildlife can coexist. (Curation of Data entry.)</t>
        </is>
      </c>
      <c r="N26" s="33" t="inlineStr">
        <is>
          <t>spoor, wind energy, renewable energy, wildlife, birds, conservation, environment, sustainability, ai, technology, data, data curation, digital craft, fp7 mccann, united arab emirates</t>
        </is>
      </c>
    </row>
    <row r="27">
      <c r="A27" s="33" t="n">
        <v>2026</v>
      </c>
      <c r="B27" s="167" t="inlineStr">
        <is>
          <t>Grand Prix</t>
        </is>
      </c>
      <c r="C27" s="107" t="inlineStr">
        <is>
          <t>Project Genie</t>
        </is>
      </c>
      <c r="D27" s="33" t="inlineStr">
        <is>
          <t>Google</t>
        </is>
      </c>
      <c r="E27" s="33" t="inlineStr">
        <is>
          <t>Genie 3</t>
        </is>
      </c>
      <c r="F27" s="33" t="inlineStr">
        <is>
          <t>Google</t>
        </is>
      </c>
      <c r="G27" s="33" t="inlineStr">
        <is>
          <t>United States</t>
        </is>
      </c>
      <c r="H27" s="33" t="inlineStr">
        <is>
          <t>AI Craft</t>
        </is>
      </c>
      <c r="I27" s="33" t="inlineStr">
        <is>
          <t>https://ascentialcdn.filespin.io/api/v1/conversion/26ce428a89844783bf3319fb70637067</t>
        </is>
      </c>
      <c r="J27" s="33" t="inlineStr">
        <is>
          <t>D448m_QWf74</t>
        </is>
      </c>
      <c r="L27" s="33" t="inlineStr">
        <is>
          <t>https://www.lovethework.com/work/entries/project-genie-782440</t>
        </is>
      </c>
      <c r="M27" s="33" t="inlineStr">
        <is>
          <t>The Digital Craft Grand Prix: a working prototype of Google's Genie 3, a foundational 'world model' for generating and exploring any imaginable interactive world. The entry made DeepMind's frontier research tangible as a creative platform, showing where AI-driven creativity can go next.</t>
        </is>
      </c>
      <c r="N27" s="33" t="inlineStr">
        <is>
          <t>google, genie 3, deepmind, ai, technology, artificial intelligence, world model, ai craft, generative, prototype, interactive worlds, digital craft, united states</t>
        </is>
      </c>
    </row>
    <row r="28">
      <c r="A28" s="33" t="n">
        <v>2026</v>
      </c>
      <c r="B28" s="164" t="inlineStr">
        <is>
          <t>Gold</t>
        </is>
      </c>
      <c r="C28" s="107" t="inlineStr">
        <is>
          <t>SOS POS</t>
        </is>
      </c>
      <c r="D28" s="33" t="inlineStr">
        <is>
          <t>BCP</t>
        </is>
      </c>
      <c r="E28" s="33" t="inlineStr">
        <is>
          <t>SOS POS</t>
        </is>
      </c>
      <c r="F28" s="33" t="inlineStr">
        <is>
          <t>Circus Grey</t>
        </is>
      </c>
      <c r="G28" s="33" t="inlineStr">
        <is>
          <t>Peru</t>
        </is>
      </c>
      <c r="H28" s="33" t="inlineStr">
        <is>
          <t>Innovative Use of Technology</t>
        </is>
      </c>
      <c r="I28" s="33" t="inlineStr">
        <is>
          <t>https://ascentialcdn.filespin.io/api/v1/conversion/1d46e6542c474e14a830761bec4b045a</t>
        </is>
      </c>
      <c r="J28" s="33" t="inlineStr">
        <is>
          <t>GVdCoJEhO6M</t>
        </is>
      </c>
      <c r="L28" s="33" t="inlineStr">
        <is>
          <t>https://www.lovethework.com/work/entries/sos-pos-782441</t>
        </is>
      </c>
      <c r="M28" s="33" t="inlineStr">
        <is>
          <t>An emergency function built into the card-payment terminals of small shops across Peru by bank BCP. After a phone theft — when victims can't reach the bank because the stolen phone was their only access — they go to a participating store and, by entering their ID number and PIN on the POS keypad, instantly block their bank accounts, turning everyday payment terminals into a decentralised anti-theft network. (Innovative Use of Technology entry.)</t>
        </is>
      </c>
      <c r="N28" s="33" t="inlineStr">
        <is>
          <t>bcp, banking, financial-services, finance, peru, phone theft, security, fraud prevention, pos terminal, point of sale, innovative use of technology, fintech, digital craft, circus grey</t>
        </is>
      </c>
    </row>
    <row r="29">
      <c r="A29" s="33" t="n">
        <v>2026</v>
      </c>
      <c r="B29" s="165" t="inlineStr">
        <is>
          <t>Silver</t>
        </is>
      </c>
      <c r="C29" s="107" t="inlineStr">
        <is>
          <t>The Birdwatcher</t>
        </is>
      </c>
      <c r="D29" s="33" t="inlineStr">
        <is>
          <t>Spoor</t>
        </is>
      </c>
      <c r="E29" s="33" t="inlineStr">
        <is>
          <t>AI-Powered Bird Monitoring for Wind Projects</t>
        </is>
      </c>
      <c r="F29" s="33" t="inlineStr">
        <is>
          <t>FP7 McCann</t>
        </is>
      </c>
      <c r="G29" s="33" t="inlineStr">
        <is>
          <t>United Arab Emirates</t>
        </is>
      </c>
      <c r="H29" s="33" t="inlineStr">
        <is>
          <t>Innovative Use of Technology</t>
        </is>
      </c>
      <c r="I29" s="33" t="inlineStr">
        <is>
          <t>https://ascentialcdn.filespin.io/api/v1/conversion/9a60a9386d6144adafe502c5491797d6</t>
        </is>
      </c>
      <c r="J29" s="33" t="inlineStr">
        <is>
          <t>DbL7yAqIQaw</t>
        </is>
      </c>
      <c r="L29" s="33" t="inlineStr">
        <is>
          <t>https://www.lovethework.com/work/entries/the-birdwatcher-791041</t>
        </is>
      </c>
      <c r="M29" s="33" t="inlineStr">
        <is>
          <t>A digital experience from AI wildlife-monitoring company Spoor that turns complex bird-monitoring data from wind farms into an open, accessible public record, making previously invisible bird activity visible to policymakers, industry and the public to show wind energy and wildlife can coexist. (Innovative Use of Technology entry.)</t>
        </is>
      </c>
      <c r="N29" s="33" t="inlineStr">
        <is>
          <t>spoor, wind energy, renewable energy, wildlife, birds, conservation, environment, sustainability, ai, technology, data, innovative use of technology, digital craft, fp7 mccann, united arab emirates</t>
        </is>
      </c>
    </row>
  </sheetData>
  <autoFilter ref="A1:N18"/>
  <hyperlinks>
    <hyperlink xmlns:r="http://schemas.openxmlformats.org/officeDocument/2006/relationships" ref="I2" r:id="rId1"/>
    <hyperlink xmlns:r="http://schemas.openxmlformats.org/officeDocument/2006/relationships" ref="L2" r:id="rId2"/>
    <hyperlink xmlns:r="http://schemas.openxmlformats.org/officeDocument/2006/relationships" ref="I3" r:id="rId3"/>
    <hyperlink xmlns:r="http://schemas.openxmlformats.org/officeDocument/2006/relationships" ref="L3" r:id="rId4"/>
    <hyperlink xmlns:r="http://schemas.openxmlformats.org/officeDocument/2006/relationships" ref="I4" r:id="rId5"/>
    <hyperlink xmlns:r="http://schemas.openxmlformats.org/officeDocument/2006/relationships" ref="L4" r:id="rId6"/>
    <hyperlink xmlns:r="http://schemas.openxmlformats.org/officeDocument/2006/relationships" ref="I5" r:id="rId7"/>
    <hyperlink xmlns:r="http://schemas.openxmlformats.org/officeDocument/2006/relationships" ref="L5" r:id="rId8"/>
    <hyperlink xmlns:r="http://schemas.openxmlformats.org/officeDocument/2006/relationships" ref="I6" r:id="rId9"/>
    <hyperlink xmlns:r="http://schemas.openxmlformats.org/officeDocument/2006/relationships" ref="L6" r:id="rId10"/>
    <hyperlink xmlns:r="http://schemas.openxmlformats.org/officeDocument/2006/relationships" ref="I7" r:id="rId11"/>
    <hyperlink xmlns:r="http://schemas.openxmlformats.org/officeDocument/2006/relationships" ref="L7" r:id="rId12"/>
    <hyperlink xmlns:r="http://schemas.openxmlformats.org/officeDocument/2006/relationships" ref="I8" r:id="rId13"/>
    <hyperlink xmlns:r="http://schemas.openxmlformats.org/officeDocument/2006/relationships" ref="L8" r:id="rId14"/>
    <hyperlink xmlns:r="http://schemas.openxmlformats.org/officeDocument/2006/relationships" ref="I9" r:id="rId15"/>
    <hyperlink xmlns:r="http://schemas.openxmlformats.org/officeDocument/2006/relationships" ref="L9" r:id="rId16"/>
    <hyperlink xmlns:r="http://schemas.openxmlformats.org/officeDocument/2006/relationships" ref="I10" r:id="rId17"/>
    <hyperlink xmlns:r="http://schemas.openxmlformats.org/officeDocument/2006/relationships" ref="L10" r:id="rId18"/>
    <hyperlink xmlns:r="http://schemas.openxmlformats.org/officeDocument/2006/relationships" ref="I11" r:id="rId19"/>
    <hyperlink xmlns:r="http://schemas.openxmlformats.org/officeDocument/2006/relationships" ref="L11" r:id="rId20"/>
    <hyperlink xmlns:r="http://schemas.openxmlformats.org/officeDocument/2006/relationships" ref="I12" r:id="rId21"/>
    <hyperlink xmlns:r="http://schemas.openxmlformats.org/officeDocument/2006/relationships" ref="L12" r:id="rId22"/>
    <hyperlink xmlns:r="http://schemas.openxmlformats.org/officeDocument/2006/relationships" ref="I13" r:id="rId23"/>
    <hyperlink xmlns:r="http://schemas.openxmlformats.org/officeDocument/2006/relationships" ref="L13" r:id="rId24"/>
    <hyperlink xmlns:r="http://schemas.openxmlformats.org/officeDocument/2006/relationships" ref="I14" r:id="rId25"/>
    <hyperlink xmlns:r="http://schemas.openxmlformats.org/officeDocument/2006/relationships" ref="L14" r:id="rId26"/>
    <hyperlink xmlns:r="http://schemas.openxmlformats.org/officeDocument/2006/relationships" ref="I15" r:id="rId27"/>
    <hyperlink xmlns:r="http://schemas.openxmlformats.org/officeDocument/2006/relationships" ref="L15" r:id="rId28"/>
    <hyperlink xmlns:r="http://schemas.openxmlformats.org/officeDocument/2006/relationships" ref="I16" r:id="rId29"/>
    <hyperlink xmlns:r="http://schemas.openxmlformats.org/officeDocument/2006/relationships" ref="L16" r:id="rId30"/>
    <hyperlink xmlns:r="http://schemas.openxmlformats.org/officeDocument/2006/relationships" ref="I17" r:id="rId31"/>
    <hyperlink xmlns:r="http://schemas.openxmlformats.org/officeDocument/2006/relationships" ref="L17" r:id="rId32"/>
    <hyperlink xmlns:r="http://schemas.openxmlformats.org/officeDocument/2006/relationships" ref="I18" r:id="rId33"/>
    <hyperlink xmlns:r="http://schemas.openxmlformats.org/officeDocument/2006/relationships" ref="L18" r:id="rId34"/>
    <hyperlink xmlns:r="http://schemas.openxmlformats.org/officeDocument/2006/relationships" ref="I19" r:id="rId35"/>
    <hyperlink xmlns:r="http://schemas.openxmlformats.org/officeDocument/2006/relationships" ref="L19" r:id="rId36"/>
    <hyperlink xmlns:r="http://schemas.openxmlformats.org/officeDocument/2006/relationships" ref="I20" r:id="rId37"/>
    <hyperlink xmlns:r="http://schemas.openxmlformats.org/officeDocument/2006/relationships" ref="L20" r:id="rId38"/>
    <hyperlink xmlns:r="http://schemas.openxmlformats.org/officeDocument/2006/relationships" ref="I21" r:id="rId39"/>
    <hyperlink xmlns:r="http://schemas.openxmlformats.org/officeDocument/2006/relationships" ref="L21" r:id="rId40"/>
    <hyperlink xmlns:r="http://schemas.openxmlformats.org/officeDocument/2006/relationships" ref="I22" r:id="rId41"/>
    <hyperlink xmlns:r="http://schemas.openxmlformats.org/officeDocument/2006/relationships" ref="L22" r:id="rId42"/>
    <hyperlink xmlns:r="http://schemas.openxmlformats.org/officeDocument/2006/relationships" ref="I23" r:id="rId43"/>
    <hyperlink xmlns:r="http://schemas.openxmlformats.org/officeDocument/2006/relationships" ref="L23" r:id="rId44"/>
    <hyperlink xmlns:r="http://schemas.openxmlformats.org/officeDocument/2006/relationships" ref="I24" r:id="rId45"/>
    <hyperlink xmlns:r="http://schemas.openxmlformats.org/officeDocument/2006/relationships" ref="L24" r:id="rId46"/>
    <hyperlink xmlns:r="http://schemas.openxmlformats.org/officeDocument/2006/relationships" ref="I25" r:id="rId47"/>
    <hyperlink xmlns:r="http://schemas.openxmlformats.org/officeDocument/2006/relationships" ref="L25" r:id="rId48"/>
    <hyperlink xmlns:r="http://schemas.openxmlformats.org/officeDocument/2006/relationships" ref="I26" r:id="rId49"/>
    <hyperlink xmlns:r="http://schemas.openxmlformats.org/officeDocument/2006/relationships" ref="L26" r:id="rId50"/>
    <hyperlink xmlns:r="http://schemas.openxmlformats.org/officeDocument/2006/relationships" ref="I27" r:id="rId51"/>
    <hyperlink xmlns:r="http://schemas.openxmlformats.org/officeDocument/2006/relationships" ref="L27" r:id="rId52"/>
    <hyperlink xmlns:r="http://schemas.openxmlformats.org/officeDocument/2006/relationships" ref="I28" r:id="rId53"/>
    <hyperlink xmlns:r="http://schemas.openxmlformats.org/officeDocument/2006/relationships" ref="L28" r:id="rId54"/>
    <hyperlink xmlns:r="http://schemas.openxmlformats.org/officeDocument/2006/relationships" ref="I29" r:id="rId55"/>
    <hyperlink xmlns:r="http://schemas.openxmlformats.org/officeDocument/2006/relationships" ref="L29" r:id="rId5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93"/>
  <sheetViews>
    <sheetView workbookViewId="0">
      <pane ySplit="1" topLeftCell="A2" activePane="bottomLeft" state="frozen"/>
      <selection pane="bottomLeft" activeCell="A1" sqref="A1"/>
    </sheetView>
  </sheetViews>
  <sheetFormatPr baseColWidth="8" defaultRowHeight="15"/>
  <cols>
    <col width="6" customWidth="1" style="34" min="1" max="1"/>
    <col width="16" customWidth="1" style="34" min="2" max="2"/>
    <col width="34" customWidth="1" style="34" min="3" max="3"/>
    <col width="22" customWidth="1" style="34" min="4" max="4"/>
    <col width="26" customWidth="1" style="34" min="5" max="5"/>
    <col width="28" customWidth="1" style="34" min="6" max="6"/>
    <col width="16" customWidth="1" style="34" min="7" max="7"/>
    <col width="34" customWidth="1" style="34" min="8" max="8"/>
    <col width="18" customWidth="1" style="34" min="9" max="9"/>
    <col width="16" customWidth="1" style="34" min="10" max="10"/>
    <col width="22" customWidth="1" style="34" min="11" max="11"/>
    <col hidden="1" width="20" customWidth="1" style="34" min="12" max="12"/>
    <col width="60" customWidth="1" style="34" min="13" max="13"/>
    <col width="40" customWidth="1" style="34" min="14" max="14"/>
  </cols>
  <sheetData>
    <row r="1" ht="22" customHeight="1" s="34">
      <c r="A1" s="122" t="inlineStr">
        <is>
          <t>Year</t>
        </is>
      </c>
      <c r="B1" s="122" t="inlineStr">
        <is>
          <t>Tier</t>
        </is>
      </c>
      <c r="C1" s="122" t="inlineStr">
        <is>
          <t>Campaign</t>
        </is>
      </c>
      <c r="D1" s="122" t="inlineStr">
        <is>
          <t>Brand</t>
        </is>
      </c>
      <c r="E1" s="122" t="inlineStr">
        <is>
          <t>Product/Service</t>
        </is>
      </c>
      <c r="F1" s="122" t="inlineStr">
        <is>
          <t>Agency</t>
        </is>
      </c>
      <c r="G1" s="122" t="inlineStr">
        <is>
          <t>Country</t>
        </is>
      </c>
      <c r="H1" s="122" t="inlineStr">
        <is>
          <t>Subcategory</t>
        </is>
      </c>
      <c r="I1" s="122" t="inlineStr">
        <is>
          <t>Image URL</t>
        </is>
      </c>
      <c r="J1" s="122" t="inlineStr">
        <is>
          <t>YouTube ID</t>
        </is>
      </c>
      <c r="K1" s="122" t="inlineStr">
        <is>
          <t>Campaign Group</t>
        </is>
      </c>
      <c r="L1" s="122" t="inlineStr">
        <is>
          <t>Entry URL</t>
        </is>
      </c>
      <c r="M1" s="122" t="inlineStr">
        <is>
          <t>Description</t>
        </is>
      </c>
      <c r="N1" s="122" t="inlineStr">
        <is>
          <t>Keywords</t>
        </is>
      </c>
    </row>
    <row r="2">
      <c r="A2" s="127" t="n">
        <v>2025</v>
      </c>
      <c r="B2" s="139" t="inlineStr">
        <is>
          <t>Grand Prix</t>
        </is>
      </c>
      <c r="C2" s="127" t="inlineStr">
        <is>
          <t>Telstra - Better on a Better Network</t>
        </is>
      </c>
      <c r="D2" s="127" t="inlineStr">
        <is>
          <t>Telstra</t>
        </is>
      </c>
      <c r="E2" s="127" t="inlineStr">
        <is>
          <t>Telstra</t>
        </is>
      </c>
      <c r="F2" s="127" t="inlineStr">
        <is>
          <t>Bear Meets Eagle on Fire</t>
        </is>
      </c>
      <c r="G2" s="127" t="inlineStr">
        <is>
          <t>Australia</t>
        </is>
      </c>
      <c r="H2" s="113" t="inlineStr">
        <is>
          <t>Animation</t>
        </is>
      </c>
      <c r="I2" s="127" t="inlineStr">
        <is>
          <t>digital-presentation-images/film-craft-telstra-telstra-better-on-a-better-network.webp</t>
        </is>
      </c>
      <c r="J2" s="127" t="inlineStr">
        <is>
          <t>L8wOtakkr28</t>
        </is>
      </c>
      <c r="K2" s="127" t="n"/>
      <c r="L2" s="128" t="inlineStr">
        <is>
          <t>https://www.lovethework.com/work/entries/telstra-better-on-a-better-network-765315</t>
        </is>
      </c>
      <c r="M2" s="113" t="inlineStr">
        <is>
          <t>A suite of 26 short films, each set in a different lesser-known regional town or remote area of Australia, brought to life through 56 puppets voiced by 42 actors — each film representing a local story and community that benefits from Telstra's network coverage. The spots aired across Channel 9's Olympics and Paralympics broadcast, replacing the single repeated sponsor spot with a rotating cast of regional characters and landscapes.</t>
        </is>
      </c>
      <c r="N2" s="113" t="inlineStr">
        <is>
          <t>telecommunications, film, cinema, entertainment, puppets, craft, regional, australia, broadcast, olympics, sport, multi-spot</t>
        </is>
      </c>
    </row>
    <row r="3">
      <c r="A3" s="127" t="n">
        <v>2025</v>
      </c>
      <c r="B3" s="140" t="inlineStr">
        <is>
          <t>Gold</t>
        </is>
      </c>
      <c r="C3" s="127" t="inlineStr">
        <is>
          <t>Telstra - Better on a Better Network</t>
        </is>
      </c>
      <c r="D3" s="127" t="inlineStr">
        <is>
          <t>Telstra</t>
        </is>
      </c>
      <c r="E3" s="127" t="inlineStr">
        <is>
          <t>Telstra</t>
        </is>
      </c>
      <c r="F3" s="127" t="inlineStr">
        <is>
          <t>Bear Meets Eagle on Fire</t>
        </is>
      </c>
      <c r="G3" s="127" t="inlineStr">
        <is>
          <t>Australia</t>
        </is>
      </c>
      <c r="H3" s="113" t="inlineStr">
        <is>
          <t>Production Design/Art Direction</t>
        </is>
      </c>
      <c r="I3" s="127" t="inlineStr">
        <is>
          <t>digital-presentation-images/film-craft-telstra-telstra-better-on-a-better-network.webp</t>
        </is>
      </c>
      <c r="J3" s="127" t="inlineStr">
        <is>
          <t>L8wOtakkr28</t>
        </is>
      </c>
      <c r="K3" s="127" t="n"/>
      <c r="L3" s="128" t="inlineStr">
        <is>
          <t>https://www.lovethework.com/work/entries/telstra-better-on-a-better-network-765311</t>
        </is>
      </c>
      <c r="M3" s="113" t="inlineStr">
        <is>
          <t>A suite of 26 short films, each set in a different lesser-known regional town or remote area of Australia, brought to life through 56 puppets voiced by 42 actors — each film representing a local story and community that benefits from Telstra's network coverage. The spots aired across Channel 9's Olympics and Paralympics broadcast, replacing the single repeated sponsor spot with a rotating cast of regional characters and landscapes.</t>
        </is>
      </c>
      <c r="N3" s="113" t="inlineStr">
        <is>
          <t>telecommunications, film, cinema, entertainment, puppets, craft, regional, australia, broadcast, olympics, sport, multi-spot</t>
        </is>
      </c>
    </row>
    <row r="4">
      <c r="A4" s="127" t="n">
        <v>2025</v>
      </c>
      <c r="B4" s="140" t="inlineStr">
        <is>
          <t>Gold</t>
        </is>
      </c>
      <c r="C4" s="127" t="inlineStr">
        <is>
          <t>Considering What?</t>
        </is>
      </c>
      <c r="D4" s="127" t="inlineStr">
        <is>
          <t>Channel 4</t>
        </is>
      </c>
      <c r="E4" s="127" t="inlineStr">
        <is>
          <t>Paralympics 2024</t>
        </is>
      </c>
      <c r="F4" s="127" t="inlineStr">
        <is>
          <t>Work Editorial</t>
        </is>
      </c>
      <c r="G4" s="127" t="inlineStr">
        <is>
          <t>United Kingdom</t>
        </is>
      </c>
      <c r="H4" s="113" t="inlineStr">
        <is>
          <t>Editing</t>
        </is>
      </c>
      <c r="I4" s="127" t="inlineStr">
        <is>
          <t>digital-presentation-images/film-channel-4-paris-paralympic-2024-considering-what.webp</t>
        </is>
      </c>
      <c r="J4" s="127" t="inlineStr">
        <is>
          <t>bUs_mNTNwvE</t>
        </is>
      </c>
      <c r="K4" s="127" t="n"/>
      <c r="L4" s="128" t="inlineStr">
        <is>
          <t>https://www.lovethework.com/work/entries/considering-what-765324</t>
        </is>
      </c>
      <c r="M4" s="113" t="inlineStr">
        <is>
          <t>A broadcast and OOH campaign for Channel 4's Paris 2024 Paralympics coverage that crossed out patronising caveats — "She's incredibly fast for someone in a wheelchair," "He's so strong for someone so small" — with the athletes' actual performances, leaving the qualifying phrase struck through on billboards and in social posts. On social, the same condescending framing was applied to non-disabled Olympic athletes to expose how absurd the language sounds when directed at anyone. The film, made with 4Creative, personified the physical forces — gravity, wind, time — that all elite athletes face equally, regardless of disability.</t>
        </is>
      </c>
      <c r="N4" s="113" t="inlineStr">
        <is>
          <t>broadcaster, paralympics, ooh, film, cinema, entertainment, social, disability, sports, united-kingdom, typography</t>
        </is>
      </c>
    </row>
    <row r="5">
      <c r="A5" s="127" t="n">
        <v>2025</v>
      </c>
      <c r="B5" s="140" t="inlineStr">
        <is>
          <t>Gold</t>
        </is>
      </c>
      <c r="C5" s="127" t="inlineStr">
        <is>
          <t>Guao Guao</t>
        </is>
      </c>
      <c r="D5" s="127" t="inlineStr">
        <is>
          <t>Desperados</t>
        </is>
      </c>
      <c r="E5" s="127" t="inlineStr">
        <is>
          <t>Desperados</t>
        </is>
      </c>
      <c r="F5" s="127" t="inlineStr">
        <is>
          <t>LePub</t>
        </is>
      </c>
      <c r="G5" s="127" t="inlineStr">
        <is>
          <t>Italy</t>
        </is>
      </c>
      <c r="H5" s="113" t="inlineStr">
        <is>
          <t>Casting</t>
        </is>
      </c>
      <c r="I5" s="127" t="inlineStr">
        <is>
          <t>digital-presentation-images/film-craft-desperados-guao-guao.webp</t>
        </is>
      </c>
      <c r="J5" s="127" t="inlineStr">
        <is>
          <t>N58e8-bziA0</t>
        </is>
      </c>
      <c r="K5" s="127" t="n"/>
      <c r="L5" s="128" t="inlineStr">
        <is>
          <t>https://www.lovethework.com/work/entries/guao-guao-765356</t>
        </is>
      </c>
      <c r="M5" s="113" t="inlineStr">
        <is>
          <t>An original reggaeton track and brand film made in partnership with Colombian Grammy-winning producer Ovy on the Drums and Venezuelan rapper Micro TDH, created for Desperados — a tequila-infused beer positioned around Latin party culture — to respond to declining out-and-about social behavior among Gen Z in Europe. The brand film was cast entirely with non-Latin talent from Europe, China, India, and Africa to show that the energy of reggaeton crosses cultural identities, with casting as the central creative argument.</t>
        </is>
      </c>
      <c r="N5" s="113" t="inlineStr">
        <is>
          <t>beer, alcohol, music, entertainment, film, cinema, casting, reggaeton, europe, branded-content, italy, music-video, latin-culture</t>
        </is>
      </c>
    </row>
    <row r="6">
      <c r="A6" s="127" t="n">
        <v>2025</v>
      </c>
      <c r="B6" s="140" t="inlineStr">
        <is>
          <t>Gold</t>
        </is>
      </c>
      <c r="C6" s="127" t="inlineStr">
        <is>
          <t>Find Your Friends</t>
        </is>
      </c>
      <c r="D6" s="127" t="inlineStr">
        <is>
          <t>Apple</t>
        </is>
      </c>
      <c r="E6" s="127" t="inlineStr">
        <is>
          <t>Precision Finding</t>
        </is>
      </c>
      <c r="F6" s="127" t="inlineStr">
        <is>
          <t>Apple</t>
        </is>
      </c>
      <c r="G6" s="127" t="inlineStr">
        <is>
          <t>United States</t>
        </is>
      </c>
      <c r="H6" s="113" t="inlineStr">
        <is>
          <t>Use of Licensed/Adapted Music</t>
        </is>
      </c>
      <c r="I6" s="127" t="inlineStr">
        <is>
          <t>digital-presentation-images/film-craft-apple-find-your-friends.webp</t>
        </is>
      </c>
      <c r="J6" s="127" t="inlineStr">
        <is>
          <t>vimeo:1068530073</t>
        </is>
      </c>
      <c r="K6" s="127" t="n"/>
      <c r="L6" s="128" t="inlineStr">
        <is>
          <t>https://www.lovethework.com/work/entries/find-your-friends-765322</t>
        </is>
      </c>
      <c r="M6" s="113" t="inlineStr">
        <is>
          <t>A film shot at a Star Wars fan convention in which a lone attendee, dressed in Mandalorian armor, uses the Precision Finding feature on his iPhone 15 to locate his friends in a crowd of identically helmeted cosplayers. Designed and released on May 4th as a love letter to the fan community, the film's sound was built at Skywalker Sound and background signage was seeded with details for fans to decode.</t>
        </is>
      </c>
      <c r="N6" s="113" t="inlineStr">
        <is>
          <t>smartphone, film, cinema, entertainment, precision-finding, fan-culture, star-wars, cosplay, united-states, sound-design, casting</t>
        </is>
      </c>
    </row>
    <row r="7">
      <c r="A7" s="127" t="n">
        <v>2025</v>
      </c>
      <c r="B7" s="140" t="inlineStr">
        <is>
          <t>Gold</t>
        </is>
      </c>
      <c r="C7" s="127" t="inlineStr">
        <is>
          <t>Paris Paralympics 2024: Considering What?</t>
        </is>
      </c>
      <c r="D7" s="127" t="inlineStr">
        <is>
          <t>Channel 4</t>
        </is>
      </c>
      <c r="E7" s="127" t="inlineStr">
        <is>
          <t>Channel 4</t>
        </is>
      </c>
      <c r="F7" s="127" t="inlineStr">
        <is>
          <t>Biscuit Filmworks</t>
        </is>
      </c>
      <c r="G7" s="127" t="inlineStr">
        <is>
          <t>United Kingdom</t>
        </is>
      </c>
      <c r="H7" s="113" t="inlineStr">
        <is>
          <t>Direction</t>
        </is>
      </c>
      <c r="I7" s="127" t="inlineStr">
        <is>
          <t>digital-presentation-images/film-channel-4-paris-paralympic-2024-considering-what.webp</t>
        </is>
      </c>
      <c r="J7" s="127" t="inlineStr">
        <is>
          <t>2np3KfLrA_M</t>
        </is>
      </c>
      <c r="K7" s="127" t="n"/>
      <c r="L7" s="128" t="inlineStr">
        <is>
          <t>https://www.lovethework.com/work/entries/paris-paralympics-2024-considering-what-765981</t>
        </is>
      </c>
      <c r="M7" s="113" t="inlineStr">
        <is>
          <t>A Channel 4 campaign for the Paris 2024 Paralympic Games, made by in-house agency 4Creative and production company Biscuit Filmworks, built around the patronising language real viewers use about Paralympic athletes — phrases like "she's incredibly fast for someone in a wheelchair" and "amazing... considering" — which appeared as OOH billboards with the condescending caveats crossed out by the athletes' actual sporting achievements. On social, the same treatment was flipped: patronising comments typically aimed at Paralympians were redirected at non-disabled Olympians, exposing the double standard. The campaign responded to research showing that 60% of viewers still watch the Paralympics primarily to see athletes "overcome" their disabilities rather than compete as elite sportspeople.</t>
        </is>
      </c>
      <c r="N7" s="113" t="inlineStr">
        <is>
          <t>broadcaster, ooh, social-media, paralympics, disability, sport, film, cinema, entertainment, united-kingdom, 4creative</t>
        </is>
      </c>
    </row>
    <row r="8">
      <c r="A8" s="127" t="n">
        <v>2025</v>
      </c>
      <c r="B8" s="140" t="inlineStr">
        <is>
          <t>Gold</t>
        </is>
      </c>
      <c r="C8" s="127" t="inlineStr">
        <is>
          <t>A Tale as Old as Websites</t>
        </is>
      </c>
      <c r="D8" s="127" t="inlineStr">
        <is>
          <t>Squarespace</t>
        </is>
      </c>
      <c r="E8" s="127" t="inlineStr">
        <is>
          <t>Squarespace</t>
        </is>
      </c>
      <c r="F8" s="127" t="inlineStr">
        <is>
          <t>Squarespace</t>
        </is>
      </c>
      <c r="G8" s="127" t="inlineStr">
        <is>
          <t>United States</t>
        </is>
      </c>
      <c r="H8" s="113" t="inlineStr">
        <is>
          <t>Direction</t>
        </is>
      </c>
      <c r="I8" s="127" t="inlineStr">
        <is>
          <t>digital-presentation-images/film-craft-squarespace-a-tale-as-old-as-websites.webp</t>
        </is>
      </c>
      <c r="J8" s="127" t="inlineStr">
        <is>
          <t>vimeo:1053465598</t>
        </is>
      </c>
      <c r="K8" s="127" t="n"/>
      <c r="L8" s="128" t="inlineStr">
        <is>
          <t>https://www.lovethework.com/work/entries/a-tale-as-old-as-websites-765346</t>
        </is>
      </c>
      <c r="M8" s="113" t="inlineStr">
        <is>
          <t>A Super Bowl spot set in rural Ireland, where Barry Keoghan plays a door-to-door website deliveryman in a bygone era — riding on horseback and by donkey to bring freshly built Squarespace sites to farmers, pub owners, and wool knitters. The campaign extended beyond the game-day ad into short films, movie-style posters, a storybook, and a dedicated website for Keoghan's donkey co-star, Mosley.</t>
        </is>
      </c>
      <c r="N8" s="113" t="inlineStr">
        <is>
          <t>website-builder, super-bowl, television, film, cinema, entertainment, united-states, ireland, celebrity, consumer-services, period-setting, entrepreneurship</t>
        </is>
      </c>
    </row>
    <row r="9">
      <c r="A9" s="127" t="n">
        <v>2025</v>
      </c>
      <c r="B9" s="140" t="inlineStr">
        <is>
          <t>Gold</t>
        </is>
      </c>
      <c r="C9" s="127" t="inlineStr">
        <is>
          <t>Donkey</t>
        </is>
      </c>
      <c r="D9" s="127" t="inlineStr">
        <is>
          <t>Telstra</t>
        </is>
      </c>
      <c r="E9" s="127" t="inlineStr">
        <is>
          <t>Telstra</t>
        </is>
      </c>
      <c r="F9" s="127" t="inlineStr">
        <is>
          <t>Revolver</t>
        </is>
      </c>
      <c r="G9" s="127" t="inlineStr">
        <is>
          <t>Australia</t>
        </is>
      </c>
      <c r="H9" s="113" t="inlineStr">
        <is>
          <t>Direction</t>
        </is>
      </c>
      <c r="I9" s="127" t="inlineStr">
        <is>
          <t>digital-presentation-images/film-craft-telstra-donkey.webp</t>
        </is>
      </c>
      <c r="J9" s="127" t="inlineStr">
        <is>
          <t>vimeo:1028285893</t>
        </is>
      </c>
      <c r="K9" s="127" t="n"/>
      <c r="L9" s="128" t="inlineStr">
        <is>
          <t>https://www.lovethework.com/work/entries/donkey-765344</t>
        </is>
      </c>
      <c r="M9" s="113" t="inlineStr">
        <is>
          <t>A Christmas film following a donkey who accidentally becomes a singing star — touring venues, recording, and performing on stage — before homesickness pulls her back to her family. Directed by Revolver and crafted with Blockhead VFX, Rumble Studios, and The Editors, the spot anchors Telstra's seasonal retail period around the idea that family connection is the point of the holiday.</t>
        </is>
      </c>
      <c r="N9" s="113" t="inlineStr">
        <is>
          <t>telecommunications, film, cinema, entertainment, christmas, seasonal, australia, vfx, direction, animal-led</t>
        </is>
      </c>
    </row>
    <row r="10">
      <c r="A10" s="127" t="n">
        <v>2025</v>
      </c>
      <c r="B10" s="140" t="inlineStr">
        <is>
          <t>Gold</t>
        </is>
      </c>
      <c r="C10" s="127" t="inlineStr">
        <is>
          <t>A$ap Rocky - Tailor Swif</t>
        </is>
      </c>
      <c r="D10" s="127" t="inlineStr">
        <is>
          <t>A$ap Rocky</t>
        </is>
      </c>
      <c r="E10" s="127" t="inlineStr">
        <is>
          <t>A$ap Rocky</t>
        </is>
      </c>
      <c r="F10" s="127" t="inlineStr">
        <is>
          <t>Iconoclast</t>
        </is>
      </c>
      <c r="G10" s="127" t="inlineStr">
        <is>
          <t>United States</t>
        </is>
      </c>
      <c r="H10" s="113" t="inlineStr">
        <is>
          <t>Direction</t>
        </is>
      </c>
      <c r="I10" s="128" t="inlineStr">
        <is>
          <t>https://ascentialcdn.filespin.io/api/v1/storyboard/7819511744634f7a81824e1b2a278ae1/storyboard_000008.jpg</t>
        </is>
      </c>
      <c r="J10" s="127" t="inlineStr">
        <is>
          <t>5URefVYaJrA</t>
        </is>
      </c>
      <c r="K10" s="127" t="n"/>
      <c r="L10" s="128" t="inlineStr">
        <is>
          <t>https://www.lovethework.com/work/entries/aap-rocky-tailor-swif-765317</t>
        </is>
      </c>
      <c r="M10" s="113" t="inlineStr">
        <is>
          <t>A music video for A$AP Rocky's "Tailor Swif" shot on location in Kyiv, Ukraine by directors Vania Heymann and Gal Muggia, blending surreal, meme-sourced imagery with street-level urban scenes. The video was filmed roughly three years before its release, leaked multiple times in the interim, and was completed with VFX by Heymann and cinematography by Denys Lushchyk — a local Ukrainian crew referred to as the #sheltersquad.</t>
        </is>
      </c>
      <c r="N10" s="113" t="inlineStr">
        <is>
          <t>music-video, hip-hop, surreal, ukraine, united-states, direction, vfx, entertainment</t>
        </is>
      </c>
    </row>
    <row r="11">
      <c r="A11" s="127" t="n">
        <v>2025</v>
      </c>
      <c r="B11" s="140" t="inlineStr">
        <is>
          <t>Gold</t>
        </is>
      </c>
      <c r="C11" s="127" t="inlineStr">
        <is>
          <t>Renault - Argentina</t>
        </is>
      </c>
      <c r="D11" s="127" t="inlineStr">
        <is>
          <t>Renault</t>
        </is>
      </c>
      <c r="E11" s="127" t="inlineStr">
        <is>
          <t>Renault E-Tech</t>
        </is>
      </c>
      <c r="F11" s="127" t="inlineStr">
        <is>
          <t>Publicis Conseil</t>
        </is>
      </c>
      <c r="G11" s="127" t="inlineStr">
        <is>
          <t>France</t>
        </is>
      </c>
      <c r="H11" s="113" t="inlineStr">
        <is>
          <t>Cinematography</t>
        </is>
      </c>
      <c r="I11" s="127" t="inlineStr">
        <is>
          <t>digital-presentation-images/film-craft-renault-renault-argentina.webp</t>
        </is>
      </c>
      <c r="J11" s="127" t="inlineStr">
        <is>
          <t>_n5ZDERgrdc</t>
        </is>
      </c>
      <c r="K11" s="127" t="n"/>
      <c r="L11" s="128" t="inlineStr">
        <is>
          <t>https://www.lovethework.com/work/entries/renault-argentina-766426</t>
        </is>
      </c>
      <c r="M11" s="113" t="inlineStr">
        <is>
          <t>An audiovisual film shot through the windows of Renault's different models across more than ten locations chosen for their geographic and symbolic spread — from Patagonia's southern landscapes to the picturesque corners of northern Argentina. The campaign draws on official data showing Renaults make up the largest share of cars on Argentina's roads, using that ubiquity to frame the film as a portrait of the country itself.</t>
        </is>
      </c>
      <c r="N11" s="113" t="inlineStr">
        <is>
          <t>automotive, cars, transport, film, cinema, entertainment, cinematography, branded-content, argentina, france, publicis-conseil, road-trip, heritage</t>
        </is>
      </c>
    </row>
    <row r="12">
      <c r="A12" s="127" t="n">
        <v>2025</v>
      </c>
      <c r="B12" s="132" t="inlineStr">
        <is>
          <t>Silver</t>
        </is>
      </c>
      <c r="C12" s="127" t="inlineStr">
        <is>
          <t>Guao Guao</t>
        </is>
      </c>
      <c r="D12" s="127" t="inlineStr">
        <is>
          <t>Desperados</t>
        </is>
      </c>
      <c r="E12" s="127" t="inlineStr">
        <is>
          <t>Desperados</t>
        </is>
      </c>
      <c r="F12" s="127" t="inlineStr">
        <is>
          <t>LePub</t>
        </is>
      </c>
      <c r="G12" s="127" t="inlineStr">
        <is>
          <t>Italy</t>
        </is>
      </c>
      <c r="H12" s="113" t="inlineStr">
        <is>
          <t>Use of Original Music</t>
        </is>
      </c>
      <c r="I12" s="127" t="inlineStr">
        <is>
          <t>digital-presentation-images/film-craft-desperados-guao-guao.webp</t>
        </is>
      </c>
      <c r="J12" s="127" t="inlineStr">
        <is>
          <t>N58e8-bziA0</t>
        </is>
      </c>
      <c r="K12" s="127" t="n"/>
      <c r="L12" s="128" t="inlineStr">
        <is>
          <t>https://www.lovethework.com/work/entries/guao-guao-765357</t>
        </is>
      </c>
      <c r="M12" s="113" t="inlineStr">
        <is>
          <t>An original reggaeton track and brand film made in partnership with Colombian Grammy-winning producer Ovy on the Drums and Venezuelan rapper Micro TDH, created for Desperados — a tequila-infused beer positioned around Latin party culture — to respond to declining out-and-about social behavior among Gen Z in Europe. The brand film was cast entirely with non-Latin talent from Europe, China, India, and Africa to show that the energy of reggaeton crosses cultural identities, with casting as the central creative argument.</t>
        </is>
      </c>
      <c r="N12" s="113" t="inlineStr">
        <is>
          <t>beer, alcohol, music, entertainment, film, cinema, casting, reggaeton, europe, branded-content, italy, music-video, latin-culture</t>
        </is>
      </c>
    </row>
    <row r="13">
      <c r="A13" s="127" t="n">
        <v>2025</v>
      </c>
      <c r="B13" s="132" t="inlineStr">
        <is>
          <t>Silver</t>
        </is>
      </c>
      <c r="C13" s="127" t="inlineStr">
        <is>
          <t>Moments</t>
        </is>
      </c>
      <c r="D13" s="127" t="inlineStr">
        <is>
          <t>Volvo</t>
        </is>
      </c>
      <c r="E13" s="127" t="inlineStr">
        <is>
          <t>Volvo Ex90</t>
        </is>
      </c>
      <c r="F13" s="127" t="inlineStr">
        <is>
          <t>Stendahls</t>
        </is>
      </c>
      <c r="G13" s="127" t="inlineStr">
        <is>
          <t>Sweden</t>
        </is>
      </c>
      <c r="H13" s="113" t="inlineStr">
        <is>
          <t>Editing</t>
        </is>
      </c>
      <c r="I13" s="128" t="inlineStr">
        <is>
          <t>https://ascentialcdn.filespin.io/api/v1/storyboard/346a403fc27b4b2db49c84361f4c8081/storyboard_000008.jpg</t>
        </is>
      </c>
      <c r="J13" s="127" t="inlineStr">
        <is>
          <t>cQX-QXxwGvA</t>
        </is>
      </c>
      <c r="K13" s="127" t="n"/>
      <c r="L13" s="128" t="inlineStr">
        <is>
          <t>https://www.lovethework.com/work/entries/moments-765347</t>
        </is>
      </c>
      <c r="M13" s="113" t="inlineStr">
        <is>
          <t>A film for the Volvo EX90, shot by cinematographer Hoyte van Hoytema, built around brief sensory moments — light, texture, motion — rather than a conventional product narrative. Created by Stendahls in collaboration with production company New Land in Sweden.</t>
        </is>
      </c>
      <c r="N13" s="113" t="inlineStr">
        <is>
          <t>automotive, cars, transport, film, cinema, entertainment, branded-content, editing, cinematography, sweden</t>
        </is>
      </c>
    </row>
    <row r="14">
      <c r="A14" s="127" t="n">
        <v>2025</v>
      </c>
      <c r="B14" s="132" t="inlineStr">
        <is>
          <t>Silver</t>
        </is>
      </c>
      <c r="C14" s="127" t="inlineStr">
        <is>
          <t>Nike "sunshine"</t>
        </is>
      </c>
      <c r="D14" s="127" t="inlineStr">
        <is>
          <t>Nike</t>
        </is>
      </c>
      <c r="E14" s="127" t="n"/>
      <c r="F14" s="127" t="inlineStr">
        <is>
          <t>Trafik</t>
        </is>
      </c>
      <c r="G14" s="127" t="n"/>
      <c r="H14" s="113" t="inlineStr">
        <is>
          <t>Colour Correction/Grading</t>
        </is>
      </c>
      <c r="I14" s="128" t="inlineStr">
        <is>
          <t>https://ascentialcdn.filespin.io/api/v1/storyboard/b9ed0aae1ae84082882cb4a1ec460780/storyboard_000008.jpg</t>
        </is>
      </c>
      <c r="J14" s="127" t="inlineStr">
        <is>
          <t>vimeo:1010739490</t>
        </is>
      </c>
      <c r="K14" s="127" t="n"/>
      <c r="L14" s="128" t="inlineStr">
        <is>
          <t>https://www.lovethework.com/work/entries/nike-sunshine-765328</t>
        </is>
      </c>
      <c r="M14" s="113" t="inlineStr">
        <is>
          <t>A colour-graded film from a series of three — "Sunshine," "Morning," and "Joy" — each shot to capture a distinct emotional texture of running, from the dread before a dawn alarm to the reluctant satisfaction after. Created by Wieden+Kennedy with colour work by Trafik's Daniel de Vue, the films launched timed to marathon season to reflect runners' complicated relationship with the sport.</t>
        </is>
      </c>
      <c r="N14" s="113" t="inlineStr">
        <is>
          <t>sportswear, film, cinema, entertainment, colour-grading, running, craft, wieden-kennedy</t>
        </is>
      </c>
    </row>
    <row r="15">
      <c r="A15" s="127" t="n">
        <v>2025</v>
      </c>
      <c r="B15" s="132" t="inlineStr">
        <is>
          <t>Silver</t>
        </is>
      </c>
      <c r="C15" s="127" t="inlineStr">
        <is>
          <t>A Tale as Old as Websites</t>
        </is>
      </c>
      <c r="D15" s="127" t="inlineStr">
        <is>
          <t>Squarespace</t>
        </is>
      </c>
      <c r="E15" s="127" t="inlineStr">
        <is>
          <t>Squarespace</t>
        </is>
      </c>
      <c r="F15" s="127" t="inlineStr">
        <is>
          <t>Squarespace</t>
        </is>
      </c>
      <c r="G15" s="127" t="inlineStr">
        <is>
          <t>United States</t>
        </is>
      </c>
      <c r="H15" s="113" t="inlineStr">
        <is>
          <t>Casting</t>
        </is>
      </c>
      <c r="I15" s="127" t="inlineStr">
        <is>
          <t>digital-presentation-images/film-craft-squarespace-a-tale-as-old-as-websites.webp</t>
        </is>
      </c>
      <c r="J15" s="127" t="inlineStr">
        <is>
          <t>vimeo:1053465598</t>
        </is>
      </c>
      <c r="K15" s="127" t="n"/>
      <c r="L15" s="128" t="inlineStr">
        <is>
          <t>https://www.lovethework.com/work/entries/a-tale-as-old-as-websites-765331</t>
        </is>
      </c>
      <c r="M15" s="113" t="inlineStr">
        <is>
          <t>A Super Bowl spot set in rural Ireland, where Barry Keoghan plays a door-to-door website deliveryman in a bygone era — riding on horseback and by donkey to bring freshly built Squarespace sites to farmers, pub owners, and wool knitters. The campaign extended beyond the game-day ad into short films, movie-style posters, a storybook, and a dedicated website for Keoghan's donkey co-star, Mosley.</t>
        </is>
      </c>
      <c r="N15" s="113" t="inlineStr">
        <is>
          <t>website-builder, super-bowl, television, film, cinema, entertainment, united-states, ireland, celebrity, consumer-services, period-setting, entrepreneurship</t>
        </is>
      </c>
    </row>
    <row r="16">
      <c r="A16" s="127" t="n">
        <v>2025</v>
      </c>
      <c r="B16" s="132" t="inlineStr">
        <is>
          <t>Silver</t>
        </is>
      </c>
      <c r="C16" s="127" t="inlineStr">
        <is>
          <t>Flock</t>
        </is>
      </c>
      <c r="D16" s="127" t="inlineStr">
        <is>
          <t>Apple</t>
        </is>
      </c>
      <c r="E16" s="127" t="inlineStr">
        <is>
          <t>iPhone</t>
        </is>
      </c>
      <c r="F16" s="127" t="inlineStr">
        <is>
          <t>TBWA\Media Arts Lab</t>
        </is>
      </c>
      <c r="G16" s="127" t="inlineStr">
        <is>
          <t>United States</t>
        </is>
      </c>
      <c r="H16" s="113" t="inlineStr">
        <is>
          <t>Animation</t>
        </is>
      </c>
      <c r="I16" s="127" t="inlineStr">
        <is>
          <t>digital-presentation-images/film-craft-apple-flock.webp</t>
        </is>
      </c>
      <c r="J16" s="127" t="inlineStr">
        <is>
          <t>vimeo:1006144786</t>
        </is>
      </c>
      <c r="K16" s="127" t="n"/>
      <c r="L16" s="128" t="inlineStr">
        <is>
          <t>https://www.lovethework.com/work/entries/flock-765354</t>
        </is>
      </c>
      <c r="M16" s="113" t="inlineStr">
        <is>
          <t>A dystopian short film, made by TBWA\Media Arts Lab, in which surveillance cameras built to look like birds and bats — pigeons, seagulls, ravens, owls, and bats, each crafted as physical models before being composited into live-action footage — hunt people's browsing data across everyday online moments. Safari's privacy protections intervene to scatter the flock, drawing a contrast between iPhone and browsers that monetize every click, swipe, and scroll.</t>
        </is>
      </c>
      <c r="N16" s="113" t="inlineStr">
        <is>
          <t>iphone, consumer-electronics, film, cinema, entertainment, privacy, vfx, creature-design, united-states, safari, online-tracking</t>
        </is>
      </c>
    </row>
    <row r="17">
      <c r="A17" s="127" t="n">
        <v>2025</v>
      </c>
      <c r="B17" s="132" t="inlineStr">
        <is>
          <t>Silver</t>
        </is>
      </c>
      <c r="C17" s="127" t="inlineStr">
        <is>
          <t>Moments</t>
        </is>
      </c>
      <c r="D17" s="127" t="inlineStr">
        <is>
          <t>Volvo</t>
        </is>
      </c>
      <c r="E17" s="127" t="inlineStr">
        <is>
          <t>Volvo Ex90</t>
        </is>
      </c>
      <c r="F17" s="127" t="inlineStr">
        <is>
          <t>Stendahls</t>
        </is>
      </c>
      <c r="G17" s="127" t="inlineStr">
        <is>
          <t>Sweden</t>
        </is>
      </c>
      <c r="H17" s="113" t="inlineStr">
        <is>
          <t>Cinematography</t>
        </is>
      </c>
      <c r="I17" s="128" t="inlineStr">
        <is>
          <t>https://ascentialcdn.filespin.io/api/v1/storyboard/346a403fc27b4b2db49c84361f4c8081/storyboard_000008.jpg</t>
        </is>
      </c>
      <c r="J17" s="127" t="inlineStr">
        <is>
          <t>cQX-QXxwGvA</t>
        </is>
      </c>
      <c r="K17" s="127" t="n"/>
      <c r="L17" s="128" t="inlineStr">
        <is>
          <t>https://www.lovethework.com/work/entries/moments-765347</t>
        </is>
      </c>
      <c r="M17" s="113" t="inlineStr">
        <is>
          <t>A film for the Volvo EX90, shot by cinematographer Hoyte van Hoytema, built around brief sensory moments — light, texture, motion — rather than a conventional product narrative. Created by Stendahls in collaboration with production company New Land in Sweden.</t>
        </is>
      </c>
      <c r="N17" s="113" t="inlineStr">
        <is>
          <t>automotive, cars, transport, film, cinema, entertainment, branded-content, editing, cinematography, sweden</t>
        </is>
      </c>
    </row>
    <row r="18">
      <c r="A18" s="127" t="n">
        <v>2025</v>
      </c>
      <c r="B18" s="132" t="inlineStr">
        <is>
          <t>Silver</t>
        </is>
      </c>
      <c r="C18" s="127" t="inlineStr">
        <is>
          <t>In Hot Water</t>
        </is>
      </c>
      <c r="D18" s="127" t="inlineStr">
        <is>
          <t>World Wildlife Fund (wwf)</t>
        </is>
      </c>
      <c r="E18" s="127" t="inlineStr">
        <is>
          <t>WWF</t>
        </is>
      </c>
      <c r="F18" s="127" t="inlineStr">
        <is>
          <t>Nomint</t>
        </is>
      </c>
      <c r="G18" s="127" t="inlineStr">
        <is>
          <t>United Kingdom</t>
        </is>
      </c>
      <c r="H18" s="113" t="inlineStr">
        <is>
          <t>Animation</t>
        </is>
      </c>
      <c r="I18" s="127" t="inlineStr">
        <is>
          <t>digital-presentation-images/film-craft-world-wildlife-fund-wwf-in-hot-water.webp</t>
        </is>
      </c>
      <c r="J18" s="127" t="inlineStr">
        <is>
          <t>vimeo:1028875237</t>
        </is>
      </c>
      <c r="K18" s="127" t="n"/>
      <c r="L18" s="128" t="inlineStr">
        <is>
          <t>https://www.lovethework.com/work/entries/in-hot-water-765332</t>
        </is>
      </c>
      <c r="M18" s="113" t="inlineStr">
        <is>
          <t>A stop-motion film for WWF, made by NOMINT, shot entirely on a thermal camera — each frame built around 1,000 3D-printed replacement models heated to precise temperatures (accurate to 0.1°C) using ovens, heat guns, and freezing sprays, so that heat itself becomes the visual medium. Because figures began cooling the moment they left the oven, every shot was a race to position and capture each model before its thermal color shifted, with the most complex frames — a boy and a fish overlapping at slightly different temperatures — taking days to complete. The film was scored to a reworked version of Radiohead's "No Surprises," with additional production by Neil Barnes of Leftfield, and launched at COP29.</t>
        </is>
      </c>
      <c r="N18" s="113" t="inlineStr">
        <is>
          <t>non-profit, animation, stop-motion, thermal-camera, 3d-printing, ocean-conservation, climate, sustainability, environment, film, cinema, entertainment, united-kingdom, craft</t>
        </is>
      </c>
    </row>
    <row r="19">
      <c r="A19" s="127" t="n">
        <v>2025</v>
      </c>
      <c r="B19" s="132" t="inlineStr">
        <is>
          <t>Silver</t>
        </is>
      </c>
      <c r="C19" s="127" t="inlineStr">
        <is>
          <t>Donkey</t>
        </is>
      </c>
      <c r="D19" s="127" t="inlineStr">
        <is>
          <t>Telstra</t>
        </is>
      </c>
      <c r="E19" s="127" t="inlineStr">
        <is>
          <t>Telstra</t>
        </is>
      </c>
      <c r="F19" s="127" t="inlineStr">
        <is>
          <t>Revolver</t>
        </is>
      </c>
      <c r="G19" s="127" t="inlineStr">
        <is>
          <t>Australia</t>
        </is>
      </c>
      <c r="H19" s="113" t="inlineStr">
        <is>
          <t>Production Design/Art Direction</t>
        </is>
      </c>
      <c r="I19" s="127" t="inlineStr">
        <is>
          <t>digital-presentation-images/film-craft-telstra-donkey.webp</t>
        </is>
      </c>
      <c r="J19" s="127" t="inlineStr">
        <is>
          <t>vimeo:1028285893</t>
        </is>
      </c>
      <c r="K19" s="127" t="n"/>
      <c r="L19" s="128" t="inlineStr">
        <is>
          <t>https://www.lovethework.com/work/entries/donkey-765336</t>
        </is>
      </c>
      <c r="M19" s="113" t="inlineStr">
        <is>
          <t>A Christmas film following a donkey who accidentally becomes a singing star — touring venues, recording, and performing on stage — before homesickness pulls her back to her family. Directed by Revolver and crafted with Blockhead VFX, Rumble Studios, and The Editors, the spot anchors Telstra's seasonal retail period around the idea that family connection is the point of the holiday.</t>
        </is>
      </c>
      <c r="N19" s="113" t="inlineStr">
        <is>
          <t>telecommunications, film, cinema, entertainment, christmas, seasonal, australia, vfx, direction, animal-led</t>
        </is>
      </c>
    </row>
    <row r="20">
      <c r="A20" s="127" t="n">
        <v>2025</v>
      </c>
      <c r="B20" s="132" t="inlineStr">
        <is>
          <t>Silver</t>
        </is>
      </c>
      <c r="C20" s="127" t="inlineStr">
        <is>
          <t>Coffin</t>
        </is>
      </c>
      <c r="D20" s="127" t="inlineStr">
        <is>
          <t>Life360</t>
        </is>
      </c>
      <c r="E20" s="127" t="inlineStr">
        <is>
          <t>Life360</t>
        </is>
      </c>
      <c r="F20" s="127" t="inlineStr">
        <is>
          <t>Alto</t>
        </is>
      </c>
      <c r="G20" s="127" t="inlineStr">
        <is>
          <t>United States</t>
        </is>
      </c>
      <c r="H20" s="113" t="inlineStr">
        <is>
          <t>Direction</t>
        </is>
      </c>
      <c r="I20" s="128" t="inlineStr">
        <is>
          <t>https://ascentialcdn.filespin.io/api/v1/storyboard/3cd320dd9fcd4445a86f756e25d0402e/storyboard_000008.jpg</t>
        </is>
      </c>
      <c r="J20" s="127" t="inlineStr">
        <is>
          <t>vimeo:1023704952</t>
        </is>
      </c>
      <c r="K20" s="127" t="n"/>
      <c r="L20" s="128" t="inlineStr">
        <is>
          <t>https://www.lovethework.com/work/entries/coffin-765342</t>
        </is>
      </c>
      <c r="M20" s="113" t="inlineStr">
        <is>
          <t>A film spot directed by Steve Ayson of MJZ in which a funeral goes catastrophically wrong when a coffin lid flies open and the body rolls out — played as dark comedy to illustrate what happens when families lose track of each other. The ad is one of three executions (alongside Coat and Curfew) created by Alto New York for Life360's "Family-Proof Your Family" platform, each staging a worst-case scenario rooted in the anxieties of family safety apps.</t>
        </is>
      </c>
      <c r="N20" s="113" t="inlineStr">
        <is>
          <t>family-safety-app, film, cinema, entertainment, dark-comedy, united-states, direction, alto-new-york, mjz</t>
        </is>
      </c>
    </row>
    <row r="21">
      <c r="A21" s="127" t="n">
        <v>2025</v>
      </c>
      <c r="B21" s="132" t="inlineStr">
        <is>
          <t>Silver</t>
        </is>
      </c>
      <c r="C21" s="127" t="inlineStr">
        <is>
          <t>Renault - Argentina</t>
        </is>
      </c>
      <c r="D21" s="127" t="inlineStr">
        <is>
          <t>Renault</t>
        </is>
      </c>
      <c r="E21" s="127" t="inlineStr">
        <is>
          <t>Renault E-Tech</t>
        </is>
      </c>
      <c r="F21" s="127" t="inlineStr">
        <is>
          <t>Publicis Conseil</t>
        </is>
      </c>
      <c r="G21" s="127" t="inlineStr">
        <is>
          <t>France</t>
        </is>
      </c>
      <c r="H21" s="113" t="inlineStr">
        <is>
          <t>Production Design/Art Direction</t>
        </is>
      </c>
      <c r="I21" s="127" t="inlineStr">
        <is>
          <t>digital-presentation-images/film-craft-renault-renault-argentina.webp</t>
        </is>
      </c>
      <c r="J21" s="127" t="inlineStr">
        <is>
          <t>_n5ZDERgrdc</t>
        </is>
      </c>
      <c r="K21" s="127" t="n"/>
      <c r="L21" s="128" t="inlineStr">
        <is>
          <t>https://www.lovethework.com/work/entries/renault-argentina-765345</t>
        </is>
      </c>
      <c r="M21" s="113" t="inlineStr">
        <is>
          <t>An audiovisual film shot through the windows of Renault's different models across more than ten locations chosen for their geographic and symbolic spread — from Patagonia's southern landscapes to the picturesque corners of northern Argentina. The campaign draws on official data showing Renaults make up the largest share of cars on Argentina's roads, using that ubiquity to frame the film as a portrait of the country itself.</t>
        </is>
      </c>
      <c r="N21" s="113" t="inlineStr">
        <is>
          <t>automotive, cars, transport, film, cinema, entertainment, cinematography, branded-content, argentina, france, publicis-conseil, road-trip, heritage</t>
        </is>
      </c>
    </row>
    <row r="22">
      <c r="A22" s="127" t="n">
        <v>2025</v>
      </c>
      <c r="B22" s="132" t="inlineStr">
        <is>
          <t>Silver</t>
        </is>
      </c>
      <c r="C22" s="127" t="inlineStr">
        <is>
          <t>A$ap Rocky - Tailor Swif</t>
        </is>
      </c>
      <c r="D22" s="127" t="inlineStr">
        <is>
          <t>A$ap Rocky</t>
        </is>
      </c>
      <c r="E22" s="127" t="inlineStr">
        <is>
          <t>A$ap Rocky</t>
        </is>
      </c>
      <c r="F22" s="127" t="inlineStr">
        <is>
          <t>Iconoclast</t>
        </is>
      </c>
      <c r="G22" s="127" t="inlineStr">
        <is>
          <t>United States</t>
        </is>
      </c>
      <c r="H22" s="113" t="inlineStr">
        <is>
          <t>Production Design/Art Direction</t>
        </is>
      </c>
      <c r="I22" s="128" t="inlineStr">
        <is>
          <t>https://ascentialcdn.filespin.io/api/v1/storyboard/7819511744634f7a81824e1b2a278ae1/storyboard_000008.jpg</t>
        </is>
      </c>
      <c r="J22" s="127" t="inlineStr">
        <is>
          <t>5URefVYaJrA</t>
        </is>
      </c>
      <c r="K22" s="127" t="n"/>
      <c r="L22" s="128" t="inlineStr">
        <is>
          <t>https://www.lovethework.com/work/entries/aap-rocky-tailor-swif-765343</t>
        </is>
      </c>
      <c r="M22" s="113" t="inlineStr">
        <is>
          <t>A music video for A$AP Rocky's "Tailor Swif" shot on location in Kyiv, Ukraine by directors Vania Heymann and Gal Muggia, blending surreal, meme-sourced imagery with street-level urban scenes. The video was filmed roughly three years before its release, leaked multiple times in the interim, and was completed with VFX by Heymann and cinematography by Denys Lushchyk — a local Ukrainian crew referred to as the #sheltersquad.</t>
        </is>
      </c>
      <c r="N22" s="113" t="inlineStr">
        <is>
          <t>music-video, hip-hop, surreal, ukraine, united-states, direction, vfx, entertainment</t>
        </is>
      </c>
    </row>
    <row r="23">
      <c r="A23" s="127" t="n">
        <v>2025</v>
      </c>
      <c r="B23" s="132" t="inlineStr">
        <is>
          <t>Silver</t>
        </is>
      </c>
      <c r="C23" s="127" t="inlineStr">
        <is>
          <t>Believe in Chicken</t>
        </is>
      </c>
      <c r="D23" s="127" t="inlineStr">
        <is>
          <t>KFC</t>
        </is>
      </c>
      <c r="E23" s="127" t="inlineStr">
        <is>
          <t>Food (fried Chicken)</t>
        </is>
      </c>
      <c r="F23" s="127" t="inlineStr">
        <is>
          <t>Mother</t>
        </is>
      </c>
      <c r="G23" s="127" t="inlineStr">
        <is>
          <t>United Kingdom</t>
        </is>
      </c>
      <c r="H23" s="113" t="inlineStr">
        <is>
          <t>Use of Original Music</t>
        </is>
      </c>
      <c r="I23" s="127" t="inlineStr">
        <is>
          <t>digital-presentation-images/film-craft-kfc-believe-in-chicken.webp</t>
        </is>
      </c>
      <c r="J23" s="127" t="inlineStr">
        <is>
          <t>vimeo:958338280</t>
        </is>
      </c>
      <c r="K23" s="127" t="n"/>
      <c r="L23" s="128" t="inlineStr">
        <is>
          <t>https://www.lovethework.com/work/entries/believe-in-chicken-765320</t>
        </is>
      </c>
      <c r="M23" s="113" t="inlineStr">
        <is>
          <t>A film set in a surreal, quasi-religious world where devoted chicken believers gather in crowds before a giant rooster atop a stone plinth, competing to win a golden egg — the ultimate prize for the faithful. Directed by Vedran Rupic in partnership with Mother London, the campaign builds a recurring "cult of fandom" universe around KFC's fried chicken, with original music scored to match the epic, ceremonial tone.</t>
        </is>
      </c>
      <c r="N23" s="113" t="inlineStr">
        <is>
          <t>qsr, fast-food, restaurant, food, film, cinema, entertainment, original-music, united-kingdom, surrealism, branded-entertainment, cult-branding, fried-chicken</t>
        </is>
      </c>
    </row>
    <row r="24">
      <c r="A24" s="127" t="n">
        <v>2025</v>
      </c>
      <c r="B24" s="133" t="inlineStr">
        <is>
          <t>Bronze</t>
        </is>
      </c>
      <c r="C24" s="127" t="inlineStr">
        <is>
          <t>Flock</t>
        </is>
      </c>
      <c r="D24" s="127" t="inlineStr">
        <is>
          <t>Apple</t>
        </is>
      </c>
      <c r="E24" s="127" t="inlineStr">
        <is>
          <t>iPhone</t>
        </is>
      </c>
      <c r="F24" s="127" t="inlineStr">
        <is>
          <t>TBWA\Media Arts Lab</t>
        </is>
      </c>
      <c r="G24" s="127" t="inlineStr">
        <is>
          <t>United States</t>
        </is>
      </c>
      <c r="H24" s="113" t="inlineStr">
        <is>
          <t>Editing</t>
        </is>
      </c>
      <c r="I24" s="127" t="inlineStr">
        <is>
          <t>digital-presentation-images/film-craft-apple-flock.webp</t>
        </is>
      </c>
      <c r="J24" s="127" t="inlineStr">
        <is>
          <t>vimeo:1006144786</t>
        </is>
      </c>
      <c r="K24" s="127" t="n"/>
      <c r="L24" s="128" t="inlineStr">
        <is>
          <t>https://www.lovethework.com/work/entries/flock-765363</t>
        </is>
      </c>
      <c r="M24" s="113" t="inlineStr">
        <is>
          <t>A dystopian short film, made by TBWA\Media Arts Lab, in which surveillance cameras built to look like birds and bats — pigeons, seagulls, ravens, owls, and bats, each crafted as physical models before being composited into live-action footage — hunt people's browsing data across everyday online moments. Safari's privacy protections intervene to scatter the flock, drawing a contrast between iPhone and browsers that monetize every click, swipe, and scroll.</t>
        </is>
      </c>
      <c r="N24" s="113" t="inlineStr">
        <is>
          <t>iphone, consumer-electronics, film, cinema, entertainment, privacy, vfx, creature-design, united-states, safari, online-tracking</t>
        </is>
      </c>
    </row>
    <row r="25">
      <c r="A25" s="127" t="n">
        <v>2025</v>
      </c>
      <c r="B25" s="133" t="inlineStr">
        <is>
          <t>Bronze</t>
        </is>
      </c>
      <c r="C25" s="127" t="inlineStr">
        <is>
          <t>Everything or Nothing</t>
        </is>
      </c>
      <c r="D25" s="127" t="inlineStr">
        <is>
          <t>Riyadh Season</t>
        </is>
      </c>
      <c r="E25" s="127" t="inlineStr">
        <is>
          <t>Boxing Fight</t>
        </is>
      </c>
      <c r="F25" s="127" t="inlineStr">
        <is>
          <t>Bigtime Creative Shop</t>
        </is>
      </c>
      <c r="G25" s="127" t="inlineStr">
        <is>
          <t>Saudi Arabia</t>
        </is>
      </c>
      <c r="H25" s="113" t="inlineStr">
        <is>
          <t>Production Design/Art Direction</t>
        </is>
      </c>
      <c r="I25" s="128" t="inlineStr">
        <is>
          <t>https://ascentialcdn.filespin.io/api/v1/storyboard/99b51143eb5a45779617eee2310c73e0/storyboard_000008.jpg</t>
        </is>
      </c>
      <c r="J25" s="127" t="inlineStr">
        <is>
          <t>vimeo:987240751</t>
        </is>
      </c>
      <c r="K25" s="127" t="n"/>
      <c r="L25" s="128" t="inlineStr">
        <is>
          <t>https://www.lovethework.com/work/entries/everything-or-nothing-765340</t>
        </is>
      </c>
      <c r="M25" s="113" t="inlineStr">
        <is>
          <t>A long-form promotional film for Riyadh Season's boxing event, produced by BigTime Creative Shop in Saudi Arabia and ambitious enough in scope to be described as bordering on short-film length. The production design and art direction drove the piece's awards recognition, with the work earning a Grand Prix at Dubai Lynx.</t>
        </is>
      </c>
      <c r="N25" s="113" t="inlineStr">
        <is>
          <t>boxing, film, cinema, entertainment, production-design, art-direction, long-form, saudi-arabia, sports-event</t>
        </is>
      </c>
    </row>
    <row r="26">
      <c r="A26" s="127" t="n">
        <v>2025</v>
      </c>
      <c r="B26" s="133" t="inlineStr">
        <is>
          <t>Bronze</t>
        </is>
      </c>
      <c r="C26" s="127" t="inlineStr">
        <is>
          <t>Never Just a Period</t>
        </is>
      </c>
      <c r="D26" s="127" t="inlineStr">
        <is>
          <t>Bodyform</t>
        </is>
      </c>
      <c r="E26" s="127" t="inlineStr">
        <is>
          <t>Bodyform</t>
        </is>
      </c>
      <c r="F26" s="127" t="inlineStr">
        <is>
          <t>AMV BBDO</t>
        </is>
      </c>
      <c r="G26" s="127" t="inlineStr">
        <is>
          <t>United Kingdom</t>
        </is>
      </c>
      <c r="H26" s="113" t="inlineStr">
        <is>
          <t>Direction</t>
        </is>
      </c>
      <c r="I26" s="127" t="inlineStr">
        <is>
          <t>digital-presentation-images/film-craft-bodyform-never-just-a-period.webp</t>
        </is>
      </c>
      <c r="J26" s="127" t="inlineStr">
        <is>
          <t>EQW59KR3c4U</t>
        </is>
      </c>
      <c r="K26" s="127" t="n"/>
      <c r="L26" s="128" t="inlineStr">
        <is>
          <t>https://www.lovethework.com/work/entries/never-just-a-period-765319</t>
        </is>
      </c>
      <c r="M26" s="113" t="inlineStr">
        <is>
          <t>A film and integrated campaign for Bodyform/Libresse, created by AMV BBDO London, that dramatises the gap between what women are told about their bodies and what they actually experience — staging rarely discussed moments like getting a period while breastfeeding, large perimenopausal clots, and periods that disappear for months after stopping contraception. An online conversation thread prompted audiences with "What do you wish you'd been told?", opening a space for women+ to share experiences spanning first period to last.</t>
        </is>
      </c>
      <c r="N26" s="113" t="inlineStr">
        <is>
          <t>femcare, film, cinema, entertainment, integrated-campaign, healthcare, womens-health, social, united-kingdom, menstrual-health, amv-bbdo</t>
        </is>
      </c>
    </row>
    <row r="27">
      <c r="A27" s="127" t="n">
        <v>2025</v>
      </c>
      <c r="B27" s="133" t="inlineStr">
        <is>
          <t>Bronze</t>
        </is>
      </c>
      <c r="C27" s="127" t="inlineStr">
        <is>
          <t>18 Months</t>
        </is>
      </c>
      <c r="D27" s="127" t="inlineStr">
        <is>
          <t>Second Nurture</t>
        </is>
      </c>
      <c r="E27" s="127" t="inlineStr">
        <is>
          <t>Charity</t>
        </is>
      </c>
      <c r="F27" s="127" t="inlineStr">
        <is>
          <t>Klick Health</t>
        </is>
      </c>
      <c r="G27" s="127" t="inlineStr">
        <is>
          <t>Canada</t>
        </is>
      </c>
      <c r="H27" s="113" t="inlineStr">
        <is>
          <t>Animation</t>
        </is>
      </c>
      <c r="I27" s="127" t="inlineStr">
        <is>
          <t>digital-presentation-images/film-craft-second-nurture-18-months.webp</t>
        </is>
      </c>
      <c r="J27" s="127" t="inlineStr">
        <is>
          <t>vimeo:1092249009</t>
        </is>
      </c>
      <c r="K27" s="127" t="n"/>
      <c r="L27" s="128" t="inlineStr">
        <is>
          <t>https://www.lovethework.com/work/entries/18-months-765335</t>
        </is>
      </c>
      <c r="M27" s="113" t="inlineStr">
        <is>
          <t>A stop-motion animated short whose sets were built entirely from the pages of outdated pregnancy books — the illustrated diagrams and text physically cut and constructed into six miniature environments by 180 artists, including Oscar and BAFTA-winning animators. The film, produced by Klick Health in Toronto for Second Nurture, follows a non-traditional family's journey to parenthood, using the medium of the books that exclude their story as the literal material of that story.</t>
        </is>
      </c>
      <c r="N27" s="113" t="inlineStr">
        <is>
          <t>charity, stop-motion, animation, film, cinema, entertainment, canada, non-profit, family-building, craft, klick-health</t>
        </is>
      </c>
    </row>
    <row r="28">
      <c r="A28" s="127" t="n">
        <v>2025</v>
      </c>
      <c r="B28" s="133" t="inlineStr">
        <is>
          <t>Bronze</t>
        </is>
      </c>
      <c r="C28" s="127" t="inlineStr">
        <is>
          <t>The Shooting</t>
        </is>
      </c>
      <c r="D28" s="127" t="inlineStr">
        <is>
          <t>La Unión Newspaper</t>
        </is>
      </c>
      <c r="E28" s="127" t="inlineStr">
        <is>
          <t>La Uniãn Newspaper / Articulo 19</t>
        </is>
      </c>
      <c r="F28" s="127" t="inlineStr">
        <is>
          <t>Grey</t>
        </is>
      </c>
      <c r="G28" s="127" t="inlineStr">
        <is>
          <t>Mexico</t>
        </is>
      </c>
      <c r="H28" s="113" t="inlineStr">
        <is>
          <t>Direction</t>
        </is>
      </c>
      <c r="I28" s="127" t="inlineStr">
        <is>
          <t>digital-presentation-images/film-craft-la-union-newspaper-the-shooting.webp</t>
        </is>
      </c>
      <c r="J28" s="127" t="inlineStr">
        <is>
          <t>-saAXmItj_U</t>
        </is>
      </c>
      <c r="K28" s="127" t="n"/>
      <c r="L28" s="128" t="inlineStr">
        <is>
          <t>https://www.lovethework.com/work/entries/the-shooting-765350</t>
        </is>
      </c>
      <c r="M28" s="113" t="inlineStr">
        <is>
          <t>A short film produced by Grey México for La Unión newspaper and Article 19 in which a journalist holding a camera and a gunman holding a pistol face each other across the same frame — built around the double meaning that journalists "shoot" to expose truth while others shoot to silence them. Shot entirely on real locations in Mexico with actors who had personal ties to violence and journalism, the film responds to a context in which more than 200 journalists have been murdered or disappeared in Mexico since 2000, including La Unión founder Moisés Sánchez.</t>
        </is>
      </c>
      <c r="N28" s="113" t="inlineStr">
        <is>
          <t>newspaper, film, cinema, entertainment, public-service, press-freedom, mexico, short-film, social-issue, grey-mexico</t>
        </is>
      </c>
    </row>
    <row r="29">
      <c r="A29" s="127" t="n">
        <v>2025</v>
      </c>
      <c r="B29" s="133" t="inlineStr">
        <is>
          <t>Bronze</t>
        </is>
      </c>
      <c r="C29" s="127" t="inlineStr">
        <is>
          <t>A Tale as Old as Websites</t>
        </is>
      </c>
      <c r="D29" s="127" t="inlineStr">
        <is>
          <t>Squarespace</t>
        </is>
      </c>
      <c r="E29" s="127" t="inlineStr">
        <is>
          <t>Squarespace</t>
        </is>
      </c>
      <c r="F29" s="127" t="inlineStr">
        <is>
          <t>Squarespace</t>
        </is>
      </c>
      <c r="G29" s="127" t="inlineStr">
        <is>
          <t>United States</t>
        </is>
      </c>
      <c r="H29" s="113" t="inlineStr">
        <is>
          <t>Production Design/Art Direction</t>
        </is>
      </c>
      <c r="I29" s="127" t="inlineStr">
        <is>
          <t>digital-presentation-images/film-craft-squarespace-a-tale-as-old-as-websites.webp</t>
        </is>
      </c>
      <c r="J29" s="127" t="inlineStr">
        <is>
          <t>vimeo:1053465598</t>
        </is>
      </c>
      <c r="K29" s="127" t="n"/>
      <c r="L29" s="128" t="inlineStr">
        <is>
          <t>https://www.lovethework.com/work/entries/a-tale-as-old-as-websites-765338</t>
        </is>
      </c>
      <c r="M29" s="113" t="inlineStr">
        <is>
          <t>A Super Bowl spot set in rural Ireland, where Barry Keoghan plays a door-to-door website deliveryman in a bygone era — riding on horseback and by donkey to bring freshly built Squarespace sites to farmers, pub owners, and wool knitters. The campaign extended beyond the game-day ad into short films, movie-style posters, a storybook, and a dedicated website for Keoghan's donkey co-star, Mosley.</t>
        </is>
      </c>
      <c r="N29" s="113" t="inlineStr">
        <is>
          <t>website-builder, super-bowl, television, film, cinema, entertainment, united-states, ireland, celebrity, consumer-services, period-setting, entrepreneurship</t>
        </is>
      </c>
    </row>
    <row r="30">
      <c r="A30" s="127" t="n">
        <v>2025</v>
      </c>
      <c r="B30" s="133" t="inlineStr">
        <is>
          <t>Bronze</t>
        </is>
      </c>
      <c r="C30" s="127" t="inlineStr">
        <is>
          <t>With Love, Italy</t>
        </is>
      </c>
      <c r="D30" s="127" t="inlineStr">
        <is>
          <t>Nestle</t>
        </is>
      </c>
      <c r="E30" s="127" t="inlineStr">
        <is>
          <t>Sanpellegrino Ciao!</t>
        </is>
      </c>
      <c r="F30" s="127" t="inlineStr">
        <is>
          <t>Ogilvy</t>
        </is>
      </c>
      <c r="G30" s="127" t="inlineStr">
        <is>
          <t>United States</t>
        </is>
      </c>
      <c r="H30" s="113" t="inlineStr">
        <is>
          <t>Script</t>
        </is>
      </c>
      <c r="I30" s="127" t="inlineStr">
        <is>
          <t>digital-presentation-images/film-craft-nestle-with-love-italy.webp</t>
        </is>
      </c>
      <c r="J30" s="127" t="inlineStr">
        <is>
          <t>tO1C8ABnsTo</t>
        </is>
      </c>
      <c r="K30" s="127" t="n"/>
      <c r="L30" s="128" t="inlineStr">
        <is>
          <t>https://www.lovethework.com/work/entries/with-love-italy-765329</t>
        </is>
      </c>
      <c r="M30" s="113" t="inlineStr">
        <is>
          <t>A social episodic series — culminating in a short film — built around the conceit that Michael Imperioli and Steve Schirrpa, both known as Sopranos mobsters, are tasked as brand ambassadors to introduce Sanpellegrino's new sparkling water CIAO! to the 17 million Italian-Americans in the United States. The joke is that no one will accept a gift from them, worried about the repercussions — a running gag that casts their mob-adjacent fame as an obstacle to genuine Italian goodwill. The series was created by Ogilvy Italy.</t>
        </is>
      </c>
      <c r="N30" s="113" t="inlineStr">
        <is>
          <t>sparkling-water, branded-content, episodic-series, short-film, social-media, celebrity, united-states, italian-american, ogilvy</t>
        </is>
      </c>
    </row>
    <row r="31">
      <c r="A31" s="127" t="n">
        <v>2025</v>
      </c>
      <c r="B31" s="133" t="inlineStr">
        <is>
          <t>Bronze</t>
        </is>
      </c>
      <c r="C31" s="127" t="inlineStr">
        <is>
          <t>Obsession</t>
        </is>
      </c>
      <c r="D31" s="127" t="inlineStr">
        <is>
          <t>Riyadh Season</t>
        </is>
      </c>
      <c r="E31" s="127" t="inlineStr">
        <is>
          <t>Boxing Fight</t>
        </is>
      </c>
      <c r="F31" s="127" t="inlineStr">
        <is>
          <t>Bigtime Creative Shop</t>
        </is>
      </c>
      <c r="G31" s="127" t="inlineStr">
        <is>
          <t>Saudi Arabia</t>
        </is>
      </c>
      <c r="H31" s="113" t="inlineStr">
        <is>
          <t>Visual Effects</t>
        </is>
      </c>
      <c r="I31" s="127" t="inlineStr">
        <is>
          <t>digital-presentation-images/film-craft-riyadh-season-obsession.webp</t>
        </is>
      </c>
      <c r="J31" s="127" t="inlineStr">
        <is>
          <t>PdcUQwAtDDs</t>
        </is>
      </c>
      <c r="K31" s="127" t="n"/>
      <c r="L31" s="128" t="inlineStr">
        <is>
          <t>https://www.lovethework.com/work/entries/obsession-765355</t>
        </is>
      </c>
      <c r="M31" s="113" t="inlineStr">
        <is>
          <t>A hero film for Riyadh Season's Usyk vs. Fury 2 fight that placed the two boxers' own trash talk, press conference quotes, and viral moments into surreal AI-assisted scenarios where each fighter is haunted by the other throughout daily life — training, home, routines. Built by BigTime Creative Shop, the campaign seeded hidden Easter eggs across multiple platforms and used a coordinated influencer rollout to turn key frames into shareable memes, fueling the pre-fight rivalry as an ongoing social phenomenon.</t>
        </is>
      </c>
      <c r="N31" s="113" t="inlineStr">
        <is>
          <t>sports-entertainment, film, cinema, entertainment, social-media, boxing, ai, technology, saudi-arabia, meme-marketing, influencer, pre-fight-promotion</t>
        </is>
      </c>
    </row>
    <row r="32">
      <c r="A32" s="127" t="n">
        <v>2025</v>
      </c>
      <c r="B32" s="133" t="inlineStr">
        <is>
          <t>Bronze</t>
        </is>
      </c>
      <c r="C32" s="127" t="inlineStr">
        <is>
          <t>Submerged</t>
        </is>
      </c>
      <c r="D32" s="127" t="inlineStr">
        <is>
          <t>Apple</t>
        </is>
      </c>
      <c r="E32" s="127" t="inlineStr">
        <is>
          <t>Vision Pro</t>
        </is>
      </c>
      <c r="F32" s="127" t="inlineStr">
        <is>
          <t>Apple</t>
        </is>
      </c>
      <c r="G32" s="127" t="inlineStr">
        <is>
          <t>United States</t>
        </is>
      </c>
      <c r="H32" s="113" t="inlineStr">
        <is>
          <t>Achievement in Production</t>
        </is>
      </c>
      <c r="I32" s="127" t="inlineStr">
        <is>
          <t>digital-presentation-images/film-craft-apple-submerged.webp</t>
        </is>
      </c>
      <c r="J32" s="127" t="inlineStr">
        <is>
          <t>lP8LLIjCe6Q</t>
        </is>
      </c>
      <c r="K32" s="127" t="n"/>
      <c r="L32" s="128" t="inlineStr">
        <is>
          <t>https://www.lovethework.com/work/entries/submerged-765360</t>
        </is>
      </c>
      <c r="M32" s="113" t="inlineStr">
        <is>
          <t>A 17-minute scripted short film shot across the United States, Belgium, Czech Republic, and Malta using a 180-degree proprietary immersive camera — the first narrative work captured in Apple Immersive Video, designed exclusively for playback on Apple Vision Pro. Directed by Edward Berger, the submarine thriller was produced with fully immersive sets, custom rigs, and new post-production pipelines built specifically to meet the spatial storytelling demands of the headset's volumetric display.</t>
        </is>
      </c>
      <c r="N32" s="113" t="inlineStr">
        <is>
          <t>consumer-electronics, short-film, immersive-video, spatial-computing, emerging-tech, united-states, belgium, czech-republic, malta, production-design</t>
        </is>
      </c>
    </row>
    <row r="33">
      <c r="A33" s="127" t="n">
        <v>2025</v>
      </c>
      <c r="B33" s="133" t="inlineStr">
        <is>
          <t>Bronze</t>
        </is>
      </c>
      <c r="C33" s="127" t="inlineStr">
        <is>
          <t>Kfc: Believe in Chicken</t>
        </is>
      </c>
      <c r="D33" s="127" t="inlineStr">
        <is>
          <t>KFC</t>
        </is>
      </c>
      <c r="E33" s="127" t="inlineStr">
        <is>
          <t>Food (fried Chicken)</t>
        </is>
      </c>
      <c r="F33" s="127" t="inlineStr">
        <is>
          <t>Lux Artists</t>
        </is>
      </c>
      <c r="G33" s="127" t="inlineStr">
        <is>
          <t>United Kingdom</t>
        </is>
      </c>
      <c r="H33" s="113" t="inlineStr">
        <is>
          <t>Cinematography</t>
        </is>
      </c>
      <c r="I33" s="127" t="inlineStr">
        <is>
          <t>digital-presentation-images/film-craft-kfc-believe-in-chicken.webp</t>
        </is>
      </c>
      <c r="J33" s="127" t="inlineStr">
        <is>
          <t>vimeo:958338280</t>
        </is>
      </c>
      <c r="K33" s="127" t="n"/>
      <c r="L33" s="128" t="inlineStr">
        <is>
          <t>https://www.lovethework.com/work/entries/kfc-believe-in-chicken-765358</t>
        </is>
      </c>
      <c r="M33" s="113" t="inlineStr">
        <is>
          <t>In an age of artificial intelligence, where it's harder than ever to know what's real, KFC gives people something they can still believe in: chicken.</t>
        </is>
      </c>
      <c r="N33" s="113" t="inlineStr">
        <is>
          <t>qsr, fast-food, restaurant, food, film, cinema, entertainment, brand-platform, ai, technology, craft, global</t>
        </is>
      </c>
    </row>
    <row r="34">
      <c r="A34" s="127" t="n">
        <v>2025</v>
      </c>
      <c r="B34" s="133" t="inlineStr">
        <is>
          <t>Bronze</t>
        </is>
      </c>
      <c r="C34" s="127" t="inlineStr">
        <is>
          <t>Name the Bias</t>
        </is>
      </c>
      <c r="D34" s="127" t="inlineStr">
        <is>
          <t>People Like Us</t>
        </is>
      </c>
      <c r="E34" s="127" t="inlineStr">
        <is>
          <t>People Like Us</t>
        </is>
      </c>
      <c r="F34" s="127" t="inlineStr">
        <is>
          <t>New Land</t>
        </is>
      </c>
      <c r="G34" s="127" t="inlineStr">
        <is>
          <t>Denmark</t>
        </is>
      </c>
      <c r="H34" s="113" t="inlineStr">
        <is>
          <t>Cinematography</t>
        </is>
      </c>
      <c r="I34" s="128" t="inlineStr">
        <is>
          <t>https://ascentialcdn.filespin.io/api/v1/storyboard/78d81508b5494a40bba8366f2f62eed1/storyboard_000008.jpg</t>
        </is>
      </c>
      <c r="J34" s="127" t="inlineStr">
        <is>
          <t>3uTwt6FYX98</t>
        </is>
      </c>
      <c r="K34" s="127" t="n"/>
      <c r="L34" s="128" t="inlineStr">
        <is>
          <t>https://www.lovethework.com/work/entries/name-the-bias-765351</t>
        </is>
      </c>
      <c r="M34" s="113" t="inlineStr">
        <is>
          <t>A short film built around an original spoken word performance by poet Yasmin Ali, addressing the workplace discrimination faced by professionals with non-white-sounding names in UK media, marketing, and communications. The film was screened at the Houses of Lords and Commons in January 2025 before an audience of MPs, commissioned by People Like Us, a not-for-profit supporting Black, Asian, mixed heritage, and minoritised ethnic professionals in the industry.</t>
        </is>
      </c>
      <c r="N34" s="113" t="inlineStr">
        <is>
          <t>film, cinema, entertainment, spoken-word, diversity-and-inclusion, not-for-profit, charity, ngo, social-good, united-kingdom, cinematography, public-affairs, marcomms</t>
        </is>
      </c>
    </row>
    <row r="35">
      <c r="A35" s="127" t="n">
        <v>2025</v>
      </c>
      <c r="B35" s="133" t="inlineStr">
        <is>
          <t>Bronze</t>
        </is>
      </c>
      <c r="C35" s="127" t="inlineStr">
        <is>
          <t>Fight for Thais' Gut</t>
        </is>
      </c>
      <c r="D35" s="127" t="inlineStr">
        <is>
          <t>Dutchie</t>
        </is>
      </c>
      <c r="E35" s="127" t="inlineStr">
        <is>
          <t>Dutchie</t>
        </is>
      </c>
      <c r="F35" s="127" t="inlineStr">
        <is>
          <t>Ogilvy</t>
        </is>
      </c>
      <c r="G35" s="127" t="inlineStr">
        <is>
          <t>Thailand</t>
        </is>
      </c>
      <c r="H35" s="113" t="inlineStr">
        <is>
          <t>Casting</t>
        </is>
      </c>
      <c r="I35" s="127" t="inlineStr">
        <is>
          <t>digital-presentation-images/film-craft-dutchie-fight-for-thais-gut.webp</t>
        </is>
      </c>
      <c r="J35" s="127" t="inlineStr">
        <is>
          <t>vimeo:1152947690</t>
        </is>
      </c>
      <c r="K35" s="127" t="n"/>
      <c r="L35" s="128" t="inlineStr">
        <is>
          <t>https://www.lovethework.com/work/entries/fight-for-thais-gut-765333</t>
        </is>
      </c>
      <c r="M35" s="113" t="inlineStr">
        <is>
          <t>A film series cast in the style of Thai soap opera, with a recurring thief character used as a stand-in for the health scammers circulating false gut-health advice daily on Thai social media — conditions linked to a rise in colorectal cancer cases in Thailand. Dutchie, a yoghurt brand marking its 40th anniversary, distributed the films on Facebook and YouTube alongside a partnership with the National Cancer Institute of Thailand, with Ogilvy Bangkok handling the work.</t>
        </is>
      </c>
      <c r="N35" s="113" t="inlineStr">
        <is>
          <t>yoghurt, film, cinema, entertainment, public-health, social-media, thailand, casting, soap-opera, tv, telenovela, health-misinformation, facebook, youtube</t>
        </is>
      </c>
    </row>
    <row r="36">
      <c r="A36" s="127" t="n">
        <v>2025</v>
      </c>
      <c r="B36" s="133" t="inlineStr">
        <is>
          <t>Bronze</t>
        </is>
      </c>
      <c r="C36" s="127" t="inlineStr">
        <is>
          <t>When You've Done Enough - Evil'd Enough</t>
        </is>
      </c>
      <c r="D36" s="127" t="inlineStr">
        <is>
          <t>Uber Eats</t>
        </is>
      </c>
      <c r="E36" s="127" t="inlineStr">
        <is>
          <t>Food Delivery Service</t>
        </is>
      </c>
      <c r="F36" s="127" t="inlineStr">
        <is>
          <t>Mother</t>
        </is>
      </c>
      <c r="G36" s="127" t="inlineStr">
        <is>
          <t>United Kingdom</t>
        </is>
      </c>
      <c r="H36" s="113" t="inlineStr">
        <is>
          <t>Casting</t>
        </is>
      </c>
      <c r="I36" s="128" t="inlineStr">
        <is>
          <t>https://ascentialcdn.filespin.io/api/v1/storyboard/9e327b1cbb6d4295ae6a602857eb395c/storyboard_000008.jpg</t>
        </is>
      </c>
      <c r="J36" s="127" t="inlineStr">
        <is>
          <t>vimeo:1066110069</t>
        </is>
      </c>
      <c r="K36" s="127" t="n"/>
      <c r="L36" s="128" t="inlineStr">
        <is>
          <t>https://www.lovethework.com/work/entries/when-youve-done-enough-evild-enough-765334</t>
        </is>
      </c>
      <c r="M36" s="113" t="inlineStr">
        <is>
          <t>Uber Eats cast Javier Bardem as a world-weary supervillain who's lost interest in evil plots and just wants to enjoy his delivery in peace. The spot's craft comes from the perfect casting: Bardem brings cinematic menace to a character whose biggest master plan is watching Happy Days with Uber Eats.</t>
        </is>
      </c>
      <c r="N36" s="113" t="inlineStr">
        <is>
          <t>food-delivery, food, restaurant, ecommerce, retail, online-shopping, film, cinema, entertainment, celebrity, humor, mobile-app, craft, united-states</t>
        </is>
      </c>
    </row>
    <row r="37">
      <c r="A37" s="127" t="n">
        <v>2025</v>
      </c>
      <c r="B37" s="133" t="inlineStr">
        <is>
          <t>Bronze</t>
        </is>
      </c>
      <c r="C37" s="127" t="inlineStr">
        <is>
          <t>The Final Copy of Ilon Specht</t>
        </is>
      </c>
      <c r="D37" s="127" t="inlineStr">
        <is>
          <t>L'Oréal</t>
        </is>
      </c>
      <c r="E37" s="127" t="inlineStr">
        <is>
          <t>L'Oréal</t>
        </is>
      </c>
      <c r="F37" s="127" t="inlineStr">
        <is>
          <t>Traverse32</t>
        </is>
      </c>
      <c r="G37" s="127" t="inlineStr">
        <is>
          <t>United States</t>
        </is>
      </c>
      <c r="H37" s="113" t="inlineStr">
        <is>
          <t>Editing</t>
        </is>
      </c>
      <c r="I37" s="127" t="inlineStr">
        <is>
          <t>digital-presentation-images/film-craft-loreal-the-final-copy-of-ilon-specht.webp</t>
        </is>
      </c>
      <c r="J37" s="127" t="inlineStr">
        <is>
          <t>vimeo:1094956645</t>
        </is>
      </c>
      <c r="K37" s="127" t="n"/>
      <c r="L37" s="128" t="inlineStr">
        <is>
          <t>https://www.lovethework.com/work/entries/the-final-copy-of-ilon-specht-765362</t>
        </is>
      </c>
      <c r="M37" s="113" t="inlineStr">
        <is>
          <t>An 18-minute documentary released on International Women's Day across Prime Video, AMC+, and YouTube, profiling Ilon Specht — the copywriter who wrote "Because I'm Worth It" for L'Oréal Paris in 1973 — without changing a word of the original line. McCann Paris then extended the film across OOH, interactive installations, screenings, and influencer activity in more than 20 countries.</t>
        </is>
      </c>
      <c r="N37" s="113" t="inlineStr">
        <is>
          <t>cosmetics, personal-care, beauty, documentary, film, entertainment, cinema, branded-content, ooh, interactive-installation, international-womens-day, france, streaming, tv, social</t>
        </is>
      </c>
    </row>
    <row r="38">
      <c r="A38" s="127" t="n">
        <v>2025</v>
      </c>
      <c r="B38" s="133" t="inlineStr">
        <is>
          <t>Bronze</t>
        </is>
      </c>
      <c r="C38" s="127" t="inlineStr">
        <is>
          <t>My Gut Friend</t>
        </is>
      </c>
      <c r="D38" s="127" t="inlineStr">
        <is>
          <t>Gut</t>
        </is>
      </c>
      <c r="E38" s="127" t="inlineStr">
        <is>
          <t>Gut</t>
        </is>
      </c>
      <c r="F38" s="127" t="inlineStr">
        <is>
          <t>Gut</t>
        </is>
      </c>
      <c r="G38" s="127" t="inlineStr">
        <is>
          <t>Mexico</t>
        </is>
      </c>
      <c r="H38" s="113" t="inlineStr">
        <is>
          <t>Animation</t>
        </is>
      </c>
      <c r="I38" s="127" t="inlineStr">
        <is>
          <t>digital-presentation-images/film-craft-gut-my-gut-friend.webp</t>
        </is>
      </c>
      <c r="J38" s="127" t="inlineStr">
        <is>
          <t>vimeo:1130513290</t>
        </is>
      </c>
      <c r="K38" s="127" t="n"/>
      <c r="L38" s="128" t="inlineStr">
        <is>
          <t>https://www.lovethework.com/work/entries/my-gut-friend-765361</t>
        </is>
      </c>
      <c r="M38" s="113" t="inlineStr">
        <is>
          <t>A stop-motion short film, running eight and a half minutes without dialogue, in which a lonely man looks back on childhood and the moment his gut became his best friend — depicted as a tangible creature with a life of its own that guides, encourages, and rescues him. Co-produced by GUT, Primo Content, and Buenos Aires studio Can Can Club, and directed by Becho Lo Bianco and Mariano Bergara, the film was built to position following instinct as a literal strategy rather than a figure of speech.</t>
        </is>
      </c>
      <c r="N38" s="113" t="inlineStr">
        <is>
          <t>advertising-agency, short-film, stop-motion, animation, mexico, argentina, film-craft, branded-content</t>
        </is>
      </c>
    </row>
    <row r="39">
      <c r="A39" s="127" t="n">
        <v>2025</v>
      </c>
      <c r="B39" s="133" t="inlineStr">
        <is>
          <t>Bronze</t>
        </is>
      </c>
      <c r="C39" s="127" t="inlineStr">
        <is>
          <t>The Count</t>
        </is>
      </c>
      <c r="D39" s="127" t="inlineStr">
        <is>
          <t>Sickkids Foundation</t>
        </is>
      </c>
      <c r="E39" s="127" t="inlineStr">
        <is>
          <t>Sickkids Foundation</t>
        </is>
      </c>
      <c r="F39" s="127" t="inlineStr">
        <is>
          <t>FCB Toronto</t>
        </is>
      </c>
      <c r="G39" s="127" t="inlineStr">
        <is>
          <t>Canada</t>
        </is>
      </c>
      <c r="H39" s="113" t="inlineStr">
        <is>
          <t>Editing</t>
        </is>
      </c>
      <c r="I39" s="127" t="inlineStr">
        <is>
          <t>digital-presentation-images/film-craft-sickkids-foundation-the-count.webp</t>
        </is>
      </c>
      <c r="J39" s="127" t="inlineStr">
        <is>
          <t>qNF34ZROR8s</t>
        </is>
      </c>
      <c r="K39" s="127" t="n"/>
      <c r="L39" s="128" t="inlineStr">
        <is>
          <t>https://www.lovethework.com/work/entries/the-count-765359</t>
        </is>
      </c>
      <c r="M39" s="113" t="inlineStr">
        <is>
          <t>A two-minute film built around "How Old Are You," the counting chant sung at children's birthday parties after "Happy Birthday" — rerecorded as a full orchestral anthem by real SickKids patients whose birthdays are uncertain, counting not to their current age but into their forties, fifties, and beyond, toward the hospital's own age of 150. Each child is identified on screen by name, age, and diagnosis — Aurora, 6, VACTERL Syndrome and Liver Transplant; Jaxon, 4, born premature at 23 weeks — so the familiar song carries the weight of each child's fight to reach the next number. Created by FCB Toronto with production company Iconoclast to mark SickKids Hospital's 150th anniversary.</t>
        </is>
      </c>
      <c r="N39" s="113" t="inlineStr">
        <is>
          <t>charity, film, cinema, entertainment, healthcare, canada, music, fundraising, children, orchestral, sickkids-foundation</t>
        </is>
      </c>
    </row>
    <row r="40">
      <c r="A40" s="127" t="n">
        <v>2025</v>
      </c>
      <c r="B40" s="133" t="inlineStr">
        <is>
          <t>Bronze</t>
        </is>
      </c>
      <c r="C40" s="127" t="inlineStr">
        <is>
          <t>Wake Up</t>
        </is>
      </c>
      <c r="D40" s="127" t="inlineStr">
        <is>
          <t>Xbox, Droga5</t>
        </is>
      </c>
      <c r="E40" s="127" t="inlineStr">
        <is>
          <t>Xbox Devices in Their Ecosystem &amp; Game Pass</t>
        </is>
      </c>
      <c r="F40" s="127" t="inlineStr">
        <is>
          <t>Part of Accenture Song</t>
        </is>
      </c>
      <c r="G40" s="127" t="inlineStr">
        <is>
          <t>United States</t>
        </is>
      </c>
      <c r="H40" s="113" t="inlineStr">
        <is>
          <t>Production Design/Art Direction</t>
        </is>
      </c>
      <c r="I40" s="128" t="inlineStr">
        <is>
          <t>https://ascentialcdn.filespin.io/api/v1/storyboard/2ca4ed7308854564b83b1093ffa844c6/storyboard_000008.jpg</t>
        </is>
      </c>
      <c r="J40" s="127" t="inlineStr">
        <is>
          <t>vimeo:1074524233</t>
        </is>
      </c>
      <c r="K40" s="127" t="n"/>
      <c r="L40" s="128" t="inlineStr">
        <is>
          <t>https://www.lovethework.com/work/entries/wake-up-765330</t>
        </is>
      </c>
      <c r="M40" s="113" t="inlineStr">
        <is>
          <t>A film co-directed by David Fincher and Romain Chassaing for Xbox and Droga5 New York that depicts the pull of gaming as an antidote to the dull repetition of everyday life — commutes, routines, and analog hours — contrasted against the worlds available through Xbox devices and Game Pass. Produced by RESET, the spot ran as a global brand campaign out of the United States.</t>
        </is>
      </c>
      <c r="N40" s="113" t="inlineStr">
        <is>
          <t>gaming, video-games, entertainment, film, cinema, production-design, art-direction, global, united-states, game-pass, live-action</t>
        </is>
      </c>
    </row>
    <row r="41">
      <c r="A41" s="127" t="n">
        <v>2025</v>
      </c>
      <c r="B41" s="133" t="inlineStr">
        <is>
          <t>Bronze</t>
        </is>
      </c>
      <c r="C41" s="127" t="inlineStr">
        <is>
          <t>The Cause of the Accident That Started the Fire</t>
        </is>
      </c>
      <c r="D41" s="127" t="inlineStr">
        <is>
          <t>ICEX</t>
        </is>
      </c>
      <c r="E41" s="127" t="inlineStr">
        <is>
          <t>Audiovisual from Spain</t>
        </is>
      </c>
      <c r="F41" s="127" t="inlineStr">
        <is>
          <t>Canada</t>
        </is>
      </c>
      <c r="G41" s="127" t="inlineStr">
        <is>
          <t>Spain</t>
        </is>
      </c>
      <c r="H41" s="113" t="inlineStr">
        <is>
          <t>Direction</t>
        </is>
      </c>
      <c r="I41" s="127" t="inlineStr">
        <is>
          <t>digital-presentation-images/film-craft-icex-the-cause-of-the-accident-that-started-the-fire.webp</t>
        </is>
      </c>
      <c r="J41" s="127" t="inlineStr">
        <is>
          <t>vimeo:1052229239</t>
        </is>
      </c>
      <c r="K41" s="127" t="n"/>
      <c r="L41" s="128" t="inlineStr">
        <is>
          <t>https://www.lovethework.com/work/entries/the-cause-of-the-accident-that-started-the-fire-765352</t>
        </is>
      </c>
      <c r="M41" s="113" t="inlineStr">
        <is>
          <t>A short film directed by Lope Serrano and produced by CANADA Barcelona for ICEX's Audiovisual from Spain initiative, in which a young director loses her nerve on set when a car-accident scene she's shooting lacks a clear narrative cause. The cast weaves together working Spanish film talent — including Bárbara Lennie, JA Bayona, Albert Serra, Omar Ayuso, Miguel Herranz, and Karla Sofía Gascón — to serve as a promotional vehicle for the Spanish audiovisual industry internationally.</t>
        </is>
      </c>
      <c r="N41" s="113" t="inlineStr">
        <is>
          <t>audiovisual-promotion, film, cinema, entertainment, spain, branded-content, direction, craft, spanish-film-industry, short-film</t>
        </is>
      </c>
    </row>
    <row r="42">
      <c r="A42" s="127" t="n">
        <v>2025</v>
      </c>
      <c r="B42" s="133" t="inlineStr">
        <is>
          <t>Bronze</t>
        </is>
      </c>
      <c r="C42" s="127" t="inlineStr">
        <is>
          <t>Severance S2 - Opening Title</t>
        </is>
      </c>
      <c r="D42" s="127" t="inlineStr">
        <is>
          <t>Apple</t>
        </is>
      </c>
      <c r="E42" s="127" t="inlineStr">
        <is>
          <t>TV Series</t>
        </is>
      </c>
      <c r="F42" s="127" t="inlineStr">
        <is>
          <t>Apple</t>
        </is>
      </c>
      <c r="G42" s="127" t="inlineStr">
        <is>
          <t>United States</t>
        </is>
      </c>
      <c r="H42" s="113" t="inlineStr">
        <is>
          <t>Animation</t>
        </is>
      </c>
      <c r="I42" s="128" t="inlineStr">
        <is>
          <t>https://ascentialcdn.filespin.io/api/v1/storyboard/866619c424b04e07b3de2b867203b5ba/storyboard_000008.jpg</t>
        </is>
      </c>
      <c r="J42" s="127" t="inlineStr">
        <is>
          <t>uKT5bwMkOAw</t>
        </is>
      </c>
      <c r="K42" s="127" t="n"/>
      <c r="L42" s="128" t="inlineStr">
        <is>
          <t>https://www.lovethework.com/work/entries/severance-s2-opening-title-765337</t>
        </is>
      </c>
      <c r="M42" s="113" t="inlineStr">
        <is>
          <t>An animated opening title sequence for Season 2 of Severance that extends the show's visual language of severed identity — office-world imagery, bifurcated bodies, and clinical typography — into a fully choreographed motion piece. The sequence was created in-house at Apple and sets the psychological tone of the series before a single scene plays.</t>
        </is>
      </c>
      <c r="N42" s="113" t="inlineStr">
        <is>
          <t>tv-series, animation, title-sequence, motion-graphics, typography, streaming, tv, entertainment, united-states, in-house</t>
        </is>
      </c>
    </row>
    <row r="43">
      <c r="A43" s="127" t="n">
        <v>2025</v>
      </c>
      <c r="B43" s="133" t="inlineStr">
        <is>
          <t>Bronze</t>
        </is>
      </c>
      <c r="C43" s="127" t="inlineStr">
        <is>
          <t>Considering What?</t>
        </is>
      </c>
      <c r="D43" s="127" t="inlineStr">
        <is>
          <t>Channel 4</t>
        </is>
      </c>
      <c r="E43" s="127" t="inlineStr">
        <is>
          <t>C4 Paralympics 2024</t>
        </is>
      </c>
      <c r="F43" s="127" t="inlineStr">
        <is>
          <t>Factory Studios</t>
        </is>
      </c>
      <c r="G43" s="127" t="inlineStr">
        <is>
          <t>United Kingdom</t>
        </is>
      </c>
      <c r="H43" s="113" t="inlineStr">
        <is>
          <t>Use of Original Music</t>
        </is>
      </c>
      <c r="I43" s="127" t="inlineStr">
        <is>
          <t>digital-presentation-images/film-channel-4-paris-paralympic-2024-considering-what.webp</t>
        </is>
      </c>
      <c r="J43" s="127" t="inlineStr">
        <is>
          <t>bUs_mNTNwvE</t>
        </is>
      </c>
      <c r="K43" s="127" t="n"/>
      <c r="L43" s="128" t="inlineStr">
        <is>
          <t>https://www.lovethework.com/work/entries/considering-what-765318</t>
        </is>
      </c>
      <c r="M43" s="113" t="inlineStr">
        <is>
          <t>A broadcast and OOH campaign for Channel 4's Paris 2024 Paralympics coverage that crossed out patronising caveats — "She's incredibly fast for someone in a wheelchair," "He's so strong for someone so small" — with the athletes' actual performances, leaving the qualifying phrase struck through on billboards and in social posts. On social, the same condescending framing was applied to non-disabled Olympic athletes to expose how absurd the language sounds when directed at anyone. The film, made with 4Creative, personified the physical forces — gravity, wind, time — that all elite athletes face equally, regardless of disability.</t>
        </is>
      </c>
      <c r="N43" s="113" t="inlineStr">
        <is>
          <t>broadcaster, paralympics, ooh, film, cinema, entertainment, social, disability, sports, united-kingdom, typography</t>
        </is>
      </c>
    </row>
    <row r="44">
      <c r="A44" s="127" t="n">
        <v>2025</v>
      </c>
      <c r="B44" s="133" t="inlineStr">
        <is>
          <t>Bronze</t>
        </is>
      </c>
      <c r="C44" s="127" t="inlineStr">
        <is>
          <t>Am I a Bad Person?</t>
        </is>
      </c>
      <c r="D44" s="127" t="inlineStr">
        <is>
          <t>Nike</t>
        </is>
      </c>
      <c r="E44" s="127" t="inlineStr">
        <is>
          <t>Nike</t>
        </is>
      </c>
      <c r="F44" s="127" t="inlineStr">
        <is>
          <t>Somesuch</t>
        </is>
      </c>
      <c r="G44" s="127" t="inlineStr">
        <is>
          <t>United States</t>
        </is>
      </c>
      <c r="H44" s="113" t="inlineStr">
        <is>
          <t>Direction</t>
        </is>
      </c>
      <c r="I44" s="127" t="inlineStr">
        <is>
          <t>digital-presentation-images/film-craft-nike-am-i-a-bad-person.webp</t>
        </is>
      </c>
      <c r="J44" s="127" t="inlineStr">
        <is>
          <t>vimeo:1059963620</t>
        </is>
      </c>
      <c r="K44" s="127" t="n"/>
      <c r="L44" s="128" t="inlineStr">
        <is>
          <t>https://www.lovethework.com/work/entries/am-i-a-bad-person-765348</t>
        </is>
      </c>
      <c r="M44" s="113" t="inlineStr">
        <is>
          <t>A film built around the premise that wanting to win makes you a bad person — narrated by Willem Dafoe over a Beethoven's 9th soundtrack — featuring Olympic, Paralympic, and Refugee athletes including LeBron, Sha'Carri Richardson, and Giannis displaying the extreme, unsentimental lengths they go to in order to win. Directed by Kim Gehrig at Somesuch, with 95% of footage captured in-camera, it anchored Nike's largest global brand campaign in over a decade and ran alongside an OOH rollout carrying lines like "If you don't want to win, you've already lost."</t>
        </is>
      </c>
      <c r="N44" s="113" t="inlineStr">
        <is>
          <t>sportswear, film, cinema, entertainment, ooh, olympics, sport, united-states, athlete, brand-campaign, direction</t>
        </is>
      </c>
    </row>
    <row r="45">
      <c r="A45" s="127" t="n">
        <v>2025</v>
      </c>
      <c r="B45" s="133" t="inlineStr">
        <is>
          <t>Bronze</t>
        </is>
      </c>
      <c r="C45" s="127" t="inlineStr">
        <is>
          <t>Coffin</t>
        </is>
      </c>
      <c r="D45" s="127" t="inlineStr">
        <is>
          <t>Life360</t>
        </is>
      </c>
      <c r="E45" s="127" t="inlineStr">
        <is>
          <t>Life360</t>
        </is>
      </c>
      <c r="F45" s="127" t="inlineStr">
        <is>
          <t>Alto</t>
        </is>
      </c>
      <c r="G45" s="127" t="inlineStr">
        <is>
          <t>United States</t>
        </is>
      </c>
      <c r="H45" s="113" t="inlineStr">
        <is>
          <t>Script</t>
        </is>
      </c>
      <c r="I45" s="128" t="inlineStr">
        <is>
          <t>https://ascentialcdn.filespin.io/api/v1/storyboard/3cd320dd9fcd4445a86f756e25d0402e/storyboard_000008.jpg</t>
        </is>
      </c>
      <c r="J45" s="127" t="inlineStr">
        <is>
          <t>vimeo:1023704952</t>
        </is>
      </c>
      <c r="K45" s="127" t="n"/>
      <c r="L45" s="128" t="inlineStr">
        <is>
          <t>https://www.lovethework.com/work/entries/coffin-765325</t>
        </is>
      </c>
      <c r="M45" s="113" t="inlineStr">
        <is>
          <t>A film spot directed by Steve Ayson of MJZ in which a funeral goes catastrophically wrong when a coffin lid flies open and the body rolls out — played as dark comedy to illustrate what happens when families lose track of each other. The ad is one of three executions (alongside Coat and Curfew) created by Alto New York for Life360's "Family-Proof Your Family" platform, each staging a worst-case scenario rooted in the anxieties of family safety apps.</t>
        </is>
      </c>
      <c r="N45" s="113" t="inlineStr">
        <is>
          <t>family-safety-app, film, cinema, entertainment, dark-comedy, united-states, direction, alto-new-york, mjz</t>
        </is>
      </c>
    </row>
    <row r="46">
      <c r="A46" s="127" t="n">
        <v>2025</v>
      </c>
      <c r="B46" s="133" t="inlineStr">
        <is>
          <t>Bronze</t>
        </is>
      </c>
      <c r="C46" s="127" t="inlineStr">
        <is>
          <t>Wake Up</t>
        </is>
      </c>
      <c r="D46" s="127" t="inlineStr">
        <is>
          <t>Xbox, Droga5</t>
        </is>
      </c>
      <c r="E46" s="127" t="inlineStr">
        <is>
          <t>Xbox Devices in Their Ecosystem &amp; Game Pass</t>
        </is>
      </c>
      <c r="F46" s="127" t="inlineStr">
        <is>
          <t>Part of Accenture Song</t>
        </is>
      </c>
      <c r="G46" s="127" t="inlineStr">
        <is>
          <t>United States</t>
        </is>
      </c>
      <c r="H46" s="113" t="inlineStr">
        <is>
          <t>Colour Correction/Grading</t>
        </is>
      </c>
      <c r="I46" s="128" t="inlineStr">
        <is>
          <t>https://ascentialcdn.filespin.io/api/v1/storyboard/2ca4ed7308854564b83b1093ffa844c6/storyboard_000008.jpg</t>
        </is>
      </c>
      <c r="J46" s="127" t="inlineStr">
        <is>
          <t>vimeo:1074524233</t>
        </is>
      </c>
      <c r="K46" s="127" t="n"/>
      <c r="L46" s="128" t="inlineStr">
        <is>
          <t>https://www.lovethework.com/work/entries/wake-up-765330</t>
        </is>
      </c>
      <c r="M46" s="113" t="inlineStr">
        <is>
          <t>A film co-directed by David Fincher and Romain Chassaing for Xbox and Droga5 New York that depicts the pull of gaming as an antidote to the dull repetition of everyday life — commutes, routines, and analog hours — contrasted against the worlds available through Xbox devices and Game Pass. Produced by RESET, the spot ran as a global brand campaign out of the United States.</t>
        </is>
      </c>
      <c r="N46" s="113" t="inlineStr">
        <is>
          <t>gaming, video-games, entertainment, film, cinema, production-design, art-direction, global, united-states, game-pass, live-action</t>
        </is>
      </c>
    </row>
    <row r="47">
      <c r="A47" s="127" t="n">
        <v>2025</v>
      </c>
      <c r="B47" s="133" t="inlineStr">
        <is>
          <t>Bronze</t>
        </is>
      </c>
      <c r="C47" s="127" t="inlineStr">
        <is>
          <t>The Shoemaker</t>
        </is>
      </c>
      <c r="D47" s="127" t="inlineStr">
        <is>
          <t>Telstra</t>
        </is>
      </c>
      <c r="E47" s="127" t="inlineStr">
        <is>
          <t>Telstra</t>
        </is>
      </c>
      <c r="F47" s="127" t="inlineStr">
        <is>
          <t>Revolver</t>
        </is>
      </c>
      <c r="G47" s="127" t="inlineStr">
        <is>
          <t>Australia</t>
        </is>
      </c>
      <c r="H47" s="113" t="inlineStr">
        <is>
          <t>Production Design/Art Direction</t>
        </is>
      </c>
      <c r="I47" s="128" t="inlineStr">
        <is>
          <t>https://ascentialcdn.filespin.io/api/v1/storyboard/59dfce8e4864466c943faa12518ff439/storyboard_000008.jpg</t>
        </is>
      </c>
      <c r="J47" s="127" t="inlineStr">
        <is>
          <t>vimeo:1072023846</t>
        </is>
      </c>
      <c r="K47" s="127" t="n"/>
      <c r="L47" s="128" t="inlineStr">
        <is>
          <t>https://www.lovethework.com/work/entries/the-shoemaker-765339</t>
        </is>
      </c>
      <c r="M47" s="113" t="inlineStr">
        <is>
          <t>A stop-motion TV commercial, part of Telstra's "Better on a Better Mobile Network" brand platform, in which a shoemaker's craft becomes an extended analogy for network quality. Directed by Steve Rogers at Revolver, it is one of nearly 30 original stop-motion spots produced for the campaign across Australian television.</t>
        </is>
      </c>
      <c r="N47" s="113" t="inlineStr">
        <is>
          <t>telecommunications, stop-motion, tv-commercial, film-craft, production-design, art-direction, australia</t>
        </is>
      </c>
    </row>
    <row r="48">
      <c r="A48" s="127" t="n">
        <v>2025</v>
      </c>
      <c r="B48" s="133" t="inlineStr">
        <is>
          <t>Bronze</t>
        </is>
      </c>
      <c r="C48" s="127" t="inlineStr">
        <is>
          <t>Brian Cox Goes to College</t>
        </is>
      </c>
      <c r="D48" s="127" t="inlineStr">
        <is>
          <t>Uber</t>
        </is>
      </c>
      <c r="E48" s="127" t="inlineStr">
        <is>
          <t>Uber One for Students</t>
        </is>
      </c>
      <c r="F48" s="127" t="inlineStr">
        <is>
          <t>O Positive</t>
        </is>
      </c>
      <c r="G48" s="127" t="inlineStr">
        <is>
          <t>United States</t>
        </is>
      </c>
      <c r="H48" s="113" t="inlineStr">
        <is>
          <t>Direction</t>
        </is>
      </c>
      <c r="I48" s="127" t="inlineStr">
        <is>
          <t>digital-presentation-images/film-craft-uber-brian-cox-goes-to-college.webp</t>
        </is>
      </c>
      <c r="J48" s="127" t="inlineStr">
        <is>
          <t>vimeo:1035756667</t>
        </is>
      </c>
      <c r="K48" s="127" t="n"/>
      <c r="L48" s="128" t="inlineStr">
        <is>
          <t>https://www.lovethework.com/work/entries/brian-cox-goes-to-college-765323</t>
        </is>
      </c>
      <c r="M48" s="113" t="inlineStr">
        <is>
          <t>A film casting 78-year-old Brian Cox as an unlikely college student to advertise Uber One for Students — a $4.99/month membership offering $0 delivery fees, 10% off orders, and 6% cash back on rides. Rather than targeting Gen Z with a peer spokesperson, the spot leans on Cox's curmudgeonly persona to argue the membership is desirable enough that a gruff billionaire would enroll just to access it.</t>
        </is>
      </c>
      <c r="N48" s="113" t="inlineStr">
        <is>
          <t>ride-sharing, film, cinema, entertainment, celebrity-casting, humor, students, united-states, uber-eats, subscription</t>
        </is>
      </c>
    </row>
    <row r="49">
      <c r="A49" s="127" t="n">
        <v>2025</v>
      </c>
      <c r="B49" s="133" t="inlineStr">
        <is>
          <t>Bronze</t>
        </is>
      </c>
      <c r="C49" s="127" t="inlineStr">
        <is>
          <t>The Journey</t>
        </is>
      </c>
      <c r="D49" s="127" t="inlineStr">
        <is>
          <t>AICP</t>
        </is>
      </c>
      <c r="E49" s="127" t="inlineStr">
        <is>
          <t>AICP Show</t>
        </is>
      </c>
      <c r="F49" s="127" t="inlineStr">
        <is>
          <t>O Positive</t>
        </is>
      </c>
      <c r="G49" s="127" t="inlineStr">
        <is>
          <t>United States</t>
        </is>
      </c>
      <c r="H49" s="113" t="inlineStr">
        <is>
          <t>Script</t>
        </is>
      </c>
      <c r="I49" s="128" t="inlineStr">
        <is>
          <t>https://ascentialcdn.filespin.io/api/v1/storyboard/40b05878898a453cab28d1b5cee5db91/storyboard_000008.jpg</t>
        </is>
      </c>
      <c r="J49" s="127" t="inlineStr">
        <is>
          <t>vimeo:946347892</t>
        </is>
      </c>
      <c r="K49" s="127" t="n"/>
      <c r="L49" s="128" t="inlineStr">
        <is>
          <t>https://www.lovethework.com/work/entries/the-journey-765327</t>
        </is>
      </c>
      <c r="M49" s="113" t="inlineStr">
        <is>
          <t>A short comedy film, directed by David Shane of O Positive, that follows an advertising creative's increasingly chaotic attempt to travel to MoMA after learning his work has been selected for the AICP Show — which is exhibited there. The film is both a parody of and an affectionate nod to creatives who aspire to make work that sits at the edge of advertising and art.</t>
        </is>
      </c>
      <c r="N49" s="113" t="inlineStr">
        <is>
          <t>aicp-show, film, cinema, entertainment, scripted-long-form, comedy, united-states, awards-show-promotion, advertising-industry</t>
        </is>
      </c>
    </row>
    <row r="50">
      <c r="A50" s="127" t="n">
        <v>2025</v>
      </c>
      <c r="B50" s="133" t="inlineStr">
        <is>
          <t>Bronze</t>
        </is>
      </c>
      <c r="C50" s="127" t="inlineStr">
        <is>
          <t>Walrus Whizzer</t>
        </is>
      </c>
      <c r="D50" s="127" t="inlineStr">
        <is>
          <t>Virgin</t>
        </is>
      </c>
      <c r="E50" s="127" t="inlineStr">
        <is>
          <t>Virgin Media</t>
        </is>
      </c>
      <c r="F50" s="127" t="inlineStr">
        <is>
          <t>Untold Studios</t>
        </is>
      </c>
      <c r="G50" s="127" t="inlineStr">
        <is>
          <t>United Kingdom</t>
        </is>
      </c>
      <c r="H50" s="113" t="inlineStr">
        <is>
          <t>Visual Effects</t>
        </is>
      </c>
      <c r="I50" s="128" t="inlineStr">
        <is>
          <t>https://ascentialcdn.filespin.io/api/v1/storyboard/a7d2b86e8d154d35bb56d32c7d6f43ca/storyboard_000008.jpg</t>
        </is>
      </c>
      <c r="J50" s="127" t="inlineStr">
        <is>
          <t>VJ2TZs9WJng</t>
        </is>
      </c>
      <c r="K50" s="127" t="n"/>
      <c r="L50" s="128" t="inlineStr">
        <is>
          <t>https://www.lovethework.com/work/entries/walrus-whizzer-765353</t>
        </is>
      </c>
      <c r="M50" s="113" t="inlineStr">
        <is>
          <t>A photo-real CGI walrus piloting a speedboat past bewildered onlooking fishermen, built by Untold Studios using complex 3D models and CG-rendered compositing for a Virgin Media broadband spot shot in Sweden by director Andreas Nilsson of Biscuit Filmworks. The film is the third in VCCP's "To Better and Beyond" trilogy for Virgin Media, following earlier spots built around a cruising cow and a gliding goat.</t>
        </is>
      </c>
      <c r="N50" s="113" t="inlineStr">
        <is>
          <t>broadband, vfx, cgi, film, cinema, entertainment, united-kingdom, animal, compositing, craft</t>
        </is>
      </c>
    </row>
    <row r="51">
      <c r="A51" s="33" t="n">
        <v>2026</v>
      </c>
      <c r="B51" s="165" t="inlineStr">
        <is>
          <t>Silver</t>
        </is>
      </c>
      <c r="C51" s="107" t="inlineStr">
        <is>
          <t>No Project Without Drama</t>
        </is>
      </c>
      <c r="D51" s="33" t="inlineStr">
        <is>
          <t>Hornbach</t>
        </is>
      </c>
      <c r="E51" s="33" t="inlineStr">
        <is>
          <t>Home Improvement Superstore</t>
        </is>
      </c>
      <c r="F51" s="33" t="inlineStr">
        <is>
          <t>Heimat\TBWA</t>
        </is>
      </c>
      <c r="G51" s="33" t="inlineStr">
        <is>
          <t>Germany</t>
        </is>
      </c>
      <c r="H51" s="33" t="inlineStr">
        <is>
          <t>Direction</t>
        </is>
      </c>
      <c r="I51" s="33" t="inlineStr">
        <is>
          <t>https://i.ytimg.com/vi/FN5yqNreuTU/maxresdefault.jpg</t>
        </is>
      </c>
      <c r="J51" s="33" t="inlineStr">
        <is>
          <t>vimeo:1113169877</t>
        </is>
      </c>
      <c r="L51" s="33" t="inlineStr">
        <is>
          <t>https://www.lovethework.com/work/entries/no-project-without-drama-786576</t>
        </is>
      </c>
      <c r="M51" s="33" t="inlineStr">
        <is>
          <t>A cinematic homage to the beauty and chaos of do-it-yourself life for German home-improvement retailer Hornbach, treating ordinary renovation projects with movie-grade tension, scale and craft.</t>
        </is>
      </c>
      <c r="N51" s="33" t="inlineStr">
        <is>
          <t>hornbach, home improvement, diy, retail, hardware store, germany, film, cinema, entertainment, direction, sound design, production design, achievement in production, film craft, heimat tbwa, drama</t>
        </is>
      </c>
    </row>
    <row r="52">
      <c r="A52" s="33" t="n">
        <v>2026</v>
      </c>
      <c r="B52" s="166" t="inlineStr">
        <is>
          <t>Bronze</t>
        </is>
      </c>
      <c r="C52" s="107" t="inlineStr">
        <is>
          <t>Helicopter</t>
        </is>
      </c>
      <c r="D52" s="33" t="inlineStr">
        <is>
          <t>AWGE</t>
        </is>
      </c>
      <c r="E52" s="33" t="inlineStr">
        <is>
          <t>Music Promotion (Music Video)</t>
        </is>
      </c>
      <c r="F52" s="33" t="inlineStr">
        <is>
          <t>Somesuch + AWGE</t>
        </is>
      </c>
      <c r="G52" s="33" t="inlineStr">
        <is>
          <t>United States</t>
        </is>
      </c>
      <c r="H52" s="33" t="inlineStr">
        <is>
          <t>Direction</t>
        </is>
      </c>
      <c r="I52" s="33" t="inlineStr">
        <is>
          <t>https://ascentialcdn.filespin.io/api/v1/storyboard/1cc9361f87bb4c2984f7e1d41d42e4d8/storyboard_000008.jpg</t>
        </is>
      </c>
      <c r="J52" s="33" t="inlineStr">
        <is>
          <t>vimeo:1154051428</t>
        </is>
      </c>
      <c r="L52" s="33" t="inlineStr">
        <is>
          <t>https://www.lovethework.com/work/entries/helicopter-786587</t>
        </is>
      </c>
      <c r="M52" s="33" t="inlineStr">
        <is>
          <t>Music video for A$AP Rocky's 'Helicopter,' directed by Dan Streit and produced by Somesuch, in which the artist weaves through chaotic city crowds in a kinetic, effects-driven visual.</t>
        </is>
      </c>
      <c r="N52" s="33" t="inlineStr">
        <is>
          <t>awge, asap rocky, music video, music promotion, hip hop, music, entertainment, somesuch, visual effects, direction, film craft, united states</t>
        </is>
      </c>
    </row>
    <row r="53">
      <c r="A53" s="33" t="n">
        <v>2026</v>
      </c>
      <c r="B53" s="167" t="inlineStr">
        <is>
          <t>Grand Prix</t>
        </is>
      </c>
      <c r="C53" s="107" t="inlineStr">
        <is>
          <t>Your Way Out</t>
        </is>
      </c>
      <c r="D53" s="33" t="inlineStr">
        <is>
          <t>Coinbase</t>
        </is>
      </c>
      <c r="E53" s="33" t="inlineStr">
        <is>
          <t>Coinbase</t>
        </is>
      </c>
      <c r="F53" s="33" t="inlineStr">
        <is>
          <t>Isle of Any</t>
        </is>
      </c>
      <c r="G53" s="33" t="inlineStr">
        <is>
          <t>United States</t>
        </is>
      </c>
      <c r="H53" s="33" t="inlineStr">
        <is>
          <t>Direction</t>
        </is>
      </c>
      <c r="I53" s="33" t="inlineStr">
        <is>
          <t>https://ascentialcdn.filespin.io/api/v1/storyboard/6e7a83cdcdca4cb386c0bcec3dcb9870/storyboard_000008.jpg</t>
        </is>
      </c>
      <c r="J53" s="33" t="inlineStr">
        <is>
          <t>HQJMzTpckPo</t>
        </is>
      </c>
      <c r="L53" s="33" t="inlineStr">
        <is>
          <t>https://www.lovethework.com/work/entries/your-way-out-786648</t>
        </is>
      </c>
      <c r="M53" s="33" t="inlineStr">
        <is>
          <t>A film for Coinbase that challenges perceptions of the traditional financial system using video-game aesthetics: a character navigates and escapes a rigged, game-like world, framing crypto as the way out. (Film Craft Grand Prix; also won across Direction, Production Design, Achievement in Production and Script.)</t>
        </is>
      </c>
      <c r="N53" s="33" t="inlineStr">
        <is>
          <t>coinbase, crypto, cryptocurrency, finance, financial system, video game, gaming aesthetics, film, cinema, entertainment, direction, production design, achievement in production, film craft, grand prix, isle of any, united states</t>
        </is>
      </c>
    </row>
    <row r="54">
      <c r="A54" s="33" t="n">
        <v>2026</v>
      </c>
      <c r="B54" s="164" t="inlineStr">
        <is>
          <t>Gold</t>
        </is>
      </c>
      <c r="C54" s="107" t="inlineStr">
        <is>
          <t>Shape of Dreams</t>
        </is>
      </c>
      <c r="D54" s="33" t="inlineStr">
        <is>
          <t>On</t>
        </is>
      </c>
      <c r="E54" s="33" t="inlineStr">
        <is>
          <t>Zendaya Collection SS26</t>
        </is>
      </c>
      <c r="F54" s="33" t="inlineStr">
        <is>
          <t>On AG</t>
        </is>
      </c>
      <c r="G54" s="33" t="inlineStr">
        <is>
          <t>Switzerland</t>
        </is>
      </c>
      <c r="H54" s="33" t="inlineStr">
        <is>
          <t>Direction</t>
        </is>
      </c>
      <c r="I54" s="33" t="inlineStr">
        <is>
          <t>https://i.ytimg.com/vi/6NVAzWEgTXo/maxresdefault.jpg</t>
        </is>
      </c>
      <c r="J54" s="33" t="inlineStr">
        <is>
          <t>vimeo:1191960468</t>
        </is>
      </c>
      <c r="L54" s="33" t="inlineStr">
        <is>
          <t>https://www.lovethework.com/work/entries/shape-of-dreams-786701</t>
        </is>
      </c>
      <c r="M54" s="33" t="inlineStr">
        <is>
          <t>A surrealist three-minute campaign film for Swiss sportswear brand On and its Zendaya collection, directed by Spike Jonze and starring Zendaya inside an imagined design world, 'The Dream Lab.'</t>
        </is>
      </c>
      <c r="N54" s="33" t="inlineStr">
        <is>
          <t>on, on running, sportswear, footwear, apparel, fashion, zendaya, spike jonze, film, cinema, entertainment, direction, editing, original music, use of original music, film craft, switzerland</t>
        </is>
      </c>
    </row>
    <row r="55">
      <c r="A55" s="33" t="n">
        <v>2026</v>
      </c>
      <c r="B55" s="166" t="inlineStr">
        <is>
          <t>Bronze</t>
        </is>
      </c>
      <c r="C55" s="107" t="inlineStr">
        <is>
          <t>Bullet Machine</t>
        </is>
      </c>
      <c r="D55" s="33" t="inlineStr">
        <is>
          <t>La Unión Newspaper and Article 19</t>
        </is>
      </c>
      <c r="E55" s="33" t="inlineStr">
        <is>
          <t>La Unión Newspaper and Article 19</t>
        </is>
      </c>
      <c r="F55" s="33" t="inlineStr">
        <is>
          <t>Grey</t>
        </is>
      </c>
      <c r="G55" s="33" t="inlineStr">
        <is>
          <t>Mexico</t>
        </is>
      </c>
      <c r="H55" s="33" t="inlineStr">
        <is>
          <t>Direction</t>
        </is>
      </c>
      <c r="I55" s="33" t="inlineStr">
        <is>
          <t>https://ascentialcdn.filespin.io/api/v1/conversion/df6cf4fa9847452db1e19199cd182928</t>
        </is>
      </c>
      <c r="L55" s="33" t="inlineStr">
        <is>
          <t>https://www.lovethework.com/work/entries/bullet-machine-776084</t>
        </is>
      </c>
      <c r="M55" s="33" t="inlineStr">
        <is>
          <t>Released to coincide with World Press Freedom Day, a short film for La Unión Newspaper and Article 19 exposing how violence against journalists in Mexico also threatens their families and communities.</t>
        </is>
      </c>
      <c r="N55" s="33" t="inlineStr">
        <is>
          <t>article 19, la union, journalism, press freedom, mexico, human rights, violence, social cause, sound design, direction, film craft, grey, world press freedom day</t>
        </is>
      </c>
    </row>
    <row r="56">
      <c r="A56" s="33" t="n">
        <v>2026</v>
      </c>
      <c r="B56" s="166" t="inlineStr">
        <is>
          <t>Bronze</t>
        </is>
      </c>
      <c r="C56" s="107" t="inlineStr">
        <is>
          <t>No Project Without Drama</t>
        </is>
      </c>
      <c r="D56" s="33" t="inlineStr">
        <is>
          <t>Hornbach</t>
        </is>
      </c>
      <c r="E56" s="33" t="inlineStr">
        <is>
          <t>Home Improvement Superstore</t>
        </is>
      </c>
      <c r="F56" s="33" t="inlineStr">
        <is>
          <t>Heimat\TBWA</t>
        </is>
      </c>
      <c r="G56" s="33" t="inlineStr">
        <is>
          <t>Germany</t>
        </is>
      </c>
      <c r="H56" s="33" t="inlineStr">
        <is>
          <t>Script</t>
        </is>
      </c>
      <c r="I56" s="33" t="inlineStr">
        <is>
          <t>https://i.ytimg.com/vi/FN5yqNreuTU/maxresdefault.jpg</t>
        </is>
      </c>
      <c r="J56" s="33" t="inlineStr">
        <is>
          <t>vimeo:1113169877</t>
        </is>
      </c>
      <c r="L56" s="33" t="inlineStr">
        <is>
          <t>https://www.lovethework.com/work/entries/no-project-without-drama-776764</t>
        </is>
      </c>
      <c r="M56" s="33" t="inlineStr">
        <is>
          <t>A cinematic homage to the beauty and chaos of do-it-yourself life for German home-improvement retailer Hornbach, treating ordinary renovation projects with movie-grade tension, scale and craft.</t>
        </is>
      </c>
      <c r="N56" s="33" t="inlineStr">
        <is>
          <t>hornbach, home improvement, diy, retail, hardware store, germany, film, cinema, entertainment, direction, sound design, production design, achievement in production, film craft, heimat tbwa, drama</t>
        </is>
      </c>
    </row>
    <row r="57">
      <c r="A57" s="33" t="n">
        <v>2026</v>
      </c>
      <c r="B57" s="166" t="inlineStr">
        <is>
          <t>Bronze</t>
        </is>
      </c>
      <c r="C57" s="107" t="inlineStr">
        <is>
          <t>Your Way Out</t>
        </is>
      </c>
      <c r="D57" s="33" t="inlineStr">
        <is>
          <t>Coinbase</t>
        </is>
      </c>
      <c r="E57" s="33" t="inlineStr">
        <is>
          <t>Coinbase</t>
        </is>
      </c>
      <c r="F57" s="33" t="inlineStr">
        <is>
          <t>Isle of Any</t>
        </is>
      </c>
      <c r="G57" s="33" t="inlineStr">
        <is>
          <t>United States</t>
        </is>
      </c>
      <c r="H57" s="33" t="inlineStr">
        <is>
          <t>Script</t>
        </is>
      </c>
      <c r="I57" s="33" t="inlineStr">
        <is>
          <t>https://ascentialcdn.filespin.io/api/v1/storyboard/6e7a83cdcdca4cb386c0bcec3dcb9870/storyboard_000008.jpg</t>
        </is>
      </c>
      <c r="J57" s="33" t="inlineStr">
        <is>
          <t>HQJMzTpckPo</t>
        </is>
      </c>
      <c r="L57" s="33" t="inlineStr">
        <is>
          <t>https://www.lovethework.com/work/entries/your-way-out-786741</t>
        </is>
      </c>
      <c r="M57" s="33" t="inlineStr">
        <is>
          <t>A film for Coinbase that challenges perceptions of the traditional financial system using video-game aesthetics: a character navigates and escapes a rigged, game-like world, framing crypto as the way out. (Film Craft Grand Prix; also won across Direction, Production Design, Achievement in Production and Script.)</t>
        </is>
      </c>
      <c r="N57" s="33" t="inlineStr">
        <is>
          <t>coinbase, crypto, cryptocurrency, finance, financial system, video game, gaming aesthetics, film, cinema, entertainment, direction, production design, achievement in production, film craft, grand prix, isle of any, united states</t>
        </is>
      </c>
    </row>
    <row r="58">
      <c r="A58" s="33" t="n">
        <v>2026</v>
      </c>
      <c r="B58" s="166" t="inlineStr">
        <is>
          <t>Bronze</t>
        </is>
      </c>
      <c r="C58" s="107" t="inlineStr">
        <is>
          <t>Don't Look Up</t>
        </is>
      </c>
      <c r="D58" s="33" t="inlineStr">
        <is>
          <t>Steadfast</t>
        </is>
      </c>
      <c r="E58" s="33" t="inlineStr">
        <is>
          <t>Fake Money Detector</t>
        </is>
      </c>
      <c r="F58" s="33" t="inlineStr">
        <is>
          <t>TBWA\Lintas</t>
        </is>
      </c>
      <c r="G58" s="33" t="inlineStr">
        <is>
          <t>India</t>
        </is>
      </c>
      <c r="H58" s="33" t="inlineStr">
        <is>
          <t>Script</t>
        </is>
      </c>
      <c r="I58" s="33" t="inlineStr">
        <is>
          <t>https://ascentialcdn.filespin.io/api/v1/storyboard/cef13fe999ac440fb8acbce5fe3cf581/storyboard_000008.jpg</t>
        </is>
      </c>
      <c r="J58" s="33" t="inlineStr">
        <is>
          <t>vimeo:1203797654</t>
        </is>
      </c>
      <c r="L58" s="33" t="inlineStr">
        <is>
          <t>https://www.lovethework.com/work/entries/dont-look-up-786744</t>
        </is>
      </c>
      <c r="M58" s="33" t="inlineStr">
        <is>
          <t>A film for Steadfast's fake-money detector that closes on the importance of using a note-counting machine to spot counterfeit currency; India's only Lion on Day 2 of the festival.</t>
        </is>
      </c>
      <c r="N58" s="33" t="inlineStr">
        <is>
          <t>steadfast, counterfeit, fake money detector, note counting, finance, stationery, india, script, film craft, tbwa lintas, ducktape studios</t>
        </is>
      </c>
    </row>
    <row r="59">
      <c r="A59" s="33" t="n">
        <v>2026</v>
      </c>
      <c r="B59" s="166" t="inlineStr">
        <is>
          <t>Bronze</t>
        </is>
      </c>
      <c r="C59" s="107" t="inlineStr">
        <is>
          <t>The Treasure Hunt</t>
        </is>
      </c>
      <c r="D59" s="33" t="inlineStr">
        <is>
          <t>Ministry for Equality</t>
        </is>
      </c>
      <c r="E59" s="33" t="inlineStr">
        <is>
          <t>Public Services and Government Agencies</t>
        </is>
      </c>
      <c r="F59" s="33" t="inlineStr">
        <is>
          <t>Ogilvy Spain</t>
        </is>
      </c>
      <c r="G59" s="33" t="inlineStr">
        <is>
          <t>Spain</t>
        </is>
      </c>
      <c r="H59" s="33" t="inlineStr">
        <is>
          <t>Script</t>
        </is>
      </c>
      <c r="I59" s="33" t="inlineStr">
        <is>
          <t>https://ascentialcdn.filespin.io/api/v1/storyboard/296d870ab2234094a6f595ca50340a2a/storyboard_000008.jpg</t>
        </is>
      </c>
      <c r="J59" s="33" t="inlineStr">
        <is>
          <t>dJPTCeSvDuo</t>
        </is>
      </c>
      <c r="L59" s="33" t="inlineStr">
        <is>
          <t>https://www.lovethework.com/work/entries/the-treasure-hunt-776037</t>
        </is>
      </c>
      <c r="M59" s="33" t="inlineStr">
        <is>
          <t>Made for the International Day for the Elimination of Violence against Women, a devastating film for Spain's Ministry for Equality about vicarious violence, starring Ester Expósito.</t>
        </is>
      </c>
      <c r="N59" s="33" t="inlineStr">
        <is>
          <t>ministry for equality, spain, government, public service, vicarious violence, violence against women, gender, social cause, ogilvy spain, script, film craft</t>
        </is>
      </c>
    </row>
    <row r="60">
      <c r="A60" s="33" t="n">
        <v>2026</v>
      </c>
      <c r="B60" s="166" t="inlineStr">
        <is>
          <t>Bronze</t>
        </is>
      </c>
      <c r="C60" s="107" t="inlineStr">
        <is>
          <t>Oreo Cows</t>
        </is>
      </c>
      <c r="D60" s="33" t="inlineStr">
        <is>
          <t>Oreo</t>
        </is>
      </c>
      <c r="E60" s="33" t="inlineStr">
        <is>
          <t>Oreo</t>
        </is>
      </c>
      <c r="F60" s="33" t="inlineStr">
        <is>
          <t>VML</t>
        </is>
      </c>
      <c r="G60" s="33" t="inlineStr">
        <is>
          <t>United States</t>
        </is>
      </c>
      <c r="H60" s="33" t="inlineStr">
        <is>
          <t>Casting</t>
        </is>
      </c>
      <c r="I60" s="33" t="inlineStr">
        <is>
          <t>https://ascentialcdn.filespin.io/api/v1/conversion/f34bbf1c3b224a62a7b93946bce31756</t>
        </is>
      </c>
      <c r="J60" s="33" t="inlineStr">
        <is>
          <t>vimeo:1204016718</t>
        </is>
      </c>
      <c r="L60" s="33" t="inlineStr">
        <is>
          <t>https://www.lovethework.com/work/entries/oreo-cows-780061</t>
        </is>
      </c>
      <c r="M60" s="33" t="inlineStr">
        <is>
          <t>A humorous film introducing 'Oreo Cows,' a fictional breed with Oreo-like markings, following a farmer to celebrate the authenticity of the Oreo-and-milk pairing; cast across the Mexican countryside.</t>
        </is>
      </c>
      <c r="N60" s="33" t="inlineStr">
        <is>
          <t>oreo, mondelez, snack, food, packaged-goods, cpg, fmcg, biscuit, cookie, humor, casting, film craft, vml, cows, milk</t>
        </is>
      </c>
    </row>
    <row r="61">
      <c r="A61" s="33" t="n">
        <v>2026</v>
      </c>
      <c r="B61" s="166" t="inlineStr">
        <is>
          <t>Bronze</t>
        </is>
      </c>
      <c r="C61" s="107" t="inlineStr">
        <is>
          <t>The Kaprao Criminals</t>
        </is>
      </c>
      <c r="D61" s="33" t="inlineStr">
        <is>
          <t>KFC Thailand</t>
        </is>
      </c>
      <c r="E61" s="33" t="inlineStr">
        <is>
          <t>Kaprao Crispy Chicken Rice Bowl</t>
        </is>
      </c>
      <c r="F61" s="33" t="inlineStr">
        <is>
          <t>Wolf BKK</t>
        </is>
      </c>
      <c r="G61" s="33" t="inlineStr">
        <is>
          <t>Thailand</t>
        </is>
      </c>
      <c r="H61" s="33" t="inlineStr">
        <is>
          <t>Casting</t>
        </is>
      </c>
      <c r="I61" s="33" t="inlineStr">
        <is>
          <t>https://ascentialcdn.filespin.io/api/v1/conversion/11e80619841d44a1a16a761dba652bc7</t>
        </is>
      </c>
      <c r="J61" s="33" t="inlineStr">
        <is>
          <t>CIN0cXeX2Kk</t>
        </is>
      </c>
      <c r="L61" s="33" t="inlineStr">
        <is>
          <t>https://www.lovethework.com/work/entries/the-kaprao-criminals-786814</t>
        </is>
      </c>
      <c r="M61" s="33" t="inlineStr">
        <is>
          <t>A casting-led comedic film for KFC Thailand's Kaprao Crispy Chicken Rice Bowl.</t>
        </is>
      </c>
      <c r="N61" s="33" t="inlineStr">
        <is>
          <t>kfc, fast food, qsr, fast-food, restaurant, food, thailand, kaprao, chicken, humor, casting, film craft, wolf bkk</t>
        </is>
      </c>
    </row>
    <row r="62">
      <c r="A62" s="33" t="n">
        <v>2026</v>
      </c>
      <c r="B62" s="164" t="inlineStr">
        <is>
          <t>Gold</t>
        </is>
      </c>
      <c r="C62" s="107" t="inlineStr">
        <is>
          <t>I'm Not Remarkable</t>
        </is>
      </c>
      <c r="D62" s="33" t="inlineStr">
        <is>
          <t>Apple</t>
        </is>
      </c>
      <c r="E62" s="33" t="inlineStr">
        <is>
          <t>Accessibility</t>
        </is>
      </c>
      <c r="F62" s="33" t="inlineStr">
        <is>
          <t>Apple</t>
        </is>
      </c>
      <c r="G62" s="33" t="inlineStr">
        <is>
          <t>United States</t>
        </is>
      </c>
      <c r="H62" s="33" t="inlineStr">
        <is>
          <t>Casting</t>
        </is>
      </c>
      <c r="I62" s="33" t="inlineStr">
        <is>
          <t>https://i.ytimg.com/vi/KmFPWxjmnqE/maxresdefault.jpg</t>
        </is>
      </c>
      <c r="J62" s="33" t="inlineStr">
        <is>
          <t>vimeo:1145798005</t>
        </is>
      </c>
      <c r="L62" s="33" t="inlineStr">
        <is>
          <t>https://www.lovethework.com/work/entries/im-not-remarkable-787520</t>
        </is>
      </c>
      <c r="M62" s="33" t="inlineStr">
        <is>
          <t>A sharply written musical number directed by Kim Gehrig and produced by Somesuch that showcases Apple accessibility features — Magnifier for Mac, Braille Access and Accessibility Reader — by insisting that using them is everyday, not 'remarkable.'</t>
        </is>
      </c>
      <c r="N62" s="33" t="inlineStr">
        <is>
          <t>apple, accessibility, disability, inclusion, musical, music, entertainment, kim gehrig, somesuch, casting, original music, use of original music, film craft, united states, technology</t>
        </is>
      </c>
    </row>
    <row r="63">
      <c r="A63" s="33" t="n">
        <v>2026</v>
      </c>
      <c r="B63" s="165" t="inlineStr">
        <is>
          <t>Silver</t>
        </is>
      </c>
      <c r="C63" s="107" t="inlineStr">
        <is>
          <t>For Papa!</t>
        </is>
      </c>
      <c r="D63" s="33" t="inlineStr">
        <is>
          <t>Instacart</t>
        </is>
      </c>
      <c r="E63" s="33" t="inlineStr">
        <is>
          <t>Instacart Online Grocery Delivery</t>
        </is>
      </c>
      <c r="F63" s="33" t="inlineStr">
        <is>
          <t>McCann New York + BBDO + Local Produce</t>
        </is>
      </c>
      <c r="G63" s="33" t="inlineStr">
        <is>
          <t>United States</t>
        </is>
      </c>
      <c r="H63" s="33" t="inlineStr">
        <is>
          <t>Casting</t>
        </is>
      </c>
      <c r="I63" s="33" t="inlineStr">
        <is>
          <t>https://ascentialcdn.filespin.io/api/v1/conversion/b5d8515d763b461097bfa2881636035f</t>
        </is>
      </c>
      <c r="J63" s="33" t="inlineStr">
        <is>
          <t>a1ysUdRLjaE</t>
        </is>
      </c>
      <c r="L63" s="33" t="inlineStr">
        <is>
          <t>https://www.lovethework.com/work/entries/for-papa-777705</t>
        </is>
      </c>
      <c r="M63" s="33" t="inlineStr">
        <is>
          <t>A casting-led, emotional film for Instacart grocery delivery, credited to McCann New York with BBDO Chicago and Local Produce San Francisco.</t>
        </is>
      </c>
      <c r="N63" s="33" t="inlineStr">
        <is>
          <t>instacart, grocery, retail, delivery, ecommerce, online-shopping, food, casting, film craft, mccann new york, bbdo, local produce, united states, emotional</t>
        </is>
      </c>
    </row>
    <row r="64">
      <c r="A64" s="33" t="n">
        <v>2026</v>
      </c>
      <c r="B64" s="166" t="inlineStr">
        <is>
          <t>Bronze</t>
        </is>
      </c>
      <c r="C64" s="107" t="inlineStr">
        <is>
          <t>Departures</t>
        </is>
      </c>
      <c r="D64" s="33" t="inlineStr">
        <is>
          <t>O Boticário</t>
        </is>
      </c>
      <c r="E64" s="33" t="inlineStr">
        <is>
          <t>Dates - Mother's Day</t>
        </is>
      </c>
      <c r="F64" s="33" t="inlineStr">
        <is>
          <t>AlmapBBDO</t>
        </is>
      </c>
      <c r="G64" s="33" t="inlineStr">
        <is>
          <t>Brazil</t>
        </is>
      </c>
      <c r="H64" s="33" t="inlineStr">
        <is>
          <t>Casting</t>
        </is>
      </c>
      <c r="I64" s="33" t="inlineStr">
        <is>
          <t>https://ascentialcdn.filespin.io/api/v1/storyboard/2f54ed79bf5346258b4e5293509e66a4/storyboard_000008.jpg</t>
        </is>
      </c>
      <c r="J64" s="33" t="inlineStr">
        <is>
          <t>UpRuemIT9Is</t>
        </is>
      </c>
      <c r="L64" s="33" t="inlineStr">
        <is>
          <t>https://www.lovethework.com/work/entries/departures-779075</t>
        </is>
      </c>
      <c r="M64" s="33" t="inlineStr">
        <is>
          <t>A Mother's Day film for Brazilian beauty brand O Boticário exploring the 'empty nest' — the lifelong series of goodbyes in motherhood — framed around the pain and beauty of departures.</t>
        </is>
      </c>
      <c r="N64" s="33" t="inlineStr">
        <is>
          <t>o boticario, beauty, cosmetics, personal-care, brazil, mothers day, motherhood, empty nest, casting, film craft, almapbbdo, emotional</t>
        </is>
      </c>
    </row>
    <row r="65">
      <c r="A65" s="33" t="n">
        <v>2026</v>
      </c>
      <c r="B65" s="165" t="inlineStr">
        <is>
          <t>Silver</t>
        </is>
      </c>
      <c r="C65" s="107" t="inlineStr">
        <is>
          <t>No Project Without Drama</t>
        </is>
      </c>
      <c r="D65" s="33" t="inlineStr">
        <is>
          <t>Hornbach</t>
        </is>
      </c>
      <c r="E65" s="33" t="inlineStr">
        <is>
          <t>Home Improvement Superstore</t>
        </is>
      </c>
      <c r="F65" s="33" t="inlineStr">
        <is>
          <t>Heimat\TBWA</t>
        </is>
      </c>
      <c r="G65" s="33" t="inlineStr">
        <is>
          <t>Germany</t>
        </is>
      </c>
      <c r="H65" s="33" t="inlineStr">
        <is>
          <t>Production Design/Art Direction</t>
        </is>
      </c>
      <c r="I65" s="33" t="inlineStr">
        <is>
          <t>https://i.ytimg.com/vi/FN5yqNreuTU/maxresdefault.jpg</t>
        </is>
      </c>
      <c r="J65" s="33" t="inlineStr">
        <is>
          <t>vimeo:1113169877</t>
        </is>
      </c>
      <c r="L65" s="33" t="inlineStr">
        <is>
          <t>https://www.lovethework.com/work/entries/no-project-without-drama-776775</t>
        </is>
      </c>
      <c r="M65" s="33" t="inlineStr">
        <is>
          <t>A cinematic homage to the beauty and chaos of do-it-yourself life for German home-improvement retailer Hornbach, treating ordinary renovation projects with movie-grade tension, scale and craft.</t>
        </is>
      </c>
      <c r="N65" s="33" t="inlineStr">
        <is>
          <t>hornbach, home improvement, diy, retail, hardware store, germany, film, cinema, entertainment, direction, sound design, production design, achievement in production, film craft, heimat tbwa, drama</t>
        </is>
      </c>
    </row>
    <row r="66">
      <c r="A66" s="33" t="n">
        <v>2026</v>
      </c>
      <c r="B66" s="166" t="inlineStr">
        <is>
          <t>Bronze</t>
        </is>
      </c>
      <c r="C66" s="107" t="inlineStr">
        <is>
          <t>Tableau</t>
        </is>
      </c>
      <c r="D66" s="33" t="inlineStr">
        <is>
          <t>John Lewis</t>
        </is>
      </c>
      <c r="E66" s="33" t="inlineStr">
        <is>
          <t>John Lewis</t>
        </is>
      </c>
      <c r="F66" s="33" t="inlineStr">
        <is>
          <t>Saatchi &amp; Saatchi</t>
        </is>
      </c>
      <c r="G66" s="33" t="inlineStr">
        <is>
          <t>United Kingdom</t>
        </is>
      </c>
      <c r="H66" s="33" t="inlineStr">
        <is>
          <t>Production Design/Art Direction</t>
        </is>
      </c>
      <c r="I66" s="33" t="inlineStr">
        <is>
          <t>https://ascentialcdn.filespin.io/api/v1/storyboard/2be90f6054584758b96b99e0381a6947/storyboard_000008.jpg</t>
        </is>
      </c>
      <c r="J66" s="33" t="inlineStr">
        <is>
          <t>vimeo:1123058040</t>
        </is>
      </c>
      <c r="L66" s="33" t="inlineStr">
        <is>
          <t>https://www.lovethework.com/work/entries/tableau-786825</t>
        </is>
      </c>
      <c r="M66" s="33" t="inlineStr">
        <is>
          <t>Marking 100 years of John Lewis's 'Never Knowingly Undersold' promise, a highly choreographed single moving portrait that turns a century of British life into one continuous tableau.</t>
        </is>
      </c>
      <c r="N66" s="33" t="inlineStr">
        <is>
          <t>john lewis, retail, department store, christmas, britain, heritage, saatchi saatchi, somesuch, production design, licensed music, use of licensed adapted music, achievement in production, film craft, united kingdom</t>
        </is>
      </c>
    </row>
    <row r="67">
      <c r="A67" s="33" t="n">
        <v>2026</v>
      </c>
      <c r="B67" s="164" t="inlineStr">
        <is>
          <t>Gold</t>
        </is>
      </c>
      <c r="C67" s="107" t="inlineStr">
        <is>
          <t>Your Way Out</t>
        </is>
      </c>
      <c r="D67" s="33" t="inlineStr">
        <is>
          <t>Coinbase</t>
        </is>
      </c>
      <c r="E67" s="33" t="inlineStr">
        <is>
          <t>Coinbase</t>
        </is>
      </c>
      <c r="F67" s="33" t="inlineStr">
        <is>
          <t>Isle of Any</t>
        </is>
      </c>
      <c r="G67" s="33" t="inlineStr">
        <is>
          <t>United States</t>
        </is>
      </c>
      <c r="H67" s="33" t="inlineStr">
        <is>
          <t>Production Design/Art Direction</t>
        </is>
      </c>
      <c r="I67" s="33" t="inlineStr">
        <is>
          <t>https://ascentialcdn.filespin.io/api/v1/storyboard/6e7a83cdcdca4cb386c0bcec3dcb9870/storyboard_000008.jpg</t>
        </is>
      </c>
      <c r="J67" s="33" t="inlineStr">
        <is>
          <t>HQJMzTpckPo</t>
        </is>
      </c>
      <c r="L67" s="33" t="inlineStr">
        <is>
          <t>https://www.lovethework.com/work/entries/your-way-out-786854</t>
        </is>
      </c>
      <c r="M67" s="33" t="inlineStr">
        <is>
          <t>A film for Coinbase that challenges perceptions of the traditional financial system using video-game aesthetics: a character navigates and escapes a rigged, game-like world, framing crypto as the way out. (Film Craft Grand Prix; also won across Direction, Production Design, Achievement in Production and Script.)</t>
        </is>
      </c>
      <c r="N67" s="33" t="inlineStr">
        <is>
          <t>coinbase, crypto, cryptocurrency, finance, financial system, video game, gaming aesthetics, film, cinema, entertainment, direction, production design, achievement in production, film craft, grand prix, isle of any, united states</t>
        </is>
      </c>
    </row>
    <row r="68">
      <c r="A68" s="33" t="n">
        <v>2026</v>
      </c>
      <c r="B68" s="165" t="inlineStr">
        <is>
          <t>Silver</t>
        </is>
      </c>
      <c r="C68" s="107" t="inlineStr">
        <is>
          <t>Unavailable</t>
        </is>
      </c>
      <c r="D68" s="33" t="inlineStr">
        <is>
          <t>Squarespace</t>
        </is>
      </c>
      <c r="E68" s="33" t="inlineStr">
        <is>
          <t>Squarespace</t>
        </is>
      </c>
      <c r="F68" s="33" t="inlineStr">
        <is>
          <t>Squarespace</t>
        </is>
      </c>
      <c r="G68" s="33" t="inlineStr">
        <is>
          <t>United States</t>
        </is>
      </c>
      <c r="H68" s="33" t="inlineStr">
        <is>
          <t>Production Design/Art Direction</t>
        </is>
      </c>
      <c r="I68" s="33" t="inlineStr">
        <is>
          <t>https://ascentialcdn.filespin.io/api/v1/storyboard/4521eab589584e3ba0ffb3658bac4a80/storyboard_000008.jpg</t>
        </is>
      </c>
      <c r="J68" s="33" t="inlineStr">
        <is>
          <t>vimeo:1162681848</t>
        </is>
      </c>
      <c r="L68" s="33" t="inlineStr">
        <is>
          <t>https://www.lovethework.com/work/entries/unavailable-787533</t>
        </is>
      </c>
      <c r="M68" s="33" t="inlineStr">
        <is>
          <t>A short film directed by Yorgos Lanthimos starring Emma Stone as a woman on an island who can't claim her own name as a web domain because it's already taken; made for Squarespace and debuted at the Super Bowl.</t>
        </is>
      </c>
      <c r="N68" s="33" t="inlineStr">
        <is>
          <t>squarespace, website, domain, technology, tech, yorgos lanthimos, emma stone, super bowl, production design, cinematography, film craft, united states</t>
        </is>
      </c>
    </row>
    <row r="69">
      <c r="A69" s="33" t="n">
        <v>2026</v>
      </c>
      <c r="B69" s="165" t="inlineStr">
        <is>
          <t>Silver</t>
        </is>
      </c>
      <c r="C69" s="107" t="inlineStr">
        <is>
          <t>Dress Yourself</t>
        </is>
      </c>
      <c r="D69" s="33" t="inlineStr">
        <is>
          <t>Simons</t>
        </is>
      </c>
      <c r="E69" s="33" t="inlineStr">
        <is>
          <t>Simon's Clothing</t>
        </is>
      </c>
      <c r="F69" s="33" t="inlineStr">
        <is>
          <t>Scouts Honour</t>
        </is>
      </c>
      <c r="G69" s="33" t="inlineStr">
        <is>
          <t>Canada</t>
        </is>
      </c>
      <c r="H69" s="33" t="inlineStr">
        <is>
          <t>Cinematography</t>
        </is>
      </c>
      <c r="I69" s="33" t="inlineStr">
        <is>
          <t>https://ascentialcdn.filespin.io/api/v1/storyboard/a63f358b3d694ecaadcf7febae3a5eea/storyboard_000008.jpg</t>
        </is>
      </c>
      <c r="J69" s="33" t="inlineStr">
        <is>
          <t>vimeo:1119787096</t>
        </is>
      </c>
      <c r="L69" s="33" t="inlineStr">
        <is>
          <t>https://www.lovethework.com/work/entries/dress-yourself-786907</t>
        </is>
      </c>
      <c r="M69" s="33" t="inlineStr">
        <is>
          <t>A cinematography-led campaign for Canadian fashion house Simons directed by Mark Zibert: in an empty urban landscape, clothes hover weightlessly, waiting for their human counterparts.</t>
        </is>
      </c>
      <c r="N69" s="33" t="inlineStr">
        <is>
          <t>simons, fashion, retail, clothing, apparel, canada, mark zibert, scouts honour, cinematography, film craft, surreal</t>
        </is>
      </c>
    </row>
    <row r="70">
      <c r="A70" s="33" t="n">
        <v>2026</v>
      </c>
      <c r="B70" s="165" t="inlineStr">
        <is>
          <t>Silver</t>
        </is>
      </c>
      <c r="C70" s="107" t="inlineStr">
        <is>
          <t>The Gucci Lido Campaign</t>
        </is>
      </c>
      <c r="D70" s="33" t="inlineStr">
        <is>
          <t>Gucci</t>
        </is>
      </c>
      <c r="E70" s="33" t="inlineStr">
        <is>
          <t>Gucci Clothing</t>
        </is>
      </c>
      <c r="F70" s="33" t="inlineStr">
        <is>
          <t>Smuggler + Gucci</t>
        </is>
      </c>
      <c r="G70" s="33" t="inlineStr">
        <is>
          <t>United Kingdom</t>
        </is>
      </c>
      <c r="H70" s="33" t="inlineStr">
        <is>
          <t>Cinematography</t>
        </is>
      </c>
      <c r="I70" s="33" t="inlineStr">
        <is>
          <t>https://ascentialcdn.filespin.io/api/v1/storyboard/436bd05d0a7047c7825e5f672eff0ebc/storyboard_000008.jpg</t>
        </is>
      </c>
      <c r="J70" s="33" t="inlineStr">
        <is>
          <t>vimeo:1094701053</t>
        </is>
      </c>
      <c r="L70" s="33" t="inlineStr">
        <is>
          <t>https://www.lovethework.com/work/entries/the-gucci-lido-campaign-786922</t>
        </is>
      </c>
      <c r="M70" s="33" t="inlineStr">
        <is>
          <t>A cinematography-driven fashion film for Gucci produced by Smuggler, featuring Daisy Edgar-Jones, shot in an ephemeral, atmospheric style.</t>
        </is>
      </c>
      <c r="N70" s="33" t="inlineStr">
        <is>
          <t>gucci, fashion, luxury, clothing, apparel, italy, smuggler, daisy edgar-jones, cinematography, film craft, united kingdom</t>
        </is>
      </c>
    </row>
    <row r="71">
      <c r="A71" s="33" t="n">
        <v>2026</v>
      </c>
      <c r="B71" s="166" t="inlineStr">
        <is>
          <t>Bronze</t>
        </is>
      </c>
      <c r="C71" s="107" t="inlineStr">
        <is>
          <t>Unavailable</t>
        </is>
      </c>
      <c r="D71" s="33" t="inlineStr">
        <is>
          <t>Squarespace</t>
        </is>
      </c>
      <c r="E71" s="33" t="inlineStr">
        <is>
          <t>Squarespace</t>
        </is>
      </c>
      <c r="F71" s="33" t="inlineStr">
        <is>
          <t>Squarespace</t>
        </is>
      </c>
      <c r="G71" s="33" t="inlineStr">
        <is>
          <t>United States</t>
        </is>
      </c>
      <c r="H71" s="33" t="inlineStr">
        <is>
          <t>Cinematography</t>
        </is>
      </c>
      <c r="I71" s="33" t="inlineStr">
        <is>
          <t>https://ascentialcdn.filespin.io/api/v1/storyboard/4521eab589584e3ba0ffb3658bac4a80/storyboard_000008.jpg</t>
        </is>
      </c>
      <c r="J71" s="33" t="inlineStr">
        <is>
          <t>vimeo:1162681848</t>
        </is>
      </c>
      <c r="L71" s="33" t="inlineStr">
        <is>
          <t>https://www.lovethework.com/work/entries/unavailable-787542</t>
        </is>
      </c>
      <c r="M71" s="33" t="inlineStr">
        <is>
          <t>A short film directed by Yorgos Lanthimos starring Emma Stone as a woman on an island who can't claim her own name as a web domain because it's already taken; made for Squarespace and debuted at the Super Bowl.</t>
        </is>
      </c>
      <c r="N71" s="33" t="inlineStr">
        <is>
          <t>squarespace, website, domain, technology, tech, yorgos lanthimos, emma stone, super bowl, production design, cinematography, film craft, united states</t>
        </is>
      </c>
    </row>
    <row r="72">
      <c r="A72" s="33" t="n">
        <v>2026</v>
      </c>
      <c r="B72" s="166" t="inlineStr">
        <is>
          <t>Bronze</t>
        </is>
      </c>
      <c r="C72" s="107" t="inlineStr">
        <is>
          <t>I Think of You Dying</t>
        </is>
      </c>
      <c r="D72" s="33" t="inlineStr">
        <is>
          <t>Life360</t>
        </is>
      </c>
      <c r="E72" s="33" t="inlineStr">
        <is>
          <t>Life360</t>
        </is>
      </c>
      <c r="F72" s="33" t="inlineStr">
        <is>
          <t>Alto</t>
        </is>
      </c>
      <c r="G72" s="33" t="inlineStr">
        <is>
          <t>United States</t>
        </is>
      </c>
      <c r="H72" s="33" t="inlineStr">
        <is>
          <t>Use of Original Music</t>
        </is>
      </c>
      <c r="I72" s="33" t="inlineStr">
        <is>
          <t>https://i.vimeocdn.com/video/2010937384-516d276f3ecaa7e95ecdc6d192f631ac4356ecf8e8b686f7c92c4d33f3dc9c96-d</t>
        </is>
      </c>
      <c r="J72" s="33" t="inlineStr">
        <is>
          <t>vimeo:1080372107</t>
        </is>
      </c>
      <c r="L72" s="33" t="inlineStr">
        <is>
          <t>https://www.lovethework.com/work/entries/i-think-of-you-dying-786976</t>
        </is>
      </c>
      <c r="M72" s="33" t="inlineStr">
        <is>
          <t>A film for family-safety app Life360 carried by an original music composition.</t>
        </is>
      </c>
      <c r="N72" s="33" t="inlineStr">
        <is>
          <t>life360, family safety, app, technology, location, music, entertainment, original music, use of original music, film craft, alto, united states</t>
        </is>
      </c>
    </row>
    <row r="73">
      <c r="A73" s="33" t="n">
        <v>2026</v>
      </c>
      <c r="B73" s="165" t="inlineStr">
        <is>
          <t>Silver</t>
        </is>
      </c>
      <c r="C73" s="107" t="inlineStr">
        <is>
          <t>Shape of Dreams</t>
        </is>
      </c>
      <c r="D73" s="33" t="inlineStr">
        <is>
          <t>On</t>
        </is>
      </c>
      <c r="E73" s="33" t="inlineStr">
        <is>
          <t>Zendaya Collection SS26</t>
        </is>
      </c>
      <c r="F73" s="33" t="inlineStr">
        <is>
          <t>On AG</t>
        </is>
      </c>
      <c r="G73" s="33" t="inlineStr">
        <is>
          <t>Switzerland</t>
        </is>
      </c>
      <c r="H73" s="33" t="inlineStr">
        <is>
          <t>Use of Original Music</t>
        </is>
      </c>
      <c r="I73" s="33" t="inlineStr">
        <is>
          <t>https://i.ytimg.com/vi/6NVAzWEgTXo/maxresdefault.jpg</t>
        </is>
      </c>
      <c r="J73" s="33" t="inlineStr">
        <is>
          <t>vimeo:1191960468</t>
        </is>
      </c>
      <c r="L73" s="33" t="inlineStr">
        <is>
          <t>https://www.lovethework.com/work/entries/shape-of-dreams-786983</t>
        </is>
      </c>
      <c r="M73" s="33" t="inlineStr">
        <is>
          <t>A surrealist three-minute campaign film for Swiss sportswear brand On and its Zendaya collection, directed by Spike Jonze and starring Zendaya inside an imagined design world, 'The Dream Lab.'</t>
        </is>
      </c>
      <c r="N73" s="33" t="inlineStr">
        <is>
          <t>on, on running, sportswear, footwear, apparel, fashion, zendaya, spike jonze, film, cinema, entertainment, direction, editing, original music, use of original music, film craft, switzerland</t>
        </is>
      </c>
    </row>
    <row r="74">
      <c r="A74" s="33" t="n">
        <v>2026</v>
      </c>
      <c r="B74" s="166" t="inlineStr">
        <is>
          <t>Bronze</t>
        </is>
      </c>
      <c r="C74" s="107" t="inlineStr">
        <is>
          <t>I'm Not Remarkable</t>
        </is>
      </c>
      <c r="D74" s="33" t="inlineStr">
        <is>
          <t>Apple</t>
        </is>
      </c>
      <c r="E74" s="33" t="inlineStr">
        <is>
          <t>Accessibility</t>
        </is>
      </c>
      <c r="F74" s="33" t="inlineStr">
        <is>
          <t>Apple</t>
        </is>
      </c>
      <c r="G74" s="33" t="inlineStr">
        <is>
          <t>United States</t>
        </is>
      </c>
      <c r="H74" s="33" t="inlineStr">
        <is>
          <t>Use of Original Music</t>
        </is>
      </c>
      <c r="I74" s="33" t="inlineStr">
        <is>
          <t>https://i.ytimg.com/vi/KmFPWxjmnqE/maxresdefault.jpg</t>
        </is>
      </c>
      <c r="J74" s="33" t="inlineStr">
        <is>
          <t>vimeo:1145798005</t>
        </is>
      </c>
      <c r="L74" s="33" t="inlineStr">
        <is>
          <t>https://www.lovethework.com/work/entries/im-not-remarkable-787555</t>
        </is>
      </c>
      <c r="M74" s="33" t="inlineStr">
        <is>
          <t>A sharply written musical number directed by Kim Gehrig and produced by Somesuch that showcases Apple accessibility features — Magnifier for Mac, Braille Access and Accessibility Reader — by insisting that using them is everyday, not 'remarkable.'</t>
        </is>
      </c>
      <c r="N74" s="33" t="inlineStr">
        <is>
          <t>apple, accessibility, disability, inclusion, musical, music, entertainment, kim gehrig, somesuch, casting, original music, use of original music, film craft, united states, technology</t>
        </is>
      </c>
    </row>
    <row r="75">
      <c r="A75" s="33" t="n">
        <v>2026</v>
      </c>
      <c r="B75" s="165" t="inlineStr">
        <is>
          <t>Silver</t>
        </is>
      </c>
      <c r="C75" s="107" t="inlineStr">
        <is>
          <t>Beat Cancer Off</t>
        </is>
      </c>
      <c r="D75" s="33" t="inlineStr">
        <is>
          <t>Fuck Cancer</t>
        </is>
      </c>
      <c r="E75" s="33" t="inlineStr">
        <is>
          <t>Beat Cancer Off</t>
        </is>
      </c>
      <c r="F75" s="33" t="inlineStr">
        <is>
          <t>VML</t>
        </is>
      </c>
      <c r="G75" s="33" t="inlineStr">
        <is>
          <t>United States</t>
        </is>
      </c>
      <c r="H75" s="33" t="inlineStr">
        <is>
          <t>Use of Original Music</t>
        </is>
      </c>
      <c r="I75" s="33" t="inlineStr">
        <is>
          <t>https://ascentialcdn.filespin.io/api/v1/conversion/e10de6b252874bff954d07054112fa2a</t>
        </is>
      </c>
      <c r="J75" s="33" t="inlineStr">
        <is>
          <t>vimeo:1179609250</t>
        </is>
      </c>
      <c r="L75" s="33" t="inlineStr">
        <is>
          <t>https://www.lovethework.com/work/entries/beat-cancer-off-787717</t>
        </is>
      </c>
      <c r="M75" s="33" t="inlineStr">
        <is>
          <t>A provocative, humor-driven prostate-cancer awareness film for nonprofit Fuck Cancer, built on the scientific insight that regular ejaculation may help reduce prostate-cancer risk.</t>
        </is>
      </c>
      <c r="N75" s="33" t="inlineStr">
        <is>
          <t>fuck cancer, health, cancer, healthcare, medical, prostate cancer, mens health, awareness, nonprofit, humor, original music, use of original music, animation, film craft, vml, united states</t>
        </is>
      </c>
    </row>
    <row r="76">
      <c r="A76" s="33" t="n">
        <v>2026</v>
      </c>
      <c r="B76" s="166" t="inlineStr">
        <is>
          <t>Bronze</t>
        </is>
      </c>
      <c r="C76" s="107" t="inlineStr">
        <is>
          <t>Tableau</t>
        </is>
      </c>
      <c r="D76" s="33" t="inlineStr">
        <is>
          <t>John Lewis</t>
        </is>
      </c>
      <c r="E76" s="33" t="inlineStr">
        <is>
          <t>John Lewis</t>
        </is>
      </c>
      <c r="F76" s="33" t="inlineStr">
        <is>
          <t>Somesuch + Saatchi &amp; Saatchi</t>
        </is>
      </c>
      <c r="G76" s="33" t="inlineStr">
        <is>
          <t>United States</t>
        </is>
      </c>
      <c r="H76" s="33" t="inlineStr">
        <is>
          <t>Use of Licensed/Adapted Music</t>
        </is>
      </c>
      <c r="I76" s="33" t="inlineStr">
        <is>
          <t>https://ascentialcdn.filespin.io/api/v1/storyboard/0056837f227e48e5a95f73bf6beb7953/storyboard_000008.jpg</t>
        </is>
      </c>
      <c r="J76" s="33" t="inlineStr">
        <is>
          <t>vimeo:1123058040</t>
        </is>
      </c>
      <c r="L76" s="33" t="inlineStr">
        <is>
          <t>https://www.lovethework.com/work/entries/tableau-786989</t>
        </is>
      </c>
      <c r="M76" s="33" t="inlineStr">
        <is>
          <t>Marking 100 years of John Lewis's 'Never Knowingly Undersold' promise, a highly choreographed single moving portrait that turns a century of British life into one continuous tableau.</t>
        </is>
      </c>
      <c r="N76" s="33" t="inlineStr">
        <is>
          <t>john lewis, retail, department store, christmas, britain, heritage, saatchi saatchi, somesuch, production design, licensed music, use of licensed adapted music, achievement in production, film craft, united kingdom</t>
        </is>
      </c>
    </row>
    <row r="77">
      <c r="A77" s="33" t="n">
        <v>2026</v>
      </c>
      <c r="B77" s="165" t="inlineStr">
        <is>
          <t>Silver</t>
        </is>
      </c>
      <c r="C77" s="107" t="inlineStr">
        <is>
          <t>A Critter Carol</t>
        </is>
      </c>
      <c r="D77" s="33" t="inlineStr">
        <is>
          <t>Apple</t>
        </is>
      </c>
      <c r="E77" s="33" t="inlineStr">
        <is>
          <t>iPhone</t>
        </is>
      </c>
      <c r="F77" s="33" t="inlineStr">
        <is>
          <t>TBWA\Media Arts Lab</t>
        </is>
      </c>
      <c r="G77" s="33" t="inlineStr">
        <is>
          <t>United States</t>
        </is>
      </c>
      <c r="H77" s="33" t="inlineStr">
        <is>
          <t>Use of Licensed/Adapted Music</t>
        </is>
      </c>
      <c r="I77" s="33" t="inlineStr">
        <is>
          <t>https://beastgrip.com/cdn/shop/articles/shot-on-iphone-17-pro-a-critter-carol-beastgrip-gear-behind-the-magic_10ea192b-ee14-4514-915e-2d46daad1ef4.jpg</t>
        </is>
      </c>
      <c r="J77" s="33" t="inlineStr">
        <is>
          <t>vimeo:1140829189</t>
        </is>
      </c>
      <c r="L77" s="33" t="inlineStr">
        <is>
          <t>https://www.lovethework.com/work/entries/a-critter-carol-787013</t>
        </is>
      </c>
      <c r="M77" s="33" t="inlineStr">
        <is>
          <t>Apple's holiday 'Shot on iPhone' film: after a hiker drops an iPhone in a snowy forest, a group of handmade puppet critters — a raccoon, bear, owl, deer and others — find it and film themselves in a joyful musical number celebrating friendship and craft. Directed by Mark Molloy.</t>
        </is>
      </c>
      <c r="N77" s="33" t="inlineStr">
        <is>
          <t>apple, iphone, smartphone, technology, holiday, christmas, puppets, animation, film, cinema, entertainment, music, licensed music, use of licensed adapted music, film craft, tbwa media arts lab, united states</t>
        </is>
      </c>
    </row>
    <row r="78">
      <c r="A78" s="33" t="n">
        <v>2026</v>
      </c>
      <c r="B78" s="164" t="inlineStr">
        <is>
          <t>Gold</t>
        </is>
      </c>
      <c r="C78" s="107" t="inlineStr">
        <is>
          <t>No Project Without Drama</t>
        </is>
      </c>
      <c r="D78" s="33" t="inlineStr">
        <is>
          <t>Hornbach</t>
        </is>
      </c>
      <c r="E78" s="33" t="inlineStr">
        <is>
          <t>Home Improvement Superstore</t>
        </is>
      </c>
      <c r="F78" s="33" t="inlineStr">
        <is>
          <t>Heimat\TBWA</t>
        </is>
      </c>
      <c r="G78" s="33" t="inlineStr">
        <is>
          <t>Germany</t>
        </is>
      </c>
      <c r="H78" s="33" t="inlineStr">
        <is>
          <t>Achievement in Production</t>
        </is>
      </c>
      <c r="I78" s="33" t="inlineStr">
        <is>
          <t>https://i.ytimg.com/vi/FN5yqNreuTU/maxresdefault.jpg</t>
        </is>
      </c>
      <c r="J78" s="33" t="inlineStr">
        <is>
          <t>vimeo:1113169877</t>
        </is>
      </c>
      <c r="L78" s="33" t="inlineStr">
        <is>
          <t>https://www.lovethework.com/work/entries/no-project-without-drama-776721</t>
        </is>
      </c>
      <c r="M78" s="33" t="inlineStr">
        <is>
          <t>A cinematic homage to the beauty and chaos of do-it-yourself life for German home-improvement retailer Hornbach, treating ordinary renovation projects with movie-grade tension, scale and craft.</t>
        </is>
      </c>
      <c r="N78" s="33" t="inlineStr">
        <is>
          <t>hornbach, home improvement, diy, retail, hardware store, germany, film, cinema, entertainment, direction, sound design, production design, achievement in production, film craft, heimat tbwa, drama</t>
        </is>
      </c>
    </row>
    <row r="79">
      <c r="A79" s="33" t="n">
        <v>2026</v>
      </c>
      <c r="B79" s="166" t="inlineStr">
        <is>
          <t>Bronze</t>
        </is>
      </c>
      <c r="C79" s="107" t="inlineStr">
        <is>
          <t>Tableau</t>
        </is>
      </c>
      <c r="D79" s="33" t="inlineStr">
        <is>
          <t>John Lewis</t>
        </is>
      </c>
      <c r="E79" s="33" t="inlineStr">
        <is>
          <t>John Lewis</t>
        </is>
      </c>
      <c r="F79" s="33" t="inlineStr">
        <is>
          <t>Somesuch + Saatchi &amp; Saatchi</t>
        </is>
      </c>
      <c r="G79" s="33" t="inlineStr">
        <is>
          <t>United States</t>
        </is>
      </c>
      <c r="H79" s="33" t="inlineStr">
        <is>
          <t>Achievement in Production</t>
        </is>
      </c>
      <c r="I79" s="33" t="inlineStr">
        <is>
          <t>https://ascentialcdn.filespin.io/api/v1/storyboard/0056837f227e48e5a95f73bf6beb7953/storyboard_000008.jpg</t>
        </is>
      </c>
      <c r="J79" s="33" t="inlineStr">
        <is>
          <t>vimeo:1123058040</t>
        </is>
      </c>
      <c r="L79" s="33" t="inlineStr">
        <is>
          <t>https://www.lovethework.com/work/entries/tableau-787031</t>
        </is>
      </c>
      <c r="M79" s="33" t="inlineStr">
        <is>
          <t>Marking 100 years of John Lewis's 'Never Knowingly Undersold' promise, a highly choreographed single moving portrait that turns a century of British life into one continuous tableau.</t>
        </is>
      </c>
      <c r="N79" s="33" t="inlineStr">
        <is>
          <t>john lewis, retail, department store, christmas, britain, heritage, saatchi saatchi, somesuch, production design, licensed music, use of licensed adapted music, achievement in production, film craft, united kingdom</t>
        </is>
      </c>
    </row>
    <row r="80">
      <c r="A80" s="33" t="n">
        <v>2026</v>
      </c>
      <c r="B80" s="165" t="inlineStr">
        <is>
          <t>Silver</t>
        </is>
      </c>
      <c r="C80" s="107" t="inlineStr">
        <is>
          <t>Your Way Out</t>
        </is>
      </c>
      <c r="D80" s="33" t="inlineStr">
        <is>
          <t>Coinbase</t>
        </is>
      </c>
      <c r="E80" s="33" t="inlineStr">
        <is>
          <t>Coinbase</t>
        </is>
      </c>
      <c r="F80" s="33" t="inlineStr">
        <is>
          <t>Isle of Any</t>
        </is>
      </c>
      <c r="G80" s="33" t="inlineStr">
        <is>
          <t>United States</t>
        </is>
      </c>
      <c r="H80" s="33" t="inlineStr">
        <is>
          <t>Achievement in Production</t>
        </is>
      </c>
      <c r="I80" s="33" t="inlineStr">
        <is>
          <t>https://ascentialcdn.filespin.io/api/v1/storyboard/6e7a83cdcdca4cb386c0bcec3dcb9870/storyboard_000008.jpg</t>
        </is>
      </c>
      <c r="J80" s="33" t="inlineStr">
        <is>
          <t>HQJMzTpckPo</t>
        </is>
      </c>
      <c r="L80" s="33" t="inlineStr">
        <is>
          <t>https://www.lovethework.com/work/entries/your-way-out-787043</t>
        </is>
      </c>
      <c r="M80" s="33" t="inlineStr">
        <is>
          <t>A film for Coinbase that challenges perceptions of the traditional financial system using video-game aesthetics: a character navigates and escapes a rigged, game-like world, framing crypto as the way out. (Film Craft Grand Prix; also won across Direction, Production Design, Achievement in Production and Script.)</t>
        </is>
      </c>
      <c r="N80" s="33" t="inlineStr">
        <is>
          <t>coinbase, crypto, cryptocurrency, finance, financial system, video game, gaming aesthetics, film, cinema, entertainment, direction, production design, achievement in production, film craft, grand prix, isle of any, united states</t>
        </is>
      </c>
    </row>
    <row r="81">
      <c r="A81" s="33" t="n">
        <v>2026</v>
      </c>
      <c r="B81" s="165" t="inlineStr">
        <is>
          <t>Silver</t>
        </is>
      </c>
      <c r="C81" s="107" t="inlineStr">
        <is>
          <t>Shape of Dreams</t>
        </is>
      </c>
      <c r="D81" s="33" t="inlineStr">
        <is>
          <t>On</t>
        </is>
      </c>
      <c r="E81" s="33" t="inlineStr">
        <is>
          <t>Zendaya Collection SS26</t>
        </is>
      </c>
      <c r="F81" s="33" t="inlineStr">
        <is>
          <t>On AG</t>
        </is>
      </c>
      <c r="G81" s="33" t="inlineStr">
        <is>
          <t>Switzerland</t>
        </is>
      </c>
      <c r="H81" s="33" t="inlineStr">
        <is>
          <t>Editing</t>
        </is>
      </c>
      <c r="I81" s="33" t="inlineStr">
        <is>
          <t>https://i.ytimg.com/vi/6NVAzWEgTXo/maxresdefault.jpg</t>
        </is>
      </c>
      <c r="J81" s="33" t="inlineStr">
        <is>
          <t>vimeo:1191960468</t>
        </is>
      </c>
      <c r="L81" s="33" t="inlineStr">
        <is>
          <t>https://www.lovethework.com/work/entries/shape-of-dreams-787097</t>
        </is>
      </c>
      <c r="M81" s="33" t="inlineStr">
        <is>
          <t>A surrealist three-minute campaign film for Swiss sportswear brand On and its Zendaya collection, directed by Spike Jonze and starring Zendaya inside an imagined design world, 'The Dream Lab.'</t>
        </is>
      </c>
      <c r="N81" s="33" t="inlineStr">
        <is>
          <t>on, on running, sportswear, footwear, apparel, fashion, zendaya, spike jonze, film, cinema, entertainment, direction, editing, original music, use of original music, film craft, switzerland</t>
        </is>
      </c>
    </row>
    <row r="82">
      <c r="A82" s="33" t="n">
        <v>2026</v>
      </c>
      <c r="B82" s="166" t="inlineStr">
        <is>
          <t>Bronze</t>
        </is>
      </c>
      <c r="C82" s="107" t="inlineStr">
        <is>
          <t>Drop In</t>
        </is>
      </c>
      <c r="D82" s="33" t="inlineStr">
        <is>
          <t>Electronic Arts</t>
        </is>
      </c>
      <c r="E82" s="33" t="inlineStr">
        <is>
          <t>EA Skate</t>
        </is>
      </c>
      <c r="F82" s="33" t="inlineStr">
        <is>
          <t>Uncommon Creative Studio</t>
        </is>
      </c>
      <c r="G82" s="33" t="inlineStr">
        <is>
          <t>United States</t>
        </is>
      </c>
      <c r="H82" s="33" t="inlineStr">
        <is>
          <t>Editing</t>
        </is>
      </c>
      <c r="I82" s="33" t="inlineStr">
        <is>
          <t>https://i.ytimg.com/vi/DeGXanmlJ_0/maxresdefault.jpg</t>
        </is>
      </c>
      <c r="J82" s="33" t="inlineStr">
        <is>
          <t>vimeo:1119239917</t>
        </is>
      </c>
      <c r="L82" s="33" t="inlineStr">
        <is>
          <t>https://www.lovethework.com/work/entries/drop-in-779211</t>
        </is>
      </c>
      <c r="M82" s="33" t="inlineStr">
        <is>
          <t>A relaunch film for EA's Skate after a 15-year hiatus, made with and for the skate community; produced by Riff Raff Films and directed by The Sacred Egg, recognized for its editing.</t>
        </is>
      </c>
      <c r="N82" s="33" t="inlineStr">
        <is>
          <t>electronic arts, ea skate, gaming, video-games, entertainment, video game, skateboarding, skate, editing, uncommon creative studio, riff raff films, film craft, united states, community</t>
        </is>
      </c>
    </row>
    <row r="83">
      <c r="A83" s="33" t="n">
        <v>2026</v>
      </c>
      <c r="B83" s="165" t="inlineStr">
        <is>
          <t>Silver</t>
        </is>
      </c>
      <c r="C83" s="107" t="inlineStr">
        <is>
          <t>AXA – Nothing Stops Women's Rugby</t>
        </is>
      </c>
      <c r="D83" s="33" t="inlineStr">
        <is>
          <t>AXA France</t>
        </is>
      </c>
      <c r="E83" s="33" t="inlineStr">
        <is>
          <t>Partnership AXA x Women's Rugby</t>
        </is>
      </c>
      <c r="F83" s="33" t="inlineStr">
        <is>
          <t>Publicis Conseil</t>
        </is>
      </c>
      <c r="G83" s="33" t="inlineStr">
        <is>
          <t>France</t>
        </is>
      </c>
      <c r="H83" s="33" t="inlineStr">
        <is>
          <t>Editing</t>
        </is>
      </c>
      <c r="I83" s="33" t="inlineStr">
        <is>
          <t>https://ascentialcdn.filespin.io/api/v1/conversion/2a6b2b4859824eca99522c5972d31625</t>
        </is>
      </c>
      <c r="J83" s="33" t="inlineStr">
        <is>
          <t>vimeo:1181231416</t>
        </is>
      </c>
      <c r="L83" s="33" t="inlineStr">
        <is>
          <t>https://www.lovethework.com/work/entries/axa-nothing-stops-womens-rugby-778840</t>
        </is>
      </c>
      <c r="M83" s="33" t="inlineStr">
        <is>
          <t>A three-minute manifesto film aired on France Télévisions, directed by Julien &amp; Quentin, championing women's rugby as a fight against stereotypes and AXA's stance on women's rights.</t>
        </is>
      </c>
      <c r="N83" s="33" t="inlineStr">
        <is>
          <t>axa, insurance, financial-services, finance, womens rugby, sport, rugby, women, gender, france, editing, publicis conseil, film craft, manifesto</t>
        </is>
      </c>
    </row>
    <row r="84">
      <c r="A84" s="33" t="n">
        <v>2026</v>
      </c>
      <c r="B84" s="166" t="inlineStr">
        <is>
          <t>Bronze</t>
        </is>
      </c>
      <c r="C84" s="107" t="inlineStr">
        <is>
          <t>Own Your Flow</t>
        </is>
      </c>
      <c r="D84" s="33" t="inlineStr">
        <is>
          <t>Kotex</t>
        </is>
      </c>
      <c r="E84" s="33" t="inlineStr">
        <is>
          <t>Kotex Tampons</t>
        </is>
      </c>
      <c r="F84" s="33" t="inlineStr">
        <is>
          <t>McCann New York</t>
        </is>
      </c>
      <c r="G84" s="33" t="inlineStr">
        <is>
          <t>United States</t>
        </is>
      </c>
      <c r="H84" s="33" t="inlineStr">
        <is>
          <t>Colour Correction/Grading</t>
        </is>
      </c>
      <c r="I84" s="33" t="inlineStr">
        <is>
          <t>https://ascentialcdn.filespin.io/api/v1/storyboard/78fb105d4f354309b6a7f905bbc3b9fa/storyboard_000008.jpg</t>
        </is>
      </c>
      <c r="J84" s="33" t="inlineStr">
        <is>
          <t>vimeo:1164169063</t>
        </is>
      </c>
      <c r="L84" s="33" t="inlineStr">
        <is>
          <t>https://www.lovethework.com/work/entries/own-your-flow-787112</t>
        </is>
      </c>
      <c r="M84" s="33" t="inlineStr">
        <is>
          <t>A bold global period-care film for Kotex, drenched in red as part of a refreshed brand identity, recognized for its colour grading.</t>
        </is>
      </c>
      <c r="N84" s="33" t="inlineStr">
        <is>
          <t>kotex, period care, menstruation, feminine care, health, women, colour correction, colour grading, mccann new york, film craft, united states, red</t>
        </is>
      </c>
    </row>
    <row r="85">
      <c r="A85" s="33" t="n">
        <v>2026</v>
      </c>
      <c r="B85" s="165" t="inlineStr">
        <is>
          <t>Silver</t>
        </is>
      </c>
      <c r="C85" s="107" t="inlineStr">
        <is>
          <t>No Project Without Drama</t>
        </is>
      </c>
      <c r="D85" s="33" t="inlineStr">
        <is>
          <t>Hornbach</t>
        </is>
      </c>
      <c r="E85" s="33" t="inlineStr">
        <is>
          <t>Home Improvement Superstore</t>
        </is>
      </c>
      <c r="F85" s="33" t="inlineStr">
        <is>
          <t>Heimat\TBWA</t>
        </is>
      </c>
      <c r="G85" s="33" t="inlineStr">
        <is>
          <t>Germany</t>
        </is>
      </c>
      <c r="H85" s="33" t="inlineStr">
        <is>
          <t>Sound Design</t>
        </is>
      </c>
      <c r="I85" s="33" t="inlineStr">
        <is>
          <t>https://i.ytimg.com/vi/FN5yqNreuTU/maxresdefault.jpg</t>
        </is>
      </c>
      <c r="J85" s="33" t="inlineStr">
        <is>
          <t>vimeo:1113169877</t>
        </is>
      </c>
      <c r="L85" s="33" t="inlineStr">
        <is>
          <t>https://www.lovethework.com/work/entries/no-project-without-drama-776736</t>
        </is>
      </c>
      <c r="M85" s="33" t="inlineStr">
        <is>
          <t>A cinematic homage to the beauty and chaos of do-it-yourself life for German home-improvement retailer Hornbach, treating ordinary renovation projects with movie-grade tension, scale and craft.</t>
        </is>
      </c>
      <c r="N85" s="33" t="inlineStr">
        <is>
          <t>hornbach, home improvement, diy, retail, hardware store, germany, film, cinema, entertainment, direction, sound design, production design, achievement in production, film craft, heimat tbwa, drama</t>
        </is>
      </c>
    </row>
    <row r="86">
      <c r="A86" s="33" t="n">
        <v>2026</v>
      </c>
      <c r="B86" s="164" t="inlineStr">
        <is>
          <t>Gold</t>
        </is>
      </c>
      <c r="C86" s="107" t="inlineStr">
        <is>
          <t>Bullet Machine</t>
        </is>
      </c>
      <c r="D86" s="33" t="inlineStr">
        <is>
          <t>La Unión Newspaper and Article 19</t>
        </is>
      </c>
      <c r="E86" s="33" t="inlineStr">
        <is>
          <t>La Unión Newspaper and Article 19</t>
        </is>
      </c>
      <c r="F86" s="33" t="inlineStr">
        <is>
          <t>Grey</t>
        </is>
      </c>
      <c r="G86" s="33" t="inlineStr">
        <is>
          <t>Mexico</t>
        </is>
      </c>
      <c r="H86" s="33" t="inlineStr">
        <is>
          <t>Sound Design</t>
        </is>
      </c>
      <c r="I86" s="33" t="inlineStr">
        <is>
          <t>https://ascentialcdn.filespin.io/api/v1/conversion/df6cf4fa9847452db1e19199cd182928</t>
        </is>
      </c>
      <c r="L86" s="33" t="inlineStr">
        <is>
          <t>https://www.lovethework.com/work/entries/bullet-machine-776063</t>
        </is>
      </c>
      <c r="M86" s="33" t="inlineStr">
        <is>
          <t>Released to coincide with World Press Freedom Day, a short film for La Unión Newspaper and Article 19 exposing how violence against journalists in Mexico also threatens their families and communities.</t>
        </is>
      </c>
      <c r="N86" s="33" t="inlineStr">
        <is>
          <t>article 19, la union, journalism, press freedom, mexico, human rights, violence, social cause, sound design, direction, film craft, grey, world press freedom day</t>
        </is>
      </c>
    </row>
    <row r="87">
      <c r="A87" s="33" t="n">
        <v>2026</v>
      </c>
      <c r="B87" s="166" t="inlineStr">
        <is>
          <t>Bronze</t>
        </is>
      </c>
      <c r="C87" s="107" t="inlineStr">
        <is>
          <t>Light Hole</t>
        </is>
      </c>
      <c r="D87" s="33" t="inlineStr">
        <is>
          <t>Kodansha</t>
        </is>
      </c>
      <c r="E87" s="33" t="inlineStr">
        <is>
          <t>Kodansha</t>
        </is>
      </c>
      <c r="F87" s="33" t="inlineStr">
        <is>
          <t>Kodansha + Geek Pictures</t>
        </is>
      </c>
      <c r="G87" s="33" t="inlineStr">
        <is>
          <t>Japan</t>
        </is>
      </c>
      <c r="H87" s="33" t="inlineStr">
        <is>
          <t>Animation</t>
        </is>
      </c>
      <c r="I87" s="33" t="inlineStr">
        <is>
          <t>https://ascentialcdn.filespin.io/api/v1/storyboard/564e9e4df48d4b34a6b3bb89d70b9d1a/storyboard_000008.jpg</t>
        </is>
      </c>
      <c r="J87" s="33" t="inlineStr">
        <is>
          <t>vimeo:1203797667</t>
        </is>
      </c>
      <c r="L87" s="33" t="inlineStr">
        <is>
          <t>https://www.lovethework.com/work/entries/light-hole-787594</t>
        </is>
      </c>
      <c r="M87" s="33" t="inlineStr">
        <is>
          <t>A handcrafted, collage-style animated branded short for Japanese publisher Kodansha in which paper media — books and manuscripts — take three-dimensional form, drawing on characters from manga titles such as Akira and Ghost in the Shell.</t>
        </is>
      </c>
      <c r="N87" s="33" t="inlineStr">
        <is>
          <t>kodansha, manga, publishing, japan, animation, stop motion, paper, akira, ghost in the shell, geek pictures, film craft</t>
        </is>
      </c>
    </row>
    <row r="88">
      <c r="A88" s="33" t="n">
        <v>2026</v>
      </c>
      <c r="B88" s="165" t="inlineStr">
        <is>
          <t>Silver</t>
        </is>
      </c>
      <c r="C88" s="107" t="inlineStr">
        <is>
          <t>Beat Cancer Off</t>
        </is>
      </c>
      <c r="D88" s="33" t="inlineStr">
        <is>
          <t>Fuck Cancer</t>
        </is>
      </c>
      <c r="E88" s="33" t="inlineStr">
        <is>
          <t>Beat Cancer Off</t>
        </is>
      </c>
      <c r="F88" s="33" t="inlineStr">
        <is>
          <t>VML</t>
        </is>
      </c>
      <c r="G88" s="33" t="inlineStr">
        <is>
          <t>United States</t>
        </is>
      </c>
      <c r="H88" s="33" t="inlineStr">
        <is>
          <t>Animation</t>
        </is>
      </c>
      <c r="I88" s="33" t="inlineStr">
        <is>
          <t>https://ascentialcdn.filespin.io/api/v1/conversion/e10de6b252874bff954d07054112fa2a</t>
        </is>
      </c>
      <c r="J88" s="33" t="inlineStr">
        <is>
          <t>vimeo:1179609250</t>
        </is>
      </c>
      <c r="L88" s="33" t="inlineStr">
        <is>
          <t>https://www.lovethework.com/work/entries/beat-cancer-off-787746</t>
        </is>
      </c>
      <c r="M88" s="33" t="inlineStr">
        <is>
          <t>A provocative, humor-driven prostate-cancer awareness film for nonprofit Fuck Cancer, built on the scientific insight that regular ejaculation may help reduce prostate-cancer risk.</t>
        </is>
      </c>
      <c r="N88" s="33" t="inlineStr">
        <is>
          <t>fuck cancer, health, cancer, healthcare, medical, prostate cancer, mens health, awareness, nonprofit, humor, original music, use of original music, animation, film craft, vml, united states</t>
        </is>
      </c>
    </row>
    <row r="89">
      <c r="A89" s="33" t="n">
        <v>2026</v>
      </c>
      <c r="B89" s="165" t="inlineStr">
        <is>
          <t>Silver</t>
        </is>
      </c>
      <c r="C89" s="107" t="inlineStr">
        <is>
          <t>The Ring: The Legacy Continues</t>
        </is>
      </c>
      <c r="D89" s="33" t="inlineStr">
        <is>
          <t>The Ring</t>
        </is>
      </c>
      <c r="E89" s="33" t="inlineStr">
        <is>
          <t>Brand Campaign</t>
        </is>
      </c>
      <c r="F89" s="33" t="inlineStr">
        <is>
          <t>Bigtime Creative Shop</t>
        </is>
      </c>
      <c r="G89" s="33" t="inlineStr">
        <is>
          <t>Saudi Arabia</t>
        </is>
      </c>
      <c r="H89" s="33" t="inlineStr">
        <is>
          <t>Animation</t>
        </is>
      </c>
      <c r="I89" s="33" t="inlineStr">
        <is>
          <t>https://ascentialcdn.filespin.io/api/v1/storyboard/3685766d7b7442798febf7ea784b9197/storyboard_000008.jpg</t>
        </is>
      </c>
      <c r="J89" s="33" t="inlineStr">
        <is>
          <t>vimeo:1159152038</t>
        </is>
      </c>
      <c r="L89" s="33" t="inlineStr">
        <is>
          <t>https://www.lovethework.com/work/entries/the-ring-the-legacy-continues-777869</t>
        </is>
      </c>
      <c r="M89" s="33" t="inlineStr">
        <is>
          <t>A handcrafted animated journey through the history of boxing marking The Ring Magazine's century-plus legacy, with each era rendered in a different artistic technique.</t>
        </is>
      </c>
      <c r="N89" s="33" t="inlineStr">
        <is>
          <t>the ring, riyadh season, boxing, sport, saudi arabia, animation, handcrafted, heritage, bigtime creative shop, film craft, magazine</t>
        </is>
      </c>
    </row>
    <row r="90">
      <c r="A90" s="33" t="n">
        <v>2026</v>
      </c>
      <c r="B90" s="166" t="inlineStr">
        <is>
          <t>Bronze</t>
        </is>
      </c>
      <c r="C90" s="107" t="inlineStr">
        <is>
          <t>Who's Waiting for You?</t>
        </is>
      </c>
      <c r="D90" s="33" t="inlineStr">
        <is>
          <t>Cerveza Victoria</t>
        </is>
      </c>
      <c r="E90" s="33" t="inlineStr">
        <is>
          <t>Cerveza Victoria</t>
        </is>
      </c>
      <c r="F90" s="33" t="inlineStr">
        <is>
          <t>Wieden+Kennedy</t>
        </is>
      </c>
      <c r="G90" s="33" t="inlineStr">
        <is>
          <t>Mexico</t>
        </is>
      </c>
      <c r="H90" s="33" t="inlineStr">
        <is>
          <t>Animation</t>
        </is>
      </c>
      <c r="I90" s="33" t="inlineStr">
        <is>
          <t>https://resized-media.entries.clios.com/companies/141437/media/9e902c01-f315-4959-00c0-08de69f995ee-xlarge.jpg.webp</t>
        </is>
      </c>
      <c r="J90" s="33" t="inlineStr">
        <is>
          <t>OvwrHl__VKY</t>
        </is>
      </c>
      <c r="L90" s="33" t="inlineStr">
        <is>
          <t>https://www.lovethework.com/work/entries/whos-waiting-for-you-788518</t>
        </is>
      </c>
      <c r="M90" s="33" t="inlineStr">
        <is>
          <t>An animated film for Mexican beer brand Cerveza Victoria built on the emotionally charged question of who's waiting for you at home, rooted in Mexican cultural identity.</t>
        </is>
      </c>
      <c r="N90" s="33" t="inlineStr">
        <is>
          <t>cerveza victoria, beer, alcohol, drinks, mexico, animation, culture, wieden kennedy, film craft, emotional</t>
        </is>
      </c>
    </row>
    <row r="91">
      <c r="A91" s="33" t="n">
        <v>2026</v>
      </c>
      <c r="B91" s="164" t="inlineStr">
        <is>
          <t>Gold</t>
        </is>
      </c>
      <c r="C91" s="107" t="inlineStr">
        <is>
          <t>Helicopter</t>
        </is>
      </c>
      <c r="D91" s="33" t="inlineStr">
        <is>
          <t>AWGE</t>
        </is>
      </c>
      <c r="E91" s="33" t="inlineStr">
        <is>
          <t>Music Promotion (Music Video)</t>
        </is>
      </c>
      <c r="F91" s="33" t="inlineStr">
        <is>
          <t>Somesuch + AWGE</t>
        </is>
      </c>
      <c r="G91" s="33" t="inlineStr">
        <is>
          <t>United States</t>
        </is>
      </c>
      <c r="H91" s="33" t="inlineStr">
        <is>
          <t>Visual Effects</t>
        </is>
      </c>
      <c r="I91" s="33" t="inlineStr">
        <is>
          <t>https://ascentialcdn.filespin.io/api/v1/storyboard/1cc9361f87bb4c2984f7e1d41d42e4d8/storyboard_000008.jpg</t>
        </is>
      </c>
      <c r="J91" s="33" t="inlineStr">
        <is>
          <t>vimeo:1154051428</t>
        </is>
      </c>
      <c r="L91" s="33" t="inlineStr">
        <is>
          <t>https://www.lovethework.com/work/entries/helicopter-787163</t>
        </is>
      </c>
      <c r="M91" s="33" t="inlineStr">
        <is>
          <t>Music video for A$AP Rocky's 'Helicopter,' directed by Dan Streit and produced by Somesuch, in which the artist weaves through chaotic city crowds in a kinetic, effects-driven visual.</t>
        </is>
      </c>
      <c r="N91" s="33" t="inlineStr">
        <is>
          <t>awge, asap rocky, music video, music promotion, hip hop, music, entertainment, somesuch, visual effects, direction, film craft, united states</t>
        </is>
      </c>
    </row>
    <row r="92">
      <c r="A92" s="33" t="n">
        <v>2026</v>
      </c>
      <c r="B92" s="166" t="inlineStr">
        <is>
          <t>Bronze</t>
        </is>
      </c>
      <c r="C92" s="107" t="inlineStr">
        <is>
          <t>70 Ans</t>
        </is>
      </c>
      <c r="D92" s="33" t="inlineStr">
        <is>
          <t>Alpine</t>
        </is>
      </c>
      <c r="E92" s="33" t="inlineStr">
        <is>
          <t>Car</t>
        </is>
      </c>
      <c r="F92" s="33" t="inlineStr">
        <is>
          <t>Mathematic Studio + Maison BETC</t>
        </is>
      </c>
      <c r="G92" s="33" t="inlineStr">
        <is>
          <t>France</t>
        </is>
      </c>
      <c r="H92" s="33" t="inlineStr">
        <is>
          <t>Visual Effects</t>
        </is>
      </c>
      <c r="I92" s="33" t="inlineStr">
        <is>
          <t>https://i.ytimg.com/vi/LjdKELKgWFE/maxresdefault.jpg</t>
        </is>
      </c>
      <c r="J92" s="33" t="inlineStr">
        <is>
          <t>LjdKELKgWFE</t>
        </is>
      </c>
      <c r="L92" s="33" t="inlineStr">
        <is>
          <t>https://www.lovethework.com/work/entries/70-ans-787168</t>
        </is>
      </c>
      <c r="M92" s="33" t="inlineStr">
        <is>
          <t>A visual-effects-driven film for carmaker Alpine's 70th anniversary, produced by Partizan with VFX by Mathematic, built on the theme that 'lightness is a strength.'</t>
        </is>
      </c>
      <c r="N92" s="33" t="inlineStr">
        <is>
          <t>alpine, car, automotive, cars, transport, vehicle, anniversary, france, visual effects, vfx, mathematic studio, betc, film craft, racing</t>
        </is>
      </c>
    </row>
    <row r="93">
      <c r="A93" s="33" t="n">
        <v>2026</v>
      </c>
      <c r="B93" s="166" t="inlineStr">
        <is>
          <t>Bronze</t>
        </is>
      </c>
      <c r="C93" s="107" t="inlineStr">
        <is>
          <t>L'Ultimo Uomo Reale ("The Last Real Man")</t>
        </is>
      </c>
      <c r="D93" s="33" t="inlineStr">
        <is>
          <t>Team One</t>
        </is>
      </c>
      <c r="E93" s="33" t="inlineStr">
        <is>
          <t>Luxury Resale Authentication</t>
        </is>
      </c>
      <c r="F93" s="33" t="inlineStr">
        <is>
          <t>Team One</t>
        </is>
      </c>
      <c r="G93" s="33" t="inlineStr">
        <is>
          <t>United States</t>
        </is>
      </c>
      <c r="H93" s="33" t="inlineStr">
        <is>
          <t>AI Craft</t>
        </is>
      </c>
      <c r="I93" s="33" t="inlineStr">
        <is>
          <t>https://ascentialcdn.filespin.io/api/v1/storyboard/7ec728894e3b4d52904dc3236ff69c4c/storyboard_000008.jpg</t>
        </is>
      </c>
      <c r="J93" s="33" t="inlineStr">
        <is>
          <t>vimeo:1182407532</t>
        </is>
      </c>
      <c r="L93" s="33" t="inlineStr">
        <is>
          <t>https://www.lovethework.com/work/entries/lultimo-uomo-reale-the-last-real-man-787193</t>
        </is>
      </c>
      <c r="M93" s="33" t="inlineStr">
        <is>
          <t>An AI-generated film for luxury resale-authentication brand The RealReal that pokes fun at the pitfalls of AI while celebrating what's 'real'; entered in AI Craft.</t>
        </is>
      </c>
      <c r="N93" s="33" t="inlineStr">
        <is>
          <t>the realreal, team one, luxury, resale, authentication, ai, technology, artificial intelligence, ai craft, generative, film craft, united states</t>
        </is>
      </c>
    </row>
  </sheetData>
  <autoFilter ref="A1:N50"/>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I10" r:id="rId9"/>
    <hyperlink xmlns:r="http://schemas.openxmlformats.org/officeDocument/2006/relationships" ref="L10" r:id="rId10"/>
    <hyperlink xmlns:r="http://schemas.openxmlformats.org/officeDocument/2006/relationships" ref="L11" r:id="rId11"/>
    <hyperlink xmlns:r="http://schemas.openxmlformats.org/officeDocument/2006/relationships" ref="L12" r:id="rId12"/>
    <hyperlink xmlns:r="http://schemas.openxmlformats.org/officeDocument/2006/relationships" ref="I13" r:id="rId13"/>
    <hyperlink xmlns:r="http://schemas.openxmlformats.org/officeDocument/2006/relationships" ref="L13" r:id="rId14"/>
    <hyperlink xmlns:r="http://schemas.openxmlformats.org/officeDocument/2006/relationships" ref="I14" r:id="rId15"/>
    <hyperlink xmlns:r="http://schemas.openxmlformats.org/officeDocument/2006/relationships" ref="L14" r:id="rId16"/>
    <hyperlink xmlns:r="http://schemas.openxmlformats.org/officeDocument/2006/relationships" ref="L15" r:id="rId17"/>
    <hyperlink xmlns:r="http://schemas.openxmlformats.org/officeDocument/2006/relationships" ref="L16" r:id="rId18"/>
    <hyperlink xmlns:r="http://schemas.openxmlformats.org/officeDocument/2006/relationships" ref="I17" r:id="rId19"/>
    <hyperlink xmlns:r="http://schemas.openxmlformats.org/officeDocument/2006/relationships" ref="L17" r:id="rId20"/>
    <hyperlink xmlns:r="http://schemas.openxmlformats.org/officeDocument/2006/relationships" ref="L18" r:id="rId21"/>
    <hyperlink xmlns:r="http://schemas.openxmlformats.org/officeDocument/2006/relationships" ref="L19" r:id="rId22"/>
    <hyperlink xmlns:r="http://schemas.openxmlformats.org/officeDocument/2006/relationships" ref="I20" r:id="rId23"/>
    <hyperlink xmlns:r="http://schemas.openxmlformats.org/officeDocument/2006/relationships" ref="L20" r:id="rId24"/>
    <hyperlink xmlns:r="http://schemas.openxmlformats.org/officeDocument/2006/relationships" ref="L21" r:id="rId25"/>
    <hyperlink xmlns:r="http://schemas.openxmlformats.org/officeDocument/2006/relationships" ref="I22" r:id="rId26"/>
    <hyperlink xmlns:r="http://schemas.openxmlformats.org/officeDocument/2006/relationships" ref="L22" r:id="rId27"/>
    <hyperlink xmlns:r="http://schemas.openxmlformats.org/officeDocument/2006/relationships" ref="L23" r:id="rId28"/>
    <hyperlink xmlns:r="http://schemas.openxmlformats.org/officeDocument/2006/relationships" ref="L24" r:id="rId29"/>
    <hyperlink xmlns:r="http://schemas.openxmlformats.org/officeDocument/2006/relationships" ref="I25" r:id="rId30"/>
    <hyperlink xmlns:r="http://schemas.openxmlformats.org/officeDocument/2006/relationships" ref="L25" r:id="rId31"/>
    <hyperlink xmlns:r="http://schemas.openxmlformats.org/officeDocument/2006/relationships" ref="L26" r:id="rId32"/>
    <hyperlink xmlns:r="http://schemas.openxmlformats.org/officeDocument/2006/relationships" ref="L27" r:id="rId33"/>
    <hyperlink xmlns:r="http://schemas.openxmlformats.org/officeDocument/2006/relationships" ref="L28" r:id="rId34"/>
    <hyperlink xmlns:r="http://schemas.openxmlformats.org/officeDocument/2006/relationships" ref="L29" r:id="rId35"/>
    <hyperlink xmlns:r="http://schemas.openxmlformats.org/officeDocument/2006/relationships" ref="L30" r:id="rId36"/>
    <hyperlink xmlns:r="http://schemas.openxmlformats.org/officeDocument/2006/relationships" ref="L31" r:id="rId37"/>
    <hyperlink xmlns:r="http://schemas.openxmlformats.org/officeDocument/2006/relationships" ref="L32" r:id="rId38"/>
    <hyperlink xmlns:r="http://schemas.openxmlformats.org/officeDocument/2006/relationships" ref="L33" r:id="rId39"/>
    <hyperlink xmlns:r="http://schemas.openxmlformats.org/officeDocument/2006/relationships" ref="I34" r:id="rId40"/>
    <hyperlink xmlns:r="http://schemas.openxmlformats.org/officeDocument/2006/relationships" ref="L34" r:id="rId41"/>
    <hyperlink xmlns:r="http://schemas.openxmlformats.org/officeDocument/2006/relationships" ref="L35" r:id="rId42"/>
    <hyperlink xmlns:r="http://schemas.openxmlformats.org/officeDocument/2006/relationships" ref="I36" r:id="rId43"/>
    <hyperlink xmlns:r="http://schemas.openxmlformats.org/officeDocument/2006/relationships" ref="L36" r:id="rId44"/>
    <hyperlink xmlns:r="http://schemas.openxmlformats.org/officeDocument/2006/relationships" ref="L37" r:id="rId45"/>
    <hyperlink xmlns:r="http://schemas.openxmlformats.org/officeDocument/2006/relationships" ref="L38" r:id="rId46"/>
    <hyperlink xmlns:r="http://schemas.openxmlformats.org/officeDocument/2006/relationships" ref="L39" r:id="rId47"/>
    <hyperlink xmlns:r="http://schemas.openxmlformats.org/officeDocument/2006/relationships" ref="I40" r:id="rId48"/>
    <hyperlink xmlns:r="http://schemas.openxmlformats.org/officeDocument/2006/relationships" ref="L40" r:id="rId49"/>
    <hyperlink xmlns:r="http://schemas.openxmlformats.org/officeDocument/2006/relationships" ref="L41" r:id="rId50"/>
    <hyperlink xmlns:r="http://schemas.openxmlformats.org/officeDocument/2006/relationships" ref="I42" r:id="rId51"/>
    <hyperlink xmlns:r="http://schemas.openxmlformats.org/officeDocument/2006/relationships" ref="L42" r:id="rId52"/>
    <hyperlink xmlns:r="http://schemas.openxmlformats.org/officeDocument/2006/relationships" ref="L43" r:id="rId53"/>
    <hyperlink xmlns:r="http://schemas.openxmlformats.org/officeDocument/2006/relationships" ref="L44" r:id="rId54"/>
    <hyperlink xmlns:r="http://schemas.openxmlformats.org/officeDocument/2006/relationships" ref="I45" r:id="rId55"/>
    <hyperlink xmlns:r="http://schemas.openxmlformats.org/officeDocument/2006/relationships" ref="L45" r:id="rId56"/>
    <hyperlink xmlns:r="http://schemas.openxmlformats.org/officeDocument/2006/relationships" ref="I46" r:id="rId57"/>
    <hyperlink xmlns:r="http://schemas.openxmlformats.org/officeDocument/2006/relationships" ref="L46" r:id="rId58"/>
    <hyperlink xmlns:r="http://schemas.openxmlformats.org/officeDocument/2006/relationships" ref="I47" r:id="rId59"/>
    <hyperlink xmlns:r="http://schemas.openxmlformats.org/officeDocument/2006/relationships" ref="L47" r:id="rId60"/>
    <hyperlink xmlns:r="http://schemas.openxmlformats.org/officeDocument/2006/relationships" ref="L48" r:id="rId61"/>
    <hyperlink xmlns:r="http://schemas.openxmlformats.org/officeDocument/2006/relationships" ref="I49" r:id="rId62"/>
    <hyperlink xmlns:r="http://schemas.openxmlformats.org/officeDocument/2006/relationships" ref="L49" r:id="rId63"/>
    <hyperlink xmlns:r="http://schemas.openxmlformats.org/officeDocument/2006/relationships" ref="I50" r:id="rId64"/>
    <hyperlink xmlns:r="http://schemas.openxmlformats.org/officeDocument/2006/relationships" ref="L50" r:id="rId65"/>
    <hyperlink xmlns:r="http://schemas.openxmlformats.org/officeDocument/2006/relationships" ref="I51" r:id="rId66"/>
    <hyperlink xmlns:r="http://schemas.openxmlformats.org/officeDocument/2006/relationships" ref="L51" r:id="rId67"/>
    <hyperlink xmlns:r="http://schemas.openxmlformats.org/officeDocument/2006/relationships" ref="I52" r:id="rId68"/>
    <hyperlink xmlns:r="http://schemas.openxmlformats.org/officeDocument/2006/relationships" ref="L52" r:id="rId69"/>
    <hyperlink xmlns:r="http://schemas.openxmlformats.org/officeDocument/2006/relationships" ref="I53" r:id="rId70"/>
    <hyperlink xmlns:r="http://schemas.openxmlformats.org/officeDocument/2006/relationships" ref="L53" r:id="rId71"/>
    <hyperlink xmlns:r="http://schemas.openxmlformats.org/officeDocument/2006/relationships" ref="I54" r:id="rId72"/>
    <hyperlink xmlns:r="http://schemas.openxmlformats.org/officeDocument/2006/relationships" ref="L54" r:id="rId73"/>
    <hyperlink xmlns:r="http://schemas.openxmlformats.org/officeDocument/2006/relationships" ref="I55" r:id="rId74"/>
    <hyperlink xmlns:r="http://schemas.openxmlformats.org/officeDocument/2006/relationships" ref="L55" r:id="rId75"/>
    <hyperlink xmlns:r="http://schemas.openxmlformats.org/officeDocument/2006/relationships" ref="I56" r:id="rId76"/>
    <hyperlink xmlns:r="http://schemas.openxmlformats.org/officeDocument/2006/relationships" ref="L56" r:id="rId77"/>
    <hyperlink xmlns:r="http://schemas.openxmlformats.org/officeDocument/2006/relationships" ref="I57" r:id="rId78"/>
    <hyperlink xmlns:r="http://schemas.openxmlformats.org/officeDocument/2006/relationships" ref="L57" r:id="rId79"/>
    <hyperlink xmlns:r="http://schemas.openxmlformats.org/officeDocument/2006/relationships" ref="I58" r:id="rId80"/>
    <hyperlink xmlns:r="http://schemas.openxmlformats.org/officeDocument/2006/relationships" ref="L58" r:id="rId81"/>
    <hyperlink xmlns:r="http://schemas.openxmlformats.org/officeDocument/2006/relationships" ref="I59" r:id="rId82"/>
    <hyperlink xmlns:r="http://schemas.openxmlformats.org/officeDocument/2006/relationships" ref="L59" r:id="rId83"/>
    <hyperlink xmlns:r="http://schemas.openxmlformats.org/officeDocument/2006/relationships" ref="I60" r:id="rId84"/>
    <hyperlink xmlns:r="http://schemas.openxmlformats.org/officeDocument/2006/relationships" ref="L60" r:id="rId85"/>
    <hyperlink xmlns:r="http://schemas.openxmlformats.org/officeDocument/2006/relationships" ref="I61" r:id="rId86"/>
    <hyperlink xmlns:r="http://schemas.openxmlformats.org/officeDocument/2006/relationships" ref="L61" r:id="rId87"/>
    <hyperlink xmlns:r="http://schemas.openxmlformats.org/officeDocument/2006/relationships" ref="I62" r:id="rId88"/>
    <hyperlink xmlns:r="http://schemas.openxmlformats.org/officeDocument/2006/relationships" ref="L62" r:id="rId89"/>
    <hyperlink xmlns:r="http://schemas.openxmlformats.org/officeDocument/2006/relationships" ref="I63" r:id="rId90"/>
    <hyperlink xmlns:r="http://schemas.openxmlformats.org/officeDocument/2006/relationships" ref="L63" r:id="rId91"/>
    <hyperlink xmlns:r="http://schemas.openxmlformats.org/officeDocument/2006/relationships" ref="I64" r:id="rId92"/>
    <hyperlink xmlns:r="http://schemas.openxmlformats.org/officeDocument/2006/relationships" ref="L64" r:id="rId93"/>
    <hyperlink xmlns:r="http://schemas.openxmlformats.org/officeDocument/2006/relationships" ref="I65" r:id="rId94"/>
    <hyperlink xmlns:r="http://schemas.openxmlformats.org/officeDocument/2006/relationships" ref="L65" r:id="rId95"/>
    <hyperlink xmlns:r="http://schemas.openxmlformats.org/officeDocument/2006/relationships" ref="I66" r:id="rId96"/>
    <hyperlink xmlns:r="http://schemas.openxmlformats.org/officeDocument/2006/relationships" ref="L66" r:id="rId97"/>
    <hyperlink xmlns:r="http://schemas.openxmlformats.org/officeDocument/2006/relationships" ref="I67" r:id="rId98"/>
    <hyperlink xmlns:r="http://schemas.openxmlformats.org/officeDocument/2006/relationships" ref="L67" r:id="rId99"/>
    <hyperlink xmlns:r="http://schemas.openxmlformats.org/officeDocument/2006/relationships" ref="I68" r:id="rId100"/>
    <hyperlink xmlns:r="http://schemas.openxmlformats.org/officeDocument/2006/relationships" ref="L68" r:id="rId101"/>
    <hyperlink xmlns:r="http://schemas.openxmlformats.org/officeDocument/2006/relationships" ref="I69" r:id="rId102"/>
    <hyperlink xmlns:r="http://schemas.openxmlformats.org/officeDocument/2006/relationships" ref="L69" r:id="rId103"/>
    <hyperlink xmlns:r="http://schemas.openxmlformats.org/officeDocument/2006/relationships" ref="I70" r:id="rId104"/>
    <hyperlink xmlns:r="http://schemas.openxmlformats.org/officeDocument/2006/relationships" ref="L70" r:id="rId105"/>
    <hyperlink xmlns:r="http://schemas.openxmlformats.org/officeDocument/2006/relationships" ref="I71" r:id="rId106"/>
    <hyperlink xmlns:r="http://schemas.openxmlformats.org/officeDocument/2006/relationships" ref="L71" r:id="rId107"/>
    <hyperlink xmlns:r="http://schemas.openxmlformats.org/officeDocument/2006/relationships" ref="I72" r:id="rId108"/>
    <hyperlink xmlns:r="http://schemas.openxmlformats.org/officeDocument/2006/relationships" ref="L72" r:id="rId109"/>
    <hyperlink xmlns:r="http://schemas.openxmlformats.org/officeDocument/2006/relationships" ref="I73" r:id="rId110"/>
    <hyperlink xmlns:r="http://schemas.openxmlformats.org/officeDocument/2006/relationships" ref="L73" r:id="rId111"/>
    <hyperlink xmlns:r="http://schemas.openxmlformats.org/officeDocument/2006/relationships" ref="I74" r:id="rId112"/>
    <hyperlink xmlns:r="http://schemas.openxmlformats.org/officeDocument/2006/relationships" ref="L74" r:id="rId113"/>
    <hyperlink xmlns:r="http://schemas.openxmlformats.org/officeDocument/2006/relationships" ref="I75" r:id="rId114"/>
    <hyperlink xmlns:r="http://schemas.openxmlformats.org/officeDocument/2006/relationships" ref="L75" r:id="rId115"/>
    <hyperlink xmlns:r="http://schemas.openxmlformats.org/officeDocument/2006/relationships" ref="I76" r:id="rId116"/>
    <hyperlink xmlns:r="http://schemas.openxmlformats.org/officeDocument/2006/relationships" ref="L76" r:id="rId117"/>
    <hyperlink xmlns:r="http://schemas.openxmlformats.org/officeDocument/2006/relationships" ref="I77" r:id="rId118"/>
    <hyperlink xmlns:r="http://schemas.openxmlformats.org/officeDocument/2006/relationships" ref="L77" r:id="rId119"/>
    <hyperlink xmlns:r="http://schemas.openxmlformats.org/officeDocument/2006/relationships" ref="I78" r:id="rId120"/>
    <hyperlink xmlns:r="http://schemas.openxmlformats.org/officeDocument/2006/relationships" ref="L78" r:id="rId121"/>
    <hyperlink xmlns:r="http://schemas.openxmlformats.org/officeDocument/2006/relationships" ref="I79" r:id="rId122"/>
    <hyperlink xmlns:r="http://schemas.openxmlformats.org/officeDocument/2006/relationships" ref="L79" r:id="rId123"/>
    <hyperlink xmlns:r="http://schemas.openxmlformats.org/officeDocument/2006/relationships" ref="I80" r:id="rId124"/>
    <hyperlink xmlns:r="http://schemas.openxmlformats.org/officeDocument/2006/relationships" ref="L80" r:id="rId125"/>
    <hyperlink xmlns:r="http://schemas.openxmlformats.org/officeDocument/2006/relationships" ref="I81" r:id="rId126"/>
    <hyperlink xmlns:r="http://schemas.openxmlformats.org/officeDocument/2006/relationships" ref="L81" r:id="rId127"/>
    <hyperlink xmlns:r="http://schemas.openxmlformats.org/officeDocument/2006/relationships" ref="I82" r:id="rId128"/>
    <hyperlink xmlns:r="http://schemas.openxmlformats.org/officeDocument/2006/relationships" ref="L82" r:id="rId129"/>
    <hyperlink xmlns:r="http://schemas.openxmlformats.org/officeDocument/2006/relationships" ref="I83" r:id="rId130"/>
    <hyperlink xmlns:r="http://schemas.openxmlformats.org/officeDocument/2006/relationships" ref="L83" r:id="rId131"/>
    <hyperlink xmlns:r="http://schemas.openxmlformats.org/officeDocument/2006/relationships" ref="I84" r:id="rId132"/>
    <hyperlink xmlns:r="http://schemas.openxmlformats.org/officeDocument/2006/relationships" ref="L84" r:id="rId133"/>
    <hyperlink xmlns:r="http://schemas.openxmlformats.org/officeDocument/2006/relationships" ref="I85" r:id="rId134"/>
    <hyperlink xmlns:r="http://schemas.openxmlformats.org/officeDocument/2006/relationships" ref="L85" r:id="rId135"/>
    <hyperlink xmlns:r="http://schemas.openxmlformats.org/officeDocument/2006/relationships" ref="I86" r:id="rId136"/>
    <hyperlink xmlns:r="http://schemas.openxmlformats.org/officeDocument/2006/relationships" ref="L86" r:id="rId137"/>
    <hyperlink xmlns:r="http://schemas.openxmlformats.org/officeDocument/2006/relationships" ref="I87" r:id="rId138"/>
    <hyperlink xmlns:r="http://schemas.openxmlformats.org/officeDocument/2006/relationships" ref="L87" r:id="rId139"/>
    <hyperlink xmlns:r="http://schemas.openxmlformats.org/officeDocument/2006/relationships" ref="I88" r:id="rId140"/>
    <hyperlink xmlns:r="http://schemas.openxmlformats.org/officeDocument/2006/relationships" ref="L88" r:id="rId141"/>
    <hyperlink xmlns:r="http://schemas.openxmlformats.org/officeDocument/2006/relationships" ref="I89" r:id="rId142"/>
    <hyperlink xmlns:r="http://schemas.openxmlformats.org/officeDocument/2006/relationships" ref="L89" r:id="rId143"/>
    <hyperlink xmlns:r="http://schemas.openxmlformats.org/officeDocument/2006/relationships" ref="I90" r:id="rId144"/>
    <hyperlink xmlns:r="http://schemas.openxmlformats.org/officeDocument/2006/relationships" ref="L90" r:id="rId145"/>
    <hyperlink xmlns:r="http://schemas.openxmlformats.org/officeDocument/2006/relationships" ref="I91" r:id="rId146"/>
    <hyperlink xmlns:r="http://schemas.openxmlformats.org/officeDocument/2006/relationships" ref="L91" r:id="rId147"/>
    <hyperlink xmlns:r="http://schemas.openxmlformats.org/officeDocument/2006/relationships" ref="I92" r:id="rId148"/>
    <hyperlink xmlns:r="http://schemas.openxmlformats.org/officeDocument/2006/relationships" ref="L92" r:id="rId149"/>
    <hyperlink xmlns:r="http://schemas.openxmlformats.org/officeDocument/2006/relationships" ref="I93" r:id="rId150"/>
    <hyperlink xmlns:r="http://schemas.openxmlformats.org/officeDocument/2006/relationships" ref="L93" r:id="rId15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58"/>
  <sheetViews>
    <sheetView workbookViewId="0">
      <pane ySplit="1" topLeftCell="A2" activePane="bottomLeft" state="frozen"/>
      <selection pane="bottomLeft" activeCell="A1" sqref="A1"/>
    </sheetView>
  </sheetViews>
  <sheetFormatPr baseColWidth="8" defaultRowHeight="15"/>
  <cols>
    <col width="6" customWidth="1" style="34" min="1" max="1"/>
    <col width="16" customWidth="1" style="34" min="2" max="2"/>
    <col width="34" customWidth="1" style="34" min="3" max="3"/>
    <col width="22" customWidth="1" style="34" min="4" max="4"/>
    <col width="26" customWidth="1" style="34" min="5" max="5"/>
    <col width="28" customWidth="1" style="34" min="6" max="6"/>
    <col width="16" customWidth="1" style="34" min="7" max="7"/>
    <col width="34" customWidth="1" style="34" min="8" max="8"/>
    <col width="18" customWidth="1" style="34" min="9" max="9"/>
    <col width="16" customWidth="1" style="34" min="10" max="10"/>
    <col width="22" customWidth="1" style="34" min="11" max="11"/>
    <col hidden="1" width="20" customWidth="1" style="34" min="12" max="12"/>
    <col width="60" customWidth="1" style="34" min="13" max="13"/>
    <col width="40" customWidth="1" style="34" min="14" max="14"/>
  </cols>
  <sheetData>
    <row r="1" ht="22" customHeight="1" s="34">
      <c r="A1" s="122" t="inlineStr">
        <is>
          <t>Year</t>
        </is>
      </c>
      <c r="B1" s="122" t="inlineStr">
        <is>
          <t>Tier</t>
        </is>
      </c>
      <c r="C1" s="122" t="inlineStr">
        <is>
          <t>Campaign</t>
        </is>
      </c>
      <c r="D1" s="122" t="inlineStr">
        <is>
          <t>Brand</t>
        </is>
      </c>
      <c r="E1" s="122" t="inlineStr">
        <is>
          <t>Product/Service</t>
        </is>
      </c>
      <c r="F1" s="122" t="inlineStr">
        <is>
          <t>Agency</t>
        </is>
      </c>
      <c r="G1" s="122" t="inlineStr">
        <is>
          <t>Country</t>
        </is>
      </c>
      <c r="H1" s="122" t="inlineStr">
        <is>
          <t>Subcategory</t>
        </is>
      </c>
      <c r="I1" s="122" t="inlineStr">
        <is>
          <t>Image URL</t>
        </is>
      </c>
      <c r="J1" s="122" t="inlineStr">
        <is>
          <t>YouTube ID</t>
        </is>
      </c>
      <c r="K1" s="122" t="inlineStr">
        <is>
          <t>Campaign Group</t>
        </is>
      </c>
      <c r="L1" s="122" t="inlineStr">
        <is>
          <t>Entry URL</t>
        </is>
      </c>
      <c r="M1" s="122" t="inlineStr">
        <is>
          <t>Description</t>
        </is>
      </c>
      <c r="N1" s="122" t="inlineStr">
        <is>
          <t>Keywords</t>
        </is>
      </c>
    </row>
    <row r="2">
      <c r="A2" s="127" t="n">
        <v>2025</v>
      </c>
      <c r="B2" s="139" t="inlineStr">
        <is>
          <t>Grand Prix</t>
        </is>
      </c>
      <c r="C2" s="127" t="inlineStr">
        <is>
          <t>Nigrum Corpus</t>
        </is>
      </c>
      <c r="D2" s="127" t="inlineStr">
        <is>
          <t>Idomed</t>
        </is>
      </c>
      <c r="E2" s="127" t="inlineStr">
        <is>
          <t>Nigrum Corpus</t>
        </is>
      </c>
      <c r="F2" s="127" t="inlineStr">
        <is>
          <t>Artplan</t>
        </is>
      </c>
      <c r="G2" s="127" t="inlineStr">
        <is>
          <t>Brazil</t>
        </is>
      </c>
      <c r="H2" s="113" t="inlineStr">
        <is>
          <t>Art Direction: Print &amp; Publishing</t>
        </is>
      </c>
      <c r="I2" s="128" t="inlineStr">
        <is>
          <t>https://ascentialcdn.filespin.io/api/v1/conversion/bf5407e59cfa412f991854f10cadc2f2</t>
        </is>
      </c>
      <c r="J2" s="127" t="inlineStr">
        <is>
          <t>vimeo:1089083708</t>
        </is>
      </c>
      <c r="K2" s="127" t="n"/>
      <c r="L2" s="128" t="inlineStr">
        <is>
          <t>https://www.lovethework.com/work/entries/nigrum-corpus-755517</t>
        </is>
      </c>
      <c r="M2" s="113" t="inlineStr">
        <is>
          <t>A medical anatomy book created for Instituto de Educação Médica (IDOMED) that replaces the white-body illustrations standard in medical education with Black bodies, pairing anatomical diagrams with floral patterns to celebrate Black beauty. The book addresses the medical racism embedded in curricula that has historically treated white anatomy as the default human reference.</t>
        </is>
      </c>
      <c r="N2" s="113" t="inlineStr">
        <is>
          <t>medical-education, book, illustration, typography, brazil, health-equity, racial-inclusion, print</t>
        </is>
      </c>
    </row>
    <row r="3">
      <c r="A3" s="127" t="n">
        <v>2025</v>
      </c>
      <c r="B3" s="140" t="inlineStr">
        <is>
          <t>Gold</t>
        </is>
      </c>
      <c r="C3" s="127" t="inlineStr">
        <is>
          <t>Project 4270</t>
        </is>
      </c>
      <c r="D3" s="127" t="inlineStr">
        <is>
          <t>Banco De Chile</t>
        </is>
      </c>
      <c r="E3" s="127" t="inlineStr">
        <is>
          <t>Banco De Chile</t>
        </is>
      </c>
      <c r="F3" s="127" t="inlineStr">
        <is>
          <t>BBDO Chile</t>
        </is>
      </c>
      <c r="G3" s="127" t="inlineStr">
        <is>
          <t>Chile</t>
        </is>
      </c>
      <c r="H3" s="113" t="inlineStr">
        <is>
          <t>Photography: Brand &amp; Communications Design</t>
        </is>
      </c>
      <c r="I3" s="128" t="inlineStr">
        <is>
          <t>https://ascentialcdn.filespin.io/api/v1/conversion/49a6511e16b04d3a992e7af24cead47a</t>
        </is>
      </c>
      <c r="J3" s="127" t="inlineStr">
        <is>
          <t>ge_gHOV-RZc</t>
        </is>
      </c>
      <c r="K3" s="127" t="n"/>
      <c r="L3" s="128" t="inlineStr">
        <is>
          <t>https://www.lovethework.com/work/entries/project-4270-755469</t>
        </is>
      </c>
      <c r="M3" s="113" t="inlineStr">
        <is>
          <t>A drone photography project that documents Chile's 4,270-kilometer coastline for Banco de Chile, produced in partnership with Alaska Films. Each image was captured from the air along the full length of the country's Pacific coast, turning the nation's geographic extreme into a portrait of Chilean territory.</t>
        </is>
      </c>
      <c r="N3" s="113" t="inlineStr">
        <is>
          <t>banking, financial-services, finance, photography, drone, ooh, chile, landscape, brand-communications-design, aerial-photography</t>
        </is>
      </c>
    </row>
    <row r="4">
      <c r="A4" s="127" t="n">
        <v>2025</v>
      </c>
      <c r="B4" s="140" t="inlineStr">
        <is>
          <t>Gold</t>
        </is>
      </c>
      <c r="C4" s="127" t="inlineStr">
        <is>
          <t>Eye Scan</t>
        </is>
      </c>
      <c r="D4" s="127" t="inlineStr">
        <is>
          <t>1001 Optometry</t>
        </is>
      </c>
      <c r="E4" s="127" t="inlineStr">
        <is>
          <t>1001 Optometry</t>
        </is>
      </c>
      <c r="F4" s="127" t="inlineStr">
        <is>
          <t>VML</t>
        </is>
      </c>
      <c r="G4" s="127" t="inlineStr">
        <is>
          <t>Australia</t>
        </is>
      </c>
      <c r="H4" s="113" t="inlineStr">
        <is>
          <t>Art Direction: Outdoor</t>
        </is>
      </c>
      <c r="I4" s="128" t="inlineStr">
        <is>
          <t>https://ascentialcdn.filespin.io/api/v1/conversion/0d649f054bbc45eb8338454f58477357</t>
        </is>
      </c>
      <c r="J4" s="127" t="inlineStr">
        <is>
          <t>e1py_XZAMkk</t>
        </is>
      </c>
      <c r="K4" s="127" t="n"/>
      <c r="L4" s="128" t="inlineStr">
        <is>
          <t>https://www.lovethework.com/work/entries/eye-scan-755297</t>
        </is>
      </c>
      <c r="M4" s="113" t="inlineStr">
        <is>
          <t>A series of outdoor billboards designed using AI to calibrate composition, color, contrast, and wardrobe so that viewers with healthy eyesight see a conventional optometry ad, while those with declining vision read the embedded words "eye test," "eye scan," or "eyecare" — a signal to visit a 1001 Optometry store. The boards were placed at controlled distances in high-traffic zones across Australia so the viewing distance itself becomes part of the diagnostic condition.</t>
        </is>
      </c>
      <c r="N4" s="113" t="inlineStr">
        <is>
          <t>optometry, ooh, ai, technology, outdoor, australia, health, art-direction, visual-design</t>
        </is>
      </c>
    </row>
    <row r="5">
      <c r="A5" s="127" t="n">
        <v>2025</v>
      </c>
      <c r="B5" s="140" t="inlineStr">
        <is>
          <t>Gold</t>
        </is>
      </c>
      <c r="C5" s="127" t="inlineStr">
        <is>
          <t>Eye Test</t>
        </is>
      </c>
      <c r="D5" s="127" t="inlineStr">
        <is>
          <t>1001 Optometry</t>
        </is>
      </c>
      <c r="E5" s="127" t="inlineStr">
        <is>
          <t>1001 Optometry</t>
        </is>
      </c>
      <c r="F5" s="127" t="inlineStr">
        <is>
          <t>VML</t>
        </is>
      </c>
      <c r="G5" s="127" t="inlineStr">
        <is>
          <t>Australia</t>
        </is>
      </c>
      <c r="H5" s="113" t="inlineStr">
        <is>
          <t>Art Direction: Outdoor</t>
        </is>
      </c>
      <c r="I5" s="127" t="inlineStr">
        <is>
          <t>digital-presentation-images/industry-craft-1001-optometry-eye-test.webp</t>
        </is>
      </c>
      <c r="J5" s="127" t="inlineStr">
        <is>
          <t>e1py_XZAMkk</t>
        </is>
      </c>
      <c r="K5" s="127" t="n"/>
      <c r="L5" s="128" t="inlineStr">
        <is>
          <t>https://www.lovethework.com/work/entries/eye-test-755288</t>
        </is>
      </c>
      <c r="M5" s="113" t="inlineStr">
        <is>
          <t>An outdoor advertising campaign for 1001 Optometry in Australia in which AI-generated visuals embedded within each execution double as functional eye tests — letting passersby detect potential vision issues in real time. The three executions, titled 'Eye Test', 'Eye Scan', and 'Eyecare', were designed so that what a viewer can or cannot see within the image itself signals whether they may need an eye check.</t>
        </is>
      </c>
      <c r="N5" s="113" t="inlineStr">
        <is>
          <t>optometry, ooh, ai, technology, eye-health, public-health, australia, art-direction, print</t>
        </is>
      </c>
    </row>
    <row r="6">
      <c r="A6" s="127" t="n">
        <v>2025</v>
      </c>
      <c r="B6" s="140" t="inlineStr">
        <is>
          <t>Gold</t>
        </is>
      </c>
      <c r="C6" s="127" t="inlineStr">
        <is>
          <t>Eyecare</t>
        </is>
      </c>
      <c r="D6" s="127" t="inlineStr">
        <is>
          <t>1001 Optometry</t>
        </is>
      </c>
      <c r="E6" s="127" t="inlineStr">
        <is>
          <t>1001 Optometry</t>
        </is>
      </c>
      <c r="F6" s="127" t="inlineStr">
        <is>
          <t>VML</t>
        </is>
      </c>
      <c r="G6" s="127" t="inlineStr">
        <is>
          <t>Australia</t>
        </is>
      </c>
      <c r="H6" s="113" t="inlineStr">
        <is>
          <t>Art Direction: Outdoor</t>
        </is>
      </c>
      <c r="I6" s="128" t="inlineStr">
        <is>
          <t>https://ascentialcdn.filespin.io/api/v1/conversion/1414d4463a6843cf997e70a4225294ad</t>
        </is>
      </c>
      <c r="J6" s="127" t="inlineStr">
        <is>
          <t>e1py_XZAMkk</t>
        </is>
      </c>
      <c r="K6" s="127" t="n"/>
      <c r="L6" s="128" t="inlineStr">
        <is>
          <t>https://www.lovethework.com/work/entries/eyecare-755309</t>
        </is>
      </c>
      <c r="M6" s="113" t="inlineStr">
        <is>
          <t>A series of three outdoor posters in which hidden words — "Eye Test," "Eye Scan," and "Eyecare" — are embedded within images of 1001 Optometry's frames and sunglasses, visible only to people with impaired vision. Viewers who can read the words are prompted to book an appointment; viewers who can't are simply shown stylish eyewear, making the poster itself the diagnosis.</t>
        </is>
      </c>
      <c r="N6" s="113" t="inlineStr">
        <is>
          <t>optometry, ooh, art-direction, hidden-message, eyecare, australia, print, retail</t>
        </is>
      </c>
    </row>
    <row r="7">
      <c r="A7" s="127" t="n">
        <v>2025</v>
      </c>
      <c r="B7" s="140" t="inlineStr">
        <is>
          <t>Gold</t>
        </is>
      </c>
      <c r="C7" s="127" t="inlineStr">
        <is>
          <t>Winning Isn't Comfortable</t>
        </is>
      </c>
      <c r="D7" s="127" t="inlineStr">
        <is>
          <t>Nike</t>
        </is>
      </c>
      <c r="E7" s="127" t="inlineStr">
        <is>
          <t>Nike</t>
        </is>
      </c>
      <c r="F7" s="127" t="inlineStr">
        <is>
          <t>Wieden+Kennedy</t>
        </is>
      </c>
      <c r="G7" s="127" t="inlineStr">
        <is>
          <t>United States</t>
        </is>
      </c>
      <c r="H7" s="113" t="inlineStr">
        <is>
          <t>Copywriting: Brand &amp; Communications Design</t>
        </is>
      </c>
      <c r="I7" s="128" t="inlineStr">
        <is>
          <t>https://ascentialcdn.filespin.io/api/v1/conversion/3550c1fc27e344ca95537ef31e739800</t>
        </is>
      </c>
      <c r="J7" s="127" t="inlineStr">
        <is>
          <t>FFFmnfdBrm8</t>
        </is>
      </c>
      <c r="K7" s="127" t="n"/>
      <c r="L7" s="128" t="inlineStr">
        <is>
          <t>https://www.lovethework.com/work/entries/winning-isnt-comfortable-755643</t>
        </is>
      </c>
      <c r="M7" s="113" t="inlineStr">
        <is>
          <t>An OOH campaign across 200+ placements at and around five marathons — including Chicago and New York — where billboard copy transitions meaning mid-message, mirroring the way runners hate a run in the moment but love it once it's done. Locations were selected using Strava data to target popular running routes, and executions followed runners from bib pick-up through every mile to the subway ride home. Wieden+Kennedy Portland built the work around the unspoken truth that running is awful and runners know it, countering a category convention of smiling, sweat-free athletes in effortless motion.</t>
        </is>
      </c>
      <c r="N7" s="113" t="inlineStr">
        <is>
          <t>sportswear, ooh, out-of-home, running, marathon, united-states, strava-partnership, copywriting</t>
        </is>
      </c>
    </row>
    <row r="8">
      <c r="A8" s="127" t="n">
        <v>2025</v>
      </c>
      <c r="B8" s="140" t="inlineStr">
        <is>
          <t>Gold</t>
        </is>
      </c>
      <c r="C8" s="127" t="inlineStr">
        <is>
          <t>No Labels</t>
        </is>
      </c>
      <c r="D8" s="127" t="inlineStr">
        <is>
          <t>Nikka Whisky</t>
        </is>
      </c>
      <c r="E8" s="127" t="inlineStr">
        <is>
          <t>Nikka Whisky</t>
        </is>
      </c>
      <c r="F8" s="127" t="inlineStr">
        <is>
          <t>Dentsu Inc.</t>
        </is>
      </c>
      <c r="G8" s="127" t="inlineStr">
        <is>
          <t>Japan</t>
        </is>
      </c>
      <c r="H8" s="113" t="inlineStr">
        <is>
          <t>Photography: Brand &amp; Communications Design</t>
        </is>
      </c>
      <c r="I8" s="128" t="inlineStr">
        <is>
          <t>https://ascentialcdn.filespin.io/api/v1/conversion/298920c22d6d4405bd030b3c48358045</t>
        </is>
      </c>
      <c r="J8" s="127" t="inlineStr">
        <is>
          <t>vimeo:1094008740</t>
        </is>
      </c>
      <c r="K8" s="127" t="n"/>
      <c r="L8" s="128" t="inlineStr">
        <is>
          <t>https://www.lovethework.com/work/entries/no-labels-755428</t>
        </is>
      </c>
      <c r="M8" s="113" t="inlineStr">
        <is>
          <t>A photography campaign for Nikka Whisky in which the bottles carry no labels — the whisky's color, clarity, and character visible through the bare glass as the sole identifier. Created by Dentsu Inc. Tokyo, the work strips the brand's name, heritage text, and product descriptors from the bottle entirely, asking the liquid itself to stand as the communication.</t>
        </is>
      </c>
      <c r="N8" s="113" t="inlineStr">
        <is>
          <t>whisky, photography, packaging, brand-design, japan, craft-photography, minimalism, spirits, alcohol</t>
        </is>
      </c>
    </row>
    <row r="9">
      <c r="A9" s="127" t="n">
        <v>2025</v>
      </c>
      <c r="B9" s="132" t="inlineStr">
        <is>
          <t>Silver</t>
        </is>
      </c>
      <c r="C9" s="127" t="inlineStr">
        <is>
          <t>The Philharmonic Prints – Foyer Windows, 1st Floor</t>
        </is>
      </c>
      <c r="D9" s="127" t="inlineStr">
        <is>
          <t>Berliner Philharmoniker</t>
        </is>
      </c>
      <c r="E9" s="127" t="inlineStr">
        <is>
          <t>Berliner Philharmoniker</t>
        </is>
      </c>
      <c r="F9" s="127" t="inlineStr">
        <is>
          <t>Scholz &amp; Friends</t>
        </is>
      </c>
      <c r="G9" s="127" t="inlineStr">
        <is>
          <t>Germany</t>
        </is>
      </c>
      <c r="H9" s="113" t="inlineStr">
        <is>
          <t>Art Direction: Outdoor</t>
        </is>
      </c>
      <c r="I9" s="128" t="inlineStr">
        <is>
          <t>https://ascentialcdn.filespin.io/api/v1/conversion/45b82704ea3c485b85b739da362c39ed</t>
        </is>
      </c>
      <c r="J9" s="127" t="inlineStr">
        <is>
          <t>vimeo:1093696994</t>
        </is>
      </c>
      <c r="K9" s="127" t="n"/>
      <c r="L9" s="128" t="inlineStr">
        <is>
          <t>https://www.lovethework.com/work/entries/the-philharmonic-prints-foyer-windows-1st-floor-762038</t>
        </is>
      </c>
      <c r="M9" s="113" t="inlineStr">
        <is>
          <t>A series of large-format prints installed across the foyer windows of the first floor of the Berliner Philharmonie, turning the building's own glazed facade into an exhibition surface. The designs were created by Scholz &amp; Friends to promote the Berliner Philharmoniker, using the concert hall's architecture as the medium rather than conventional outdoor advertising.</t>
        </is>
      </c>
      <c r="N9" s="113" t="inlineStr">
        <is>
          <t>classical-music, ooh, print, art-direction, window-installation, germany, ambient, venue-advertising</t>
        </is>
      </c>
    </row>
    <row r="10">
      <c r="A10" s="127" t="n">
        <v>2025</v>
      </c>
      <c r="B10" s="132" t="inlineStr">
        <is>
          <t>Silver</t>
        </is>
      </c>
      <c r="C10" s="127" t="inlineStr">
        <is>
          <t>Moctezuma — Cement Reimagined in Mexico</t>
        </is>
      </c>
      <c r="D10" s="127" t="inlineStr">
        <is>
          <t>Moctezuma</t>
        </is>
      </c>
      <c r="E10" s="127" t="inlineStr">
        <is>
          <t>Moctezuma Cement</t>
        </is>
      </c>
      <c r="F10" s="127" t="inlineStr">
        <is>
          <t>Brands&amp;People</t>
        </is>
      </c>
      <c r="G10" s="127" t="inlineStr">
        <is>
          <t>Mexico</t>
        </is>
      </c>
      <c r="H10" s="113" t="inlineStr">
        <is>
          <t>Art Direction: Packaging Design</t>
        </is>
      </c>
      <c r="I10" s="128" t="inlineStr">
        <is>
          <t>https://ascentialcdn.filespin.io/api/v1/conversion/45acab20ec964b83b71a1ef010683ff4</t>
        </is>
      </c>
      <c r="J10" s="127" t="inlineStr">
        <is>
          <t>DTHrH8UT9Ow</t>
        </is>
      </c>
      <c r="K10" s="127" t="n"/>
      <c r="L10" s="128" t="inlineStr">
        <is>
          <t>https://www.lovethework.com/work/entries/moctezuma-cement-reimagined-in-mexico-762817</t>
        </is>
      </c>
      <c r="M10" s="113" t="inlineStr">
        <is>
          <t>A packaging redesign for Moctezuma cement that turns each bag into a cultural canvas, drawing on pre-Hispanic geometry, stone mosaics, and Aztec symbols built into a modular design system by Brands&amp;People. The visual identity pairs national colors with a brutalist typeface derived from the angular forms of cement blocks.</t>
        </is>
      </c>
      <c r="N10" s="113" t="inlineStr">
        <is>
          <t>cement, packaging, art-direction, modular-design-system, pre-hispanic, typography, mexican-heritage, mexico, rebrand</t>
        </is>
      </c>
    </row>
    <row r="11">
      <c r="A11" s="127" t="n">
        <v>2025</v>
      </c>
      <c r="B11" s="132" t="inlineStr">
        <is>
          <t>Silver</t>
        </is>
      </c>
      <c r="C11" s="127" t="inlineStr">
        <is>
          <t>Designing Paris 2024</t>
        </is>
      </c>
      <c r="D11" s="127" t="inlineStr">
        <is>
          <t>Cojop 2024</t>
        </is>
      </c>
      <c r="E11" s="127" t="inlineStr">
        <is>
          <t>Paris 2024 Olympic Games</t>
        </is>
      </c>
      <c r="F11" s="127" t="inlineStr">
        <is>
          <t>W Conran Design</t>
        </is>
      </c>
      <c r="G11" s="127" t="inlineStr">
        <is>
          <t>France</t>
        </is>
      </c>
      <c r="H11" s="113" t="inlineStr">
        <is>
          <t>Art Direction: Brand &amp; Communications Design</t>
        </is>
      </c>
      <c r="I11" s="128" t="inlineStr">
        <is>
          <t>https://ascentialcdn.filespin.io/api/v1/conversion/d08dfedd3b1440c495f9825ba37be9ee</t>
        </is>
      </c>
      <c r="J11" s="127" t="inlineStr">
        <is>
          <t>b-00yk-YunY</t>
        </is>
      </c>
      <c r="K11" s="127" t="n"/>
      <c r="L11" s="128" t="inlineStr">
        <is>
          <t>https://www.lovethework.com/work/entries/designing-paris-2024-755182</t>
        </is>
      </c>
      <c r="M11" s="113" t="inlineStr">
        <is>
          <t>A modular visual identity system built for the Paris 2024 Olympic and Paralympic Games by W Conran Design and W&amp;Cie, designed to represent the full breadth of the city rather than its most photographed landmarks. The system uses flexible, combinable graphic elements drawn from Parisian architecture, typography, and urban texture to work across venues, wayfinding, broadcast, and merchandise worldwide.</t>
        </is>
      </c>
      <c r="N11" s="113" t="inlineStr">
        <is>
          <t>olympic-games, brand-identity, art-direction, visual-identity, modular-design, france, sports, typography, wayfinding</t>
        </is>
      </c>
    </row>
    <row r="12">
      <c r="A12" s="127" t="n">
        <v>2025</v>
      </c>
      <c r="B12" s="132" t="inlineStr">
        <is>
          <t>Silver</t>
        </is>
      </c>
      <c r="C12" s="127" t="inlineStr">
        <is>
          <t>Made to Share</t>
        </is>
      </c>
      <c r="D12" s="127" t="inlineStr">
        <is>
          <t>Cadbury</t>
        </is>
      </c>
      <c r="E12" s="127" t="inlineStr">
        <is>
          <t>Cadbury Dairy Milk</t>
        </is>
      </c>
      <c r="F12" s="127" t="inlineStr">
        <is>
          <t>VCCP</t>
        </is>
      </c>
      <c r="G12" s="127" t="inlineStr">
        <is>
          <t>United Kingdom</t>
        </is>
      </c>
      <c r="H12" s="113" t="inlineStr">
        <is>
          <t>Copywriting: Packaging Design</t>
        </is>
      </c>
      <c r="I12" s="128" t="inlineStr">
        <is>
          <t>https://ascentialcdn.filespin.io/api/v1/conversion/e8adc13b9108423d81f397fa0733aba6</t>
        </is>
      </c>
      <c r="J12" s="127" t="inlineStr">
        <is>
          <t>4GIFbq2eeFg</t>
        </is>
      </c>
      <c r="K12" s="127" t="n"/>
      <c r="L12" s="128" t="inlineStr">
        <is>
          <t>https://www.lovethework.com/work/entries/made-to-share-764634</t>
        </is>
      </c>
      <c r="M12" s="113" t="inlineStr">
        <is>
          <t>A series of limited-edition Cadbury Dairy Milk bar wrappers, designed by VCCP, where the copy and chunk layout on pack celebrate the small, unspoken acts of kindness that often go unnoticed — the quiet favours, the thankless tasks, the gestures nobody acknowledges. Each bar's packaging reframes the physical act of breaking off a chunk as a prompt to share with someone who deserves recognition for exactly that kind of moment.</t>
        </is>
      </c>
      <c r="N12" s="113" t="inlineStr">
        <is>
          <t>chocolate, packaging, copywriting, limited-edition, ooh, united-kingdom, generosity, fmcg</t>
        </is>
      </c>
    </row>
    <row r="13">
      <c r="A13" s="127" t="n">
        <v>2025</v>
      </c>
      <c r="B13" s="132" t="inlineStr">
        <is>
          <t>Silver</t>
        </is>
      </c>
      <c r="C13" s="127" t="inlineStr">
        <is>
          <t>You Must Be Human</t>
        </is>
      </c>
      <c r="D13" s="127" t="inlineStr">
        <is>
          <t>Worldcoin</t>
        </is>
      </c>
      <c r="E13" s="127" t="inlineStr">
        <is>
          <t>World Id</t>
        </is>
      </c>
      <c r="F13" s="127" t="inlineStr">
        <is>
          <t>adam&amp;eveBerlin</t>
        </is>
      </c>
      <c r="G13" s="127" t="inlineStr">
        <is>
          <t>Germany</t>
        </is>
      </c>
      <c r="H13" s="113" t="inlineStr">
        <is>
          <t>Copywriting: Outdoor</t>
        </is>
      </c>
      <c r="I13" s="128" t="inlineStr">
        <is>
          <t>https://ascentialcdn.filespin.io/api/v1/conversion/afbd21854dee4741933864bfb260b620</t>
        </is>
      </c>
      <c r="J13" s="127" t="inlineStr">
        <is>
          <t>Gw_U4uH5-9g</t>
        </is>
      </c>
      <c r="K13" s="127" t="n"/>
      <c r="L13" s="128" t="inlineStr">
        <is>
          <t>https://www.lovethework.com/work/entries/you-must-be-human-764585</t>
        </is>
      </c>
      <c r="M13" s="113" t="inlineStr">
        <is>
          <t>A Berlin-wide OOH campaign for Worldcoin's World ID product, built around copylines celebrating small, specific human peculiarities — the minor behaviors and quirks that distinguish people from bots. Created by adam&amp;eveBerlin, the campaign positions World ID's human-verification premise as a prompt to notice what makes individuals irreducibly human.</t>
        </is>
      </c>
      <c r="N13" s="113" t="inlineStr">
        <is>
          <t>world-id, ooh, copywriting, identity-verification, germany, berlin, fintech, financial-services, finance</t>
        </is>
      </c>
    </row>
    <row r="14">
      <c r="A14" s="127" t="n">
        <v>2025</v>
      </c>
      <c r="B14" s="132" t="inlineStr">
        <is>
          <t>Silver</t>
        </is>
      </c>
      <c r="C14" s="127" t="inlineStr">
        <is>
          <t>60 Years of Film</t>
        </is>
      </c>
      <c r="D14" s="127" t="inlineStr">
        <is>
          <t>Chicago International Film Festival</t>
        </is>
      </c>
      <c r="E14" s="127" t="inlineStr">
        <is>
          <t>Chicago International Film Festival</t>
        </is>
      </c>
      <c r="F14" s="127" t="inlineStr">
        <is>
          <t>Ogilvy</t>
        </is>
      </c>
      <c r="G14" s="127" t="inlineStr">
        <is>
          <t>United States</t>
        </is>
      </c>
      <c r="H14" s="113" t="inlineStr">
        <is>
          <t>Art Direction: Brand &amp; Communications Design</t>
        </is>
      </c>
      <c r="I14" s="128" t="inlineStr">
        <is>
          <t>https://ascentialcdn.filespin.io/api/v1/conversion/9ae725d9e1774872a4971b3b6e62fbbb</t>
        </is>
      </c>
      <c r="J14" s="127" t="n"/>
      <c r="K14" s="127" t="n"/>
      <c r="L14" s="128" t="inlineStr">
        <is>
          <t>https://www.lovethework.com/work/entries/60-years-of-film-761969</t>
        </is>
      </c>
      <c r="M14" s="113" t="inlineStr">
        <is>
          <t>A custom typeface and brand identity system built for the Chicago International Film Festival's 60th anniversary, drawing visual inspiration from six decades of films screened at the festival. Each letterform references the cinematic archive it celebrates, creating a design system that doubles as a retrospective of the festival's programming history.</t>
        </is>
      </c>
      <c r="N14" s="113" t="inlineStr">
        <is>
          <t>film-festival, typography, brand-identity, design-system, ooh, united-states, print, anniversary</t>
        </is>
      </c>
    </row>
    <row r="15">
      <c r="A15" s="127" t="n">
        <v>2025</v>
      </c>
      <c r="B15" s="132" t="inlineStr">
        <is>
          <t>Silver</t>
        </is>
      </c>
      <c r="C15" s="127" t="inlineStr">
        <is>
          <t>The Philharmonic Prints – Stage Floor, Great Hall</t>
        </is>
      </c>
      <c r="D15" s="127" t="inlineStr">
        <is>
          <t>Berliner Philharmoniker</t>
        </is>
      </c>
      <c r="E15" s="127" t="inlineStr">
        <is>
          <t>Berliner Philharmoniker</t>
        </is>
      </c>
      <c r="F15" s="127" t="inlineStr">
        <is>
          <t>Scholz &amp; Friends</t>
        </is>
      </c>
      <c r="G15" s="127" t="inlineStr">
        <is>
          <t>Germany</t>
        </is>
      </c>
      <c r="H15" s="113" t="inlineStr">
        <is>
          <t>Art Direction: Outdoor</t>
        </is>
      </c>
      <c r="I15" s="128" t="inlineStr">
        <is>
          <t>https://ascentialcdn.filespin.io/api/v1/conversion/f59ad983232a4d4185656043a643b86d</t>
        </is>
      </c>
      <c r="J15" s="127" t="inlineStr">
        <is>
          <t>vimeo:1093696994</t>
        </is>
      </c>
      <c r="K15" s="127" t="n"/>
      <c r="L15" s="128" t="inlineStr">
        <is>
          <t>https://www.lovethework.com/work/entries/the-philharmonic-prints-stage-floor-great-hall-762059</t>
        </is>
      </c>
      <c r="M15" s="113" t="inlineStr">
        <is>
          <t>A series of large-format outdoor prints drawn from the stage floor of the Berliner Philharmoniker's Great Hall — the scuffs, rosin dust, and wear patterns left by generations of musicians repurposed as visual art. Created with Scholz &amp; Friends, the prints ran as ambient outdoor advertising across Germany.</t>
        </is>
      </c>
      <c r="N15" s="113" t="inlineStr">
        <is>
          <t>berliner-philharmoniker, classical-music, ooh, print, ambient, art-direction, germany, scholz-and-friends</t>
        </is>
      </c>
    </row>
    <row r="16">
      <c r="A16" s="127" t="n">
        <v>2025</v>
      </c>
      <c r="B16" s="133" t="inlineStr">
        <is>
          <t>Bronze</t>
        </is>
      </c>
      <c r="C16" s="127" t="inlineStr">
        <is>
          <t>boAt</t>
        </is>
      </c>
      <c r="D16" s="127" t="inlineStr">
        <is>
          <t>Cornetto</t>
        </is>
      </c>
      <c r="E16" s="127" t="inlineStr">
        <is>
          <t>Cornetto Ice Cream</t>
        </is>
      </c>
      <c r="F16" s="127" t="inlineStr">
        <is>
          <t>Lola MullenLowe</t>
        </is>
      </c>
      <c r="G16" s="127" t="inlineStr">
        <is>
          <t>Spain</t>
        </is>
      </c>
      <c r="H16" s="113" t="inlineStr">
        <is>
          <t>Art Direction: Outdoor</t>
        </is>
      </c>
      <c r="I16" s="128" t="inlineStr">
        <is>
          <t>https://ascentialcdn.filespin.io/api/v1/conversion/3a177c8b37754037a19ddf0d99c858db</t>
        </is>
      </c>
      <c r="J16" s="127" t="inlineStr">
        <is>
          <t>hWhvFLwHOlE</t>
        </is>
      </c>
      <c r="K16" s="127" t="n"/>
      <c r="L16" s="128" t="inlineStr">
        <is>
          <t>https://www.lovethework.com/work/entries/boat-764631</t>
        </is>
      </c>
      <c r="M16" s="113" t="inlineStr">
        <is>
          <t>A print series for Cornetto ice cream in which the wrapper of each cone is peeled back to reveal a summer scene — a boat, waves, a surfer, a diver, a windsurfer — illustrated within the negative space of the unwrapped packaging. Each execution uses the act of unwrapping as the visual mechanic, so the cone's foil becomes both the frame and the subject.</t>
        </is>
      </c>
      <c r="N16" s="113" t="inlineStr">
        <is>
          <t>ice-cream, print, outdoor, packaging, illustration, spain, consumer-goods, cpg, fmcg, ooh</t>
        </is>
      </c>
    </row>
    <row r="17">
      <c r="A17" s="127" t="n">
        <v>2025</v>
      </c>
      <c r="B17" s="133" t="inlineStr">
        <is>
          <t>Bronze</t>
        </is>
      </c>
      <c r="C17" s="127" t="inlineStr">
        <is>
          <t>Protector of the Chalice</t>
        </is>
      </c>
      <c r="D17" s="127" t="inlineStr">
        <is>
          <t>Stella Artois</t>
        </is>
      </c>
      <c r="E17" s="127" t="inlineStr">
        <is>
          <t>Stella Artois</t>
        </is>
      </c>
      <c r="F17" s="127" t="inlineStr">
        <is>
          <t>Grey</t>
        </is>
      </c>
      <c r="G17" s="127" t="inlineStr">
        <is>
          <t>United Kingdom</t>
        </is>
      </c>
      <c r="H17" s="113" t="inlineStr">
        <is>
          <t>Art Direction: Print &amp; Publishing</t>
        </is>
      </c>
      <c r="I17" s="128" t="inlineStr">
        <is>
          <t>https://ascentialcdn.filespin.io/api/v1/conversion/a33c9462c05d4330895b056745b6a602</t>
        </is>
      </c>
      <c r="J17" s="127" t="n"/>
      <c r="K17" s="127" t="n"/>
      <c r="L17" s="128" t="inlineStr">
        <is>
          <t>https://www.lovethework.com/work/entries/protector-of-the-chalice-755403</t>
        </is>
      </c>
      <c r="M17" s="113" t="inlineStr">
        <is>
          <t>A series of posters by Grey London depicting people drinking a Stella Artois pint in crowded, chaotic surroundings — the chalice held steady and upright as the world presses in around it. Each execution frames the glass as a personal sanctuary, the one still point in a scene of noise and compression.</t>
        </is>
      </c>
      <c r="N17" s="113" t="inlineStr">
        <is>
          <t>beer, alcohol, print, ooh, poster, united-kingdom, illustration, consumer-goods, cpg, fmcg</t>
        </is>
      </c>
    </row>
    <row r="18">
      <c r="A18" s="127" t="n">
        <v>2025</v>
      </c>
      <c r="B18" s="133" t="inlineStr">
        <is>
          <t>Bronze</t>
        </is>
      </c>
      <c r="C18" s="127" t="inlineStr">
        <is>
          <t>Winis Font</t>
        </is>
      </c>
      <c r="D18" s="127" t="inlineStr">
        <is>
          <t>Winis</t>
        </is>
      </c>
      <c r="E18" s="127" t="inlineStr">
        <is>
          <t>Winis Candy</t>
        </is>
      </c>
      <c r="F18" s="127" t="inlineStr">
        <is>
          <t>D14s</t>
        </is>
      </c>
      <c r="G18" s="127" t="inlineStr">
        <is>
          <t>Mexico</t>
        </is>
      </c>
      <c r="H18" s="113" t="inlineStr">
        <is>
          <t>Art Direction: Brand &amp; Communications Design</t>
        </is>
      </c>
      <c r="I18" s="128" t="inlineStr">
        <is>
          <t>https://ascentialcdn.filespin.io/api/v1/conversion/bddc09c58f164186b2e60a6ff81be5d1</t>
        </is>
      </c>
      <c r="J18" s="127" t="inlineStr">
        <is>
          <t>nSdGQxDXGSs</t>
        </is>
      </c>
      <c r="K18" s="127" t="n"/>
      <c r="L18" s="128" t="inlineStr">
        <is>
          <t>https://www.lovethework.com/work/entries/winis-font-763701</t>
        </is>
      </c>
      <c r="M18" s="113" t="inlineStr">
        <is>
          <t>A custom typeface designed by D14S in which each letterform is drawn from the color, shape, and texture of a Winis candy — the 2 cm² sugar-coated sweet itself becoming the canvas for every character. The font was developed for Winis in Mexico as a brand identity and communications design system.</t>
        </is>
      </c>
      <c r="N18" s="113" t="inlineStr">
        <is>
          <t>candy, confectionery, snack, packaged-goods, food, cpg, fmcg, typography, brand-identity, art-direction, mexico, packaging, design-system</t>
        </is>
      </c>
    </row>
    <row r="19">
      <c r="A19" s="127" t="n">
        <v>2025</v>
      </c>
      <c r="B19" s="133" t="inlineStr">
        <is>
          <t>Bronze</t>
        </is>
      </c>
      <c r="C19" s="127" t="inlineStr">
        <is>
          <t>855-How-To-Quit-(opioids)</t>
        </is>
      </c>
      <c r="D19" s="127" t="inlineStr">
        <is>
          <t>Anzen Health</t>
        </is>
      </c>
      <c r="E19" s="127" t="inlineStr">
        <is>
          <t>855-How-To-Quit-Helpline</t>
        </is>
      </c>
      <c r="F19" s="127" t="inlineStr">
        <is>
          <t>Serviceplan Germany</t>
        </is>
      </c>
      <c r="G19" s="127" t="inlineStr">
        <is>
          <t>Germany</t>
        </is>
      </c>
      <c r="H19" s="113" t="inlineStr">
        <is>
          <t>Art Direction: Brand &amp; Communications Design</t>
        </is>
      </c>
      <c r="I19" s="128" t="inlineStr">
        <is>
          <t>https://ascentialcdn.filespin.io/api/v1/conversion/8f5ea045b19848018f457f855087bd79</t>
        </is>
      </c>
      <c r="J19" s="127" t="inlineStr">
        <is>
          <t>I_xvPLZ9DDk</t>
        </is>
      </c>
      <c r="K19" s="127" t="n"/>
      <c r="L19" s="128" t="inlineStr">
        <is>
          <t>https://www.lovethework.com/work/entries/855-how-to-quit-opioids-755234</t>
        </is>
      </c>
      <c r="M19" s="113" t="inlineStr">
        <is>
          <t>Coca-Cola Classic celebrates the brand's quiet presence in culture by finding real mentions of Coke inside beloved novels from around the world. The campaign recreated those pages with obsessive literary craft—from authors' typewriters and first-edition layouts to letterpress printing and audio readings—turning each mention into proof that Coca-Cola has been part of classic stories all along.</t>
        </is>
      </c>
      <c r="N19" s="113" t="inlineStr">
        <is>
          <t>beverage, drinks, print, branded-content, craft, literature, partnership, global</t>
        </is>
      </c>
    </row>
    <row r="20">
      <c r="A20" s="127" t="n">
        <v>2025</v>
      </c>
      <c r="B20" s="133" t="inlineStr">
        <is>
          <t>Bronze</t>
        </is>
      </c>
      <c r="C20" s="127" t="inlineStr">
        <is>
          <t>Make Love Last - Living Room</t>
        </is>
      </c>
      <c r="D20" s="127" t="inlineStr">
        <is>
          <t>Viatris</t>
        </is>
      </c>
      <c r="E20" s="127" t="inlineStr">
        <is>
          <t>Viagra</t>
        </is>
      </c>
      <c r="F20" s="127" t="inlineStr">
        <is>
          <t>Ogilvy</t>
        </is>
      </c>
      <c r="G20" s="127" t="inlineStr">
        <is>
          <t>China</t>
        </is>
      </c>
      <c r="H20" s="113" t="inlineStr">
        <is>
          <t>Photography: Outdoor</t>
        </is>
      </c>
      <c r="I20" s="127" t="inlineStr">
        <is>
          <t>digital-presentation-images/industry-craft-viatris-make-love-last-living-room.webp</t>
        </is>
      </c>
      <c r="J20" s="127" t="inlineStr">
        <is>
          <t>vimeo:1086963204</t>
        </is>
      </c>
      <c r="K20" s="127" t="n"/>
      <c r="L20" s="128" t="inlineStr">
        <is>
          <t>https://www.lovethework.com/work/entries/make-love-last-living-room-755540</t>
        </is>
      </c>
      <c r="M20" s="113" t="inlineStr">
        <is>
          <t>A series of time-lapse photographs of real couples shot in domestic spaces — living rooms and bedrooms — commissioned by Viagra in China, where direct-to-consumer pharmaceutical advertising is tightly regulated and open discussion of sex remains culturally sensitive. Viagra partnered with a renowned artist to document three couples sharing their stories of intimacy, capturing unscripted closeness through long-exposure and time-lapse techniques, then released the images online on Chinese Valentine's Day alongside medical experts and relationship KOLs to prompt public conversation.</t>
        </is>
      </c>
      <c r="N20" s="113" t="inlineStr">
        <is>
          <t>pharmaceutical, photography, ooh, china, couples, valentines-day, content-series, influencer, intimate-health</t>
        </is>
      </c>
    </row>
    <row r="21">
      <c r="A21" s="127" t="n">
        <v>2025</v>
      </c>
      <c r="B21" s="133" t="inlineStr">
        <is>
          <t>Bronze</t>
        </is>
      </c>
      <c r="C21" s="127" t="inlineStr">
        <is>
          <t>'the Shining'</t>
        </is>
      </c>
      <c r="D21" s="127" t="inlineStr">
        <is>
          <t>Coca-Cola</t>
        </is>
      </c>
      <c r="E21" s="127" t="inlineStr">
        <is>
          <t>Coca-Cola</t>
        </is>
      </c>
      <c r="F21" s="127" t="inlineStr">
        <is>
          <t>VML</t>
        </is>
      </c>
      <c r="G21" s="127" t="inlineStr">
        <is>
          <t>United States</t>
        </is>
      </c>
      <c r="H21" s="113" t="inlineStr">
        <is>
          <t>Art Direction: Print &amp; Publishing</t>
        </is>
      </c>
      <c r="I21" s="128" t="inlineStr">
        <is>
          <t>https://ascentialcdn.filespin.io/api/v1/conversion/5e0c4fda3f3d4bc2ad2e0d8b2247d936</t>
        </is>
      </c>
      <c r="J21" s="127" t="inlineStr">
        <is>
          <t>vimeo:1124237531</t>
        </is>
      </c>
      <c r="K21" s="127" t="n"/>
      <c r="L21" s="128" t="inlineStr">
        <is>
          <t>https://www.lovethework.com/work/entries/the-shining-755543</t>
        </is>
      </c>
      <c r="M21" s="113" t="inlineStr">
        <is>
          <t>A consumer campaign by VML for Coca-Cola in the United States built around the concept of "The Shining." The work uses the Coca-Cola brand's visual or product identity as the central mechanic to deliver its message to consumers.</t>
        </is>
      </c>
      <c r="N21" s="113" t="inlineStr">
        <is>
          <t>coca-cola, soft-drink, consumer-goods, cpg, fmcg, united-states, vml</t>
        </is>
      </c>
    </row>
    <row r="22">
      <c r="A22" s="127" t="n">
        <v>2025</v>
      </c>
      <c r="B22" s="133" t="inlineStr">
        <is>
          <t>Bronze</t>
        </is>
      </c>
      <c r="C22" s="127" t="inlineStr">
        <is>
          <t>Make Love Last - Bedroom</t>
        </is>
      </c>
      <c r="D22" s="127" t="inlineStr">
        <is>
          <t>Viatris</t>
        </is>
      </c>
      <c r="E22" s="127" t="inlineStr">
        <is>
          <t>Viagra</t>
        </is>
      </c>
      <c r="F22" s="127" t="inlineStr">
        <is>
          <t>Ogilvy</t>
        </is>
      </c>
      <c r="G22" s="127" t="inlineStr">
        <is>
          <t>China</t>
        </is>
      </c>
      <c r="H22" s="113" t="inlineStr">
        <is>
          <t>Photography: Outdoor</t>
        </is>
      </c>
      <c r="I22" s="128" t="inlineStr">
        <is>
          <t>https://ascentialcdn.filespin.io/api/v1/conversion/c1c1d7e736414c30b0c7dd8125ee00de</t>
        </is>
      </c>
      <c r="J22" s="127" t="inlineStr">
        <is>
          <t>vimeo:1086963204</t>
        </is>
      </c>
      <c r="K22" s="127" t="n"/>
      <c r="L22" s="128" t="inlineStr">
        <is>
          <t>https://www.lovethework.com/work/entries/make-love-last-bedroom-755520</t>
        </is>
      </c>
      <c r="M22" s="113" t="inlineStr">
        <is>
          <t>A time-lapse film series made for China, where direct-to-consumer pharmaceutical advertising is prohibited and sex remains a heavily regulated topic, in which three real couples shared their stories about intimacy and were then left alone with a camera — their unscripted closeness captured in long, compressed takes by a renowned artist collaborating with Ogilvy Shanghai. The films were released on Chinese Valentine's Day and amplified through medical experts and relationship KOLs to open conversations about intimacy without making explicit product claims.</t>
        </is>
      </c>
      <c r="N22" s="113" t="inlineStr">
        <is>
          <t>pharmaceutical, film, cinema, entertainment, cinematography, time-lapse, china, sexual-health, healthcare, medical, branded-content, social, couples</t>
        </is>
      </c>
    </row>
    <row r="23">
      <c r="A23" s="127" t="n">
        <v>2025</v>
      </c>
      <c r="B23" s="133" t="inlineStr">
        <is>
          <t>Bronze</t>
        </is>
      </c>
      <c r="C23" s="127" t="inlineStr">
        <is>
          <t>Tennessee Sound Sites</t>
        </is>
      </c>
      <c r="D23" s="127" t="inlineStr">
        <is>
          <t>Tennessee Department of Tourist Development</t>
        </is>
      </c>
      <c r="E23" s="127" t="inlineStr">
        <is>
          <t>Tennessee Department of Tourist Development</t>
        </is>
      </c>
      <c r="F23" s="127" t="inlineStr">
        <is>
          <t>VML</t>
        </is>
      </c>
      <c r="G23" s="127" t="inlineStr">
        <is>
          <t>United States</t>
        </is>
      </c>
      <c r="H23" s="113" t="inlineStr">
        <is>
          <t>Copywriting: Excellence in Image Description</t>
        </is>
      </c>
      <c r="I23" s="128" t="inlineStr">
        <is>
          <t>https://ascentialcdn.filespin.io/api/v1/conversion/eb513fac29984db2811524e932026062</t>
        </is>
      </c>
      <c r="J23" s="127" t="inlineStr">
        <is>
          <t>cE9pTxrtkjk</t>
        </is>
      </c>
      <c r="K23" s="127" t="n"/>
      <c r="L23" s="128" t="inlineStr">
        <is>
          <t>https://www.lovethework.com/work/entries/tennessee-sound-sites-755571</t>
        </is>
      </c>
      <c r="M23" s="113" t="inlineStr">
        <is>
          <t>A travel accessibility program from the Tennessee Department of Tourist Development, developed with VML Kansas City, that commissioned songwriters — including Curb | Word Music Publishing's Billy Montana and David Tolliver — to write lyrical audio descriptions of Tennessee landmarks and destinations for blind and visually impaired travelers. The descriptions replace standard visual alt-text with original song-style writing, embedded across the state's tourism content.</t>
        </is>
      </c>
      <c r="N23" s="113" t="inlineStr">
        <is>
          <t>tourism, travel, accessibility, music, entertainment, blind-and-visually-impaired, united-states, audio, content, diversity-and-inclusion</t>
        </is>
      </c>
    </row>
    <row r="24">
      <c r="A24" s="127" t="n">
        <v>2025</v>
      </c>
      <c r="B24" s="133" t="inlineStr">
        <is>
          <t>Bronze</t>
        </is>
      </c>
      <c r="C24" s="127" t="inlineStr">
        <is>
          <t>Surfer</t>
        </is>
      </c>
      <c r="D24" s="127" t="inlineStr">
        <is>
          <t>Cornetto</t>
        </is>
      </c>
      <c r="E24" s="127" t="inlineStr">
        <is>
          <t>Cornetto Ice Cream</t>
        </is>
      </c>
      <c r="F24" s="127" t="inlineStr">
        <is>
          <t>Lola MullenLowe</t>
        </is>
      </c>
      <c r="G24" s="127" t="inlineStr">
        <is>
          <t>Spain</t>
        </is>
      </c>
      <c r="H24" s="113" t="inlineStr">
        <is>
          <t>Art Direction: Outdoor</t>
        </is>
      </c>
      <c r="I24" s="128" t="inlineStr">
        <is>
          <t>https://ascentialcdn.filespin.io/api/v1/conversion/9ceaf650a007496f90b6d5670786b4df</t>
        </is>
      </c>
      <c r="J24" s="127" t="inlineStr">
        <is>
          <t>hWhvFLwHOlE</t>
        </is>
      </c>
      <c r="K24" s="127" t="n"/>
      <c r="L24" s="128" t="inlineStr">
        <is>
          <t>https://www.lovethework.com/work/entries/surfer-764652</t>
        </is>
      </c>
      <c r="M24" s="113" t="inlineStr">
        <is>
          <t>A graphic print series for Cornetto ice cream in which the wrapper of a half-unwrapped cone doubles as a visual element of a summer scene — a sail, a wave, a surfer's board, a diver's arc. Each execution uses only the product and its packaging to complete the image, with no additional illustration.</t>
        </is>
      </c>
      <c r="N24" s="113" t="inlineStr">
        <is>
          <t>ice-cream, print, ooh, packaging, outdoor, graphic-design, spain, consumer-goods, cpg, fmcg</t>
        </is>
      </c>
    </row>
    <row r="25">
      <c r="A25" s="127" t="n">
        <v>2025</v>
      </c>
      <c r="B25" s="133" t="inlineStr">
        <is>
          <t>Bronze</t>
        </is>
      </c>
      <c r="C25" s="127" t="inlineStr">
        <is>
          <t>'extreme Metaphors'</t>
        </is>
      </c>
      <c r="D25" s="127" t="inlineStr">
        <is>
          <t>Coca-Cola</t>
        </is>
      </c>
      <c r="E25" s="127" t="inlineStr">
        <is>
          <t>Coca-Cola</t>
        </is>
      </c>
      <c r="F25" s="127" t="inlineStr">
        <is>
          <t>VML</t>
        </is>
      </c>
      <c r="G25" s="127" t="inlineStr">
        <is>
          <t>United States</t>
        </is>
      </c>
      <c r="H25" s="113" t="inlineStr">
        <is>
          <t>Art Direction: Print &amp; Publishing</t>
        </is>
      </c>
      <c r="I25" s="128" t="inlineStr">
        <is>
          <t>https://ascentialcdn.filespin.io/api/v1/conversion/e7e539cb5808438292eda4ab47fb950f</t>
        </is>
      </c>
      <c r="J25" s="127" t="inlineStr">
        <is>
          <t>vimeo:1124237531</t>
        </is>
      </c>
      <c r="K25" s="127" t="n"/>
      <c r="L25" s="128" t="inlineStr">
        <is>
          <t>https://www.lovethework.com/work/entries/extreme-metaphors-755369</t>
        </is>
      </c>
      <c r="M25" s="113" t="inlineStr">
        <is>
          <t>Coca-Cola Classic celebrates the brand's quiet presence in culture by finding real mentions of Coke inside beloved novels from around the world. The campaign recreated those pages with obsessive literary craft—from authors' typewriters and first-edition layouts to letterpress printing and audio readings—turning each mention into proof that Coca-Cola has been part of classic stories all along.</t>
        </is>
      </c>
      <c r="N25" s="113" t="inlineStr">
        <is>
          <t>beverage, drinks, print, branded-content, craft, literature, partnership, global</t>
        </is>
      </c>
    </row>
    <row r="26">
      <c r="A26" s="127" t="n">
        <v>2025</v>
      </c>
      <c r="B26" s="133" t="inlineStr">
        <is>
          <t>Bronze</t>
        </is>
      </c>
      <c r="C26" s="127" t="inlineStr">
        <is>
          <t>'a House for Mr. Biswas'</t>
        </is>
      </c>
      <c r="D26" s="127" t="inlineStr">
        <is>
          <t>Coca-Cola</t>
        </is>
      </c>
      <c r="E26" s="127" t="inlineStr">
        <is>
          <t>Coca-Cola</t>
        </is>
      </c>
      <c r="F26" s="127" t="inlineStr">
        <is>
          <t>VML</t>
        </is>
      </c>
      <c r="G26" s="127" t="inlineStr">
        <is>
          <t>United States</t>
        </is>
      </c>
      <c r="H26" s="113" t="inlineStr">
        <is>
          <t>Art Direction: Print &amp; Publishing</t>
        </is>
      </c>
      <c r="I26" s="128" t="inlineStr">
        <is>
          <t>https://ascentialcdn.filespin.io/api/v1/conversion/9c2384ef085943848ac188cd6d5d9a43</t>
        </is>
      </c>
      <c r="J26" s="127" t="inlineStr">
        <is>
          <t>vimeo:1124237531</t>
        </is>
      </c>
      <c r="K26" s="127" t="n"/>
      <c r="L26" s="128" t="inlineStr">
        <is>
          <t>https://www.lovethework.com/work/entries/a-house-for-mr-biswas-755553</t>
        </is>
      </c>
      <c r="M26" s="113" t="inlineStr">
        <is>
          <t>Coca-Cola Classic celebrates the brand's quiet presence in culture by finding real mentions of Coke inside beloved novels from around the world. The campaign recreated those pages with obsessive literary craft—from authors' typewriters and first-edition layouts to letterpress printing and audio readings—turning each mention into proof that Coca-Cola has been part of classic stories all along.</t>
        </is>
      </c>
      <c r="N26" s="113" t="inlineStr">
        <is>
          <t>beverage, drinks, print, branded-content, craft, literature, partnership, global</t>
        </is>
      </c>
    </row>
    <row r="27">
      <c r="A27" s="127" t="n">
        <v>2025</v>
      </c>
      <c r="B27" s="133" t="inlineStr">
        <is>
          <t>Bronze</t>
        </is>
      </c>
      <c r="C27" s="127" t="inlineStr">
        <is>
          <t>Waves</t>
        </is>
      </c>
      <c r="D27" s="127" t="inlineStr">
        <is>
          <t>Cornetto</t>
        </is>
      </c>
      <c r="E27" s="127" t="inlineStr">
        <is>
          <t>Cornetto Ice Cream</t>
        </is>
      </c>
      <c r="F27" s="127" t="inlineStr">
        <is>
          <t>Lola MullenLowe</t>
        </is>
      </c>
      <c r="G27" s="127" t="inlineStr">
        <is>
          <t>Spain</t>
        </is>
      </c>
      <c r="H27" s="113" t="inlineStr">
        <is>
          <t>Art Direction: Outdoor</t>
        </is>
      </c>
      <c r="I27" s="128" t="inlineStr">
        <is>
          <t>https://ascentialcdn.filespin.io/api/v1/conversion/35c567148f6e40e1a267849bde62ba92</t>
        </is>
      </c>
      <c r="J27" s="127" t="inlineStr">
        <is>
          <t>hWhvFLwHOlE</t>
        </is>
      </c>
      <c r="K27" s="127" t="n"/>
      <c r="L27" s="128" t="inlineStr">
        <is>
          <t>https://www.lovethework.com/work/entries/waves-764642</t>
        </is>
      </c>
      <c r="M27" s="113" t="inlineStr">
        <is>
          <t>A series of outdoor and print posters built entirely from Cornetto ice cream wrappers, cut and assembled into collages depicting summer scenes — waves, surfers, boats, divers, and windsurfers — using only the packaging's own printed surface as raw material. Each scene is constructed from magazine-style clippings of the wrapper's existing imagery, so the product itself becomes the medium.</t>
        </is>
      </c>
      <c r="N27" s="113" t="inlineStr">
        <is>
          <t>ice-cream, print, ooh, packaging, collage, summer, spain, consumer-goods, cpg, fmcg</t>
        </is>
      </c>
    </row>
    <row r="28">
      <c r="A28" s="127" t="n">
        <v>2025</v>
      </c>
      <c r="B28" s="133" t="inlineStr">
        <is>
          <t>Bronze</t>
        </is>
      </c>
      <c r="C28" s="127" t="inlineStr">
        <is>
          <t>Flags of Unity</t>
        </is>
      </c>
      <c r="D28" s="127" t="inlineStr">
        <is>
          <t>Amref</t>
        </is>
      </c>
      <c r="E28" s="127" t="inlineStr">
        <is>
          <t>Amref</t>
        </is>
      </c>
      <c r="F28" s="127" t="inlineStr">
        <is>
          <t>Edelman</t>
        </is>
      </c>
      <c r="G28" s="127" t="inlineStr">
        <is>
          <t>United Kingdom</t>
        </is>
      </c>
      <c r="H28" s="113" t="inlineStr">
        <is>
          <t>Art Direction: Brand &amp; Communications Design</t>
        </is>
      </c>
      <c r="I28" s="128" t="inlineStr">
        <is>
          <t>https://ascentialcdn.filespin.io/api/v1/conversion/9614d02c7bc4416ba1536c73770f5d8e</t>
        </is>
      </c>
      <c r="J28" s="127" t="inlineStr">
        <is>
          <t>Vddqdo02OOQ</t>
        </is>
      </c>
      <c r="K28" s="127" t="n"/>
      <c r="L28" s="128" t="inlineStr">
        <is>
          <t>https://www.lovethework.com/work/entries/flags-of-unity-755285</t>
        </is>
      </c>
      <c r="M28" s="113" t="inlineStr">
        <is>
          <t>A set of flags created for AHAIC 2025 (the Africa Health Agenda International Conference), designed by Edelman London for Amref Health Africa, that combine the national flags of African nations into unified composite symbols representing cross-border solidarity on health equity. The flags were used as physical conference branding and visual identity across the event.</t>
        </is>
      </c>
      <c r="N28" s="113" t="inlineStr">
        <is>
          <t>health, brand-identity, flag-design, art-direction, conference, africa, united-kingdom, print, event-branding</t>
        </is>
      </c>
    </row>
    <row r="29">
      <c r="A29" s="127" t="n">
        <v>2025</v>
      </c>
      <c r="B29" s="133" t="inlineStr">
        <is>
          <t>Bronze</t>
        </is>
      </c>
      <c r="C29" s="127" t="inlineStr">
        <is>
          <t>The Shakespeare Bic</t>
        </is>
      </c>
      <c r="D29" s="127" t="inlineStr">
        <is>
          <t>Bic</t>
        </is>
      </c>
      <c r="E29" s="127" t="inlineStr">
        <is>
          <t>Bic Crystal Pen</t>
        </is>
      </c>
      <c r="F29" s="127" t="inlineStr">
        <is>
          <t>VML</t>
        </is>
      </c>
      <c r="G29" s="127" t="inlineStr">
        <is>
          <t>Brazil</t>
        </is>
      </c>
      <c r="H29" s="113" t="inlineStr">
        <is>
          <t>Art Direction: Print &amp; Publishing</t>
        </is>
      </c>
      <c r="I29" s="127" t="inlineStr">
        <is>
          <t>digital-presentation-images/industry-craft-bic-the-shakespeare-bic.webp</t>
        </is>
      </c>
      <c r="J29" s="127" t="inlineStr">
        <is>
          <t>5ngNVTeyi4g</t>
        </is>
      </c>
      <c r="K29" s="127" t="n"/>
      <c r="L29" s="128" t="inlineStr">
        <is>
          <t>https://www.lovethework.com/work/entries/the-shakespeare-bic-755424</t>
        </is>
      </c>
      <c r="M29" s="113" t="inlineStr">
        <is>
          <t>A limited-edition BIC Crystal pen produced to mark the fact that Shakespeare's original manuscripts — including Romeo and Juliet — are lost, making the world's most famous plays exist only in later copies. BIC, whose Crystal is one of the most widely used writing instruments ever made, positioned the pen as the physical counterpart to that absence: the kind of object that keeps handwritten words from disappearing.</t>
        </is>
      </c>
      <c r="N29" s="113" t="inlineStr">
        <is>
          <t>ballpoint-pen, special-edition, packaging, print, brazil, writing-instrument, craft, cultural-heritage</t>
        </is>
      </c>
    </row>
    <row r="30">
      <c r="A30" s="127" t="n">
        <v>2025</v>
      </c>
      <c r="B30" s="133" t="inlineStr">
        <is>
          <t>Bronze</t>
        </is>
      </c>
      <c r="C30" s="127" t="inlineStr">
        <is>
          <t>Winter Takes on Colors</t>
        </is>
      </c>
      <c r="D30" s="127" t="inlineStr">
        <is>
          <t>McDonald's Polska</t>
        </is>
      </c>
      <c r="E30" s="127" t="inlineStr">
        <is>
          <t>Drwala Burger (limited Timed Offer)</t>
        </is>
      </c>
      <c r="F30" s="127" t="inlineStr">
        <is>
          <t>DDB Warsaw</t>
        </is>
      </c>
      <c r="G30" s="127" t="inlineStr">
        <is>
          <t>Poland</t>
        </is>
      </c>
      <c r="H30" s="113" t="inlineStr">
        <is>
          <t>Art Direction: Outdoor</t>
        </is>
      </c>
      <c r="I30" s="127" t="inlineStr">
        <is>
          <t>digital-presentation-images/industry-craft-mcdonalds-polska-winter-takes-on-colors.webp</t>
        </is>
      </c>
      <c r="J30" s="127" t="inlineStr">
        <is>
          <t>qcSHtBgAB6o</t>
        </is>
      </c>
      <c r="K30" s="127" t="n"/>
      <c r="L30" s="128" t="inlineStr">
        <is>
          <t>https://www.lovethework.com/work/entries/winter-takes-on-colors-755528</t>
        </is>
      </c>
      <c r="M30" s="113" t="inlineStr">
        <is>
          <t>A McDonald's restaurant in the Polish ski town of Ustroń wrapped — inside and out — in five months of hand-knit wool, paired with a 'Hot N Cold' apparel line of branded fleeces, balaclavas, and trousers. Both built around the Polish winter return of the Drwala lumberjack burger, turning a seasonal menu item into a destination.</t>
        </is>
      </c>
      <c r="N30" s="113" t="inlineStr">
        <is>
          <t>qsr, fast-food, restaurant, food, retail-experience, branded-merch, craft, fashion, poland, seasonal, ooh</t>
        </is>
      </c>
    </row>
    <row r="31">
      <c r="A31" s="127" t="n">
        <v>2025</v>
      </c>
      <c r="B31" s="133" t="inlineStr">
        <is>
          <t>Bronze</t>
        </is>
      </c>
      <c r="C31" s="127" t="inlineStr">
        <is>
          <t>Happiness Within Chaos</t>
        </is>
      </c>
      <c r="D31" s="127" t="inlineStr">
        <is>
          <t>Stella Artois</t>
        </is>
      </c>
      <c r="E31" s="127" t="inlineStr">
        <is>
          <t>Stella Artois</t>
        </is>
      </c>
      <c r="F31" s="127" t="inlineStr">
        <is>
          <t>Grey</t>
        </is>
      </c>
      <c r="G31" s="127" t="inlineStr">
        <is>
          <t>United Kingdom</t>
        </is>
      </c>
      <c r="H31" s="113" t="inlineStr">
        <is>
          <t>Art Direction: Print &amp; Publishing</t>
        </is>
      </c>
      <c r="I31" s="128" t="inlineStr">
        <is>
          <t>https://ascentialcdn.filespin.io/api/v1/conversion/882ea591b6fa40b29a529180b71afa65</t>
        </is>
      </c>
      <c r="J31" s="127" t="n"/>
      <c r="K31" s="127" t="n"/>
      <c r="L31" s="128" t="inlineStr">
        <is>
          <t>https://www.lovethework.com/work/entries/happiness-within-chaos-755413</t>
        </is>
      </c>
      <c r="M31" s="113" t="inlineStr">
        <is>
          <t>A print campaign by Grey London that places a Stella Artois chalice — and the calm of drinking from it — inside visually hectic scenes, contrasting the stillness of the glass against surrounding disorder. Each execution in the series isolates the moment of a sip as a pocket of quiet amid crowds, noise, and clutter.</t>
        </is>
      </c>
      <c r="N31" s="113" t="inlineStr">
        <is>
          <t>beer, alcohol, print, ooh, united-kingdom, campaign-series, illustration, consumer-goods, cpg, fmcg</t>
        </is>
      </c>
    </row>
    <row r="32">
      <c r="A32" s="33" t="n">
        <v>2026</v>
      </c>
      <c r="B32" s="165" t="inlineStr">
        <is>
          <t>Silver</t>
        </is>
      </c>
      <c r="C32" s="107" t="inlineStr">
        <is>
          <t>Amazonia</t>
        </is>
      </c>
      <c r="D32" s="33" t="inlineStr">
        <is>
          <t>Embratur and RAI</t>
        </is>
      </c>
      <c r="E32" s="33" t="inlineStr">
        <is>
          <t>The Brazilian Amazon as a Traveling Destination</t>
        </is>
      </c>
      <c r="F32" s="33" t="inlineStr">
        <is>
          <t>FutureBrand</t>
        </is>
      </c>
      <c r="G32" s="33" t="inlineStr">
        <is>
          <t>Brazil</t>
        </is>
      </c>
      <c r="H32" s="33" t="inlineStr">
        <is>
          <t>Typography: Outdoor</t>
        </is>
      </c>
      <c r="I32" s="33" t="inlineStr">
        <is>
          <t>https://ascentialcdn.filespin.io/api/v1/conversion/e0ce6e89c01f47a2839bc5a88ec39e35</t>
        </is>
      </c>
      <c r="J32" s="33" t="inlineStr">
        <is>
          <t>bJiJQbaniR8</t>
        </is>
      </c>
      <c r="L32" s="33" t="inlineStr">
        <is>
          <t>https://www.lovethework.com/work/entries/amazonia-791405</t>
        </is>
      </c>
      <c r="M32" s="33" t="inlineStr">
        <is>
          <t>The first-ever destination brand for the Brazilian Amazon, created by FutureBrand for Embratur and RAI (Integrated Amazon Routes). It unifies the Legal Amazon — nine states and 60% of Brazil's territory — under a single identity, 'Amazônia,' built to promote sustainable tourism and generate value for local producers.</t>
        </is>
      </c>
      <c r="N32" s="33" t="inlineStr">
        <is>
          <t>embratur, rai, amazonia, amazon, brazil, tourism, travel, destination brand, place branding, brand identity, typography, outdoor, sustainability, environment, design, futurebrand</t>
        </is>
      </c>
    </row>
    <row r="33">
      <c r="A33" s="33" t="n">
        <v>2026</v>
      </c>
      <c r="B33" s="165" t="inlineStr">
        <is>
          <t>Silver</t>
        </is>
      </c>
      <c r="C33" s="107" t="inlineStr">
        <is>
          <t>Sunburnt Car</t>
        </is>
      </c>
      <c r="D33" s="33" t="inlineStr">
        <is>
          <t>mycar</t>
        </is>
      </c>
      <c r="E33" s="33" t="inlineStr">
        <is>
          <t>mycar</t>
        </is>
      </c>
      <c r="F33" s="33" t="inlineStr">
        <is>
          <t>TBWA\Sydney</t>
        </is>
      </c>
      <c r="G33" s="33" t="inlineStr">
        <is>
          <t>Australia</t>
        </is>
      </c>
      <c r="H33" s="33" t="inlineStr">
        <is>
          <t>Art Direction: Outdoor</t>
        </is>
      </c>
      <c r="I33" s="33" t="inlineStr">
        <is>
          <t>https://ascentialcdn.filespin.io/api/v1/conversion/4f23a5f488384646908dde11975e6e81</t>
        </is>
      </c>
      <c r="J33" s="33" t="inlineStr">
        <is>
          <t>vimeo:1203492324</t>
        </is>
      </c>
      <c r="L33" s="33" t="inlineStr">
        <is>
          <t>https://www.lovethework.com/work/entries/sunburnt-car-779891</t>
        </is>
      </c>
      <c r="M33" s="33" t="inlineStr">
        <is>
          <t>An installation for mycar Tyre &amp; Auto by TBWA\Sydney: a vehicle reupholstered in synthetic skin engineered to visibly redden and burn like human skin under UV, dramatising the overlooked risk of sun damage while driving.</t>
        </is>
      </c>
      <c r="N33" s="33" t="inlineStr">
        <is>
          <t>mycar, tyre, auto, automotive, cars, transport, car care, australia, uv, sun exposure, skin, health, art direction, outdoor, installation, design, tbwa sydney</t>
        </is>
      </c>
    </row>
    <row r="34">
      <c r="A34" s="33" t="n">
        <v>2026</v>
      </c>
      <c r="B34" s="167" t="inlineStr">
        <is>
          <t>Grand Prix</t>
        </is>
      </c>
      <c r="C34" s="107" t="inlineStr">
        <is>
          <t>Tiny Coffee Shops</t>
        </is>
      </c>
      <c r="D34" s="33" t="inlineStr">
        <is>
          <t>De'Longhi</t>
        </is>
      </c>
      <c r="E34" s="33" t="inlineStr">
        <is>
          <t>De'Longhi Coffee Machine</t>
        </is>
      </c>
      <c r="F34" s="33" t="inlineStr">
        <is>
          <t>LOLA</t>
        </is>
      </c>
      <c r="G34" s="33" t="inlineStr">
        <is>
          <t>Spain</t>
        </is>
      </c>
      <c r="H34" s="33" t="inlineStr">
        <is>
          <t>Art Direction: Outdoor</t>
        </is>
      </c>
      <c r="I34" s="33" t="inlineStr">
        <is>
          <t>https://ascentialcdn.filespin.io/api/v1/conversion/72e7c3e68738463f80d708fc5b699115</t>
        </is>
      </c>
      <c r="J34" s="33" t="inlineStr">
        <is>
          <t>vimeo:1196607563</t>
        </is>
      </c>
      <c r="L34" s="33" t="inlineStr">
        <is>
          <t>https://www.lovethework.com/work/entries/tiny-coffee-shops-793474</t>
        </is>
      </c>
      <c r="M34" s="33" t="inlineStr">
        <is>
          <t>The Industry Craft Grand Prix. LOLA, Madrid transformed five of De'Longhi's iconic coffee machines into meticulously handcrafted miniature cafés, using craft to reframe the at-home coffee experience as something worth savouring.</t>
        </is>
      </c>
      <c r="N34" s="33" t="inlineStr">
        <is>
          <t>delonghi, coffee, coffee machine, espresso, appliance, home, miniature, craft, art direction, outdoor, design, lola, spain, grand prix</t>
        </is>
      </c>
    </row>
    <row r="35">
      <c r="A35" s="33" t="n">
        <v>2026</v>
      </c>
      <c r="B35" s="166" t="inlineStr">
        <is>
          <t>Bronze</t>
        </is>
      </c>
      <c r="C35" s="107" t="inlineStr">
        <is>
          <t>Racing</t>
        </is>
      </c>
      <c r="D35" s="33" t="inlineStr">
        <is>
          <t>Coca-Cola</t>
        </is>
      </c>
      <c r="E35" s="33" t="inlineStr">
        <is>
          <t>Coca-Cola</t>
        </is>
      </c>
      <c r="F35" s="33" t="inlineStr">
        <is>
          <t>Grey + VML</t>
        </is>
      </c>
      <c r="G35" s="33" t="inlineStr">
        <is>
          <t>United States</t>
        </is>
      </c>
      <c r="H35" s="33" t="inlineStr">
        <is>
          <t>Art Direction: Outdoor</t>
        </is>
      </c>
      <c r="I35" s="33" t="inlineStr">
        <is>
          <t>https://ascentialcdn.filespin.io/api/v1/conversion/725e82e0611c45fc83a4737acef7ae35</t>
        </is>
      </c>
      <c r="J35" s="33" t="inlineStr">
        <is>
          <t>mp4:videos/outdoor-coca-cola-you-must-love-coke.mp4</t>
        </is>
      </c>
      <c r="L35" s="33" t="inlineStr">
        <is>
          <t>https://www.lovethework.com/work/entries/racing-780054</t>
        </is>
      </c>
      <c r="M35" s="33" t="inlineStr">
        <is>
          <t>An art-direction-led outdoor poster for Coca-Cola from Grey and VML, part of a crafted poster series turning everyday Coca-Cola moments into bold visual compositions.</t>
        </is>
      </c>
      <c r="N35" s="33" t="inlineStr">
        <is>
          <t>coca-cola, coke, soft drink, soda, beverage, drinks, art direction, outdoor, poster, design, grey, vml, united states</t>
        </is>
      </c>
    </row>
    <row r="36">
      <c r="A36" s="33" t="n">
        <v>2026</v>
      </c>
      <c r="B36" s="166" t="inlineStr">
        <is>
          <t>Bronze</t>
        </is>
      </c>
      <c r="C36" s="107" t="inlineStr">
        <is>
          <t>Club</t>
        </is>
      </c>
      <c r="D36" s="33" t="inlineStr">
        <is>
          <t>Coca-Cola</t>
        </is>
      </c>
      <c r="E36" s="33" t="inlineStr">
        <is>
          <t>Coca-Cola</t>
        </is>
      </c>
      <c r="F36" s="33" t="inlineStr">
        <is>
          <t>Grey + VML</t>
        </is>
      </c>
      <c r="G36" s="33" t="inlineStr">
        <is>
          <t>United States</t>
        </is>
      </c>
      <c r="H36" s="33" t="inlineStr">
        <is>
          <t>Art Direction: Outdoor</t>
        </is>
      </c>
      <c r="I36" s="33" t="inlineStr">
        <is>
          <t>https://ascentialcdn.filespin.io/api/v1/conversion/18a64aa0b21e410abc496ca605e52736</t>
        </is>
      </c>
      <c r="J36" s="33" t="inlineStr">
        <is>
          <t>mp4:videos/outdoor-coca-cola-you-must-love-coke.mp4</t>
        </is>
      </c>
      <c r="L36" s="33" t="inlineStr">
        <is>
          <t>https://www.lovethework.com/work/entries/club-780062</t>
        </is>
      </c>
      <c r="M36" s="33" t="inlineStr">
        <is>
          <t>An art-direction-led outdoor poster for Coca-Cola from Grey and VML, part of a crafted poster series turning everyday Coca-Cola moments into bold visual compositions.</t>
        </is>
      </c>
      <c r="N36" s="33" t="inlineStr">
        <is>
          <t>coca-cola, coke, soft drink, soda, beverage, drinks, art direction, outdoor, poster, design, grey, vml, united states</t>
        </is>
      </c>
    </row>
    <row r="37">
      <c r="A37" s="33" t="n">
        <v>2026</v>
      </c>
      <c r="B37" s="166" t="inlineStr">
        <is>
          <t>Bronze</t>
        </is>
      </c>
      <c r="C37" s="107" t="inlineStr">
        <is>
          <t>Vamos</t>
        </is>
      </c>
      <c r="D37" s="33" t="inlineStr">
        <is>
          <t>Coca-Cola</t>
        </is>
      </c>
      <c r="E37" s="33" t="inlineStr">
        <is>
          <t>Coca-Cola</t>
        </is>
      </c>
      <c r="F37" s="33" t="inlineStr">
        <is>
          <t>Grey + VML</t>
        </is>
      </c>
      <c r="G37" s="33" t="inlineStr">
        <is>
          <t>United States</t>
        </is>
      </c>
      <c r="H37" s="33" t="inlineStr">
        <is>
          <t>Art Direction: Outdoor</t>
        </is>
      </c>
      <c r="I37" s="33" t="inlineStr">
        <is>
          <t>https://ascentialcdn.filespin.io/api/v1/conversion/dac400285b0e4f0084104595d3aab012</t>
        </is>
      </c>
      <c r="J37" s="33" t="inlineStr">
        <is>
          <t>mp4:videos/outdoor-coca-cola-you-must-love-coke.mp4</t>
        </is>
      </c>
      <c r="L37" s="33" t="inlineStr">
        <is>
          <t>https://www.lovethework.com/work/entries/vamos-780067</t>
        </is>
      </c>
      <c r="M37" s="33" t="inlineStr">
        <is>
          <t>An art-direction-led outdoor poster for Coca-Cola from Grey and VML, part of a crafted poster series turning everyday Coca-Cola moments into bold visual compositions.</t>
        </is>
      </c>
      <c r="N37" s="33" t="inlineStr">
        <is>
          <t>coca-cola, coke, soft drink, soda, beverage, drinks, art direction, outdoor, poster, design, grey, vml, united states</t>
        </is>
      </c>
    </row>
    <row r="38">
      <c r="A38" s="33" t="n">
        <v>2026</v>
      </c>
      <c r="B38" s="166" t="inlineStr">
        <is>
          <t>Bronze</t>
        </is>
      </c>
      <c r="C38" s="107" t="inlineStr">
        <is>
          <t>Moving Landscapes Snow</t>
        </is>
      </c>
      <c r="D38" s="33" t="inlineStr">
        <is>
          <t>BMW</t>
        </is>
      </c>
      <c r="E38" s="33" t="inlineStr">
        <is>
          <t>BMW</t>
        </is>
      </c>
      <c r="F38" s="33" t="inlineStr">
        <is>
          <t>Serviceplan Spain</t>
        </is>
      </c>
      <c r="G38" s="33" t="inlineStr">
        <is>
          <t>Spain</t>
        </is>
      </c>
      <c r="H38" s="33" t="inlineStr">
        <is>
          <t>Art Direction: Outdoor</t>
        </is>
      </c>
      <c r="I38" s="33" t="inlineStr">
        <is>
          <t>https://ascentialcdn.filespin.io/api/v1/conversion/f443f7b5bd8e4a3b8b8f106bfd4e688b</t>
        </is>
      </c>
      <c r="J38" s="33" t="inlineStr">
        <is>
          <t>vimeo:1203799985</t>
        </is>
      </c>
      <c r="L38" s="33" t="inlineStr">
        <is>
          <t>https://www.lovethework.com/work/entries/moving-landscapes-snow-780074</t>
        </is>
      </c>
      <c r="M38" s="33" t="inlineStr">
        <is>
          <t>Part of BMW's 'Moving Landscapes' series by Serviceplan Spain, this execution uses motion blur to dissolve a snowy landscape into abstract colour and light — no car in frame, only the visual emotion of driving.</t>
        </is>
      </c>
      <c r="N38" s="33" t="inlineStr">
        <is>
          <t>bmw, car, automotive, cars, transport, vehicle, driving, motion blur, abstract, landscape, snow, art direction, outdoor, design, serviceplan, spain</t>
        </is>
      </c>
    </row>
    <row r="39">
      <c r="A39" s="33" t="n">
        <v>2026</v>
      </c>
      <c r="B39" s="166" t="inlineStr">
        <is>
          <t>Bronze</t>
        </is>
      </c>
      <c r="C39" s="107" t="inlineStr">
        <is>
          <t>Moving Landscapes Forest</t>
        </is>
      </c>
      <c r="D39" s="33" t="inlineStr">
        <is>
          <t>BMW</t>
        </is>
      </c>
      <c r="E39" s="33" t="inlineStr">
        <is>
          <t>BMW</t>
        </is>
      </c>
      <c r="F39" s="33" t="inlineStr">
        <is>
          <t>Serviceplan Spain</t>
        </is>
      </c>
      <c r="G39" s="33" t="inlineStr">
        <is>
          <t>Spain</t>
        </is>
      </c>
      <c r="H39" s="33" t="inlineStr">
        <is>
          <t>Art Direction: Outdoor</t>
        </is>
      </c>
      <c r="I39" s="33" t="inlineStr">
        <is>
          <t>https://ascentialcdn.filespin.io/api/v1/conversion/d5b65fbd2ccd4c52b298a5d0db4c4bd0</t>
        </is>
      </c>
      <c r="J39" s="33" t="inlineStr">
        <is>
          <t>vimeo:1203799985</t>
        </is>
      </c>
      <c r="L39" s="33" t="inlineStr">
        <is>
          <t>https://www.lovethework.com/work/entries/moving-landscapes-forest-790480</t>
        </is>
      </c>
      <c r="M39" s="33" t="inlineStr">
        <is>
          <t>Part of BMW's 'Moving Landscapes' series by Serviceplan Spain, this execution uses motion blur to dissolve a forest into abstract colour and light — no car in frame, only the visual emotion of driving.</t>
        </is>
      </c>
      <c r="N39" s="33" t="inlineStr">
        <is>
          <t>bmw, car, automotive, cars, transport, vehicle, driving, motion blur, abstract, landscape, forest, art direction, outdoor, design, serviceplan, spain</t>
        </is>
      </c>
    </row>
    <row r="40">
      <c r="A40" s="33" t="n">
        <v>2026</v>
      </c>
      <c r="B40" s="166" t="inlineStr">
        <is>
          <t>Bronze</t>
        </is>
      </c>
      <c r="C40" s="107" t="inlineStr">
        <is>
          <t>Moving Landscapes Dehesa</t>
        </is>
      </c>
      <c r="D40" s="33" t="inlineStr">
        <is>
          <t>BMW</t>
        </is>
      </c>
      <c r="E40" s="33" t="inlineStr">
        <is>
          <t>BMW</t>
        </is>
      </c>
      <c r="F40" s="33" t="inlineStr">
        <is>
          <t>Serviceplan Spain</t>
        </is>
      </c>
      <c r="G40" s="33" t="inlineStr">
        <is>
          <t>Spain</t>
        </is>
      </c>
      <c r="H40" s="33" t="inlineStr">
        <is>
          <t>Art Direction: Outdoor</t>
        </is>
      </c>
      <c r="I40" s="33" t="inlineStr">
        <is>
          <t>https://ascentialcdn.filespin.io/api/v1/conversion/7bbe8893e91c4f3999eb1f2a0cc26672</t>
        </is>
      </c>
      <c r="J40" s="33" t="inlineStr">
        <is>
          <t>vimeo:1203799985</t>
        </is>
      </c>
      <c r="L40" s="33" t="inlineStr">
        <is>
          <t>https://www.lovethework.com/work/entries/moving-landscapes-dehesa-780082</t>
        </is>
      </c>
      <c r="M40" s="33" t="inlineStr">
        <is>
          <t>Part of BMW's 'Moving Landscapes' series by Serviceplan Spain, this execution uses motion blur to dissolve the Spanish dehesa parkland into abstract colour and light — no car in frame, only the visual emotion of driving.</t>
        </is>
      </c>
      <c r="N40" s="33" t="inlineStr">
        <is>
          <t>bmw, car, automotive, cars, transport, vehicle, driving, motion blur, abstract, landscape, dehesa, photography, art direction, outdoor, design, serviceplan, spain</t>
        </is>
      </c>
    </row>
    <row r="41">
      <c r="A41" s="33" t="n">
        <v>2026</v>
      </c>
      <c r="B41" s="166" t="inlineStr">
        <is>
          <t>Bronze</t>
        </is>
      </c>
      <c r="C41" s="107" t="inlineStr">
        <is>
          <t>Suffering</t>
        </is>
      </c>
      <c r="D41" s="33" t="inlineStr">
        <is>
          <t>Musée de la Grande Guerre</t>
        </is>
      </c>
      <c r="E41" s="33" t="inlineStr">
        <is>
          <t>Broken Souls</t>
        </is>
      </c>
      <c r="F41" s="33" t="inlineStr">
        <is>
          <t>BBDO Paris</t>
        </is>
      </c>
      <c r="G41" s="33" t="inlineStr">
        <is>
          <t>France</t>
        </is>
      </c>
      <c r="H41" s="33" t="inlineStr">
        <is>
          <t>Art Direction: Outdoor</t>
        </is>
      </c>
      <c r="I41" s="33" t="inlineStr">
        <is>
          <t>https://ascentialcdn.filespin.io/api/v1/conversion/92e6fc14888b4fc9a486faa437a4ab7e</t>
        </is>
      </c>
      <c r="J41" s="33" t="inlineStr">
        <is>
          <t>0RRsw4UbZ-E</t>
        </is>
      </c>
      <c r="L41" s="33" t="inlineStr">
        <is>
          <t>https://www.lovethework.com/work/entries/suffering-780102</t>
        </is>
      </c>
      <c r="M41" s="33" t="inlineStr">
        <is>
          <t>Part of BBDO Paris's 'Broken Souls' campaign for the Musée de la Grande Guerre, the 'Suffering' execution gives visual voice to the silent psychological torment endured by First World War soldiers.</t>
        </is>
      </c>
      <c r="N41" s="33" t="inlineStr">
        <is>
          <t>musee de la grande guerre, museum, wwi, world war one, history, soldiers, mental health, art direction, outdoor, design, bbdo paris, france, broken souls</t>
        </is>
      </c>
    </row>
    <row r="42">
      <c r="A42" s="33" t="n">
        <v>2026</v>
      </c>
      <c r="B42" s="166" t="inlineStr">
        <is>
          <t>Bronze</t>
        </is>
      </c>
      <c r="C42" s="107" t="inlineStr">
        <is>
          <t>Hope</t>
        </is>
      </c>
      <c r="D42" s="33" t="inlineStr">
        <is>
          <t>IKEA</t>
        </is>
      </c>
      <c r="E42" s="33" t="inlineStr">
        <is>
          <t>IKEA Home Furnishings</t>
        </is>
      </c>
      <c r="F42" s="33" t="inlineStr">
        <is>
          <t>TRY</t>
        </is>
      </c>
      <c r="G42" s="33" t="inlineStr">
        <is>
          <t>Norway</t>
        </is>
      </c>
      <c r="H42" s="33" t="inlineStr">
        <is>
          <t>Art Direction: Print &amp; Publishing</t>
        </is>
      </c>
      <c r="I42" s="33" t="inlineStr">
        <is>
          <t>https://ascentialcdn.filespin.io/api/v1/conversion/8431a81785fc462f9f338e940d4466a6</t>
        </is>
      </c>
      <c r="J42" s="33" t="inlineStr">
        <is>
          <t>vimeo:1096194558</t>
        </is>
      </c>
      <c r="L42" s="33" t="inlineStr">
        <is>
          <t>https://www.lovethework.com/work/entries/hope-780000</t>
        </is>
      </c>
      <c r="M42" s="33" t="inlineStr">
        <is>
          <t>Part of a TRY, Oslo print series for IKEA built on sharp copywriting and art direction, the 'Hope' execution turns an everyday domestic moment into a crafted home-furnishings ad.</t>
        </is>
      </c>
      <c r="N42" s="33" t="inlineStr">
        <is>
          <t>ikea, home furnishings, furniture, home, retail, print, copywriting, art direction, design, try, oslo, norway</t>
        </is>
      </c>
    </row>
    <row r="43">
      <c r="A43" s="33" t="n">
        <v>2026</v>
      </c>
      <c r="B43" s="166" t="inlineStr">
        <is>
          <t>Bronze</t>
        </is>
      </c>
      <c r="C43" s="107" t="inlineStr">
        <is>
          <t>Mornings</t>
        </is>
      </c>
      <c r="D43" s="33" t="inlineStr">
        <is>
          <t>IKEA</t>
        </is>
      </c>
      <c r="E43" s="33" t="inlineStr">
        <is>
          <t>IKEA Home Furnishings</t>
        </is>
      </c>
      <c r="F43" s="33" t="inlineStr">
        <is>
          <t>TRY</t>
        </is>
      </c>
      <c r="G43" s="33" t="inlineStr">
        <is>
          <t>Norway</t>
        </is>
      </c>
      <c r="H43" s="33" t="inlineStr">
        <is>
          <t>Art Direction: Print &amp; Publishing</t>
        </is>
      </c>
      <c r="I43" s="33" t="inlineStr">
        <is>
          <t>https://ascentialcdn.filespin.io/api/v1/conversion/5db093d7d3fd44a582abd572c51b8416</t>
        </is>
      </c>
      <c r="J43" s="33" t="inlineStr">
        <is>
          <t>vimeo:1096194558</t>
        </is>
      </c>
      <c r="L43" s="33" t="inlineStr">
        <is>
          <t>https://www.lovethework.com/work/entries/mornings-780006</t>
        </is>
      </c>
      <c r="M43" s="33" t="inlineStr">
        <is>
          <t>Part of a TRY, Oslo print series for IKEA built on sharp copywriting and art direction, the 'Mornings' execution turns an everyday domestic moment into a crafted home-furnishings ad.</t>
        </is>
      </c>
      <c r="N43" s="33" t="inlineStr">
        <is>
          <t>ikea, home furnishings, furniture, home, retail, print, copywriting, art direction, design, try, oslo, norway</t>
        </is>
      </c>
    </row>
    <row r="44">
      <c r="A44" s="33" t="n">
        <v>2026</v>
      </c>
      <c r="B44" s="166" t="inlineStr">
        <is>
          <t>Bronze</t>
        </is>
      </c>
      <c r="C44" s="107" t="inlineStr">
        <is>
          <t>Picky</t>
        </is>
      </c>
      <c r="D44" s="33" t="inlineStr">
        <is>
          <t>IKEA</t>
        </is>
      </c>
      <c r="E44" s="33" t="inlineStr">
        <is>
          <t>IKEA Home Furnishings</t>
        </is>
      </c>
      <c r="F44" s="33" t="inlineStr">
        <is>
          <t>TRY</t>
        </is>
      </c>
      <c r="G44" s="33" t="inlineStr">
        <is>
          <t>Norway</t>
        </is>
      </c>
      <c r="H44" s="33" t="inlineStr">
        <is>
          <t>Art Direction: Print &amp; Publishing</t>
        </is>
      </c>
      <c r="I44" s="33" t="inlineStr">
        <is>
          <t>https://ascentialcdn.filespin.io/api/v1/conversion/348332c52cfe4054a1a9525e5b046518</t>
        </is>
      </c>
      <c r="J44" s="33" t="inlineStr">
        <is>
          <t>vimeo:1096194558</t>
        </is>
      </c>
      <c r="L44" s="33" t="inlineStr">
        <is>
          <t>https://www.lovethework.com/work/entries/picky-780016</t>
        </is>
      </c>
      <c r="M44" s="33" t="inlineStr">
        <is>
          <t>Part of a TRY, Oslo print series for IKEA built on sharp copywriting and art direction, the 'Picky' execution turns an everyday domestic moment into a crafted home-furnishings ad.</t>
        </is>
      </c>
      <c r="N44" s="33" t="inlineStr">
        <is>
          <t>ikea, home furnishings, furniture, home, retail, print, copywriting, art direction, design, try, oslo, norway</t>
        </is>
      </c>
    </row>
    <row r="45">
      <c r="A45" s="33" t="n">
        <v>2026</v>
      </c>
      <c r="B45" s="165" t="inlineStr">
        <is>
          <t>Silver</t>
        </is>
      </c>
      <c r="C45" s="107" t="inlineStr">
        <is>
          <t>Amazônia Alive - Book</t>
        </is>
      </c>
      <c r="D45" s="33" t="inlineStr">
        <is>
          <t>Vale SA</t>
        </is>
      </c>
      <c r="E45" s="33" t="inlineStr">
        <is>
          <t>Amazônia Alive - Book</t>
        </is>
      </c>
      <c r="F45" s="33" t="inlineStr">
        <is>
          <t>Artplan + Rock in Rio</t>
        </is>
      </c>
      <c r="G45" s="33" t="inlineStr">
        <is>
          <t>Brazil</t>
        </is>
      </c>
      <c r="H45" s="33" t="inlineStr">
        <is>
          <t>Art Direction: Print &amp; Publishing</t>
        </is>
      </c>
      <c r="I45" s="33" t="inlineStr">
        <is>
          <t>https://ascentialcdn.filespin.io/api/v1/conversion/1bbf9fa6beb44c968b06453b14c2ed36</t>
        </is>
      </c>
      <c r="J45" s="33" t="inlineStr">
        <is>
          <t>mp4:videos/industry-craft-vale-sa-amazonia-alive-book.mp4</t>
        </is>
      </c>
      <c r="L45" s="33" t="inlineStr">
        <is>
          <t>https://www.lovethework.com/work/entries/amaznia-alive-book-791151</t>
        </is>
      </c>
      <c r="M45" s="33" t="inlineStr">
        <is>
          <t>A crafted book for Vale by Artplan with Rock in Rio, 'Amazônia Alive' brings the living Brazilian Amazon onto the printed page through immersive art direction and design.</t>
        </is>
      </c>
      <c r="N45" s="33" t="inlineStr">
        <is>
          <t>vale, mining, amazon, amazonia, brazil, book, publishing, environment, sustainability, nature, art direction, print, design, artplan, rock in rio</t>
        </is>
      </c>
    </row>
    <row r="46">
      <c r="A46" s="33" t="n">
        <v>2026</v>
      </c>
      <c r="B46" s="166" t="inlineStr">
        <is>
          <t>Bronze</t>
        </is>
      </c>
      <c r="C46" s="107" t="inlineStr">
        <is>
          <t>Dancebook Brasil</t>
        </is>
      </c>
      <c r="D46" s="33" t="inlineStr">
        <is>
          <t>Bradesco</t>
        </is>
      </c>
      <c r="E46" s="33" t="inlineStr">
        <is>
          <t>Dancebook</t>
        </is>
      </c>
      <c r="F46" s="33" t="inlineStr">
        <is>
          <t>Lovely</t>
        </is>
      </c>
      <c r="G46" s="33" t="inlineStr">
        <is>
          <t>Brazil</t>
        </is>
      </c>
      <c r="H46" s="33" t="inlineStr">
        <is>
          <t>Art Direction: Print &amp; Publishing</t>
        </is>
      </c>
      <c r="I46" s="33" t="inlineStr">
        <is>
          <t>https://ascentialcdn.filespin.io/api/v1/conversion/3d28e2de50d34ec395da0dd7d6e87d4e</t>
        </is>
      </c>
      <c r="J46" s="33" t="inlineStr">
        <is>
          <t>NxkU4hE_GLw</t>
        </is>
      </c>
      <c r="L46" s="33" t="inlineStr">
        <is>
          <t>https://www.lovethework.com/work/entries/dancebook-brasil-780127</t>
        </is>
      </c>
      <c r="M46" s="33" t="inlineStr">
        <is>
          <t>A book by Bradesco that records Brazil's national dances as written notation. Created with choreographer Carlinhos de Jesus, it translates the movement of traditional Brazilian dance into a printed score, preserving a physical, oral heritage in book form.</t>
        </is>
      </c>
      <c r="N46" s="33" t="inlineStr">
        <is>
          <t>bradesco, banking, financial-services, finance, financial services, dancebook, book, publishing, dance, notation, brazilian culture, heritage, art direction, print, design, lovely, brazil</t>
        </is>
      </c>
    </row>
    <row r="47">
      <c r="A47" s="33" t="n">
        <v>2026</v>
      </c>
      <c r="B47" s="166" t="inlineStr">
        <is>
          <t>Bronze</t>
        </is>
      </c>
      <c r="C47" s="107" t="inlineStr">
        <is>
          <t>Glowing Relief</t>
        </is>
      </c>
      <c r="D47" s="33" t="inlineStr">
        <is>
          <t>Alivia Health</t>
        </is>
      </c>
      <c r="E47" s="33" t="inlineStr">
        <is>
          <t>Alivia Health</t>
        </is>
      </c>
      <c r="F47" s="33" t="inlineStr">
        <is>
          <t>De La Cruz Ogilvy + Ogilvy Health</t>
        </is>
      </c>
      <c r="G47" s="33" t="inlineStr">
        <is>
          <t>Puerto Rico</t>
        </is>
      </c>
      <c r="H47" s="33" t="inlineStr">
        <is>
          <t>Art Direction: Packaging Design</t>
        </is>
      </c>
      <c r="I47" s="33" t="inlineStr">
        <is>
          <t>https://ascentialcdn.filespin.io/api/v1/conversion/229bbf5df32d4c67a1d9079b42bd4866</t>
        </is>
      </c>
      <c r="J47" s="33" t="inlineStr">
        <is>
          <t>vimeo:1103711778</t>
        </is>
      </c>
      <c r="L47" s="33" t="inlineStr">
        <is>
          <t>https://www.lovethework.com/work/entries/glowing-relief-790510</t>
        </is>
      </c>
      <c r="M47" s="33" t="inlineStr">
        <is>
          <t>Glow-in-the-dark medication labels for Alivia Health in Puerto Rico, designed so prescription information stays legible during the region's frequent power outages and helps prevent medication errors, especially among elderly patients. The glow is applied only to the label section, carrying every legally required detail while printing on pharmacies' existing machines.</t>
        </is>
      </c>
      <c r="N47" s="33" t="inlineStr">
        <is>
          <t>alivia health, pharmacy, medication, healthcare, health, packaging, labels, glow in the dark, patient safety, elderly, puerto rico, packaging design, design, ogilvy</t>
        </is>
      </c>
    </row>
    <row r="48">
      <c r="A48" s="33" t="n">
        <v>2026</v>
      </c>
      <c r="B48" s="166" t="inlineStr">
        <is>
          <t>Bronze</t>
        </is>
      </c>
      <c r="C48" s="107" t="inlineStr">
        <is>
          <t>Dear Difference</t>
        </is>
      </c>
      <c r="D48" s="33" t="inlineStr">
        <is>
          <t>Nikka Whisky</t>
        </is>
      </c>
      <c r="E48" s="33" t="inlineStr">
        <is>
          <t>Taketsuru Pure Malt</t>
        </is>
      </c>
      <c r="F48" s="33" t="inlineStr">
        <is>
          <t>Dentsu</t>
        </is>
      </c>
      <c r="G48" s="33" t="inlineStr">
        <is>
          <t>Japan</t>
        </is>
      </c>
      <c r="H48" s="33" t="inlineStr">
        <is>
          <t>Illustration: Print &amp; Publishing</t>
        </is>
      </c>
      <c r="I48" s="33" t="inlineStr">
        <is>
          <t>https://ascentialcdn.filespin.io/api/v1/conversion/7460ca0e117b4ccfba4de7d001a5596f</t>
        </is>
      </c>
      <c r="J48" s="33" t="inlineStr">
        <is>
          <t>vimeo:1203783616</t>
        </is>
      </c>
      <c r="L48" s="33" t="inlineStr">
        <is>
          <t>https://www.lovethework.com/work/entries/dear-difference-779304</t>
        </is>
      </c>
      <c r="M48" s="33" t="inlineStr">
        <is>
          <t>A design for Nikka's Taketsuru Pure Malt that visualises the whisky through microscopic analogue dots made from physical paint experiments, crafting artwork that depicts both the blending of the malt and the life story of the brand's founder.</t>
        </is>
      </c>
      <c r="N48" s="33" t="inlineStr">
        <is>
          <t>nikka, whisky, whiskey, taketsuru, alcohol, spirits, drinks, rebrand, packaging, illustration, art direction, analogue, craft, design, dentsu, japan</t>
        </is>
      </c>
    </row>
    <row r="49">
      <c r="A49" s="33" t="n">
        <v>2026</v>
      </c>
      <c r="B49" s="166" t="inlineStr">
        <is>
          <t>Bronze</t>
        </is>
      </c>
      <c r="C49" s="107" t="inlineStr">
        <is>
          <t>Fascinating</t>
        </is>
      </c>
      <c r="D49" s="33" t="inlineStr">
        <is>
          <t>Shenzhen Tourism Bureau, China</t>
        </is>
      </c>
      <c r="E49" s="33" t="inlineStr">
        <is>
          <t>Shenzhen Tourism Bureau, China</t>
        </is>
      </c>
      <c r="F49" s="33" t="inlineStr">
        <is>
          <t>The Nine</t>
        </is>
      </c>
      <c r="G49" s="33" t="inlineStr">
        <is>
          <t>China</t>
        </is>
      </c>
      <c r="H49" s="33" t="inlineStr">
        <is>
          <t>Photography: Print &amp; Publishing</t>
        </is>
      </c>
      <c r="I49" s="33" t="inlineStr">
        <is>
          <t>https://ascentialcdn.filespin.io/api/v1/conversion/3b667f91d40e49cf880edd2d521e266f</t>
        </is>
      </c>
      <c r="J49" s="33" t="inlineStr">
        <is>
          <t>ZIUHE3BA5Kw</t>
        </is>
      </c>
      <c r="L49" s="33" t="inlineStr">
        <is>
          <t>https://www.lovethework.com/work/entries/fascinating-791166</t>
        </is>
      </c>
      <c r="M49" s="33" t="inlineStr">
        <is>
          <t>A photography series for the Shenzhen Tourism Bureau by The Nine, Shanghai, extending director Jody Xiong's 'Fascinating' tourism campaign into stills — posters and postcards that capture the city as visual art beyond the screen.</t>
        </is>
      </c>
      <c r="N49" s="33" t="inlineStr">
        <is>
          <t>shenzhen tourism bureau, shenzhen, tourism, travel, china, photography, posters, postcards, print, design, the nine, jody xiong</t>
        </is>
      </c>
    </row>
    <row r="50">
      <c r="A50" s="33" t="n">
        <v>2026</v>
      </c>
      <c r="B50" s="166" t="inlineStr">
        <is>
          <t>Bronze</t>
        </is>
      </c>
      <c r="C50" s="107" t="inlineStr">
        <is>
          <t>Pedro</t>
        </is>
      </c>
      <c r="D50" s="33" t="inlineStr">
        <is>
          <t>Coca-Cola</t>
        </is>
      </c>
      <c r="E50" s="33" t="inlineStr">
        <is>
          <t>Coca-Cola</t>
        </is>
      </c>
      <c r="F50" s="33" t="inlineStr">
        <is>
          <t>VML</t>
        </is>
      </c>
      <c r="G50" s="33" t="inlineStr">
        <is>
          <t>United States</t>
        </is>
      </c>
      <c r="H50" s="33" t="inlineStr">
        <is>
          <t>Photography: Print &amp; Publishing</t>
        </is>
      </c>
      <c r="I50" s="33" t="inlineStr">
        <is>
          <t>https://ascentialcdn.filespin.io/api/v1/conversion/0766623e198f4452a9edf7dd52b2bfee</t>
        </is>
      </c>
      <c r="J50" s="33" t="inlineStr">
        <is>
          <t>vimeo:1194047275</t>
        </is>
      </c>
      <c r="L50" s="33" t="inlineStr">
        <is>
          <t>https://www.lovethework.com/work/entries/pedro-775877</t>
        </is>
      </c>
      <c r="M50" s="33" t="inlineStr">
        <is>
          <t>A crafted photographic portrait for Coca-Cola by VML, part of the 'Pedro' and 'Maria' pairing celebrating Coca-Cola's place in everyday life through intimate print photography.</t>
        </is>
      </c>
      <c r="N50" s="33" t="inlineStr">
        <is>
          <t>coca-cola, coke, soft drink, soda, beverage, drinks, photography, portrait, print, design, vml, united states, mexico</t>
        </is>
      </c>
    </row>
    <row r="51">
      <c r="A51" s="33" t="n">
        <v>2026</v>
      </c>
      <c r="B51" s="166" t="inlineStr">
        <is>
          <t>Bronze</t>
        </is>
      </c>
      <c r="C51" s="107" t="inlineStr">
        <is>
          <t>Maria</t>
        </is>
      </c>
      <c r="D51" s="33" t="inlineStr">
        <is>
          <t>Coca-Cola</t>
        </is>
      </c>
      <c r="E51" s="33" t="inlineStr">
        <is>
          <t>Coca-Cola</t>
        </is>
      </c>
      <c r="F51" s="33" t="inlineStr">
        <is>
          <t>VML</t>
        </is>
      </c>
      <c r="G51" s="33" t="inlineStr">
        <is>
          <t>United States</t>
        </is>
      </c>
      <c r="H51" s="33" t="inlineStr">
        <is>
          <t>Photography: Print &amp; Publishing</t>
        </is>
      </c>
      <c r="I51" s="33" t="inlineStr">
        <is>
          <t>https://ascentialcdn.filespin.io/api/v1/conversion/4be7d4d452b442188fde3a0fe15c7664</t>
        </is>
      </c>
      <c r="J51" s="33" t="inlineStr">
        <is>
          <t>vimeo:1194047275</t>
        </is>
      </c>
      <c r="L51" s="33" t="inlineStr">
        <is>
          <t>https://www.lovethework.com/work/entries/maria-775887</t>
        </is>
      </c>
      <c r="M51" s="33" t="inlineStr">
        <is>
          <t>A crafted photographic portrait for Coca-Cola by VML, part of the 'Pedro' and 'Maria' pairing celebrating Coca-Cola's place in everyday life through intimate print photography.</t>
        </is>
      </c>
      <c r="N51" s="33" t="inlineStr">
        <is>
          <t>coca-cola, coke, soft drink, soda, beverage, drinks, photography, portrait, print, design, vml, united states, mexico</t>
        </is>
      </c>
    </row>
    <row r="52">
      <c r="A52" s="33" t="n">
        <v>2026</v>
      </c>
      <c r="B52" s="165" t="inlineStr">
        <is>
          <t>Silver</t>
        </is>
      </c>
      <c r="C52" s="107" t="inlineStr">
        <is>
          <t>Terms and Conditions of Being a Girl</t>
        </is>
      </c>
      <c r="D52" s="33" t="inlineStr">
        <is>
          <t>Ville de Paris</t>
        </is>
      </c>
      <c r="E52" s="33" t="inlineStr">
        <is>
          <t>Ville de Paris</t>
        </is>
      </c>
      <c r="F52" s="33" t="inlineStr">
        <is>
          <t>BETC</t>
        </is>
      </c>
      <c r="G52" s="33" t="inlineStr">
        <is>
          <t>France</t>
        </is>
      </c>
      <c r="H52" s="33" t="inlineStr">
        <is>
          <t>Copywriting: Outdoor</t>
        </is>
      </c>
      <c r="I52" s="33" t="inlineStr">
        <is>
          <t>https://ascentialcdn.filespin.io/api/v1/conversion/a4e96ca96c224419abb81dd8f9943b01</t>
        </is>
      </c>
      <c r="J52" s="33" t="inlineStr">
        <is>
          <t>XcYYt-gVd_k</t>
        </is>
      </c>
      <c r="L52" s="33" t="inlineStr">
        <is>
          <t>https://www.lovethework.com/work/entries/terms-and-conditions-of-being-a-girl-780098</t>
        </is>
      </c>
      <c r="M52" s="33" t="inlineStr">
        <is>
          <t>A copywriting-led outdoor piece for the City of Paris by BETC that frames the everyday restrictions placed on girls and women as a set of 'terms and conditions,' using legalese to expose gender inequality.</t>
        </is>
      </c>
      <c r="N52" s="33" t="inlineStr">
        <is>
          <t>ville de paris, city of paris, government, public service, gender, women, girls, equality, feminism, copywriting, outdoor, design, betc, france</t>
        </is>
      </c>
    </row>
    <row r="53">
      <c r="A53" s="33" t="n">
        <v>2026</v>
      </c>
      <c r="B53" s="164" t="inlineStr">
        <is>
          <t>Gold</t>
        </is>
      </c>
      <c r="C53" s="107" t="inlineStr">
        <is>
          <t>Hope</t>
        </is>
      </c>
      <c r="D53" s="33" t="inlineStr">
        <is>
          <t>IKEA</t>
        </is>
      </c>
      <c r="E53" s="33" t="inlineStr">
        <is>
          <t>IKEA Home Furnishings</t>
        </is>
      </c>
      <c r="F53" s="33" t="inlineStr">
        <is>
          <t>TRY</t>
        </is>
      </c>
      <c r="G53" s="33" t="inlineStr">
        <is>
          <t>Norway</t>
        </is>
      </c>
      <c r="H53" s="33" t="inlineStr">
        <is>
          <t>Copywriting: Print &amp; Publishing</t>
        </is>
      </c>
      <c r="I53" s="33" t="inlineStr">
        <is>
          <t>https://ascentialcdn.filespin.io/api/v1/conversion/8431a81785fc462f9f338e940d4466a6</t>
        </is>
      </c>
      <c r="J53" s="33" t="inlineStr">
        <is>
          <t>vimeo:1096194558</t>
        </is>
      </c>
      <c r="L53" s="33" t="inlineStr">
        <is>
          <t>https://www.lovethework.com/work/entries/hope-790580</t>
        </is>
      </c>
      <c r="M53" s="33" t="inlineStr">
        <is>
          <t>Part of a TRY, Oslo print series for IKEA built on sharp copywriting and art direction, the 'Hope' execution turns an everyday domestic moment into a crafted home-furnishings ad.</t>
        </is>
      </c>
      <c r="N53" s="33" t="inlineStr">
        <is>
          <t>ikea, home furnishings, furniture, home, retail, print, copywriting, art direction, design, try, oslo, norway</t>
        </is>
      </c>
    </row>
    <row r="54">
      <c r="A54" s="33" t="n">
        <v>2026</v>
      </c>
      <c r="B54" s="164" t="inlineStr">
        <is>
          <t>Gold</t>
        </is>
      </c>
      <c r="C54" s="107" t="inlineStr">
        <is>
          <t>Mornings</t>
        </is>
      </c>
      <c r="D54" s="33" t="inlineStr">
        <is>
          <t>IKEA</t>
        </is>
      </c>
      <c r="E54" s="33" t="inlineStr">
        <is>
          <t>IKEA Home Furnishings</t>
        </is>
      </c>
      <c r="F54" s="33" t="inlineStr">
        <is>
          <t>TRY</t>
        </is>
      </c>
      <c r="G54" s="33" t="inlineStr">
        <is>
          <t>Norway</t>
        </is>
      </c>
      <c r="H54" s="33" t="inlineStr">
        <is>
          <t>Copywriting: Print &amp; Publishing</t>
        </is>
      </c>
      <c r="I54" s="33" t="inlineStr">
        <is>
          <t>https://ascentialcdn.filespin.io/api/v1/conversion/5db093d7d3fd44a582abd572c51b8416</t>
        </is>
      </c>
      <c r="J54" s="33" t="inlineStr">
        <is>
          <t>vimeo:1096194558</t>
        </is>
      </c>
      <c r="L54" s="33" t="inlineStr">
        <is>
          <t>https://www.lovethework.com/work/entries/mornings-780083</t>
        </is>
      </c>
      <c r="M54" s="33" t="inlineStr">
        <is>
          <t>Part of a TRY, Oslo print series for IKEA built on sharp copywriting and art direction, the 'Mornings' execution turns an everyday domestic moment into a crafted home-furnishings ad.</t>
        </is>
      </c>
      <c r="N54" s="33" t="inlineStr">
        <is>
          <t>ikea, home furnishings, furniture, home, retail, print, copywriting, art direction, design, try, oslo, norway</t>
        </is>
      </c>
    </row>
    <row r="55">
      <c r="A55" s="33" t="n">
        <v>2026</v>
      </c>
      <c r="B55" s="164" t="inlineStr">
        <is>
          <t>Gold</t>
        </is>
      </c>
      <c r="C55" s="107" t="inlineStr">
        <is>
          <t>Picky</t>
        </is>
      </c>
      <c r="D55" s="33" t="inlineStr">
        <is>
          <t>IKEA</t>
        </is>
      </c>
      <c r="E55" s="33" t="inlineStr">
        <is>
          <t>IKEA Home Furnishings</t>
        </is>
      </c>
      <c r="F55" s="33" t="inlineStr">
        <is>
          <t>TRY</t>
        </is>
      </c>
      <c r="G55" s="33" t="inlineStr">
        <is>
          <t>Norway</t>
        </is>
      </c>
      <c r="H55" s="33" t="inlineStr">
        <is>
          <t>Copywriting: Print &amp; Publishing</t>
        </is>
      </c>
      <c r="I55" s="33" t="inlineStr">
        <is>
          <t>https://ascentialcdn.filespin.io/api/v1/conversion/348332c52cfe4054a1a9525e5b046518</t>
        </is>
      </c>
      <c r="J55" s="33" t="inlineStr">
        <is>
          <t>vimeo:1096194558</t>
        </is>
      </c>
      <c r="L55" s="33" t="inlineStr">
        <is>
          <t>https://www.lovethework.com/work/entries/picky-780087</t>
        </is>
      </c>
      <c r="M55" s="33" t="inlineStr">
        <is>
          <t>Part of a TRY, Oslo print series for IKEA built on sharp copywriting and art direction, the 'Picky' execution turns an everyday domestic moment into a crafted home-furnishings ad.</t>
        </is>
      </c>
      <c r="N55" s="33" t="inlineStr">
        <is>
          <t>ikea, home furnishings, furniture, home, retail, print, copywriting, art direction, design, try, oslo, norway</t>
        </is>
      </c>
    </row>
    <row r="56">
      <c r="A56" s="33" t="n">
        <v>2026</v>
      </c>
      <c r="B56" s="166" t="inlineStr">
        <is>
          <t>Bronze</t>
        </is>
      </c>
      <c r="C56" s="107" t="inlineStr">
        <is>
          <t>The Missing Word Dictionary</t>
        </is>
      </c>
      <c r="D56" s="33" t="inlineStr">
        <is>
          <t>Visioning Beyond Violence, Youth Alive!</t>
        </is>
      </c>
      <c r="E56" s="33" t="inlineStr">
        <is>
          <t>The Missing Word</t>
        </is>
      </c>
      <c r="F56" s="33" t="inlineStr">
        <is>
          <t>FCB Health New York</t>
        </is>
      </c>
      <c r="G56" s="33" t="inlineStr">
        <is>
          <t>United States</t>
        </is>
      </c>
      <c r="H56" s="33" t="inlineStr">
        <is>
          <t>Copywriting: Print &amp; Publishing</t>
        </is>
      </c>
      <c r="I56" s="33" t="inlineStr">
        <is>
          <t>https://ascentialcdn.filespin.io/api/v1/conversion/2a2582653fe641ef892534a71460ee2c</t>
        </is>
      </c>
      <c r="J56" s="33" t="inlineStr">
        <is>
          <t>OQdjpHoyQVs</t>
        </is>
      </c>
      <c r="L56" s="33" t="inlineStr">
        <is>
          <t>https://www.lovethework.com/work/entries/the-missing-word-dictionary-791760</t>
        </is>
      </c>
      <c r="M56" s="33" t="inlineStr">
        <is>
          <t>A book for Youth Alive! and Visioning Beyond Violence by FCB Health New York that coins and defines the words missing from our vocabulary for the experiences of community violence, turning a dictionary into an instrument of advocacy.</t>
        </is>
      </c>
      <c r="N56" s="33" t="inlineStr">
        <is>
          <t>youth alive, visioning beyond violence, nonprofit, violence, community violence, advocacy, social cause, dictionary, book, copywriting, print, publishing, design, fcb health new york, united states</t>
        </is>
      </c>
    </row>
    <row r="57">
      <c r="A57" s="33" t="n">
        <v>2026</v>
      </c>
      <c r="B57" s="165" t="inlineStr">
        <is>
          <t>Silver</t>
        </is>
      </c>
      <c r="C57" s="107" t="inlineStr">
        <is>
          <t>Craftman.ships</t>
        </is>
      </c>
      <c r="D57" s="33" t="inlineStr">
        <is>
          <t>SHIPS</t>
        </is>
      </c>
      <c r="E57" s="33" t="inlineStr">
        <is>
          <t>SHIPS</t>
        </is>
      </c>
      <c r="F57" s="33" t="inlineStr">
        <is>
          <t>Hakuhodo Gravity + Hakuhodo Cabin</t>
        </is>
      </c>
      <c r="G57" s="33" t="inlineStr">
        <is>
          <t>Japan</t>
        </is>
      </c>
      <c r="H57" s="33" t="inlineStr">
        <is>
          <t>Brand &amp; Communications Design</t>
        </is>
      </c>
      <c r="I57" s="33" t="inlineStr">
        <is>
          <t>https://ascentialcdn.filespin.io/api/v1/conversion/a564d50f9bf442f2a538ebf19954b74e</t>
        </is>
      </c>
      <c r="J57" s="33" t="inlineStr">
        <is>
          <t>vimeo:1203783886</t>
        </is>
      </c>
      <c r="L57" s="33" t="inlineStr">
        <is>
          <t>https://www.lovethework.com/work/entries/craftmanships-790605</t>
        </is>
      </c>
      <c r="M57" s="33" t="inlineStr">
        <is>
          <t>A design-driven campaign for Japanese fashion retailer Ships by Hakuhodo Gravity, playing on the pun 'Craftman.ships' to spotlight the craftsmanship behind the brand's clothing.</t>
        </is>
      </c>
      <c r="N57" s="33" t="inlineStr">
        <is>
          <t>ships, fashion, apparel, retail, clothing, craftsmanship, brand design, art direction, design, hakuhodo gravity, hakuhodo cabin, japan</t>
        </is>
      </c>
    </row>
    <row r="58">
      <c r="A58" s="33" t="n">
        <v>2026</v>
      </c>
      <c r="B58" s="164" t="inlineStr">
        <is>
          <t>Gold</t>
        </is>
      </c>
      <c r="C58" s="107" t="inlineStr">
        <is>
          <t>Dear Difference</t>
        </is>
      </c>
      <c r="D58" s="33" t="inlineStr">
        <is>
          <t>Nikka Whisky</t>
        </is>
      </c>
      <c r="E58" s="33" t="inlineStr">
        <is>
          <t>Taketsuru Pure Malt</t>
        </is>
      </c>
      <c r="F58" s="33" t="inlineStr">
        <is>
          <t>Dentsu</t>
        </is>
      </c>
      <c r="G58" s="33" t="inlineStr">
        <is>
          <t>Japan</t>
        </is>
      </c>
      <c r="H58" s="33" t="inlineStr">
        <is>
          <t>Brand &amp; Communications Design</t>
        </is>
      </c>
      <c r="I58" s="33" t="inlineStr">
        <is>
          <t>https://ascentialcdn.filespin.io/api/v1/conversion/7690353266f042eeb448bce4db6b3aed</t>
        </is>
      </c>
      <c r="J58" s="33" t="inlineStr">
        <is>
          <t>vimeo:1203783616</t>
        </is>
      </c>
      <c r="L58" s="33" t="inlineStr">
        <is>
          <t>https://www.lovethework.com/work/entries/dear-difference-779289</t>
        </is>
      </c>
      <c r="M58" s="33" t="inlineStr">
        <is>
          <t>A design for Nikka's Taketsuru Pure Malt that visualises the whisky through microscopic analogue dots made from physical paint experiments, crafting artwork that depicts both the blending of the malt and the life story of the brand's founder.</t>
        </is>
      </c>
      <c r="N58" s="33" t="inlineStr">
        <is>
          <t>nikka, whisky, whiskey, taketsuru, alcohol, spirits, drinks, rebrand, packaging, illustration, art direction, analogue, craft, design, dentsu, japan</t>
        </is>
      </c>
    </row>
  </sheetData>
  <autoFilter ref="A1:N31"/>
  <hyperlinks>
    <hyperlink xmlns:r="http://schemas.openxmlformats.org/officeDocument/2006/relationships" ref="I2" r:id="rId1"/>
    <hyperlink xmlns:r="http://schemas.openxmlformats.org/officeDocument/2006/relationships" ref="L2" r:id="rId2"/>
    <hyperlink xmlns:r="http://schemas.openxmlformats.org/officeDocument/2006/relationships" ref="I3" r:id="rId3"/>
    <hyperlink xmlns:r="http://schemas.openxmlformats.org/officeDocument/2006/relationships" ref="L3" r:id="rId4"/>
    <hyperlink xmlns:r="http://schemas.openxmlformats.org/officeDocument/2006/relationships" ref="I4" r:id="rId5"/>
    <hyperlink xmlns:r="http://schemas.openxmlformats.org/officeDocument/2006/relationships" ref="L4" r:id="rId6"/>
    <hyperlink xmlns:r="http://schemas.openxmlformats.org/officeDocument/2006/relationships" ref="L5" r:id="rId7"/>
    <hyperlink xmlns:r="http://schemas.openxmlformats.org/officeDocument/2006/relationships" ref="I6" r:id="rId8"/>
    <hyperlink xmlns:r="http://schemas.openxmlformats.org/officeDocument/2006/relationships" ref="L6" r:id="rId9"/>
    <hyperlink xmlns:r="http://schemas.openxmlformats.org/officeDocument/2006/relationships" ref="I7" r:id="rId10"/>
    <hyperlink xmlns:r="http://schemas.openxmlformats.org/officeDocument/2006/relationships" ref="L7" r:id="rId11"/>
    <hyperlink xmlns:r="http://schemas.openxmlformats.org/officeDocument/2006/relationships" ref="I8" r:id="rId12"/>
    <hyperlink xmlns:r="http://schemas.openxmlformats.org/officeDocument/2006/relationships" ref="L8" r:id="rId13"/>
    <hyperlink xmlns:r="http://schemas.openxmlformats.org/officeDocument/2006/relationships" ref="I9" r:id="rId14"/>
    <hyperlink xmlns:r="http://schemas.openxmlformats.org/officeDocument/2006/relationships" ref="L9" r:id="rId15"/>
    <hyperlink xmlns:r="http://schemas.openxmlformats.org/officeDocument/2006/relationships" ref="I10" r:id="rId16"/>
    <hyperlink xmlns:r="http://schemas.openxmlformats.org/officeDocument/2006/relationships" ref="L10" r:id="rId17"/>
    <hyperlink xmlns:r="http://schemas.openxmlformats.org/officeDocument/2006/relationships" ref="I11" r:id="rId18"/>
    <hyperlink xmlns:r="http://schemas.openxmlformats.org/officeDocument/2006/relationships" ref="L11" r:id="rId19"/>
    <hyperlink xmlns:r="http://schemas.openxmlformats.org/officeDocument/2006/relationships" ref="I12" r:id="rId20"/>
    <hyperlink xmlns:r="http://schemas.openxmlformats.org/officeDocument/2006/relationships" ref="L12" r:id="rId21"/>
    <hyperlink xmlns:r="http://schemas.openxmlformats.org/officeDocument/2006/relationships" ref="I13" r:id="rId22"/>
    <hyperlink xmlns:r="http://schemas.openxmlformats.org/officeDocument/2006/relationships" ref="L13" r:id="rId23"/>
    <hyperlink xmlns:r="http://schemas.openxmlformats.org/officeDocument/2006/relationships" ref="I14" r:id="rId24"/>
    <hyperlink xmlns:r="http://schemas.openxmlformats.org/officeDocument/2006/relationships" ref="L14" r:id="rId25"/>
    <hyperlink xmlns:r="http://schemas.openxmlformats.org/officeDocument/2006/relationships" ref="I15" r:id="rId26"/>
    <hyperlink xmlns:r="http://schemas.openxmlformats.org/officeDocument/2006/relationships" ref="L15" r:id="rId27"/>
    <hyperlink xmlns:r="http://schemas.openxmlformats.org/officeDocument/2006/relationships" ref="I16" r:id="rId28"/>
    <hyperlink xmlns:r="http://schemas.openxmlformats.org/officeDocument/2006/relationships" ref="L16" r:id="rId29"/>
    <hyperlink xmlns:r="http://schemas.openxmlformats.org/officeDocument/2006/relationships" ref="I17" r:id="rId30"/>
    <hyperlink xmlns:r="http://schemas.openxmlformats.org/officeDocument/2006/relationships" ref="L17" r:id="rId31"/>
    <hyperlink xmlns:r="http://schemas.openxmlformats.org/officeDocument/2006/relationships" ref="I18" r:id="rId32"/>
    <hyperlink xmlns:r="http://schemas.openxmlformats.org/officeDocument/2006/relationships" ref="L18" r:id="rId33"/>
    <hyperlink xmlns:r="http://schemas.openxmlformats.org/officeDocument/2006/relationships" ref="I19" r:id="rId34"/>
    <hyperlink xmlns:r="http://schemas.openxmlformats.org/officeDocument/2006/relationships" ref="L19" r:id="rId35"/>
    <hyperlink xmlns:r="http://schemas.openxmlformats.org/officeDocument/2006/relationships" ref="L20" r:id="rId36"/>
    <hyperlink xmlns:r="http://schemas.openxmlformats.org/officeDocument/2006/relationships" ref="I21" r:id="rId37"/>
    <hyperlink xmlns:r="http://schemas.openxmlformats.org/officeDocument/2006/relationships" ref="L21" r:id="rId38"/>
    <hyperlink xmlns:r="http://schemas.openxmlformats.org/officeDocument/2006/relationships" ref="I22" r:id="rId39"/>
    <hyperlink xmlns:r="http://schemas.openxmlformats.org/officeDocument/2006/relationships" ref="L22" r:id="rId40"/>
    <hyperlink xmlns:r="http://schemas.openxmlformats.org/officeDocument/2006/relationships" ref="I23" r:id="rId41"/>
    <hyperlink xmlns:r="http://schemas.openxmlformats.org/officeDocument/2006/relationships" ref="L23" r:id="rId42"/>
    <hyperlink xmlns:r="http://schemas.openxmlformats.org/officeDocument/2006/relationships" ref="I24" r:id="rId43"/>
    <hyperlink xmlns:r="http://schemas.openxmlformats.org/officeDocument/2006/relationships" ref="L24" r:id="rId44"/>
    <hyperlink xmlns:r="http://schemas.openxmlformats.org/officeDocument/2006/relationships" ref="I25" r:id="rId45"/>
    <hyperlink xmlns:r="http://schemas.openxmlformats.org/officeDocument/2006/relationships" ref="L25" r:id="rId46"/>
    <hyperlink xmlns:r="http://schemas.openxmlformats.org/officeDocument/2006/relationships" ref="I26" r:id="rId47"/>
    <hyperlink xmlns:r="http://schemas.openxmlformats.org/officeDocument/2006/relationships" ref="L26" r:id="rId48"/>
    <hyperlink xmlns:r="http://schemas.openxmlformats.org/officeDocument/2006/relationships" ref="I27" r:id="rId49"/>
    <hyperlink xmlns:r="http://schemas.openxmlformats.org/officeDocument/2006/relationships" ref="L27" r:id="rId50"/>
    <hyperlink xmlns:r="http://schemas.openxmlformats.org/officeDocument/2006/relationships" ref="I28" r:id="rId51"/>
    <hyperlink xmlns:r="http://schemas.openxmlformats.org/officeDocument/2006/relationships" ref="L28" r:id="rId52"/>
    <hyperlink xmlns:r="http://schemas.openxmlformats.org/officeDocument/2006/relationships" ref="L29" r:id="rId53"/>
    <hyperlink xmlns:r="http://schemas.openxmlformats.org/officeDocument/2006/relationships" ref="L30" r:id="rId54"/>
    <hyperlink xmlns:r="http://schemas.openxmlformats.org/officeDocument/2006/relationships" ref="I31" r:id="rId55"/>
    <hyperlink xmlns:r="http://schemas.openxmlformats.org/officeDocument/2006/relationships" ref="L31" r:id="rId56"/>
    <hyperlink xmlns:r="http://schemas.openxmlformats.org/officeDocument/2006/relationships" ref="I32" r:id="rId57"/>
    <hyperlink xmlns:r="http://schemas.openxmlformats.org/officeDocument/2006/relationships" ref="L32" r:id="rId58"/>
    <hyperlink xmlns:r="http://schemas.openxmlformats.org/officeDocument/2006/relationships" ref="I33" r:id="rId59"/>
    <hyperlink xmlns:r="http://schemas.openxmlformats.org/officeDocument/2006/relationships" ref="L33" r:id="rId60"/>
    <hyperlink xmlns:r="http://schemas.openxmlformats.org/officeDocument/2006/relationships" ref="I34" r:id="rId61"/>
    <hyperlink xmlns:r="http://schemas.openxmlformats.org/officeDocument/2006/relationships" ref="L34" r:id="rId62"/>
    <hyperlink xmlns:r="http://schemas.openxmlformats.org/officeDocument/2006/relationships" ref="I35" r:id="rId63"/>
    <hyperlink xmlns:r="http://schemas.openxmlformats.org/officeDocument/2006/relationships" ref="L35" r:id="rId64"/>
    <hyperlink xmlns:r="http://schemas.openxmlformats.org/officeDocument/2006/relationships" ref="I36" r:id="rId65"/>
    <hyperlink xmlns:r="http://schemas.openxmlformats.org/officeDocument/2006/relationships" ref="L36" r:id="rId66"/>
    <hyperlink xmlns:r="http://schemas.openxmlformats.org/officeDocument/2006/relationships" ref="I37" r:id="rId67"/>
    <hyperlink xmlns:r="http://schemas.openxmlformats.org/officeDocument/2006/relationships" ref="L37" r:id="rId68"/>
    <hyperlink xmlns:r="http://schemas.openxmlformats.org/officeDocument/2006/relationships" ref="I38" r:id="rId69"/>
    <hyperlink xmlns:r="http://schemas.openxmlformats.org/officeDocument/2006/relationships" ref="L38" r:id="rId70"/>
    <hyperlink xmlns:r="http://schemas.openxmlformats.org/officeDocument/2006/relationships" ref="I39" r:id="rId71"/>
    <hyperlink xmlns:r="http://schemas.openxmlformats.org/officeDocument/2006/relationships" ref="L39" r:id="rId72"/>
    <hyperlink xmlns:r="http://schemas.openxmlformats.org/officeDocument/2006/relationships" ref="I40" r:id="rId73"/>
    <hyperlink xmlns:r="http://schemas.openxmlformats.org/officeDocument/2006/relationships" ref="L40" r:id="rId74"/>
    <hyperlink xmlns:r="http://schemas.openxmlformats.org/officeDocument/2006/relationships" ref="I41" r:id="rId75"/>
    <hyperlink xmlns:r="http://schemas.openxmlformats.org/officeDocument/2006/relationships" ref="L41" r:id="rId76"/>
    <hyperlink xmlns:r="http://schemas.openxmlformats.org/officeDocument/2006/relationships" ref="I42" r:id="rId77"/>
    <hyperlink xmlns:r="http://schemas.openxmlformats.org/officeDocument/2006/relationships" ref="L42" r:id="rId78"/>
    <hyperlink xmlns:r="http://schemas.openxmlformats.org/officeDocument/2006/relationships" ref="I43" r:id="rId79"/>
    <hyperlink xmlns:r="http://schemas.openxmlformats.org/officeDocument/2006/relationships" ref="L43" r:id="rId80"/>
    <hyperlink xmlns:r="http://schemas.openxmlformats.org/officeDocument/2006/relationships" ref="I44" r:id="rId81"/>
    <hyperlink xmlns:r="http://schemas.openxmlformats.org/officeDocument/2006/relationships" ref="L44" r:id="rId82"/>
    <hyperlink xmlns:r="http://schemas.openxmlformats.org/officeDocument/2006/relationships" ref="I45" r:id="rId83"/>
    <hyperlink xmlns:r="http://schemas.openxmlformats.org/officeDocument/2006/relationships" ref="L45" r:id="rId84"/>
    <hyperlink xmlns:r="http://schemas.openxmlformats.org/officeDocument/2006/relationships" ref="I46" r:id="rId85"/>
    <hyperlink xmlns:r="http://schemas.openxmlformats.org/officeDocument/2006/relationships" ref="L46" r:id="rId86"/>
    <hyperlink xmlns:r="http://schemas.openxmlformats.org/officeDocument/2006/relationships" ref="I47" r:id="rId87"/>
    <hyperlink xmlns:r="http://schemas.openxmlformats.org/officeDocument/2006/relationships" ref="L47" r:id="rId88"/>
    <hyperlink xmlns:r="http://schemas.openxmlformats.org/officeDocument/2006/relationships" ref="I48" r:id="rId89"/>
    <hyperlink xmlns:r="http://schemas.openxmlformats.org/officeDocument/2006/relationships" ref="L48" r:id="rId90"/>
    <hyperlink xmlns:r="http://schemas.openxmlformats.org/officeDocument/2006/relationships" ref="I49" r:id="rId91"/>
    <hyperlink xmlns:r="http://schemas.openxmlformats.org/officeDocument/2006/relationships" ref="L49" r:id="rId92"/>
    <hyperlink xmlns:r="http://schemas.openxmlformats.org/officeDocument/2006/relationships" ref="I50" r:id="rId93"/>
    <hyperlink xmlns:r="http://schemas.openxmlformats.org/officeDocument/2006/relationships" ref="L50" r:id="rId94"/>
    <hyperlink xmlns:r="http://schemas.openxmlformats.org/officeDocument/2006/relationships" ref="I51" r:id="rId95"/>
    <hyperlink xmlns:r="http://schemas.openxmlformats.org/officeDocument/2006/relationships" ref="L51" r:id="rId96"/>
    <hyperlink xmlns:r="http://schemas.openxmlformats.org/officeDocument/2006/relationships" ref="I52" r:id="rId97"/>
    <hyperlink xmlns:r="http://schemas.openxmlformats.org/officeDocument/2006/relationships" ref="L52" r:id="rId98"/>
    <hyperlink xmlns:r="http://schemas.openxmlformats.org/officeDocument/2006/relationships" ref="I53" r:id="rId99"/>
    <hyperlink xmlns:r="http://schemas.openxmlformats.org/officeDocument/2006/relationships" ref="L53" r:id="rId100"/>
    <hyperlink xmlns:r="http://schemas.openxmlformats.org/officeDocument/2006/relationships" ref="I54" r:id="rId101"/>
    <hyperlink xmlns:r="http://schemas.openxmlformats.org/officeDocument/2006/relationships" ref="L54" r:id="rId102"/>
    <hyperlink xmlns:r="http://schemas.openxmlformats.org/officeDocument/2006/relationships" ref="I55" r:id="rId103"/>
    <hyperlink xmlns:r="http://schemas.openxmlformats.org/officeDocument/2006/relationships" ref="L55" r:id="rId104"/>
    <hyperlink xmlns:r="http://schemas.openxmlformats.org/officeDocument/2006/relationships" ref="I56" r:id="rId105"/>
    <hyperlink xmlns:r="http://schemas.openxmlformats.org/officeDocument/2006/relationships" ref="L56" r:id="rId106"/>
    <hyperlink xmlns:r="http://schemas.openxmlformats.org/officeDocument/2006/relationships" ref="I57" r:id="rId107"/>
    <hyperlink xmlns:r="http://schemas.openxmlformats.org/officeDocument/2006/relationships" ref="L57" r:id="rId108"/>
    <hyperlink xmlns:r="http://schemas.openxmlformats.org/officeDocument/2006/relationships" ref="I58" r:id="rId109"/>
    <hyperlink xmlns:r="http://schemas.openxmlformats.org/officeDocument/2006/relationships" ref="L58" r:id="rId110"/>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25"/>
  <sheetViews>
    <sheetView workbookViewId="0">
      <pane ySplit="1" topLeftCell="A2" activePane="bottomLeft" state="frozen"/>
      <selection pane="bottomLeft" activeCell="A1" sqref="A1"/>
    </sheetView>
  </sheetViews>
  <sheetFormatPr baseColWidth="8" defaultRowHeight="15"/>
  <cols>
    <col width="6" customWidth="1" style="34" min="1" max="1"/>
    <col width="16" customWidth="1" style="34" min="2" max="2"/>
    <col width="34" customWidth="1" style="34" min="3" max="3"/>
    <col width="22" customWidth="1" style="34" min="4" max="4"/>
    <col width="26" customWidth="1" style="34" min="5" max="5"/>
    <col width="28" customWidth="1" style="34" min="6" max="6"/>
    <col width="16" customWidth="1" style="34" min="7" max="7"/>
    <col width="34" customWidth="1" style="34" min="8" max="8"/>
    <col width="18" customWidth="1" style="34" min="9" max="9"/>
    <col width="16" customWidth="1" style="34" min="10" max="10"/>
    <col width="22" customWidth="1" style="34" min="11" max="11"/>
    <col hidden="1" width="20" customWidth="1" style="34" min="12" max="12"/>
    <col width="60" customWidth="1" style="34" min="13" max="13"/>
    <col width="40" customWidth="1" style="34" min="14" max="14"/>
  </cols>
  <sheetData>
    <row r="1" ht="22" customHeight="1" s="34">
      <c r="A1" s="122" t="inlineStr">
        <is>
          <t>Year</t>
        </is>
      </c>
      <c r="B1" s="122" t="inlineStr">
        <is>
          <t>Tier</t>
        </is>
      </c>
      <c r="C1" s="122" t="inlineStr">
        <is>
          <t>Campaign</t>
        </is>
      </c>
      <c r="D1" s="122" t="inlineStr">
        <is>
          <t>Brand</t>
        </is>
      </c>
      <c r="E1" s="122" t="inlineStr">
        <is>
          <t>Product/Service</t>
        </is>
      </c>
      <c r="F1" s="122" t="inlineStr">
        <is>
          <t>Agency</t>
        </is>
      </c>
      <c r="G1" s="122" t="inlineStr">
        <is>
          <t>Country</t>
        </is>
      </c>
      <c r="H1" s="122" t="inlineStr">
        <is>
          <t>Subcategory</t>
        </is>
      </c>
      <c r="I1" s="122" t="inlineStr">
        <is>
          <t>Image URL</t>
        </is>
      </c>
      <c r="J1" s="122" t="inlineStr">
        <is>
          <t>YouTube ID</t>
        </is>
      </c>
      <c r="K1" s="122" t="inlineStr">
        <is>
          <t>Campaign Group</t>
        </is>
      </c>
      <c r="L1" s="122" t="inlineStr">
        <is>
          <t>Entry URL</t>
        </is>
      </c>
      <c r="M1" s="122" t="inlineStr">
        <is>
          <t>Description</t>
        </is>
      </c>
      <c r="N1" s="122" t="inlineStr">
        <is>
          <t>Keywords</t>
        </is>
      </c>
    </row>
    <row r="2">
      <c r="A2" s="127" t="n">
        <v>2025</v>
      </c>
      <c r="B2" s="139" t="inlineStr">
        <is>
          <t>Grand Prix</t>
        </is>
      </c>
      <c r="C2" s="127" t="inlineStr">
        <is>
          <t>B2b: Act Like You Know</t>
        </is>
      </c>
      <c r="D2" s="127" t="inlineStr">
        <is>
          <t>GoDaddy</t>
        </is>
      </c>
      <c r="E2" s="127" t="inlineStr">
        <is>
          <t>GoDaddy Airo</t>
        </is>
      </c>
      <c r="F2" s="127" t="inlineStr">
        <is>
          <t>GoDaddy</t>
        </is>
      </c>
      <c r="G2" s="127" t="inlineStr">
        <is>
          <t>United States</t>
        </is>
      </c>
      <c r="H2" s="113" t="inlineStr">
        <is>
          <t>Integrated Campaigns</t>
        </is>
      </c>
      <c r="I2" s="128" t="inlineStr">
        <is>
          <t>https://ascentialcdn.filespin.io/api/v1/conversion/f0ac3195ac904c3daf13ae2ee67cc31a</t>
        </is>
      </c>
      <c r="J2" s="127" t="inlineStr">
        <is>
          <t>w9oF8Uu80Dg</t>
        </is>
      </c>
      <c r="K2" s="127" t="n"/>
      <c r="L2" s="128" t="inlineStr">
        <is>
          <t>https://www.lovethework.com/work/entries/b2b-act-like-you-know-758347</t>
        </is>
      </c>
      <c r="M2" s="113" t="inlineStr">
        <is>
          <t>An integrated B2B campaign in which actor Walton Goggins fronts a fictional small business — built using GoDaddy Airo, GoDaddy's AI-powered toolset — to demonstrate to other small business owners what the product can generate: a brand name, logo, website, and marketing materials, end to end. The fictional company functions as a live product demo, letting prospective customers see the output before hearing the pitch.</t>
        </is>
      </c>
      <c r="N2" s="113" t="inlineStr">
        <is>
          <t>godaddy-airo, ai, technology, integrated-campaign, b2b, business, small-business, united-states, celebrity, web-services</t>
        </is>
      </c>
    </row>
    <row r="3">
      <c r="A3" s="127" t="n">
        <v>2025</v>
      </c>
      <c r="B3" s="140" t="inlineStr">
        <is>
          <t>Gold</t>
        </is>
      </c>
      <c r="C3" s="127" t="inlineStr">
        <is>
          <t>Still Open</t>
        </is>
      </c>
      <c r="D3" s="127" t="inlineStr">
        <is>
          <t>Jc Decaux</t>
        </is>
      </c>
      <c r="E3" s="127" t="inlineStr">
        <is>
          <t>Ooh Media</t>
        </is>
      </c>
      <c r="F3" s="127" t="inlineStr">
        <is>
          <t>David</t>
        </is>
      </c>
      <c r="G3" s="127" t="inlineStr">
        <is>
          <t>Spain</t>
        </is>
      </c>
      <c r="H3" s="113" t="inlineStr">
        <is>
          <t>Market Disruption</t>
        </is>
      </c>
      <c r="I3" s="128" t="inlineStr">
        <is>
          <t>https://ascentialcdn.filespin.io/api/v1/conversion/bccb982c43f84748a1973b909b5863d3</t>
        </is>
      </c>
      <c r="J3" s="127" t="inlineStr">
        <is>
          <t>uIR17EmDu7g</t>
        </is>
      </c>
      <c r="K3" s="127" t="n"/>
      <c r="L3" s="128" t="inlineStr">
        <is>
          <t>https://www.lovethework.com/work/entries/still-open-758077</t>
        </is>
      </c>
      <c r="M3" s="113" t="inlineStr">
        <is>
          <t>A series of JCDecaux outdoor advertising panels in Valencia given free of charge to small street-level businesses damaged by the severe October 2024 flooding — letting shops, restaurants, and local services publicly signal that they had survived and were trading again. Developed by DAVID Madrid, the initiative used the existing billboard infrastructure already embedded in the neighborhoods most affected by the floods.</t>
        </is>
      </c>
      <c r="N3" s="113" t="inlineStr">
        <is>
          <t>ooh, ooh-media, b2b, business, pro-bono, disaster-relief, spain, small-business, street-furniture, outdoor</t>
        </is>
      </c>
    </row>
    <row r="4">
      <c r="A4" s="127" t="n">
        <v>2025</v>
      </c>
      <c r="B4" s="140" t="inlineStr">
        <is>
          <t>Gold</t>
        </is>
      </c>
      <c r="C4" s="127" t="inlineStr">
        <is>
          <t>Renault - Un.patent</t>
        </is>
      </c>
      <c r="D4" s="127" t="inlineStr">
        <is>
          <t>Renault</t>
        </is>
      </c>
      <c r="E4" s="127" t="inlineStr">
        <is>
          <t>Innovating Tools</t>
        </is>
      </c>
      <c r="F4" s="127" t="inlineStr">
        <is>
          <t>Publicis Conseil</t>
        </is>
      </c>
      <c r="G4" s="127" t="inlineStr">
        <is>
          <t>France</t>
        </is>
      </c>
      <c r="H4" s="113" t="inlineStr">
        <is>
          <t>Corporate Purpose &amp; Social Responsibility</t>
        </is>
      </c>
      <c r="I4" s="128" t="inlineStr">
        <is>
          <t>https://ascentialcdn.filespin.io/api/v1/conversion/f8592ba04ed4495d8a51757d790e8679</t>
        </is>
      </c>
      <c r="J4" s="127" t="inlineStr">
        <is>
          <t>yuaAtV_VnC0</t>
        </is>
      </c>
      <c r="K4" s="127" t="n"/>
      <c r="L4" s="128" t="inlineStr">
        <is>
          <t>https://www.lovethework.com/work/entries/renault-unpatent-757993</t>
        </is>
      </c>
      <c r="M4" s="113" t="inlineStr">
        <is>
          <t>A decision by Renault to file patents under the name "UN.Patent" — attributing inventions to the United Nations rather than to Renault — so that the intellectual property enters the public domain and can be freely used by any automaker worldwide. The move targets safety and sustainability technologies, removing the competitive lock-in that typically slows the industry-wide adoption of life-saving innovations.</t>
        </is>
      </c>
      <c r="N4" s="113" t="inlineStr">
        <is>
          <t>automotive, cars, transport, brand-voice, public-domain, intellectual-property, france, b2b, business, sustainability, strategic-storytelling</t>
        </is>
      </c>
    </row>
    <row r="5">
      <c r="A5" s="127" t="n">
        <v>2025</v>
      </c>
      <c r="B5" s="132" t="inlineStr">
        <is>
          <t>Silver</t>
        </is>
      </c>
      <c r="C5" s="127" t="inlineStr">
        <is>
          <t>Recipe for Growth</t>
        </is>
      </c>
      <c r="D5" s="127" t="inlineStr">
        <is>
          <t>Ifood</t>
        </is>
      </c>
      <c r="E5" s="127" t="inlineStr">
        <is>
          <t>Ifood B2b</t>
        </is>
      </c>
      <c r="F5" s="127" t="inlineStr">
        <is>
          <t>DM9</t>
        </is>
      </c>
      <c r="G5" s="127" t="inlineStr">
        <is>
          <t>Brazil</t>
        </is>
      </c>
      <c r="H5" s="113" t="inlineStr">
        <is>
          <t>Effectiveness &amp; Measurement</t>
        </is>
      </c>
      <c r="I5" s="128" t="inlineStr">
        <is>
          <t>https://ascentialcdn.filespin.io/api/v1/conversion/06ac79ad1b9840bdb3df3269a42d0933</t>
        </is>
      </c>
      <c r="J5" s="127" t="inlineStr">
        <is>
          <t>vimeo:1080197730</t>
        </is>
      </c>
      <c r="K5" s="127" t="n"/>
      <c r="L5" s="128" t="inlineStr">
        <is>
          <t>https://www.lovethework.com/work/entries/recipe-for-growth-757969</t>
        </is>
      </c>
      <c r="M5" s="113" t="inlineStr">
        <is>
          <t>A dashboard built into iFood's existing restaurant partner interface that converts the platform's order data — 120 million monthly transactions — into daily plain-language recommendations on pricing, menu positioning, ingredient purchasing, and local demand trends. Designed for the 64% of Brazilian restaurants that are family-owned and run by people with cooking skills but no formal business training, the tool surfaces geo-targeted insights directly in the app owners already use, with no separate login or technical setup required.</t>
        </is>
      </c>
      <c r="N5" s="113" t="inlineStr">
        <is>
          <t>food-delivery, food, restaurant, ecommerce, retail, online-shopping, b2b, business, mobile-app, data-driven, small-business, brazil, product-design</t>
        </is>
      </c>
    </row>
    <row r="6">
      <c r="A6" s="127" t="n">
        <v>2025</v>
      </c>
      <c r="B6" s="132" t="inlineStr">
        <is>
          <t>Silver</t>
        </is>
      </c>
      <c r="C6" s="127" t="inlineStr">
        <is>
          <t>Estibadores</t>
        </is>
      </c>
      <c r="D6" s="127" t="inlineStr">
        <is>
          <t>MiBanco</t>
        </is>
      </c>
      <c r="E6" s="127" t="inlineStr">
        <is>
          <t>Financial Inclusion Program</t>
        </is>
      </c>
      <c r="F6" s="127" t="inlineStr">
        <is>
          <t>Circus Grey</t>
        </is>
      </c>
      <c r="G6" s="127" t="inlineStr">
        <is>
          <t>Peru</t>
        </is>
      </c>
      <c r="H6" s="113" t="inlineStr">
        <is>
          <t>Targeting &amp; Engagement</t>
        </is>
      </c>
      <c r="I6" s="128" t="inlineStr">
        <is>
          <t>https://ascentialcdn.filespin.io/api/v1/conversion/5de4650ab9f34ebb8ad0ea4f4bc6b8b5</t>
        </is>
      </c>
      <c r="J6" s="127" t="inlineStr">
        <is>
          <t>ZUXcFSbQ8LA</t>
        </is>
      </c>
      <c r="K6" s="127" t="n"/>
      <c r="L6" s="128" t="inlineStr">
        <is>
          <t>https://www.lovethework.com/work/entries/estibadores-759626</t>
        </is>
      </c>
      <c r="M6" s="113" t="inlineStr">
        <is>
          <t>An out-of-home format built around the cargo dollies used by estibadores — the informal load carriers who work the Gamarra textile market in Lima — converting each trolley into a branded mobile advertising panel. The work responds to a Peruvian regulation that capped the weight estibadores are legally allowed to carry, cutting their earnings, by giving them a new income stream from the ad space on their equipment.</t>
        </is>
      </c>
      <c r="N6" s="113" t="inlineStr">
        <is>
          <t>financial-inclusion, ooh, informal-economy, peru, mibanco, labor-rights, mobile-advertising, corporate-purpose</t>
        </is>
      </c>
    </row>
    <row r="7">
      <c r="A7" s="127" t="n">
        <v>2025</v>
      </c>
      <c r="B7" s="132" t="inlineStr">
        <is>
          <t>Silver</t>
        </is>
      </c>
      <c r="C7" s="127" t="inlineStr">
        <is>
          <t>The Desk Break Clause</t>
        </is>
      </c>
      <c r="D7" s="127" t="inlineStr">
        <is>
          <t>ASICS</t>
        </is>
      </c>
      <c r="E7" s="127" t="inlineStr">
        <is>
          <t>ASICS</t>
        </is>
      </c>
      <c r="F7" s="127" t="inlineStr">
        <is>
          <t>Golin</t>
        </is>
      </c>
      <c r="G7" s="127" t="inlineStr">
        <is>
          <t>United Kingdom</t>
        </is>
      </c>
      <c r="H7" s="113" t="inlineStr">
        <is>
          <t>B2B Influencer Marketing</t>
        </is>
      </c>
      <c r="I7" s="128" t="inlineStr">
        <is>
          <t>https://ascentialcdn.filespin.io/api/v1/conversion/859a375f4fc94040a6d0deeea1586fae</t>
        </is>
      </c>
      <c r="J7" s="127" t="inlineStr">
        <is>
          <t>vimeo:1086029094</t>
        </is>
      </c>
      <c r="K7" s="127" t="n"/>
      <c r="L7" s="128" t="inlineStr">
        <is>
          <t>https://www.lovethework.com/work/entries/the-desk-break-clause-758238</t>
        </is>
      </c>
      <c r="M7" s="113" t="inlineStr">
        <is>
          <t>A contractual clause ASICS drafted and lobbied UK employers to adopt into their standard employment contracts, formally entitling office workers to a daily movement break away from their desk. The campaign enlisted actor Brian Cox to front the push, targeting HR decision-makers and business leaders as the primary audience rather than consumers.</t>
        </is>
      </c>
      <c r="N7" s="113" t="inlineStr">
        <is>
          <t>sportswear, b2b-influencer-marketing, content, digital, experiential, workplace-wellness, united-kingdom, celebrity-talent</t>
        </is>
      </c>
    </row>
    <row r="8">
      <c r="A8" s="127" t="n">
        <v>2025</v>
      </c>
      <c r="B8" s="132" t="inlineStr">
        <is>
          <t>Silver</t>
        </is>
      </c>
      <c r="C8" s="127" t="inlineStr">
        <is>
          <t>Animal Alerts</t>
        </is>
      </c>
      <c r="D8" s="127" t="inlineStr">
        <is>
          <t>Petpace</t>
        </is>
      </c>
      <c r="E8" s="127" t="inlineStr">
        <is>
          <t>Animal Alerts</t>
        </is>
      </c>
      <c r="F8" s="127" t="inlineStr">
        <is>
          <t>Serviceplan Germany</t>
        </is>
      </c>
      <c r="G8" s="127" t="inlineStr">
        <is>
          <t>Germany</t>
        </is>
      </c>
      <c r="H8" s="113" t="inlineStr">
        <is>
          <t>Corporate Purpose &amp; Social Responsibility</t>
        </is>
      </c>
      <c r="I8" s="128" t="inlineStr">
        <is>
          <t>https://ascentialcdn.filespin.io/api/v1/conversion/4c7f3fc5e9e844a883cf1d4bc94c9d58</t>
        </is>
      </c>
      <c r="J8" s="127" t="inlineStr">
        <is>
          <t>vimeo:1094309286</t>
        </is>
      </c>
      <c r="K8" s="127" t="n"/>
      <c r="L8" s="128" t="inlineStr">
        <is>
          <t>https://www.lovethework.com/work/entries/animal-alerts-757967</t>
        </is>
      </c>
      <c r="M8" s="113" t="inlineStr">
        <is>
          <t>A system that repurposes the biometric health sensors PetPace fits to domestic pets — tracking heart rate, temperature, and activity — to generate real-time wildlife distress alerts for animals in surrounding areas. When a pet's sensor detects unusual physiological stress patterns consistent with nearby environmental threats (wildfires, floods, or toxic events), the data is aggregated and broadcast as public alerts, extending the monitoring network into ecosystems beyond the household. The campaign was developed with Serviceplan Innovation, Creative Board, Mediaplus, and L&amp;C New York.</t>
        </is>
      </c>
      <c r="N8" s="113" t="inlineStr">
        <is>
          <t>pet-tech, data, wearable, corporate-purpose, animal-welfare, environmental, integrated, germany</t>
        </is>
      </c>
    </row>
    <row r="9">
      <c r="A9" s="127" t="n">
        <v>2025</v>
      </c>
      <c r="B9" s="133" t="inlineStr">
        <is>
          <t>Bronze</t>
        </is>
      </c>
      <c r="C9" s="127" t="inlineStr">
        <is>
          <t>Nescafé - Plantlets for Future</t>
        </is>
      </c>
      <c r="D9" s="127" t="inlineStr">
        <is>
          <t>Nescafe</t>
        </is>
      </c>
      <c r="E9" s="127" t="inlineStr">
        <is>
          <t>Coffee</t>
        </is>
      </c>
      <c r="F9" s="127" t="inlineStr">
        <is>
          <t>Publicis Conseil</t>
        </is>
      </c>
      <c r="G9" s="127" t="inlineStr">
        <is>
          <t>France</t>
        </is>
      </c>
      <c r="H9" s="113" t="inlineStr">
        <is>
          <t>Market Disruption</t>
        </is>
      </c>
      <c r="I9" s="128" t="inlineStr">
        <is>
          <t>https://ascentialcdn.filespin.io/api/v1/conversion/84fdb68c2d894cd581682c863718054b</t>
        </is>
      </c>
      <c r="J9" s="127" t="inlineStr">
        <is>
          <t>vimeo:1097814176</t>
        </is>
      </c>
      <c r="K9" s="127" t="n"/>
      <c r="L9" s="128" t="inlineStr">
        <is>
          <t>https://www.lovethework.com/work/entries/nescaf-plantlets-for-future-758004</t>
        </is>
      </c>
      <c r="M9" s="113" t="inlineStr">
        <is>
          <t>A B2B program in which Nescafé, working with Publicis Conseil in Paris, supplied coffee plantlets — lab-grown seedlings from disease-resistant arabica and robusta varieties — directly to coffee farmers as a way to future-proof supply chains against climate-driven crop loss. The offer was positioned at agricultural buyers and cooperative partners rather than end consumers, turning Nescafé's upstream sourcing dependency into a tradeable asset for growers.</t>
        </is>
      </c>
      <c r="N9" s="113" t="inlineStr">
        <is>
          <t>coffee, b2b, business, agriculture, supply-chain, france, sustainability, market-disruption</t>
        </is>
      </c>
    </row>
    <row r="10">
      <c r="A10" s="127" t="n">
        <v>2025</v>
      </c>
      <c r="B10" s="133" t="inlineStr">
        <is>
          <t>Bronze</t>
        </is>
      </c>
      <c r="C10" s="127" t="inlineStr">
        <is>
          <t>Caption with Intention</t>
        </is>
      </c>
      <c r="D10" s="127" t="inlineStr">
        <is>
          <t>Academy of Motion Picture Arts &amp; Sciences</t>
        </is>
      </c>
      <c r="E10" s="127" t="inlineStr">
        <is>
          <t>Closed Captioning</t>
        </is>
      </c>
      <c r="F10" s="127" t="inlineStr">
        <is>
          <t>FCB Chicago</t>
        </is>
      </c>
      <c r="G10" s="127" t="inlineStr">
        <is>
          <t>United States</t>
        </is>
      </c>
      <c r="H10" s="113" t="inlineStr">
        <is>
          <t>Innovative use of Content</t>
        </is>
      </c>
      <c r="I10" s="128" t="inlineStr">
        <is>
          <t>https://ascentialcdn.filespin.io/api/v1/conversion/8cee05632e994496abdaa28c9c780583</t>
        </is>
      </c>
      <c r="J10" s="127" t="inlineStr">
        <is>
          <t>F48khKZhKHM</t>
        </is>
      </c>
      <c r="K10" s="127" t="n"/>
      <c r="L10" s="128" t="inlineStr">
        <is>
          <t>https://www.lovethework.com/work/entries/caption-with-intention-757997</t>
        </is>
      </c>
      <c r="M10" s="113" t="inlineStr">
        <is>
          <t>A caption design system for film and television that moves beyond static white text — word-by-word sync pairs with expressive typography, where type weight, color, and motion signal volume, tone, and speaker identity. Developed by FCB Chicago in close partnership with the Chicago Hearing Society, Rakish, and the Academy of Motion Picture Arts and Sciences, which adopted it as a new standard for cinematic accessibility.</t>
        </is>
      </c>
      <c r="N10" s="113" t="inlineStr">
        <is>
          <t>closed-captioning, accessibility, typography, film, cinema, entertainment, societal-innovation, united-states, design-system, deaf-hard-of-hearing</t>
        </is>
      </c>
    </row>
    <row r="11">
      <c r="A11" s="127" t="n">
        <v>2025</v>
      </c>
      <c r="B11" s="133" t="inlineStr">
        <is>
          <t>Bronze</t>
        </is>
      </c>
      <c r="C11" s="127" t="inlineStr">
        <is>
          <t>Everybody's Business</t>
        </is>
      </c>
      <c r="D11" s="127" t="inlineStr">
        <is>
          <t>LinkedIn</t>
        </is>
      </c>
      <c r="E11" s="127" t="inlineStr">
        <is>
          <t>Everybody's Business</t>
        </is>
      </c>
      <c r="F11" s="127" t="inlineStr">
        <is>
          <t>LinkedIn</t>
        </is>
      </c>
      <c r="G11" s="127" t="inlineStr">
        <is>
          <t>Ireland</t>
        </is>
      </c>
      <c r="H11" s="113" t="inlineStr">
        <is>
          <t>Craft in B2B</t>
        </is>
      </c>
      <c r="I11" s="128" t="inlineStr">
        <is>
          <t>https://ascentialcdn.filespin.io/api/v1/conversion/31d78640c4d74a57a9568f3c2153d239</t>
        </is>
      </c>
      <c r="J11" s="127" t="inlineStr">
        <is>
          <t>vimeo:1094885255/793d3aa7b3</t>
        </is>
      </c>
      <c r="K11" s="127" t="n"/>
      <c r="L11" s="128" t="inlineStr">
        <is>
          <t>https://www.lovethework.com/work/entries/everybodys-business-760029</t>
        </is>
      </c>
      <c r="M11" s="113" t="inlineStr">
        <is>
          <t>A feature-length documentary produced by LinkedIn exploring the craft and culture of B2B marketing, launched alongside a companion industry report at Cannes Lions 2024. Both pieces were created in-house by LinkedIn's Dublin team and positioned B2B as a creative discipline worthy of the same attention given to consumer work.</t>
        </is>
      </c>
      <c r="N11" s="113" t="inlineStr">
        <is>
          <t>b2b, business, documentary, film, entertainment, cinema, professional-network, ireland, branded-content, marketing-industry</t>
        </is>
      </c>
    </row>
    <row r="12">
      <c r="A12" s="127" t="n">
        <v>2025</v>
      </c>
      <c r="B12" s="133" t="inlineStr">
        <is>
          <t>Bronze</t>
        </is>
      </c>
      <c r="C12" s="127" t="inlineStr">
        <is>
          <t>Preserved Promos</t>
        </is>
      </c>
      <c r="D12" s="127" t="inlineStr">
        <is>
          <t>Ziploc</t>
        </is>
      </c>
      <c r="E12" s="127" t="inlineStr">
        <is>
          <t>Ziploc</t>
        </is>
      </c>
      <c r="F12" s="127" t="inlineStr">
        <is>
          <t>VML</t>
        </is>
      </c>
      <c r="G12" s="127" t="inlineStr">
        <is>
          <t>United States</t>
        </is>
      </c>
      <c r="H12" s="113" t="inlineStr">
        <is>
          <t>Market Disruption</t>
        </is>
      </c>
      <c r="I12" s="128" t="inlineStr">
        <is>
          <t>https://ascentialcdn.filespin.io/api/v1/conversion/8223f25b769b40e3b665c4ec19e2e12c</t>
        </is>
      </c>
      <c r="J12" s="127" t="inlineStr">
        <is>
          <t>F9CTRsV3N7k</t>
        </is>
      </c>
      <c r="K12" s="127" t="n"/>
      <c r="L12" s="128" t="inlineStr">
        <is>
          <t>https://www.lovethework.com/work/entries/preserved-promos-758130</t>
        </is>
      </c>
      <c r="M12" s="113" t="inlineStr">
        <is>
          <t>A retail promotion mechanic that accepted expired food coupons as valid discounts on Ziploc products — shoppers uploaded a photo of any out-of-date food coupon and received savings on Ziploc bags in return. The mechanic ties directly to the brand's core proposition: if Ziploc preserves food, it can preserve a coupon's value too.</t>
        </is>
      </c>
      <c r="N12" s="113" t="inlineStr">
        <is>
          <t>food-storage, retail-media, coupon, commerce, mobile, united-states, sc-johnson, promotion</t>
        </is>
      </c>
    </row>
    <row r="13">
      <c r="A13" s="127" t="n">
        <v>2025</v>
      </c>
      <c r="B13" s="133" t="inlineStr">
        <is>
          <t>Bronze</t>
        </is>
      </c>
      <c r="C13" s="127" t="inlineStr">
        <is>
          <t>Starring Bars</t>
        </is>
      </c>
      <c r="D13" s="127" t="inlineStr">
        <is>
          <t>Heineken</t>
        </is>
      </c>
      <c r="E13" s="127" t="inlineStr">
        <is>
          <t>Heineken</t>
        </is>
      </c>
      <c r="F13" s="127" t="inlineStr">
        <is>
          <t>LePub</t>
        </is>
      </c>
      <c r="G13" s="127" t="inlineStr">
        <is>
          <t>Italy</t>
        </is>
      </c>
      <c r="H13" s="113" t="inlineStr">
        <is>
          <t>Cross-Channel Storytelling</t>
        </is>
      </c>
      <c r="I13" s="128" t="inlineStr">
        <is>
          <t>https://ascentialcdn.filespin.io/api/v1/conversion/6544f095e71a47a39d27334e2404e951</t>
        </is>
      </c>
      <c r="J13" s="127" t="inlineStr">
        <is>
          <t>VNq1oogkrYk</t>
        </is>
      </c>
      <c r="K13" s="127" t="n"/>
      <c r="L13" s="128" t="inlineStr">
        <is>
          <t>https://www.lovethework.com/work/entries/starring-bars-757826</t>
        </is>
      </c>
      <c r="M13" s="113" t="inlineStr">
        <is>
          <t>A global production policy Heineken adopted to film all of its commercials inside real partner bars that need financial support — turning the bars into paid sets and giving them rental income, a production makeover, and international visibility. When not serving customers, the venues serve as locations, with Heineken's ad spend flowing directly to struggling hospitality businesses.</t>
        </is>
      </c>
      <c r="N13" s="113" t="inlineStr">
        <is>
          <t>beer, alcohol, cross-channel, branded-content, hospitality, b2b, business, global, production, lepub</t>
        </is>
      </c>
    </row>
    <row r="14">
      <c r="A14" s="127" t="n">
        <v>2025</v>
      </c>
      <c r="B14" s="133" t="inlineStr">
        <is>
          <t>Bronze</t>
        </is>
      </c>
      <c r="C14" s="127" t="inlineStr">
        <is>
          <t>Recipe for Change</t>
        </is>
      </c>
      <c r="D14" s="127" t="inlineStr">
        <is>
          <t>Arla</t>
        </is>
      </c>
      <c r="E14" s="127" t="inlineStr">
        <is>
          <t>Puck</t>
        </is>
      </c>
      <c r="F14" s="127" t="inlineStr">
        <is>
          <t>FP7 McCann</t>
        </is>
      </c>
      <c r="G14" s="127" t="inlineStr">
        <is>
          <t>United Arab Emirates</t>
        </is>
      </c>
      <c r="H14" s="113" t="inlineStr">
        <is>
          <t>Targeting &amp; Engagement</t>
        </is>
      </c>
      <c r="I14" s="128" t="inlineStr">
        <is>
          <t>https://ascentialcdn.filespin.io/api/v1/conversion/47493919a45c464ca5a8228f83685d83</t>
        </is>
      </c>
      <c r="J14" s="127" t="inlineStr">
        <is>
          <t>vimeo:1078926878</t>
        </is>
      </c>
      <c r="K14" s="127" t="n"/>
      <c r="L14" s="128" t="inlineStr">
        <is>
          <t>https://www.lovethework.com/work/entries/recipe-for-change-758056</t>
        </is>
      </c>
      <c r="M14" s="113" t="inlineStr">
        <is>
          <t>A licensing program that turned Lebanese women's family recipes into restaurant intellectual property. Lebanese and fusion restaurants across the UAE served the dishes through March 2025 with half of each dish's profit flowing back to the cook, framing home cooking as an export and a source of income for displaced families.</t>
        </is>
      </c>
      <c r="N14" s="113" t="inlineStr">
        <is>
          <t>food, sdg, partnership, restaurant, social-good, middle-east, lebanon, licensing</t>
        </is>
      </c>
    </row>
    <row r="15">
      <c r="A15" s="33" t="n">
        <v>2026</v>
      </c>
      <c r="B15" s="167" t="inlineStr">
        <is>
          <t>Grand Prix</t>
        </is>
      </c>
      <c r="C15" s="33" t="inlineStr">
        <is>
          <t>The Faroe Islands Space Program</t>
        </is>
      </c>
      <c r="D15" s="33" t="inlineStr">
        <is>
          <t>SKF</t>
        </is>
      </c>
      <c r="E15" s="33" t="inlineStr">
        <is>
          <t>Technical Solutions and Innovations, Bearings, Seals and Lubrication</t>
        </is>
      </c>
      <c r="F15" s="33" t="inlineStr">
        <is>
          <t>Nord</t>
        </is>
      </c>
      <c r="G15" s="33" t="inlineStr">
        <is>
          <t>Sweden</t>
        </is>
      </c>
      <c r="H15" s="33" t="inlineStr">
        <is>
          <t>Craft in B2B</t>
        </is>
      </c>
      <c r="I15" s="33" t="inlineStr">
        <is>
          <t>https://ascentialcdn.filespin.io/api/v1/conversion/8cc6a1fe5a8848148606cea4c9ae9d72</t>
        </is>
      </c>
      <c r="J15" s="33" t="inlineStr">
        <is>
          <t>I182TbpuV0U</t>
        </is>
      </c>
      <c r="L15" s="33" t="inlineStr">
        <is>
          <t>https://www.lovethework.com/work/entries/the-faroe-islands-space-program-782400</t>
        </is>
      </c>
      <c r="M15" s="33" t="inlineStr">
        <is>
          <t>The Creative B2B Grand Prix. A daring platform from NORD Stockholm for Swedish bearing, seal and lubrication maker SKF that recasts an overlooked, commodity engineering brand around a bold sustainability story, staged under the provocative banner of a 'space program' for the remote Faroe Islands. Despite the name, the work is about industry and the environment rather than space travel, proving creative bravery is possible even in an unglamorous category.</t>
        </is>
      </c>
      <c r="N15" s="33" t="inlineStr">
        <is>
          <t>skf, bearings, seals, lubrication, engineering, manufacturing, industrial, machinery, b2b, business, sustainability, environment, craft in b2b, faroe islands, nord, sweden, grand prix</t>
        </is>
      </c>
    </row>
    <row r="16">
      <c r="A16" s="33" t="n">
        <v>2026</v>
      </c>
      <c r="B16" s="164" t="inlineStr">
        <is>
          <t>Gold</t>
        </is>
      </c>
      <c r="C16" s="33" t="inlineStr">
        <is>
          <t>Soil Stay</t>
        </is>
      </c>
      <c r="D16" s="33" t="inlineStr">
        <is>
          <t>Tra Mongkut Fertilizer</t>
        </is>
      </c>
      <c r="E16" s="33" t="inlineStr">
        <is>
          <t>Tra Mongkut Fertilizer</t>
        </is>
      </c>
      <c r="F16" s="33" t="inlineStr">
        <is>
          <t>VML</t>
        </is>
      </c>
      <c r="G16" s="33" t="inlineStr">
        <is>
          <t>Thailand</t>
        </is>
      </c>
      <c r="H16" s="33" t="inlineStr">
        <is>
          <t>Brand Experience</t>
        </is>
      </c>
      <c r="I16" s="33" t="inlineStr">
        <is>
          <t>https://ascentialcdn.filespin.io/api/v1/conversion/29e95fb0b77c4211a9474d3b35a40e1c</t>
        </is>
      </c>
      <c r="J16" s="33" t="inlineStr">
        <is>
          <t>vimeo:1152091660</t>
        </is>
      </c>
      <c r="L16" s="33" t="inlineStr">
        <is>
          <t>https://www.lovethework.com/work/entries/soil-stay-792984</t>
        </is>
      </c>
      <c r="M16" s="33" t="inlineStr">
        <is>
          <t>A B2B brand-experience program from VML Bangkok for Tra Mongkut Fertilizer: a data-driven farm-stay that invites Thai farmers to rest, learn and rejuvenate their land, turning soil science into a hospitality experience that builds relationships with the agricultural trade.</t>
        </is>
      </c>
      <c r="N16" s="33" t="inlineStr">
        <is>
          <t>tra mongkut, fertilizer, agriculture, farming, soil, plant nutrition, crops, thailand, b2b, business, brand experience, farm stay, hospitality, data, vml, gold</t>
        </is>
      </c>
    </row>
    <row r="17">
      <c r="A17" s="33" t="n">
        <v>2026</v>
      </c>
      <c r="B17" s="164" t="inlineStr">
        <is>
          <t>Gold</t>
        </is>
      </c>
      <c r="C17" s="33" t="inlineStr">
        <is>
          <t>Tocayos</t>
        </is>
      </c>
      <c r="D17" s="33" t="inlineStr">
        <is>
          <t>Heineken</t>
        </is>
      </c>
      <c r="E17" s="33" t="inlineStr">
        <is>
          <t>Heineken Beer</t>
        </is>
      </c>
      <c r="F17" s="33" t="inlineStr">
        <is>
          <t>LePub</t>
        </is>
      </c>
      <c r="G17" s="33" t="inlineStr">
        <is>
          <t>Italy</t>
        </is>
      </c>
      <c r="H17" s="33" t="inlineStr">
        <is>
          <t>Targeting &amp; Engagement</t>
        </is>
      </c>
      <c r="I17" s="33" t="inlineStr">
        <is>
          <t>https://ascentialcdn.filespin.io/api/v1/conversion/f94212ccbc4f4a5bb5d68cee89cab74d</t>
        </is>
      </c>
      <c r="J17" s="33" t="inlineStr">
        <is>
          <t>r5M5spNm-fI</t>
        </is>
      </c>
      <c r="L17" s="33" t="inlineStr">
        <is>
          <t>https://www.lovethework.com/work/entries/tocayos-776060</t>
        </is>
      </c>
      <c r="M17" s="33" t="inlineStr">
        <is>
          <t>A Heineken campaign by LePub that connects independent neighbourhood bars which already share one thing in common, their name, rallying these 'namesake' bars to support one another and preserve traditional local bar culture.</t>
        </is>
      </c>
      <c r="N17" s="33" t="inlineStr">
        <is>
          <t>heineken, beer, alcohol, drinks, bars, pubs, hospitality, on-trade, b2b, business, targeting, engagement, community, namesakes, lepub, italy, gold</t>
        </is>
      </c>
    </row>
    <row r="18">
      <c r="A18" s="33" t="n">
        <v>2026</v>
      </c>
      <c r="B18" s="165" t="inlineStr">
        <is>
          <t>Silver</t>
        </is>
      </c>
      <c r="C18" s="33" t="inlineStr">
        <is>
          <t>The Trojan Fax</t>
        </is>
      </c>
      <c r="D18" s="33" t="inlineStr">
        <is>
          <t>IUCN French Committee x Fujifilm Print</t>
        </is>
      </c>
      <c r="E18" s="33" t="inlineStr">
        <is>
          <t>IUCN French Committee (International Union for Conservation of Nature)</t>
        </is>
      </c>
      <c r="F18" s="33" t="inlineStr">
        <is>
          <t>BETC</t>
        </is>
      </c>
      <c r="G18" s="33" t="inlineStr">
        <is>
          <t>France</t>
        </is>
      </c>
      <c r="H18" s="33" t="inlineStr">
        <is>
          <t>Targeting &amp; Engagement</t>
        </is>
      </c>
      <c r="I18" s="33" t="inlineStr">
        <is>
          <t>https://ascentialcdn.filespin.io/api/v1/conversion/d3630efc1bab4ef1a231b5e5f1d14e8d</t>
        </is>
      </c>
      <c r="J18" s="33" t="inlineStr">
        <is>
          <t>vimeo:1203429857</t>
        </is>
      </c>
      <c r="L18" s="33" t="inlineStr">
        <is>
          <t>https://www.lovethework.com/work/entries/the-trojan-fax-782392</t>
        </is>
      </c>
      <c r="M18" s="33" t="inlineStr">
        <is>
          <t>A BETC Paris campaign for the IUCN French Committee with Fujifilm that turns the obsolete fax machine into a lobbying tool, reaching local elected officials to press them to protect natural spaces and enrol sites on the conservation 'Green List' to safeguard biodiversity.</t>
        </is>
      </c>
      <c r="N18" s="33" t="inlineStr">
        <is>
          <t>iucn, conservation, biodiversity, nature, environment, sustainability, ngo, not-for-profit, charity, social-good, non-profit, fujifilm, fax, print, b2b, business, targeting, engagement, lobbying, government, betc, france, silver</t>
        </is>
      </c>
    </row>
    <row r="19">
      <c r="A19" s="33" t="n">
        <v>2026</v>
      </c>
      <c r="B19" s="165" t="inlineStr">
        <is>
          <t>Silver</t>
        </is>
      </c>
      <c r="C19" s="33" t="inlineStr">
        <is>
          <t>Reverse Media Schedule</t>
        </is>
      </c>
      <c r="D19" s="33" t="inlineStr">
        <is>
          <t>Sea Cleaners &amp; JCDecaux</t>
        </is>
      </c>
      <c r="E19" s="33" t="inlineStr">
        <is>
          <t>Sea Cleaners &amp; JCDecaux</t>
        </is>
      </c>
      <c r="F19" s="33" t="inlineStr">
        <is>
          <t>Dentsu Creative</t>
        </is>
      </c>
      <c r="G19" s="33" t="inlineStr">
        <is>
          <t>New Zealand</t>
        </is>
      </c>
      <c r="H19" s="33" t="inlineStr">
        <is>
          <t>Market Disruption</t>
        </is>
      </c>
      <c r="I19" s="33" t="inlineStr">
        <is>
          <t>https://ascentialcdn.filespin.io/api/v1/conversion/b618f93d54ed4baa8306c6dab7e100f1</t>
        </is>
      </c>
      <c r="J19" s="33" t="inlineStr">
        <is>
          <t>zUr0Jjlm5WM</t>
        </is>
      </c>
      <c r="L19" s="33" t="inlineStr">
        <is>
          <t>https://www.lovethework.com/work/entries/reverse-media-schedule-777443</t>
        </is>
      </c>
      <c r="M19" s="33" t="inlineStr">
        <is>
          <t>A B2B media product from Dentsu Creative Auckland for Sea Cleaners and JCDecaux that reframes branded litter as a media-value problem, linking the removal of a brand's discarded packaging from the environment to its perception and out-of-home presence.</t>
        </is>
      </c>
      <c r="N19" s="33" t="inlineStr">
        <is>
          <t>sea cleaners, jcdecaux, ooh, out of home, media, sustainability, litter, environment, packaging, b2b, business, market disruption, dentsu creative, new zealand, silver</t>
        </is>
      </c>
    </row>
    <row r="20">
      <c r="A20" s="33" t="n">
        <v>2026</v>
      </c>
      <c r="B20" s="165" t="inlineStr">
        <is>
          <t>Silver</t>
        </is>
      </c>
      <c r="C20" s="33" t="inlineStr">
        <is>
          <t>Keep Thinking</t>
        </is>
      </c>
      <c r="D20" s="33" t="inlineStr">
        <is>
          <t>Claude</t>
        </is>
      </c>
      <c r="E20" s="33" t="inlineStr">
        <is>
          <t>Claude</t>
        </is>
      </c>
      <c r="F20" s="33" t="inlineStr">
        <is>
          <t>Mother</t>
        </is>
      </c>
      <c r="G20" s="33" t="inlineStr">
        <is>
          <t>United Kingdom</t>
        </is>
      </c>
      <c r="H20" s="33" t="inlineStr">
        <is>
          <t>Craft in B2B</t>
        </is>
      </c>
      <c r="I20" s="33" t="inlineStr">
        <is>
          <t>https://ascentialcdn.filespin.io/api/v1/conversion/b962cda103654c359096af2919049d62</t>
        </is>
      </c>
      <c r="J20" s="33" t="inlineStr">
        <is>
          <t>vimeo:1124860904</t>
        </is>
      </c>
      <c r="L20" s="33" t="inlineStr">
        <is>
          <t>https://www.lovethework.com/work/entries/keep-thinking-782376</t>
        </is>
      </c>
      <c r="M20" s="33" t="inlineStr">
        <is>
          <t>Anthropic's first paid campaign for its Claude AI, created by Mother, positioning Claude as the model for problem-solvers. A craft-led B2B platform built around scenarios that contrast AI that helps people think with AI built to monetise attention.</t>
        </is>
      </c>
      <c r="N20" s="33" t="inlineStr">
        <is>
          <t>anthropic, claude, ai, technology, artificial intelligence, software, saas, b2b, business, craft in b2b, advertising, mother, united kingdom, silver</t>
        </is>
      </c>
    </row>
    <row r="21">
      <c r="A21" s="33" t="n">
        <v>2026</v>
      </c>
      <c r="B21" s="165" t="inlineStr">
        <is>
          <t>Silver</t>
        </is>
      </c>
      <c r="C21" s="33" t="inlineStr">
        <is>
          <t>Vaseline Originals</t>
        </is>
      </c>
      <c r="D21" s="33" t="inlineStr">
        <is>
          <t>Vaseline</t>
        </is>
      </c>
      <c r="E21" s="33" t="inlineStr">
        <is>
          <t>Vaseline</t>
        </is>
      </c>
      <c r="F21" s="33" t="inlineStr">
        <is>
          <t>Ogilvy Singapore</t>
        </is>
      </c>
      <c r="G21" s="33" t="inlineStr">
        <is>
          <t>Singapore</t>
        </is>
      </c>
      <c r="H21" s="33" t="inlineStr">
        <is>
          <t>B2B Influencer Marketing</t>
        </is>
      </c>
      <c r="I21" s="33" t="inlineStr">
        <is>
          <t>https://ascentialcdn.filespin.io/api/v1/conversion/a51e4b12607a4d19abcc64bca7c099f5</t>
        </is>
      </c>
      <c r="J21" s="33" t="inlineStr">
        <is>
          <t>hzq9lR5SsNo</t>
        </is>
      </c>
      <c r="L21" s="33" t="inlineStr">
        <is>
          <t>https://www.lovethework.com/work/entries/vaseline-originals-793129</t>
        </is>
      </c>
      <c r="M21" s="33" t="inlineStr">
        <is>
          <t>An Ogilvy Singapore program for Unilever's Vaseline that turns creator-led beauty hacks into an actual product line, building 'Vaseline Originals' from the unofficial uses that content creators had already popularised.</t>
        </is>
      </c>
      <c r="N21" s="33" t="inlineStr">
        <is>
          <t>vaseline, unilever, beauty, skincare, personal-care, personal care, fmcg, cosmetics, b2b, business, influencer marketing, creators, content creators, co-creation, product line, ogilvy, singapore, silver</t>
        </is>
      </c>
    </row>
    <row r="22">
      <c r="A22" s="33" t="n">
        <v>2026</v>
      </c>
      <c r="B22" s="166" t="inlineStr">
        <is>
          <t>Bronze</t>
        </is>
      </c>
      <c r="C22" s="33" t="inlineStr">
        <is>
          <t>Dark Mode Ads</t>
        </is>
      </c>
      <c r="D22" s="33" t="inlineStr">
        <is>
          <t>Plenitude</t>
        </is>
      </c>
      <c r="E22" s="33" t="inlineStr">
        <is>
          <t>Energy</t>
        </is>
      </c>
      <c r="F22" s="33" t="inlineStr">
        <is>
          <t>LePub</t>
        </is>
      </c>
      <c r="G22" s="33" t="inlineStr">
        <is>
          <t>Italy</t>
        </is>
      </c>
      <c r="H22" s="33" t="inlineStr">
        <is>
          <t>Innovative use of Content</t>
        </is>
      </c>
      <c r="I22" s="33" t="inlineStr">
        <is>
          <t>https://ascentialcdn.filespin.io/api/v1/conversion/3926b12bf30741feae22c0af44937148</t>
        </is>
      </c>
      <c r="J22" s="33" t="inlineStr">
        <is>
          <t>vimeo:1188653060</t>
        </is>
      </c>
      <c r="L22" s="33" t="inlineStr">
        <is>
          <t>https://www.lovethework.com/work/entries/dark-mode-ads-782363</t>
        </is>
      </c>
      <c r="M22" s="33" t="inlineStr">
        <is>
          <t>A Plenitude (Eni) initiative by LePub that switches LED store windows and digital out-of-home screens to 'dark mode,' a low-luminance creative approach designed to cut the energy use of LED-screen advertising while keeping visual impact, and to invite other brands to do the same.</t>
        </is>
      </c>
      <c r="N22" s="33" t="inlineStr">
        <is>
          <t>plenitude, eni, energy, utilities, power, sustainability, dooh, digital out of home, ooh, led, dark mode, b2b, business, innovative use of content, lepub, italy, bronze</t>
        </is>
      </c>
    </row>
    <row r="23">
      <c r="A23" s="33" t="n">
        <v>2026</v>
      </c>
      <c r="B23" s="166" t="inlineStr">
        <is>
          <t>Bronze</t>
        </is>
      </c>
      <c r="C23" s="33" t="inlineStr">
        <is>
          <t>The Pub That Refused to Die</t>
        </is>
      </c>
      <c r="D23" s="33" t="inlineStr">
        <is>
          <t>Heineken</t>
        </is>
      </c>
      <c r="E23" s="33" t="inlineStr">
        <is>
          <t>Heineken Green</t>
        </is>
      </c>
      <c r="F23" s="33" t="inlineStr">
        <is>
          <t>LePub</t>
        </is>
      </c>
      <c r="G23" s="33" t="inlineStr">
        <is>
          <t>Italy</t>
        </is>
      </c>
      <c r="H23" s="33" t="inlineStr">
        <is>
          <t>Corporate Purpose &amp; Social Responsibility</t>
        </is>
      </c>
      <c r="I23" s="33" t="inlineStr">
        <is>
          <t>https://i.ytimg.com/vi/fbfxwHTi2S4/maxresdefault.jpg</t>
        </is>
      </c>
      <c r="J23" s="33" t="inlineStr">
        <is>
          <t>vimeo:1190924385</t>
        </is>
      </c>
      <c r="L23" s="33" t="inlineStr">
        <is>
          <t>https://www.lovethework.com/work/entries/the-pub-that-refused-to-die-782414</t>
        </is>
      </c>
      <c r="M23" s="33" t="inlineStr">
        <is>
          <t>Part of Heineken's 'For the Love of Pubs' platform by LePub and Publicis Dublin: a documentary following a struggling Irish local in Kilteely as its community fights to keep it open, framing pub culture and social connection as something worth safeguarding.</t>
        </is>
      </c>
      <c r="N23" s="33" t="inlineStr">
        <is>
          <t>heineken, beer, alcohol, drinks, pubs, bars, hospitality, ireland, documentary, film, entertainment, cinema, community, corporate purpose, social responsibility, b2b, business, lepub, publicis, italy, bronze</t>
        </is>
      </c>
    </row>
    <row r="24">
      <c r="A24" s="33" t="n">
        <v>2026</v>
      </c>
      <c r="B24" s="166" t="inlineStr">
        <is>
          <t>Bronze</t>
        </is>
      </c>
      <c r="C24" s="33" t="inlineStr">
        <is>
          <t>T-Rex Leather</t>
        </is>
      </c>
      <c r="D24" s="33" t="inlineStr">
        <is>
          <t>Lab-Grown Leather</t>
        </is>
      </c>
      <c r="E24" s="33" t="inlineStr">
        <is>
          <t>Leather</t>
        </is>
      </c>
      <c r="F24" s="33" t="inlineStr">
        <is>
          <t>VML</t>
        </is>
      </c>
      <c r="G24" s="33" t="inlineStr">
        <is>
          <t>France</t>
        </is>
      </c>
      <c r="H24" s="33" t="inlineStr">
        <is>
          <t>Market Disruption</t>
        </is>
      </c>
      <c r="I24" s="33" t="inlineStr">
        <is>
          <t>https://ascentialcdn.filespin.io/api/v1/conversion/681901bff42f45fa941deede546cc25a</t>
        </is>
      </c>
      <c r="J24" s="33" t="inlineStr">
        <is>
          <t>I2sHOyoL0J4</t>
        </is>
      </c>
      <c r="L24" s="33" t="inlineStr">
        <is>
          <t>https://www.lovethework.com/work/entries/t-rex-leather-775883</t>
        </is>
      </c>
      <c r="M24" s="33" t="inlineStr">
        <is>
          <t>A VML project for Lab-Grown Leather that engineers a luxury material from ancient collagen proteins traced to dinosaur fossils, debuting a 'T-Rex leather' handbag to dramatise a biotech, animal-free alternative to traditional hide.</t>
        </is>
      </c>
      <c r="N24" s="33" t="inlineStr">
        <is>
          <t>lab-grown leather, biotech, biotechnology, materials, leather, fashion, luxury, sustainability, science, b2b, business, market disruption, dinosaur, vml, france, bronze</t>
        </is>
      </c>
    </row>
    <row r="25">
      <c r="A25" s="33" t="n">
        <v>2026</v>
      </c>
      <c r="B25" s="166" t="inlineStr">
        <is>
          <t>Bronze</t>
        </is>
      </c>
      <c r="C25" s="33" t="inlineStr">
        <is>
          <t>¡Hola!</t>
        </is>
      </c>
      <c r="D25" s="33" t="inlineStr">
        <is>
          <t>Colas Iceland</t>
        </is>
      </c>
      <c r="E25" s="33" t="inlineStr">
        <is>
          <t>Asphalt Production and Road Paving</t>
        </is>
      </c>
      <c r="F25" s="33" t="inlineStr">
        <is>
          <t>Colas Iceland</t>
        </is>
      </c>
      <c r="G25" s="33" t="inlineStr">
        <is>
          <t>Iceland</t>
        </is>
      </c>
      <c r="H25" s="33" t="inlineStr">
        <is>
          <t>Market Disruption</t>
        </is>
      </c>
      <c r="I25" s="33" t="inlineStr">
        <is>
          <t>https://ascentialcdn.filespin.io/api/v1/conversion/4691229eb86c4f7fbb237ffb1526174a</t>
        </is>
      </c>
      <c r="J25" s="33" t="inlineStr">
        <is>
          <t>RZ_RvWpxEhw</t>
        </is>
      </c>
      <c r="L25" s="33" t="inlineStr">
        <is>
          <t>https://www.lovethework.com/work/entries/hola-776634</t>
        </is>
      </c>
      <c r="M25" s="33" t="inlineStr">
        <is>
          <t>A campaign for road-paving company Colas Ísland by PIPAR\TBWA Reykjavik that brings unexpected warmth and personality to an unglamorous asphalt-and-paving business, using a disarming '¡Hola!' greeting to reposition a commodity infrastructure brand in a cold climate.</t>
        </is>
      </c>
      <c r="N25" s="33" t="inlineStr">
        <is>
          <t>colas, asphalt, road paving, construction, real-estate, infrastructure, materials, roads, iceland, b2b, business, market disruption, pipar tbwa, bronze</t>
        </is>
      </c>
    </row>
  </sheetData>
  <autoFilter ref="A1:N14"/>
  <hyperlinks>
    <hyperlink xmlns:r="http://schemas.openxmlformats.org/officeDocument/2006/relationships" ref="I2" r:id="rId1"/>
    <hyperlink xmlns:r="http://schemas.openxmlformats.org/officeDocument/2006/relationships" ref="L2" r:id="rId2"/>
    <hyperlink xmlns:r="http://schemas.openxmlformats.org/officeDocument/2006/relationships" ref="I3" r:id="rId3"/>
    <hyperlink xmlns:r="http://schemas.openxmlformats.org/officeDocument/2006/relationships" ref="L3" r:id="rId4"/>
    <hyperlink xmlns:r="http://schemas.openxmlformats.org/officeDocument/2006/relationships" ref="I4" r:id="rId5"/>
    <hyperlink xmlns:r="http://schemas.openxmlformats.org/officeDocument/2006/relationships" ref="L4" r:id="rId6"/>
    <hyperlink xmlns:r="http://schemas.openxmlformats.org/officeDocument/2006/relationships" ref="I5" r:id="rId7"/>
    <hyperlink xmlns:r="http://schemas.openxmlformats.org/officeDocument/2006/relationships" ref="L5" r:id="rId8"/>
    <hyperlink xmlns:r="http://schemas.openxmlformats.org/officeDocument/2006/relationships" ref="I6" r:id="rId9"/>
    <hyperlink xmlns:r="http://schemas.openxmlformats.org/officeDocument/2006/relationships" ref="L6" r:id="rId10"/>
    <hyperlink xmlns:r="http://schemas.openxmlformats.org/officeDocument/2006/relationships" ref="I7" r:id="rId11"/>
    <hyperlink xmlns:r="http://schemas.openxmlformats.org/officeDocument/2006/relationships" ref="L7" r:id="rId12"/>
    <hyperlink xmlns:r="http://schemas.openxmlformats.org/officeDocument/2006/relationships" ref="I8" r:id="rId13"/>
    <hyperlink xmlns:r="http://schemas.openxmlformats.org/officeDocument/2006/relationships" ref="L8" r:id="rId14"/>
    <hyperlink xmlns:r="http://schemas.openxmlformats.org/officeDocument/2006/relationships" ref="I9" r:id="rId15"/>
    <hyperlink xmlns:r="http://schemas.openxmlformats.org/officeDocument/2006/relationships" ref="L9" r:id="rId16"/>
    <hyperlink xmlns:r="http://schemas.openxmlformats.org/officeDocument/2006/relationships" ref="I10" r:id="rId17"/>
    <hyperlink xmlns:r="http://schemas.openxmlformats.org/officeDocument/2006/relationships" ref="L10" r:id="rId18"/>
    <hyperlink xmlns:r="http://schemas.openxmlformats.org/officeDocument/2006/relationships" ref="I11" r:id="rId19"/>
    <hyperlink xmlns:r="http://schemas.openxmlformats.org/officeDocument/2006/relationships" ref="L11" r:id="rId20"/>
    <hyperlink xmlns:r="http://schemas.openxmlformats.org/officeDocument/2006/relationships" ref="I12" r:id="rId21"/>
    <hyperlink xmlns:r="http://schemas.openxmlformats.org/officeDocument/2006/relationships" ref="L12" r:id="rId22"/>
    <hyperlink xmlns:r="http://schemas.openxmlformats.org/officeDocument/2006/relationships" ref="I13" r:id="rId23"/>
    <hyperlink xmlns:r="http://schemas.openxmlformats.org/officeDocument/2006/relationships" ref="L13" r:id="rId24"/>
    <hyperlink xmlns:r="http://schemas.openxmlformats.org/officeDocument/2006/relationships" ref="I14" r:id="rId25"/>
    <hyperlink xmlns:r="http://schemas.openxmlformats.org/officeDocument/2006/relationships" ref="L14" r:id="rId2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31"/>
  <sheetViews>
    <sheetView workbookViewId="0">
      <pane ySplit="1" topLeftCell="A2" activePane="bottomLeft" state="frozen"/>
      <selection pane="bottomLeft" activeCell="A1" sqref="A1"/>
    </sheetView>
  </sheetViews>
  <sheetFormatPr baseColWidth="8" defaultRowHeight="15"/>
  <cols>
    <col width="6" customWidth="1" style="34" min="1" max="1"/>
    <col width="16" customWidth="1" style="34" min="2" max="2"/>
    <col width="34" customWidth="1" style="34" min="3" max="3"/>
    <col width="22" customWidth="1" style="34" min="4" max="4"/>
    <col width="26" customWidth="1" style="34" min="5" max="5"/>
    <col width="28" customWidth="1" style="34" min="6" max="6"/>
    <col width="16" customWidth="1" style="34" min="7" max="7"/>
    <col width="34" customWidth="1" style="34" min="8" max="8"/>
    <col width="18" customWidth="1" style="34" min="9" max="9"/>
    <col width="16" customWidth="1" style="34" min="10" max="10"/>
    <col width="22" customWidth="1" style="34" min="11" max="11"/>
    <col hidden="1" width="20" customWidth="1" style="34" min="12" max="12"/>
    <col width="60" customWidth="1" style="34" min="13" max="13"/>
    <col width="40" customWidth="1" style="34" min="14" max="14"/>
  </cols>
  <sheetData>
    <row r="1" ht="22" customHeight="1" s="34">
      <c r="A1" s="122" t="inlineStr">
        <is>
          <t>Year</t>
        </is>
      </c>
      <c r="B1" s="122" t="inlineStr">
        <is>
          <t>Tier</t>
        </is>
      </c>
      <c r="C1" s="122" t="inlineStr">
        <is>
          <t>Campaign</t>
        </is>
      </c>
      <c r="D1" s="122" t="inlineStr">
        <is>
          <t>Brand</t>
        </is>
      </c>
      <c r="E1" s="122" t="inlineStr">
        <is>
          <t>Product/Service</t>
        </is>
      </c>
      <c r="F1" s="122" t="inlineStr">
        <is>
          <t>Agency</t>
        </is>
      </c>
      <c r="G1" s="122" t="inlineStr">
        <is>
          <t>Country</t>
        </is>
      </c>
      <c r="H1" s="122" t="inlineStr">
        <is>
          <t>Subcategory</t>
        </is>
      </c>
      <c r="I1" s="122" t="inlineStr">
        <is>
          <t>Image URL</t>
        </is>
      </c>
      <c r="J1" s="122" t="inlineStr">
        <is>
          <t>YouTube ID</t>
        </is>
      </c>
      <c r="K1" s="122" t="inlineStr">
        <is>
          <t>Campaign Group</t>
        </is>
      </c>
      <c r="L1" s="122" t="inlineStr">
        <is>
          <t>Entry URL</t>
        </is>
      </c>
      <c r="M1" s="122" t="inlineStr">
        <is>
          <t>Description</t>
        </is>
      </c>
      <c r="N1" s="122" t="inlineStr">
        <is>
          <t>Keywords</t>
        </is>
      </c>
    </row>
    <row r="2">
      <c r="A2" s="127" t="n">
        <v>2025</v>
      </c>
      <c r="B2" s="140" t="inlineStr">
        <is>
          <t>Gold</t>
        </is>
      </c>
      <c r="C2" s="127" t="inlineStr">
        <is>
          <t>IKEA Hidden Tags</t>
        </is>
      </c>
      <c r="D2" s="127" t="inlineStr">
        <is>
          <t>IKEA</t>
        </is>
      </c>
      <c r="E2" s="127" t="inlineStr">
        <is>
          <t>IKEA</t>
        </is>
      </c>
      <c r="F2" s="127" t="inlineStr">
        <is>
          <t>Uzina</t>
        </is>
      </c>
      <c r="G2" s="127" t="inlineStr">
        <is>
          <t>Portugal</t>
        </is>
      </c>
      <c r="H2" s="113" t="inlineStr">
        <is>
          <t>Data Storytelling</t>
        </is>
      </c>
      <c r="I2" s="128" t="inlineStr">
        <is>
          <t>https://ascentialcdn.filespin.io/api/v1/conversion/237ade5924eb407898bf58d19f58a52a</t>
        </is>
      </c>
      <c r="J2" s="127" t="inlineStr">
        <is>
          <t>oKWkHqlt7yA</t>
        </is>
      </c>
      <c r="K2" s="127" t="n"/>
      <c r="L2" s="128" t="inlineStr">
        <is>
          <t>https://www.lovethework.com/work/entries/ikea-hidden-tags-753885</t>
        </is>
      </c>
      <c r="M2" s="113" t="inlineStr">
        <is>
          <t>A national treasure hunt that asked Portuguese households to find and photograph the small printed tags hidden inside their IKEA furniture, then upload them to see whose piece was oldest. The activation, marking IKEA's 20 years in Portugal, used the brand's own quality-control tags as proof that the furniture is built to last.</t>
        </is>
      </c>
      <c r="N2" s="113" t="inlineStr">
        <is>
          <t>retail, ugc, gamification, anniversary, furniture, home, portugal, product-design, direct</t>
        </is>
      </c>
    </row>
    <row r="3">
      <c r="A3" s="127" t="n">
        <v>2025</v>
      </c>
      <c r="B3" s="140" t="inlineStr">
        <is>
          <t>Gold</t>
        </is>
      </c>
      <c r="C3" s="127" t="inlineStr">
        <is>
          <t>Sato 2531</t>
        </is>
      </c>
      <c r="D3" s="127" t="inlineStr">
        <is>
          <t>Asuniwa</t>
        </is>
      </c>
      <c r="E3" s="127" t="inlineStr">
        <is>
          <t>Think Name Project</t>
        </is>
      </c>
      <c r="F3" s="127" t="inlineStr">
        <is>
          <t>Dentsu Digital</t>
        </is>
      </c>
      <c r="G3" s="127" t="inlineStr">
        <is>
          <t>Japan</t>
        </is>
      </c>
      <c r="H3" s="113" t="inlineStr">
        <is>
          <t>Cultural Engagement</t>
        </is>
      </c>
      <c r="I3" s="128" t="inlineStr">
        <is>
          <t>https://ascentialcdn.filespin.io/api/v1/conversion/e23ba1fc24004021856268a0ee6b44d9</t>
        </is>
      </c>
      <c r="J3" s="127" t="inlineStr">
        <is>
          <t>BW5T0gC6o3o</t>
        </is>
      </c>
      <c r="K3" s="127" t="n"/>
      <c r="L3" s="128" t="inlineStr">
        <is>
          <t>https://www.lovethework.com/work/entries/sato-2531-754250</t>
        </is>
      </c>
      <c r="M3" s="113" t="inlineStr">
        <is>
          <t>A data projection commissioned by Asuniwa, a Japanese gender equality organization, modeling the long-term impact of Japan's law requiring married couples to share a single surname — a rule that in practice leads most wives to take their husband's name. Working with an academic partner, the project calculated that if the law remains unchanged, "Sato" — currently Japan's most common surname — would mathematically become the only surviving family name in the country by the year 2531. To force the finding into public conversation, 40 organizations renamed their assets, accounts, and properties to "Sato."</t>
        </is>
      </c>
      <c r="N3" s="113" t="inlineStr">
        <is>
          <t>gender-equality, social-good, data-visualization, public-awareness, research, nonprofit, japan, social-issue, naming, activation</t>
        </is>
      </c>
    </row>
    <row r="4">
      <c r="A4" s="127" t="n">
        <v>2025</v>
      </c>
      <c r="B4" s="140" t="inlineStr">
        <is>
          <t>Gold</t>
        </is>
      </c>
      <c r="C4" s="127" t="inlineStr">
        <is>
          <t>Acko Tailor Test</t>
        </is>
      </c>
      <c r="D4" s="127" t="inlineStr">
        <is>
          <t>Acko</t>
        </is>
      </c>
      <c r="E4" s="127" t="inlineStr">
        <is>
          <t>Health Insurance</t>
        </is>
      </c>
      <c r="F4" s="127" t="inlineStr">
        <is>
          <t>Leo</t>
        </is>
      </c>
      <c r="G4" s="127" t="inlineStr">
        <is>
          <t>India</t>
        </is>
      </c>
      <c r="H4" s="113" t="inlineStr">
        <is>
          <t>Creative Data Collection &amp; Research</t>
        </is>
      </c>
      <c r="I4" s="128" t="inlineStr">
        <is>
          <t>https://ascentialcdn.filespin.io/api/v1/conversion/a8a20a31dcb844ebad5ef04afca8370b</t>
        </is>
      </c>
      <c r="J4" s="127" t="inlineStr">
        <is>
          <t>alezIXsk0So</t>
        </is>
      </c>
      <c r="K4" s="127" t="n"/>
      <c r="L4" s="128" t="inlineStr">
        <is>
          <t>https://www.lovethework.com/work/entries/acko-tailor-test-754081</t>
        </is>
      </c>
      <c r="M4" s="113" t="inlineStr">
        <is>
          <t>A training program for Indian tailors that turns the routine fitting into an early-warning heart screen. When a customer's waist or hip measurement crosses a clinical threshold, the tailor gently suggests a check-up — using a moment of trusted physical contact to reach under-insured customers who'd otherwise never get screened.</t>
        </is>
      </c>
      <c r="N4" s="113" t="inlineStr">
        <is>
          <t>healthcare, insurance, financial-services, finance, partnership, preventive-care, medical, social-good, india, behavioral, retail</t>
        </is>
      </c>
    </row>
    <row r="5">
      <c r="A5" s="127" t="n">
        <v>2025</v>
      </c>
      <c r="B5" s="132" t="inlineStr">
        <is>
          <t>Silver</t>
        </is>
      </c>
      <c r="C5" s="127" t="inlineStr">
        <is>
          <t>e.l.f. Beauty "so Many Dicks"</t>
        </is>
      </c>
      <c r="D5" s="127" t="inlineStr">
        <is>
          <t>e.l.f. Beauty</t>
        </is>
      </c>
      <c r="E5" s="127" t="n"/>
      <c r="F5" s="127" t="inlineStr">
        <is>
          <t>e.l.f. Beauty</t>
        </is>
      </c>
      <c r="G5" s="127" t="n"/>
      <c r="H5" s="113" t="inlineStr">
        <is>
          <t>Use of Humour</t>
        </is>
      </c>
      <c r="I5" s="128" t="inlineStr">
        <is>
          <t>https://ascentialcdn.filespin.io/api/v1/conversion/64d76bdbc8f54be7a59e700d5332b2a6</t>
        </is>
      </c>
      <c r="J5" s="127" t="inlineStr">
        <is>
          <t>-koo15C3nYI</t>
        </is>
      </c>
      <c r="K5" s="127" t="n"/>
      <c r="L5" s="128" t="inlineStr">
        <is>
          <t>https://www.lovethework.com/work/entries/elf-beauty-so-many-dicks-753999</t>
        </is>
      </c>
      <c r="M5" s="113" t="inlineStr">
        <is>
          <t>A data-backed campaign built on the finding that more men named Dick — Richard, Rich, and Rick — sit on U.S. corporate boards than all women combined. E.l.f. Beauty used that statistic to draw attention to gender disparity in corporate leadership, framing the brand's own diverse board as a counterpoint.</t>
        </is>
      </c>
      <c r="N5" s="113" t="inlineStr">
        <is>
          <t>cosmetics, personal-care, beauty, united-states, social-issue, gender-diversity, use-of-humour, corporate-advocacy, data-driven</t>
        </is>
      </c>
    </row>
    <row r="6">
      <c r="A6" s="127" t="n">
        <v>2025</v>
      </c>
      <c r="B6" s="132" t="inlineStr">
        <is>
          <t>Silver</t>
        </is>
      </c>
      <c r="C6" s="127" t="inlineStr">
        <is>
          <t>Drops of Hope</t>
        </is>
      </c>
      <c r="D6" s="127" t="inlineStr">
        <is>
          <t>Kimberly-Clark</t>
        </is>
      </c>
      <c r="E6" s="127" t="inlineStr">
        <is>
          <t>Poise</t>
        </is>
      </c>
      <c r="F6" s="127" t="inlineStr">
        <is>
          <t>FCB New York</t>
        </is>
      </c>
      <c r="G6" s="127" t="inlineStr">
        <is>
          <t>United States</t>
        </is>
      </c>
      <c r="H6" s="113" t="inlineStr">
        <is>
          <t>Data-Driven Consumer Product</t>
        </is>
      </c>
      <c r="I6" s="128" t="inlineStr">
        <is>
          <t>https://ascentialcdn.filespin.io/api/v1/conversion/d3b1ef914a9640f7b0b0389b64d37fd2</t>
        </is>
      </c>
      <c r="J6" s="127" t="inlineStr">
        <is>
          <t>MnF0kip489Y</t>
        </is>
      </c>
      <c r="K6" s="127" t="n"/>
      <c r="L6" s="128" t="inlineStr">
        <is>
          <t>https://www.lovethework.com/work/entries/drops-of-hope-753816</t>
        </is>
      </c>
      <c r="M6" s="113" t="inlineStr">
        <is>
          <t>A mail-back diagnostic service that turns Poise's incontinence pads into a preventive-health tool. Women in U.S. healthcare deserts can send a used pad to a doctor, who extracts urine for screening — extending basic check-ups to people who don't live near a clinic.</t>
        </is>
      </c>
      <c r="N6" s="113" t="inlineStr">
        <is>
          <t>healthcare, diagnostics, medical, womens-health, mail-back, product-innovation, social-good, rural, united-states</t>
        </is>
      </c>
    </row>
    <row r="7">
      <c r="A7" s="127" t="n">
        <v>2025</v>
      </c>
      <c r="B7" s="132" t="inlineStr">
        <is>
          <t>Silver</t>
        </is>
      </c>
      <c r="C7" s="127" t="inlineStr">
        <is>
          <t>Health Tracker</t>
        </is>
      </c>
      <c r="D7" s="127" t="inlineStr">
        <is>
          <t>Elea Laboratory</t>
        </is>
      </c>
      <c r="E7" s="127" t="inlineStr">
        <is>
          <t>Elea Laboratory</t>
        </is>
      </c>
      <c r="F7" s="127" t="inlineStr">
        <is>
          <t>VML</t>
        </is>
      </c>
      <c r="G7" s="127" t="inlineStr">
        <is>
          <t>Argentina</t>
        </is>
      </c>
      <c r="H7" s="113" t="inlineStr">
        <is>
          <t>Cultural Engagement</t>
        </is>
      </c>
      <c r="I7" s="128" t="inlineStr">
        <is>
          <t>https://ascentialcdn.filespin.io/api/v1/conversion/dc840a1ede4e49ceba65f229ae4ced69</t>
        </is>
      </c>
      <c r="J7" s="127" t="inlineStr">
        <is>
          <t>uMCZkFghs_w</t>
        </is>
      </c>
      <c r="K7" s="127" t="n"/>
      <c r="L7" s="128" t="inlineStr">
        <is>
          <t>https://www.lovethework.com/work/entries/health-tracker-754213</t>
        </is>
      </c>
      <c r="M7" s="113" t="inlineStr">
        <is>
          <t>A cross-border digital health tool built for pregnant women moving across the tri-border region shared by Argentina, Bolivia, and Paraguay — three countries whose healthcare systems don't communicate with each other. Developed by VML Buenos Aires with ELEA, Insufarma, and Fundación Mundo Sano, it lets patients carry and share their prenatal records across borders via mobile, maintaining continuity of care regardless of which country they're in.</t>
        </is>
      </c>
      <c r="N7" s="113" t="inlineStr">
        <is>
          <t>pharmaceutical, mobile-app, health, maternal-health, cross-border, argentina, bolivia, paraguay, creative-data</t>
        </is>
      </c>
    </row>
    <row r="8">
      <c r="A8" s="127" t="n">
        <v>2025</v>
      </c>
      <c r="B8" s="132" t="inlineStr">
        <is>
          <t>Silver</t>
        </is>
      </c>
      <c r="C8" s="127" t="inlineStr">
        <is>
          <t>Streetnav</t>
        </is>
      </c>
      <c r="D8" s="127" t="inlineStr">
        <is>
          <t>Streetco</t>
        </is>
      </c>
      <c r="E8" s="127" t="inlineStr">
        <is>
          <t>Streetnav</t>
        </is>
      </c>
      <c r="F8" s="127" t="inlineStr">
        <is>
          <t>Havas Paris</t>
        </is>
      </c>
      <c r="G8" s="127" t="inlineStr">
        <is>
          <t>France</t>
        </is>
      </c>
      <c r="H8" s="113" t="inlineStr">
        <is>
          <t>Use of Real-Time Data</t>
        </is>
      </c>
      <c r="I8" s="128" t="inlineStr">
        <is>
          <t>https://ascentialcdn.filespin.io/api/v1/conversion/e94bf22aa9464e848abb53d498481dc1</t>
        </is>
      </c>
      <c r="J8" s="127" t="inlineStr">
        <is>
          <t>vimeo:1093372618</t>
        </is>
      </c>
      <c r="K8" s="127" t="n"/>
      <c r="L8" s="128" t="inlineStr">
        <is>
          <t>https://www.lovethework.com/work/entries/streetnav-754079</t>
        </is>
      </c>
      <c r="M8" s="113" t="inlineStr">
        <is>
          <t>A navigation app for people with reduced mobility and visual impairments that uses real-time crowdsourced obstacle reporting and audio guidance to route users safely through city streets. Developed by French startup StreetCo and deployed in Cannes in partnership with the city's municipal authority, the app also maps accessible infrastructure — including adapted sports areas like Handiplage — updated continuously as conditions on the ground change.</t>
        </is>
      </c>
      <c r="N8" s="113" t="inlineStr">
        <is>
          <t>mobile-app, accessibility, real-time-data, urban-navigation, reduced-mobility, visual-impairment, france, public-service, crowdsourcing</t>
        </is>
      </c>
    </row>
    <row r="9">
      <c r="A9" s="127" t="n">
        <v>2025</v>
      </c>
      <c r="B9" s="132" t="inlineStr">
        <is>
          <t>Silver</t>
        </is>
      </c>
      <c r="C9" s="127" t="inlineStr">
        <is>
          <t>Pixvertising</t>
        </is>
      </c>
      <c r="D9" s="127" t="inlineStr">
        <is>
          <t>Burger King</t>
        </is>
      </c>
      <c r="E9" s="127" t="inlineStr">
        <is>
          <t>Bk Franguinhos</t>
        </is>
      </c>
      <c r="F9" s="127" t="inlineStr">
        <is>
          <t>AlmapBBDO</t>
        </is>
      </c>
      <c r="G9" s="127" t="inlineStr">
        <is>
          <t>Brazil</t>
        </is>
      </c>
      <c r="H9" s="113" t="inlineStr">
        <is>
          <t>Data-Driven Targeting</t>
        </is>
      </c>
      <c r="I9" s="128" t="inlineStr">
        <is>
          <t>https://ascentialcdn.filespin.io/api/v1/conversion/cfd7900b28e941bc9f0945581daf896f</t>
        </is>
      </c>
      <c r="J9" s="127" t="inlineStr">
        <is>
          <t>vimeo:1081470031</t>
        </is>
      </c>
      <c r="K9" s="127" t="n"/>
      <c r="L9" s="128" t="inlineStr">
        <is>
          <t>https://www.lovethework.com/work/entries/pixvertising-761869</t>
        </is>
      </c>
      <c r="M9" s="113" t="inlineStr">
        <is>
          <t>A campaign that sent R$0.01 transfers via Pix — Brazil's instant payment system — to Burger King customers, embedding promotional messages directly in the transaction description field visible in their banking apps. By routing micro-payments through Pix, AlmapBBDO turned the country's ubiquitous banking infrastructure into an ad placement for BK Franguinhos.</t>
        </is>
      </c>
      <c r="N9" s="113" t="inlineStr">
        <is>
          <t>fast-food, data-driven-targeting, mobile-banking, fintech, financial-services, finance, brazil, direct-messaging, micro-payments, personalization</t>
        </is>
      </c>
    </row>
    <row r="10">
      <c r="A10" s="127" t="n">
        <v>2025</v>
      </c>
      <c r="B10" s="132" t="inlineStr">
        <is>
          <t>Silver</t>
        </is>
      </c>
      <c r="C10" s="127" t="inlineStr">
        <is>
          <t>The Amazon Greenventory</t>
        </is>
      </c>
      <c r="D10" s="127" t="inlineStr">
        <is>
          <t>Natura</t>
        </is>
      </c>
      <c r="E10" s="127" t="inlineStr">
        <is>
          <t>Instituto Nattura</t>
        </is>
      </c>
      <c r="F10" s="127" t="inlineStr">
        <is>
          <t>Africa Creative DDB</t>
        </is>
      </c>
      <c r="G10" s="127" t="inlineStr">
        <is>
          <t>Brazil</t>
        </is>
      </c>
      <c r="H10" s="113" t="inlineStr">
        <is>
          <t>Data Technology</t>
        </is>
      </c>
      <c r="I10" s="128" t="inlineStr">
        <is>
          <t>https://ascentialcdn.filespin.io/api/v1/conversion/8f27d4982c9f44a0ae99fa41531bda8e</t>
        </is>
      </c>
      <c r="J10" s="127" t="inlineStr">
        <is>
          <t>vimeo:1096001831</t>
        </is>
      </c>
      <c r="K10" s="127" t="n"/>
      <c r="L10" s="128" t="inlineStr">
        <is>
          <t>https://www.lovethework.com/work/entries/the-amazon-greenventory-754084</t>
        </is>
      </c>
      <c r="M10" s="113" t="inlineStr">
        <is>
          <t>An inventory system built inside the Amazon rainforest that catalogues biodiversity data — species, ecosystems, and environmental assets — as a structured, browsable resource for conservation and research. Developed by Africa Creative DDB, São Paulo for Instituto Natura, the project treats the Amazon's biological wealth as accountable stock, assigning documented value to what is typically left unmeasured.</t>
        </is>
      </c>
      <c r="N10" s="113" t="inlineStr">
        <is>
          <t>nonprofit, environmental, data-visualization, biodiversity, amazon, brazil, conservation, sustainability, life-on-land</t>
        </is>
      </c>
    </row>
    <row r="11">
      <c r="A11" s="127" t="n">
        <v>2025</v>
      </c>
      <c r="B11" s="132" t="inlineStr">
        <is>
          <t>Silver</t>
        </is>
      </c>
      <c r="C11" s="127" t="inlineStr">
        <is>
          <t>Breastmilk Money</t>
        </is>
      </c>
      <c r="D11" s="127" t="inlineStr">
        <is>
          <t>Herconomy</t>
        </is>
      </c>
      <c r="E11" s="127" t="inlineStr">
        <is>
          <t>Herconomy</t>
        </is>
      </c>
      <c r="F11" s="127" t="inlineStr">
        <is>
          <t>Serviceplan Germany</t>
        </is>
      </c>
      <c r="G11" s="127" t="inlineStr">
        <is>
          <t>Germany</t>
        </is>
      </c>
      <c r="H11" s="113" t="inlineStr">
        <is>
          <t>Single-Market Campaign</t>
        </is>
      </c>
      <c r="I11" s="128" t="inlineStr">
        <is>
          <t>https://ascentialcdn.filespin.io/api/v1/conversion/73ea0e639f6747c68cf8460abe2f02bb</t>
        </is>
      </c>
      <c r="J11" s="127" t="inlineStr">
        <is>
          <t>vimeo:1094309200</t>
        </is>
      </c>
      <c r="K11" s="127" t="n"/>
      <c r="L11" s="128" t="inlineStr">
        <is>
          <t>https://www.lovethework.com/work/entries/breastmilk-money-754148</t>
        </is>
      </c>
      <c r="M11" s="113" t="inlineStr">
        <is>
          <t>A financial product built for breastfeeding mothers in Nigeria that converts expressed breast milk into a measurable economic unit — quantifying the unpaid labor of nursing and linking it to savings, investments, or financial services within the Herconomy platform. The product addresses the gap in women's financial participation during maternity, a period when income typically stalls while caregiving labor intensifies.</t>
        </is>
      </c>
      <c r="N11" s="113" t="inlineStr">
        <is>
          <t>fintech, financial-services, finance, womens-finance, breastfeeding, nigeria, single-market-campaign, mobile-app, health-and-wellness, creative-data, unpaid-labor</t>
        </is>
      </c>
    </row>
    <row r="12">
      <c r="A12" s="127" t="n">
        <v>2025</v>
      </c>
      <c r="B12" s="133" t="inlineStr">
        <is>
          <t>Bronze</t>
        </is>
      </c>
      <c r="C12" s="127" t="inlineStr">
        <is>
          <t>Recipe for Growth</t>
        </is>
      </c>
      <c r="D12" s="127" t="inlineStr">
        <is>
          <t>Ifood</t>
        </is>
      </c>
      <c r="E12" s="127" t="inlineStr">
        <is>
          <t>Ifood B2b</t>
        </is>
      </c>
      <c r="F12" s="127" t="inlineStr">
        <is>
          <t>DM9</t>
        </is>
      </c>
      <c r="G12" s="127" t="inlineStr">
        <is>
          <t>Brazil</t>
        </is>
      </c>
      <c r="H12" s="113" t="inlineStr">
        <is>
          <t>Data Integration</t>
        </is>
      </c>
      <c r="I12" s="128" t="inlineStr">
        <is>
          <t>https://ascentialcdn.filespin.io/api/v1/conversion/06ac79ad1b9840bdb3df3269a42d0933</t>
        </is>
      </c>
      <c r="J12" s="127" t="inlineStr">
        <is>
          <t>vimeo:1080197730</t>
        </is>
      </c>
      <c r="K12" s="127" t="n"/>
      <c r="L12" s="128" t="inlineStr">
        <is>
          <t>https://www.lovethework.com/work/entries/recipe-for-growth-754115</t>
        </is>
      </c>
      <c r="M12" s="113" t="inlineStr">
        <is>
          <t>A dashboard built into iFood's existing restaurant partner interface that converts the platform's order data — 120 million monthly transactions — into daily plain-language recommendations on pricing, menu positioning, ingredient purchasing, and local demand trends. Designed for the 64% of Brazilian restaurants that are family-owned and run by people with cooking skills but no formal business training, the tool surfaces geo-targeted insights directly in the app owners already use, with no separate login or technical setup required.</t>
        </is>
      </c>
      <c r="N12" s="113" t="inlineStr">
        <is>
          <t>food-delivery, food, restaurant, ecommerce, retail, online-shopping, b2b, business, mobile-app, data-driven, small-business, brazil, product-design</t>
        </is>
      </c>
    </row>
    <row r="13">
      <c r="A13" s="127" t="n">
        <v>2025</v>
      </c>
      <c r="B13" s="133" t="inlineStr">
        <is>
          <t>Bronze</t>
        </is>
      </c>
      <c r="C13" s="127" t="inlineStr">
        <is>
          <t>Disconnect</t>
        </is>
      </c>
      <c r="D13" s="127" t="inlineStr">
        <is>
          <t>Air France</t>
        </is>
      </c>
      <c r="E13" s="127" t="inlineStr">
        <is>
          <t>Air France Holidays</t>
        </is>
      </c>
      <c r="F13" s="127" t="inlineStr">
        <is>
          <t>TBWA\Paris</t>
        </is>
      </c>
      <c r="G13" s="127" t="inlineStr">
        <is>
          <t>France</t>
        </is>
      </c>
      <c r="H13" s="113" t="inlineStr">
        <is>
          <t>Data Visualisation</t>
        </is>
      </c>
      <c r="I13" s="128" t="inlineStr">
        <is>
          <t>https://ascentialcdn.filespin.io/api/v1/conversion/6fbd1db8f0384e92b6c363cfc1ba9bec</t>
        </is>
      </c>
      <c r="J13" s="127" t="inlineStr">
        <is>
          <t>htsdJ3-K3N4</t>
        </is>
      </c>
      <c r="K13" s="127" t="n"/>
      <c r="L13" s="128" t="inlineStr">
        <is>
          <t>https://www.lovethework.com/work/entries/disconnect-753762</t>
        </is>
      </c>
      <c r="M13" s="113" t="inlineStr">
        <is>
          <t>A poster series for Air France Holidays in which data visualizing the digital habits of French travelers — screen time, notifications, app usage — is arranged into four destination landscapes: a bustling city, a sun-drenched beach, a cabin in nature, and a sunset rooftop. Each visual uses the raw data itself as the graphic material, so the act of disconnecting from devices becomes the image of the place you're escaping to. The work was designed to give Air France Holidays a distinct visual identity separate from the Air France parent brand, responding to an OpinionWay finding that 72% of French people feel a need to disconnect.</t>
        </is>
      </c>
      <c r="N13" s="113" t="inlineStr">
        <is>
          <t>air-france-holidays, poster, data-visualisation, travel, tourism, france, typography, ooh, print</t>
        </is>
      </c>
    </row>
    <row r="14">
      <c r="A14" s="127" t="n">
        <v>2025</v>
      </c>
      <c r="B14" s="133" t="inlineStr">
        <is>
          <t>Bronze</t>
        </is>
      </c>
      <c r="C14" s="127" t="inlineStr">
        <is>
          <t>IKEA Hidden Tags</t>
        </is>
      </c>
      <c r="D14" s="127" t="inlineStr">
        <is>
          <t>IKEA</t>
        </is>
      </c>
      <c r="E14" s="127" t="inlineStr">
        <is>
          <t>IKEA</t>
        </is>
      </c>
      <c r="F14" s="127" t="inlineStr">
        <is>
          <t>Uzina</t>
        </is>
      </c>
      <c r="G14" s="127" t="inlineStr">
        <is>
          <t>Portugal</t>
        </is>
      </c>
      <c r="H14" s="113" t="inlineStr">
        <is>
          <t>Market Disruption</t>
        </is>
      </c>
      <c r="I14" s="128" t="inlineStr">
        <is>
          <t>https://ascentialcdn.filespin.io/api/v1/conversion/237ade5924eb407898bf58d19f58a52a</t>
        </is>
      </c>
      <c r="J14" s="127" t="inlineStr">
        <is>
          <t>oKWkHqlt7yA</t>
        </is>
      </c>
      <c r="K14" s="127" t="n"/>
      <c r="L14" s="128" t="inlineStr">
        <is>
          <t>https://www.lovethework.com/work/entries/ikea-hidden-tags-754342</t>
        </is>
      </c>
      <c r="M14" s="113" t="inlineStr">
        <is>
          <t>A national treasure hunt that asked Portuguese households to find and photograph the small printed tags hidden inside their IKEA furniture, then upload them to see whose piece was oldest. The activation, marking IKEA's 20 years in Portugal, used the brand's own quality-control tags as proof that the furniture is built to last.</t>
        </is>
      </c>
      <c r="N14" s="113" t="inlineStr">
        <is>
          <t>retail, ugc, gamification, anniversary, furniture, home, portugal, product-design, direct</t>
        </is>
      </c>
    </row>
    <row r="15">
      <c r="A15" s="127" t="n">
        <v>2025</v>
      </c>
      <c r="B15" s="133" t="inlineStr">
        <is>
          <t>Bronze</t>
        </is>
      </c>
      <c r="C15" s="127" t="inlineStr">
        <is>
          <t>The Missing Portraits</t>
        </is>
      </c>
      <c r="D15" s="127" t="inlineStr">
        <is>
          <t>Piracanjuba</t>
        </is>
      </c>
      <c r="E15" s="127" t="inlineStr">
        <is>
          <t>Milk</t>
        </is>
      </c>
      <c r="F15" s="127" t="inlineStr">
        <is>
          <t>Ampfy</t>
        </is>
      </c>
      <c r="G15" s="127" t="inlineStr">
        <is>
          <t>Brazil</t>
        </is>
      </c>
      <c r="H15" s="113" t="inlineStr">
        <is>
          <t>Corporate Purpose &amp; Social Responsibility</t>
        </is>
      </c>
      <c r="I15" s="128" t="inlineStr">
        <is>
          <t>https://ascentialcdn.filespin.io/api/v1/conversion/32d357cad3624b9489965e9886948447</t>
        </is>
      </c>
      <c r="J15" s="127" t="inlineStr">
        <is>
          <t>vimeo:1077737553</t>
        </is>
      </c>
      <c r="K15" s="127" t="n"/>
      <c r="L15" s="128" t="inlineStr">
        <is>
          <t>https://www.lovethework.com/work/entries/the-missing-portraits-754176</t>
        </is>
      </c>
      <c r="M15" s="113" t="inlineStr">
        <is>
          <t>A campaign that revived the 1980s practice of printing missing persons' faces on milk cartons, using AI to reconstruct aged portraits of eight individuals who disappeared decades ago and placing them on Piracanjuba milk packaging distributed across Brazil. The updated portraits — generated to show what each person might look like today — were paired with identifying information to aid in locating them, and the effort led to the founding of the Piracanjuba Institute to continue the work in subsequent waves.</t>
        </is>
      </c>
      <c r="N15" s="113" t="inlineStr">
        <is>
          <t>milk, packaging, ai, technology, public-interest, missing-persons, brazil, data-visualization, integrated, corporate-purpose</t>
        </is>
      </c>
    </row>
    <row r="16">
      <c r="A16" s="127" t="n">
        <v>2025</v>
      </c>
      <c r="B16" s="133" t="inlineStr">
        <is>
          <t>Bronze</t>
        </is>
      </c>
      <c r="C16" s="127" t="inlineStr">
        <is>
          <t>Life Donor Card</t>
        </is>
      </c>
      <c r="D16" s="127" t="inlineStr">
        <is>
          <t>Mastercard</t>
        </is>
      </c>
      <c r="E16" s="127" t="inlineStr">
        <is>
          <t>Life Donor Feature</t>
        </is>
      </c>
      <c r="F16" s="127" t="inlineStr">
        <is>
          <t>MRM Germany</t>
        </is>
      </c>
      <c r="G16" s="127" t="inlineStr">
        <is>
          <t>Germany</t>
        </is>
      </c>
      <c r="H16" s="113" t="inlineStr">
        <is>
          <t>Data-Driven Consumer Product</t>
        </is>
      </c>
      <c r="I16" s="128" t="inlineStr">
        <is>
          <t>https://ascentialcdn.filespin.io/api/v1/conversion/d4f1b0f66c5e4ae7ad17037a6aa198f7</t>
        </is>
      </c>
      <c r="J16" s="127" t="inlineStr">
        <is>
          <t>pe-7cdkH2dA</t>
        </is>
      </c>
      <c r="K16" s="127" t="n"/>
      <c r="L16" s="128" t="inlineStr">
        <is>
          <t>https://www.lovethework.com/work/entries/life-donor-card-759724</t>
        </is>
      </c>
      <c r="M16" s="113" t="inlineStr">
        <is>
          <t>A Mastercard product update in Germany — built with prepaid issuer PayCenter — that lets cardholders document their organ-donor consent on the front of their payment card. The card becomes a portable, always-on donor record in a country with the lowest organ-donation rate in Europe.</t>
        </is>
      </c>
      <c r="N16" s="113" t="inlineStr">
        <is>
          <t>credit-card, credit, payments, fintech, financial-services, finance, healthcare, social-good, product-innovation, organ-donation, medical, germany, partnership</t>
        </is>
      </c>
    </row>
    <row r="17">
      <c r="A17" s="127" t="n">
        <v>2025</v>
      </c>
      <c r="B17" s="133" t="inlineStr">
        <is>
          <t>Bronze</t>
        </is>
      </c>
      <c r="C17" s="127" t="inlineStr">
        <is>
          <t>Humanimal Tourism</t>
        </is>
      </c>
      <c r="D17" s="127" t="inlineStr">
        <is>
          <t>ProColombia</t>
        </is>
      </c>
      <c r="E17" s="127" t="inlineStr">
        <is>
          <t>Colombia, the Country of Beauty</t>
        </is>
      </c>
      <c r="F17" s="127" t="inlineStr">
        <is>
          <t>DDB Colombia</t>
        </is>
      </c>
      <c r="G17" s="127" t="inlineStr">
        <is>
          <t>Colombia</t>
        </is>
      </c>
      <c r="H17" s="113" t="inlineStr">
        <is>
          <t>Data-Enhanced Creativity</t>
        </is>
      </c>
      <c r="I17" s="128" t="inlineStr">
        <is>
          <t>https://ascentialcdn.filespin.io/api/v1/conversion/baf91a99fe954d17a2d2b48558a76a34</t>
        </is>
      </c>
      <c r="J17" s="127" t="inlineStr">
        <is>
          <t>1r6DMx0FOYk</t>
        </is>
      </c>
      <c r="K17" s="127" t="n"/>
      <c r="L17" s="128" t="inlineStr">
        <is>
          <t>https://www.lovethework.com/work/entries/humanimal-tourism-753838</t>
        </is>
      </c>
      <c r="M17" s="113" t="inlineStr">
        <is>
          <t>A tourism model built on matching the migratory patterns, habitats, and behavioral data of Colombia's endemic animal species to travel itineraries — so visitors follow the same routes as humpback whales, spectacled bears, or poison dart frogs through the country's ecosystems. DDB Colombia developed the system for ProColombia as a data-driven alternative to conventional destination marketing, using biodiversity as the navigation layer for human travel.</t>
        </is>
      </c>
      <c r="N17" s="113" t="inlineStr">
        <is>
          <t>tourism, travel, data, colombia, wildlife, mobile-app, travel-marketing, biodiversity, creative-data</t>
        </is>
      </c>
    </row>
    <row r="18">
      <c r="A18" s="127" t="n">
        <v>2025</v>
      </c>
      <c r="B18" s="133" t="inlineStr">
        <is>
          <t>Bronze</t>
        </is>
      </c>
      <c r="C18" s="127" t="inlineStr">
        <is>
          <t>The Social Feed</t>
        </is>
      </c>
      <c r="D18" s="127" t="inlineStr">
        <is>
          <t>HungerStation</t>
        </is>
      </c>
      <c r="E18" s="127" t="inlineStr">
        <is>
          <t>Food Delivery App</t>
        </is>
      </c>
      <c r="F18" s="127" t="inlineStr">
        <is>
          <t>VML</t>
        </is>
      </c>
      <c r="G18" s="127" t="inlineStr">
        <is>
          <t>United Arab Emirates</t>
        </is>
      </c>
      <c r="H18" s="113" t="inlineStr">
        <is>
          <t>Data-Driven Targeting</t>
        </is>
      </c>
      <c r="I18" s="128" t="inlineStr">
        <is>
          <t>https://ascentialcdn.filespin.io/api/v1/conversion/f79ebb4926094729b16cf44d9e9f7d4f</t>
        </is>
      </c>
      <c r="J18" s="127" t="inlineStr">
        <is>
          <t>vimeo:1075735593</t>
        </is>
      </c>
      <c r="K18" s="127" t="n"/>
      <c r="L18" s="128" t="inlineStr">
        <is>
          <t>https://www.lovethework.com/work/entries/the-social-feed-753950</t>
        </is>
      </c>
      <c r="M18" s="113" t="inlineStr">
        <is>
          <t>A direct-message feature on Saudi food-delivery app HungerStation that lets users forward any food photo from Instagram, TikTok, or Snapchat into the app. AI identifies the dish, finds the nearest restaurant on the platform that serves it, and opens an order — converting a 135-times-a-day social-media food crave into a tap.</t>
        </is>
      </c>
      <c r="N18" s="113" t="inlineStr">
        <is>
          <t>food-delivery, food, restaurant, ecommerce, retail, online-shopping, ai, technology, social-media, mobile-app, saudi-arabia, partnership, mena</t>
        </is>
      </c>
    </row>
    <row r="19">
      <c r="A19" s="33" t="n">
        <v>2026</v>
      </c>
      <c r="B19" s="167" t="inlineStr">
        <is>
          <t>Grand Prix</t>
        </is>
      </c>
      <c r="C19" s="107" t="inlineStr">
        <is>
          <t>SOS POS</t>
        </is>
      </c>
      <c r="D19" s="33" t="inlineStr">
        <is>
          <t>BCP</t>
        </is>
      </c>
      <c r="E19" s="33" t="inlineStr">
        <is>
          <t>SOS POS</t>
        </is>
      </c>
      <c r="F19" s="33" t="inlineStr">
        <is>
          <t>Circus Grey</t>
        </is>
      </c>
      <c r="G19" s="33" t="inlineStr">
        <is>
          <t>Peru</t>
        </is>
      </c>
      <c r="H19" s="33" t="inlineStr">
        <is>
          <t>Ethical Data &amp; Privacy Innovation</t>
        </is>
      </c>
      <c r="I19" s="33" t="inlineStr">
        <is>
          <t>https://ascentialcdn.filespin.io/api/v1/conversion/1d46e6542c474e14a830761bec4b045a</t>
        </is>
      </c>
      <c r="J19" s="33" t="inlineStr">
        <is>
          <t>GVdCoJEhO6M</t>
        </is>
      </c>
      <c r="L19" s="33" t="inlineStr">
        <is>
          <t>https://www.lovethework.com/work/entries/sos-pos-789501</t>
        </is>
      </c>
      <c r="M19" s="33" t="inlineStr">
        <is>
          <t>The Creative Data Grand Prix. For Peruvian bank BCP, Circus Grey turned ordinary retail POS terminals into emergency account-blocking points: a phone-theft victim can walk into any participating shop, verify their identity at the checkout and instantly freeze their accounts, connecting front-end POS terminals to the bank's back-end via a purpose-built API.</t>
        </is>
      </c>
      <c r="N19" s="33" t="inlineStr">
        <is>
          <t>bcp, bank, banking, financial-services, finance, financial services, peru, phone theft, security, fraud prevention, pos terminal, payments, fintech, api, ethical data, privacy, data, circus grey, grand prix</t>
        </is>
      </c>
    </row>
    <row r="20">
      <c r="A20" s="33" t="n">
        <v>2026</v>
      </c>
      <c r="B20" s="164" t="inlineStr">
        <is>
          <t>Gold</t>
        </is>
      </c>
      <c r="C20" s="107" t="inlineStr">
        <is>
          <t>600K Network</t>
        </is>
      </c>
      <c r="D20" s="33" t="inlineStr">
        <is>
          <t>Comando Con Venezuela</t>
        </is>
      </c>
      <c r="E20" s="33" t="inlineStr">
        <is>
          <t>Comando Con Venezuela</t>
        </is>
      </c>
      <c r="F20" s="33" t="inlineStr">
        <is>
          <t>Rainbow Lobster</t>
        </is>
      </c>
      <c r="G20" s="33" t="inlineStr">
        <is>
          <t>Mexico</t>
        </is>
      </c>
      <c r="H20" s="33" t="inlineStr">
        <is>
          <t>Real-Time &amp; Dynamic Creative</t>
        </is>
      </c>
      <c r="I20" s="33" t="inlineStr">
        <is>
          <t>https://ascentialcdn.filespin.io/api/v1/conversion/10e9a33b9daf44ca9b31dc361459f87a</t>
        </is>
      </c>
      <c r="J20" s="33" t="inlineStr">
        <is>
          <t>k2U1G8xCYus</t>
        </is>
      </c>
      <c r="L20" s="33" t="inlineStr">
        <is>
          <t>https://www.lovethework.com/work/entries/600k-network-778652</t>
        </is>
      </c>
      <c r="M20" s="33" t="inlineStr">
        <is>
          <t>For the Venezuelan citizen movement Comando con Venezuela, Rainbow Lobster built a real-time network that captured, digitised and verified electoral tally sheets (actas) as votes came in, turning a distributed civic effort into a transparent, public record of the result.</t>
        </is>
      </c>
      <c r="N20" s="33" t="inlineStr">
        <is>
          <t>comando con venezuela, venezuela, civic, activism, social-good, elections, voting, democracy, electoral records, transparency, real-time data, crowdsourcing, network, data, rainbow lobster, mexico, gold</t>
        </is>
      </c>
    </row>
    <row r="21">
      <c r="A21" s="33" t="n">
        <v>2026</v>
      </c>
      <c r="B21" s="164" t="inlineStr">
        <is>
          <t>Gold</t>
        </is>
      </c>
      <c r="C21" s="107" t="inlineStr">
        <is>
          <t>SOS POS</t>
        </is>
      </c>
      <c r="D21" s="33" t="inlineStr">
        <is>
          <t>BCP</t>
        </is>
      </c>
      <c r="E21" s="33" t="inlineStr">
        <is>
          <t>SOS POS</t>
        </is>
      </c>
      <c r="F21" s="33" t="inlineStr">
        <is>
          <t>Circus Grey</t>
        </is>
      </c>
      <c r="G21" s="33" t="inlineStr">
        <is>
          <t>Peru</t>
        </is>
      </c>
      <c r="H21" s="33" t="inlineStr">
        <is>
          <t>Purpose-Driven Data Solutions</t>
        </is>
      </c>
      <c r="I21" s="33" t="inlineStr">
        <is>
          <t>https://ascentialcdn.filespin.io/api/v1/conversion/1d46e6542c474e14a830761bec4b045a</t>
        </is>
      </c>
      <c r="J21" s="33" t="inlineStr">
        <is>
          <t>GVdCoJEhO6M</t>
        </is>
      </c>
      <c r="L21" s="33" t="inlineStr">
        <is>
          <t>https://www.lovethework.com/work/entries/sos-pos-789506</t>
        </is>
      </c>
      <c r="M21" s="33" t="inlineStr">
        <is>
          <t>The Creative Data Grand Prix. For Peruvian bank BCP, Circus Grey turned ordinary retail POS terminals into emergency account-blocking points: a phone-theft victim can walk into any participating shop, verify their identity at the checkout and instantly freeze their accounts, connecting front-end POS terminals to the bank's back-end via a purpose-built API.</t>
        </is>
      </c>
      <c r="N21" s="33" t="inlineStr">
        <is>
          <t>bcp, bank, banking, financial-services, finance, financial services, peru, phone theft, security, fraud prevention, pos terminal, payments, fintech, api, ethical data, privacy, data, circus grey, grand prix</t>
        </is>
      </c>
    </row>
    <row r="22">
      <c r="A22" s="33" t="n">
        <v>2026</v>
      </c>
      <c r="B22" s="165" t="inlineStr">
        <is>
          <t>Silver</t>
        </is>
      </c>
      <c r="C22" s="107" t="inlineStr">
        <is>
          <t>Unwatched Goals</t>
        </is>
      </c>
      <c r="D22" s="33" t="inlineStr">
        <is>
          <t>Brahma</t>
        </is>
      </c>
      <c r="E22" s="33" t="inlineStr">
        <is>
          <t>Beer</t>
        </is>
      </c>
      <c r="F22" s="33" t="inlineStr">
        <is>
          <t>Africa Creative</t>
        </is>
      </c>
      <c r="G22" s="33" t="inlineStr">
        <is>
          <t>Brazil</t>
        </is>
      </c>
      <c r="H22" s="33" t="inlineStr">
        <is>
          <t>Real-Time &amp; Dynamic Creative</t>
        </is>
      </c>
      <c r="I22" s="33" t="inlineStr">
        <is>
          <t>https://ascentialcdn.filespin.io/api/v1/conversion/3a741b1a245442c7a1e5026914e4b6c6</t>
        </is>
      </c>
      <c r="J22" s="33" t="inlineStr">
        <is>
          <t>vimeo:1191276115</t>
        </is>
      </c>
      <c r="L22" s="33" t="inlineStr">
        <is>
          <t>https://www.lovethework.com/work/entries/unwatched-goals-777650</t>
        </is>
      </c>
      <c r="M22" s="33" t="inlineStr">
        <is>
          <t>A Brahma campaign that mined real-time data from football matches with no broadcast coverage, turning the play-by-play of overlooked lower-division games into live content so fans of forgotten teams could finally follow their goals.</t>
        </is>
      </c>
      <c r="N22" s="33" t="inlineStr">
        <is>
          <t>brahma, beer, alcohol, drinks, ambev, brazil, football, soccer, sport, sports, real-time data, live data, fans, lower division, data, africa creative, silver</t>
        </is>
      </c>
    </row>
    <row r="23">
      <c r="A23" s="33" t="n">
        <v>2026</v>
      </c>
      <c r="B23" s="165" t="inlineStr">
        <is>
          <t>Silver</t>
        </is>
      </c>
      <c r="C23" s="107" t="inlineStr">
        <is>
          <t>Duobell</t>
        </is>
      </c>
      <c r="D23" s="33" t="inlineStr">
        <is>
          <t>Skoda</t>
        </is>
      </c>
      <c r="E23" s="33" t="inlineStr">
        <is>
          <t>Skoda</t>
        </is>
      </c>
      <c r="F23" s="33" t="inlineStr">
        <is>
          <t>Abbott Mead Vickers BBDO</t>
        </is>
      </c>
      <c r="G23" s="33" t="inlineStr">
        <is>
          <t>United Kingdom</t>
        </is>
      </c>
      <c r="H23" s="33" t="inlineStr">
        <is>
          <t>Data-Driven Product Innovation</t>
        </is>
      </c>
      <c r="I23" s="33" t="inlineStr">
        <is>
          <t>https://ascentialcdn.filespin.io/api/v1/conversion/06a95a918bcd40c7b64cdf0b7123d586</t>
        </is>
      </c>
      <c r="J23" s="33" t="inlineStr">
        <is>
          <t>vimeo:1189880268</t>
        </is>
      </c>
      <c r="L23" s="33" t="inlineStr">
        <is>
          <t>https://www.lovethework.com/work/entries/duobell-789483</t>
        </is>
      </c>
      <c r="M23" s="33" t="inlineStr">
        <is>
          <t>A bicycle bell for Škoda, developed with AMV BBDO and acousticians at the University of Salford. A second resonator tuned to a higher frequency lets the ring cut through the noise-cancelling algorithms in ANC headphones, so cyclists can be heard by pedestrians wearing them.</t>
        </is>
      </c>
      <c r="N23" s="33" t="inlineStr">
        <is>
          <t>skoda, car, automotive, cars, transport, vehicle, mobility, cycling, bicycle, bike bell, road safety, pedestrians, anc headphones, acoustics, product innovation, data, amv bbdo, abbott mead vickers, united kingdom, silver</t>
        </is>
      </c>
    </row>
    <row r="24">
      <c r="A24" s="33" t="n">
        <v>2026</v>
      </c>
      <c r="B24" s="165" t="inlineStr">
        <is>
          <t>Silver</t>
        </is>
      </c>
      <c r="C24" s="107" t="inlineStr">
        <is>
          <t>Lucky Fan Index</t>
        </is>
      </c>
      <c r="D24" s="33" t="inlineStr">
        <is>
          <t>Wisła Kraków Football Club</t>
        </is>
      </c>
      <c r="E24" s="33" t="inlineStr">
        <is>
          <t>Wisła Kraków Football Club</t>
        </is>
      </c>
      <c r="F24" s="33" t="inlineStr">
        <is>
          <t>VML</t>
        </is>
      </c>
      <c r="G24" s="33" t="inlineStr">
        <is>
          <t>Poland</t>
        </is>
      </c>
      <c r="H24" s="33" t="inlineStr">
        <is>
          <t>Data Storytelling &amp; Narrative</t>
        </is>
      </c>
      <c r="I24" s="33" t="inlineStr">
        <is>
          <t>https://ascentialcdn.filespin.io/api/v1/conversion/0c49c9d60a944a37add314890bbff7bb</t>
        </is>
      </c>
      <c r="J24" s="33" t="inlineStr">
        <is>
          <t>vimeo:1182366532</t>
        </is>
      </c>
      <c r="L24" s="33" t="inlineStr">
        <is>
          <t>https://www.lovethework.com/work/entries/lucky-fan-index-789487</t>
        </is>
      </c>
      <c r="M24" s="33" t="inlineStr">
        <is>
          <t>An AI-driven analytical tool for Polish football club Wisła Kraków that quantifies the 'luck' fans bring to the team, mining match and supporter data to turn the intangible feeling of fan influence into a measurable index fans could follow and share.</t>
        </is>
      </c>
      <c r="N24" s="33" t="inlineStr">
        <is>
          <t>wisla krakow, football, soccer, sport, sports, sports club, poland, fans, supporters, ai, technology, artificial intelligence, data storytelling, analytics, data, vml, silver</t>
        </is>
      </c>
    </row>
    <row r="25">
      <c r="A25" s="33" t="n">
        <v>2026</v>
      </c>
      <c r="B25" s="165" t="inlineStr">
        <is>
          <t>Silver</t>
        </is>
      </c>
      <c r="C25" s="107" t="inlineStr">
        <is>
          <t>Haven</t>
        </is>
      </c>
      <c r="D25" s="33" t="inlineStr">
        <is>
          <t>Suncorp Insurance</t>
        </is>
      </c>
      <c r="E25" s="33" t="inlineStr">
        <is>
          <t>Insurance</t>
        </is>
      </c>
      <c r="F25" s="33" t="inlineStr">
        <is>
          <t>Leo Australia</t>
        </is>
      </c>
      <c r="G25" s="33" t="inlineStr">
        <is>
          <t>Australia</t>
        </is>
      </c>
      <c r="H25" s="33" t="inlineStr">
        <is>
          <t>Market Disruption &amp; Transformation</t>
        </is>
      </c>
      <c r="I25" s="33" t="inlineStr">
        <is>
          <t>https://ascentialcdn.filespin.io/api/v1/conversion/77cfcfb8b3214196bb50aae00975065b</t>
        </is>
      </c>
      <c r="J25" s="33" t="inlineStr">
        <is>
          <t>Pwf50R9flkU</t>
        </is>
      </c>
      <c r="L25" s="33" t="inlineStr">
        <is>
          <t>https://www.lovethework.com/work/entries/haven-789521</t>
        </is>
      </c>
      <c r="M25" s="33" t="inlineStr">
        <is>
          <t>A digital platform for Suncorp Insurance, built by Leo Australia, that lets any Australian homeowner enter their address and receive a tailored report and video outlining the property's flood, bushfire, cyclone and storm risks, drawing on live weather, property and natural-peril data to deliver personalised resilience advice.</t>
        </is>
      </c>
      <c r="N25" s="33" t="inlineStr">
        <is>
          <t>suncorp insurance, insurance, financial-services, finance, financial services, australia, home, property, climate, sustainability, environment, natural disasters, flood, bushfire, cyclone, weather data, risk, resilience, platform, data, leo australia, silver</t>
        </is>
      </c>
    </row>
    <row r="26">
      <c r="A26" s="33" t="n">
        <v>2026</v>
      </c>
      <c r="B26" s="166" t="inlineStr">
        <is>
          <t>Bronze</t>
        </is>
      </c>
      <c r="C26" s="107" t="inlineStr">
        <is>
          <t>Fantasy Herd</t>
        </is>
      </c>
      <c r="D26" s="33" t="inlineStr">
        <is>
          <t>Meadow Fresh</t>
        </is>
      </c>
      <c r="E26" s="33" t="inlineStr">
        <is>
          <t>Fresh White Milk</t>
        </is>
      </c>
      <c r="F26" s="33" t="inlineStr">
        <is>
          <t>McCann New Zealand</t>
        </is>
      </c>
      <c r="G26" s="33" t="inlineStr">
        <is>
          <t>New Zealand</t>
        </is>
      </c>
      <c r="H26" s="33" t="inlineStr">
        <is>
          <t>Creative Data Visualisation</t>
        </is>
      </c>
      <c r="I26" s="33" t="inlineStr">
        <is>
          <t>https://ascentialcdn.filespin.io/api/v1/conversion/8fa0a2eb41e84f40b7b09000a5397f7c</t>
        </is>
      </c>
      <c r="J26" s="33" t="inlineStr">
        <is>
          <t>6rALJlRjRV8</t>
        </is>
      </c>
      <c r="L26" s="33" t="inlineStr">
        <is>
          <t>https://www.lovethework.com/work/entries/fantasy-herd-777295</t>
        </is>
      </c>
      <c r="M26" s="33" t="inlineStr">
        <is>
          <t>A world-first fantasy sports league for dairy cows, created by McCann New Zealand for milk brand Meadow Fresh. Players draft real cows from a working dairy farm and score points from live milking-shed and behavioural data collected from the herd, mirroring fantasy football with actual farm statistics.</t>
        </is>
      </c>
      <c r="N26" s="33" t="inlineStr">
        <is>
          <t>meadow fresh, milk, dairy, fmcg, food, beverage, drinks, new zealand, fantasy sports, gaming, video-games, entertainment, game, cows, farm data, livestock, data visualisation, data, mccann new zealand, bronze</t>
        </is>
      </c>
    </row>
    <row r="27">
      <c r="A27" s="33" t="n">
        <v>2026</v>
      </c>
      <c r="B27" s="166" t="inlineStr">
        <is>
          <t>Bronze</t>
        </is>
      </c>
      <c r="C27" s="107" t="inlineStr">
        <is>
          <t>Here to Stay</t>
        </is>
      </c>
      <c r="D27" s="33" t="inlineStr">
        <is>
          <t>Mastercard</t>
        </is>
      </c>
      <c r="E27" s="33" t="inlineStr">
        <is>
          <t>Where Next</t>
        </is>
      </c>
      <c r="F27" s="33" t="inlineStr">
        <is>
          <t>McCann Poland</t>
        </is>
      </c>
      <c r="G27" s="33" t="inlineStr">
        <is>
          <t>Poland</t>
        </is>
      </c>
      <c r="H27" s="33" t="inlineStr">
        <is>
          <t>Data-Driven Creative Strategy</t>
        </is>
      </c>
      <c r="I27" s="33" t="inlineStr">
        <is>
          <t>https://ascentialcdn.filespin.io/api/v1/conversion/7c00609609e74b4abb472f54b32af1de</t>
        </is>
      </c>
      <c r="J27" s="33" t="inlineStr">
        <is>
          <t>l8qHNQp0rgk</t>
        </is>
      </c>
      <c r="L27" s="33" t="inlineStr">
        <is>
          <t>https://www.lovethework.com/work/entries/here-to-stay-789425</t>
        </is>
      </c>
      <c r="M27" s="33" t="inlineStr">
        <is>
          <t>A data-driven strategy for Mastercard's WhereNext platform, built with McCann Poland, the UN's International Organization for Migration and jobs site Profesia.sk. It matches migrants and underemployed workers against labour-market data so they can discover career paths and plan their next move in a new country.</t>
        </is>
      </c>
      <c r="N27" s="33" t="inlineStr">
        <is>
          <t>mastercard, payments, fintech, financial-services, finance, financial services, where next, migration, refugees, labour market, jobs, careers, employment, data-driven strategy, data, mccann poland, poland, slovakia, bronze</t>
        </is>
      </c>
    </row>
    <row r="28">
      <c r="A28" s="33" t="n">
        <v>2026</v>
      </c>
      <c r="B28" s="166" t="inlineStr">
        <is>
          <t>Bronze</t>
        </is>
      </c>
      <c r="C28" s="107" t="inlineStr">
        <is>
          <t>Forests Without Names</t>
        </is>
      </c>
      <c r="D28" s="33" t="inlineStr">
        <is>
          <t>Hyundai</t>
        </is>
      </c>
      <c r="E28" s="33" t="inlineStr">
        <is>
          <t>Forests Without Names Conservation</t>
        </is>
      </c>
      <c r="F28" s="33" t="inlineStr">
        <is>
          <t>BBDO New York</t>
        </is>
      </c>
      <c r="G28" s="33" t="inlineStr">
        <is>
          <t>United States</t>
        </is>
      </c>
      <c r="H28" s="33" t="inlineStr">
        <is>
          <t>Creative Data Collection &amp; Research</t>
        </is>
      </c>
      <c r="I28" s="33" t="inlineStr">
        <is>
          <t>https://ascentialcdn.filespin.io/api/v1/conversion/7c908747e9e8487fa78f05f4c1beb1ad</t>
        </is>
      </c>
      <c r="J28" s="33" t="inlineStr">
        <is>
          <t>vimeo:1186399882</t>
        </is>
      </c>
      <c r="L28" s="33" t="inlineStr">
        <is>
          <t>https://www.lovethework.com/work/entries/forests-without-names-790182</t>
        </is>
      </c>
      <c r="M28" s="33" t="inlineStr">
        <is>
          <t>A global initiative for Hyundai by BBDO New York to map and name the world's overlooked underwater sea forests. A data tool identifies patterns of growth and degradation so scientists and conservation groups can give these unnamed ecosystems formal recognition and bring them into climate and conservation frameworks.</t>
        </is>
      </c>
      <c r="N28" s="33" t="inlineStr">
        <is>
          <t>hyundai, automotive, cars, transport, car, sustainability, environment, conservation, oceans, sea forests, marine, climate, ecosystems, mapping, data collection, research, data, bbdo new york, united states, bronze</t>
        </is>
      </c>
    </row>
    <row r="29">
      <c r="A29" s="33" t="n">
        <v>2026</v>
      </c>
      <c r="B29" s="166" t="inlineStr">
        <is>
          <t>Bronze</t>
        </is>
      </c>
      <c r="C29" s="107" t="inlineStr">
        <is>
          <t>The Philipstown Wirecar Grand Prix</t>
        </is>
      </c>
      <c r="D29" s="33" t="inlineStr">
        <is>
          <t>The Philipstown Wirecar Foundation</t>
        </is>
      </c>
      <c r="E29" s="33" t="inlineStr">
        <is>
          <t>Community-Driven Entertainment Platform</t>
        </is>
      </c>
      <c r="F29" s="33" t="inlineStr">
        <is>
          <t>Accenture Song South Africa</t>
        </is>
      </c>
      <c r="G29" s="33" t="inlineStr">
        <is>
          <t>South Africa</t>
        </is>
      </c>
      <c r="H29" s="33" t="inlineStr">
        <is>
          <t>Purpose-Driven Data Solutions</t>
        </is>
      </c>
      <c r="I29" s="33" t="inlineStr">
        <is>
          <t>https://ascentialcdn.filespin.io/api/v1/conversion/19ed020f5a874524be45138de8b27730</t>
        </is>
      </c>
      <c r="J29" s="33" t="inlineStr">
        <is>
          <t>vimeo:1184143191</t>
        </is>
      </c>
      <c r="L29" s="33" t="inlineStr">
        <is>
          <t>https://www.lovethework.com/work/entries/the-philipstown-wirecar-grand-prix-779790</t>
        </is>
      </c>
      <c r="M29" s="33" t="inlineStr">
        <is>
          <t>A community project from Accenture Song South Africa for the Philipstown Wirecar Foundation that turned the South African town's handmade wirecar racing culture into a mobile game. Built as a digital twin from 360-degree footage and GPS race data, it celebrates the children's craftsmanship and carries their tradition to a global audience.</t>
        </is>
      </c>
      <c r="N29" s="33" t="inlineStr">
        <is>
          <t>philipstown wirecar foundation, nonprofit, community, south africa, wirecar, gaming, video-games, entertainment, mobile game, digital twin, gps data, culture, children, craftsmanship, purpose, data, accenture song, bronze</t>
        </is>
      </c>
    </row>
    <row r="30">
      <c r="A30" s="33" t="n">
        <v>2026</v>
      </c>
      <c r="B30" s="166" t="inlineStr">
        <is>
          <t>Bronze</t>
        </is>
      </c>
      <c r="C30" s="107" t="inlineStr">
        <is>
          <t>Nigrum Corpus</t>
        </is>
      </c>
      <c r="D30" s="33" t="inlineStr">
        <is>
          <t>Idomed &amp; Instituto Yduqs</t>
        </is>
      </c>
      <c r="E30" s="33" t="inlineStr">
        <is>
          <t>Nigrum Corpus</t>
        </is>
      </c>
      <c r="F30" s="33" t="inlineStr">
        <is>
          <t>Artplan</t>
        </is>
      </c>
      <c r="G30" s="33" t="inlineStr">
        <is>
          <t>Brazil</t>
        </is>
      </c>
      <c r="H30" s="33" t="inlineStr">
        <is>
          <t>Purpose-Driven Data Solutions</t>
        </is>
      </c>
      <c r="I30" s="33" t="inlineStr">
        <is>
          <t>https://ascentialcdn.filespin.io/api/v1/conversion/99c80e25d538446a9f1b113eea03956e</t>
        </is>
      </c>
      <c r="J30" s="33" t="inlineStr">
        <is>
          <t>vimeo:1089083708</t>
        </is>
      </c>
      <c r="L30" s="33" t="inlineStr">
        <is>
          <t>https://www.lovethework.com/work/entries/nigrum-corpus-789516</t>
        </is>
      </c>
      <c r="M30" s="33" t="inlineStr">
        <is>
          <t>A project for medical educator Idomed and Instituto Yduqs by Artplan that confronts racism in Brazilian medicine. Inspired by classical anatomical manuals, it presents twenty fictional 'diseases' built from real testimonies of discrimination experienced by Black patients, alongside a book studying racism in medical practice.</t>
        </is>
      </c>
      <c r="N30" s="33" t="inlineStr">
        <is>
          <t>idomed, instituto yduqs, education, medical education, healthcare, medicine, brazil, racism, racial equity, diversity, inclusion, black patients, anatomy, book, publishing, purpose, data, artplan, bronze</t>
        </is>
      </c>
    </row>
    <row r="31">
      <c r="A31" s="33" t="n">
        <v>2026</v>
      </c>
      <c r="B31" s="166" t="inlineStr">
        <is>
          <t>Bronze</t>
        </is>
      </c>
      <c r="C31" s="107" t="inlineStr">
        <is>
          <t>Dying Reviews</t>
        </is>
      </c>
      <c r="D31" s="33" t="inlineStr">
        <is>
          <t>Hospice NZ</t>
        </is>
      </c>
      <c r="E31" s="33" t="inlineStr">
        <is>
          <t>Hospice Care</t>
        </is>
      </c>
      <c r="F31" s="33" t="inlineStr">
        <is>
          <t>McCann</t>
        </is>
      </c>
      <c r="G31" s="33" t="inlineStr">
        <is>
          <t>New Zealand</t>
        </is>
      </c>
      <c r="H31" s="33" t="inlineStr">
        <is>
          <t>Purpose-Driven Data Solutions</t>
        </is>
      </c>
      <c r="I31" s="33" t="inlineStr">
        <is>
          <t>https://ascentialcdn.filespin.io/api/v1/conversion/e25d7a9e454b4de2a1c61b98b6a3ff5d</t>
        </is>
      </c>
      <c r="J31" s="33" t="inlineStr">
        <is>
          <t>vimeo:1202153419</t>
        </is>
      </c>
      <c r="L31" s="33" t="inlineStr">
        <is>
          <t>https://www.lovethework.com/work/entries/dying-reviews-779763</t>
        </is>
      </c>
      <c r="M31" s="33" t="inlineStr">
        <is>
          <t>A world-first review platform for Hospice New Zealand by McCann Wellington that gives terminally ill people a way to rate and review how businesses and organisations treat them at the end of their lives, gathering their feedback as data to push for more empathetic service design.</t>
        </is>
      </c>
      <c r="N31" s="33" t="inlineStr">
        <is>
          <t>hospice nz, hospice, healthcare, health, palliative care, end of life, new zealand, nonprofit, reviews, platform, empathy, service design, patient voice, purpose, data, mccann wellington, bronze</t>
        </is>
      </c>
    </row>
  </sheetData>
  <autoFilter ref="A1:N18"/>
  <hyperlinks>
    <hyperlink xmlns:r="http://schemas.openxmlformats.org/officeDocument/2006/relationships" ref="I2" r:id="rId1"/>
    <hyperlink xmlns:r="http://schemas.openxmlformats.org/officeDocument/2006/relationships" ref="L2" r:id="rId2"/>
    <hyperlink xmlns:r="http://schemas.openxmlformats.org/officeDocument/2006/relationships" ref="I3" r:id="rId3"/>
    <hyperlink xmlns:r="http://schemas.openxmlformats.org/officeDocument/2006/relationships" ref="L3" r:id="rId4"/>
    <hyperlink xmlns:r="http://schemas.openxmlformats.org/officeDocument/2006/relationships" ref="I4" r:id="rId5"/>
    <hyperlink xmlns:r="http://schemas.openxmlformats.org/officeDocument/2006/relationships" ref="L4" r:id="rId6"/>
    <hyperlink xmlns:r="http://schemas.openxmlformats.org/officeDocument/2006/relationships" ref="I5" r:id="rId7"/>
    <hyperlink xmlns:r="http://schemas.openxmlformats.org/officeDocument/2006/relationships" ref="L5" r:id="rId8"/>
    <hyperlink xmlns:r="http://schemas.openxmlformats.org/officeDocument/2006/relationships" ref="I6" r:id="rId9"/>
    <hyperlink xmlns:r="http://schemas.openxmlformats.org/officeDocument/2006/relationships" ref="L6" r:id="rId10"/>
    <hyperlink xmlns:r="http://schemas.openxmlformats.org/officeDocument/2006/relationships" ref="I7" r:id="rId11"/>
    <hyperlink xmlns:r="http://schemas.openxmlformats.org/officeDocument/2006/relationships" ref="L7" r:id="rId12"/>
    <hyperlink xmlns:r="http://schemas.openxmlformats.org/officeDocument/2006/relationships" ref="I8" r:id="rId13"/>
    <hyperlink xmlns:r="http://schemas.openxmlformats.org/officeDocument/2006/relationships" ref="L8" r:id="rId14"/>
    <hyperlink xmlns:r="http://schemas.openxmlformats.org/officeDocument/2006/relationships" ref="I9" r:id="rId15"/>
    <hyperlink xmlns:r="http://schemas.openxmlformats.org/officeDocument/2006/relationships" ref="L9" r:id="rId16"/>
    <hyperlink xmlns:r="http://schemas.openxmlformats.org/officeDocument/2006/relationships" ref="I10" r:id="rId17"/>
    <hyperlink xmlns:r="http://schemas.openxmlformats.org/officeDocument/2006/relationships" ref="L10" r:id="rId18"/>
    <hyperlink xmlns:r="http://schemas.openxmlformats.org/officeDocument/2006/relationships" ref="I11" r:id="rId19"/>
    <hyperlink xmlns:r="http://schemas.openxmlformats.org/officeDocument/2006/relationships" ref="L11" r:id="rId20"/>
    <hyperlink xmlns:r="http://schemas.openxmlformats.org/officeDocument/2006/relationships" ref="I12" r:id="rId21"/>
    <hyperlink xmlns:r="http://schemas.openxmlformats.org/officeDocument/2006/relationships" ref="L12" r:id="rId22"/>
    <hyperlink xmlns:r="http://schemas.openxmlformats.org/officeDocument/2006/relationships" ref="I13" r:id="rId23"/>
    <hyperlink xmlns:r="http://schemas.openxmlformats.org/officeDocument/2006/relationships" ref="L13" r:id="rId24"/>
    <hyperlink xmlns:r="http://schemas.openxmlformats.org/officeDocument/2006/relationships" ref="I14" r:id="rId25"/>
    <hyperlink xmlns:r="http://schemas.openxmlformats.org/officeDocument/2006/relationships" ref="L14" r:id="rId26"/>
    <hyperlink xmlns:r="http://schemas.openxmlformats.org/officeDocument/2006/relationships" ref="I15" r:id="rId27"/>
    <hyperlink xmlns:r="http://schemas.openxmlformats.org/officeDocument/2006/relationships" ref="L15" r:id="rId28"/>
    <hyperlink xmlns:r="http://schemas.openxmlformats.org/officeDocument/2006/relationships" ref="I16" r:id="rId29"/>
    <hyperlink xmlns:r="http://schemas.openxmlformats.org/officeDocument/2006/relationships" ref="L16" r:id="rId30"/>
    <hyperlink xmlns:r="http://schemas.openxmlformats.org/officeDocument/2006/relationships" ref="I17" r:id="rId31"/>
    <hyperlink xmlns:r="http://schemas.openxmlformats.org/officeDocument/2006/relationships" ref="L17" r:id="rId32"/>
    <hyperlink xmlns:r="http://schemas.openxmlformats.org/officeDocument/2006/relationships" ref="I18" r:id="rId33"/>
    <hyperlink xmlns:r="http://schemas.openxmlformats.org/officeDocument/2006/relationships" ref="L18" r:id="rId34"/>
    <hyperlink xmlns:r="http://schemas.openxmlformats.org/officeDocument/2006/relationships" ref="I19" r:id="rId35"/>
    <hyperlink xmlns:r="http://schemas.openxmlformats.org/officeDocument/2006/relationships" ref="L19" r:id="rId36"/>
    <hyperlink xmlns:r="http://schemas.openxmlformats.org/officeDocument/2006/relationships" ref="I20" r:id="rId37"/>
    <hyperlink xmlns:r="http://schemas.openxmlformats.org/officeDocument/2006/relationships" ref="L20" r:id="rId38"/>
    <hyperlink xmlns:r="http://schemas.openxmlformats.org/officeDocument/2006/relationships" ref="I21" r:id="rId39"/>
    <hyperlink xmlns:r="http://schemas.openxmlformats.org/officeDocument/2006/relationships" ref="L21" r:id="rId40"/>
    <hyperlink xmlns:r="http://schemas.openxmlformats.org/officeDocument/2006/relationships" ref="I22" r:id="rId41"/>
    <hyperlink xmlns:r="http://schemas.openxmlformats.org/officeDocument/2006/relationships" ref="L22" r:id="rId42"/>
    <hyperlink xmlns:r="http://schemas.openxmlformats.org/officeDocument/2006/relationships" ref="I23" r:id="rId43"/>
    <hyperlink xmlns:r="http://schemas.openxmlformats.org/officeDocument/2006/relationships" ref="L23" r:id="rId44"/>
    <hyperlink xmlns:r="http://schemas.openxmlformats.org/officeDocument/2006/relationships" ref="I24" r:id="rId45"/>
    <hyperlink xmlns:r="http://schemas.openxmlformats.org/officeDocument/2006/relationships" ref="L24" r:id="rId46"/>
    <hyperlink xmlns:r="http://schemas.openxmlformats.org/officeDocument/2006/relationships" ref="I25" r:id="rId47"/>
    <hyperlink xmlns:r="http://schemas.openxmlformats.org/officeDocument/2006/relationships" ref="L25" r:id="rId48"/>
    <hyperlink xmlns:r="http://schemas.openxmlformats.org/officeDocument/2006/relationships" ref="I26" r:id="rId49"/>
    <hyperlink xmlns:r="http://schemas.openxmlformats.org/officeDocument/2006/relationships" ref="L26" r:id="rId50"/>
    <hyperlink xmlns:r="http://schemas.openxmlformats.org/officeDocument/2006/relationships" ref="I27" r:id="rId51"/>
    <hyperlink xmlns:r="http://schemas.openxmlformats.org/officeDocument/2006/relationships" ref="L27" r:id="rId52"/>
    <hyperlink xmlns:r="http://schemas.openxmlformats.org/officeDocument/2006/relationships" ref="I28" r:id="rId53"/>
    <hyperlink xmlns:r="http://schemas.openxmlformats.org/officeDocument/2006/relationships" ref="L28" r:id="rId54"/>
    <hyperlink xmlns:r="http://schemas.openxmlformats.org/officeDocument/2006/relationships" ref="I29" r:id="rId55"/>
    <hyperlink xmlns:r="http://schemas.openxmlformats.org/officeDocument/2006/relationships" ref="L29" r:id="rId56"/>
    <hyperlink xmlns:r="http://schemas.openxmlformats.org/officeDocument/2006/relationships" ref="I30" r:id="rId57"/>
    <hyperlink xmlns:r="http://schemas.openxmlformats.org/officeDocument/2006/relationships" ref="L30" r:id="rId58"/>
    <hyperlink xmlns:r="http://schemas.openxmlformats.org/officeDocument/2006/relationships" ref="I31" r:id="rId59"/>
    <hyperlink xmlns:r="http://schemas.openxmlformats.org/officeDocument/2006/relationships" ref="L31" r:id="rId60"/>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102"/>
  <sheetViews>
    <sheetView workbookViewId="0">
      <pane ySplit="1" topLeftCell="A2" activePane="bottomLeft" state="frozen"/>
      <selection pane="bottomLeft" activeCell="A1" sqref="A1"/>
    </sheetView>
  </sheetViews>
  <sheetFormatPr baseColWidth="8" defaultRowHeight="15"/>
  <cols>
    <col width="6" customWidth="1" style="34" min="1" max="1"/>
    <col width="16" customWidth="1" style="34" min="2" max="2"/>
    <col width="34" customWidth="1" style="34" min="3" max="3"/>
    <col width="22" customWidth="1" style="34" min="4" max="4"/>
    <col width="26" customWidth="1" style="34" min="5" max="5"/>
    <col width="28" customWidth="1" style="34" min="6" max="6"/>
    <col width="16" customWidth="1" style="34" min="7" max="7"/>
    <col width="34" customWidth="1" style="34" min="8" max="8"/>
    <col width="18" customWidth="1" style="34" min="9" max="9"/>
    <col width="16" customWidth="1" style="34" min="10" max="10"/>
    <col width="22" customWidth="1" style="34" min="11" max="11"/>
    <col hidden="1" width="20" customWidth="1" style="34" min="12" max="12"/>
    <col width="60" customWidth="1" style="34" min="13" max="13"/>
    <col width="40" customWidth="1" style="34" min="14" max="14"/>
  </cols>
  <sheetData>
    <row r="1" ht="22" customHeight="1" s="34">
      <c r="A1" s="122" t="inlineStr">
        <is>
          <t>Year</t>
        </is>
      </c>
      <c r="B1" s="122" t="inlineStr">
        <is>
          <t>Tier</t>
        </is>
      </c>
      <c r="C1" s="122" t="inlineStr">
        <is>
          <t>Campaign</t>
        </is>
      </c>
      <c r="D1" s="122" t="inlineStr">
        <is>
          <t>Brand</t>
        </is>
      </c>
      <c r="E1" s="122" t="inlineStr">
        <is>
          <t>Product/Service</t>
        </is>
      </c>
      <c r="F1" s="122" t="inlineStr">
        <is>
          <t>Agency</t>
        </is>
      </c>
      <c r="G1" s="122" t="inlineStr">
        <is>
          <t>Country</t>
        </is>
      </c>
      <c r="H1" s="122" t="inlineStr">
        <is>
          <t>Subcategory</t>
        </is>
      </c>
      <c r="I1" s="122" t="inlineStr">
        <is>
          <t>Image URL</t>
        </is>
      </c>
      <c r="J1" s="122" t="inlineStr">
        <is>
          <t>YouTube ID</t>
        </is>
      </c>
      <c r="K1" s="122" t="inlineStr">
        <is>
          <t>Campaign Group</t>
        </is>
      </c>
      <c r="L1" s="122" t="inlineStr">
        <is>
          <t>Entry URL</t>
        </is>
      </c>
      <c r="M1" s="122" t="inlineStr">
        <is>
          <t>Description</t>
        </is>
      </c>
      <c r="N1" s="122" t="inlineStr">
        <is>
          <t>Keywords</t>
        </is>
      </c>
    </row>
    <row r="2">
      <c r="A2" s="127" t="n">
        <v>2025</v>
      </c>
      <c r="B2" s="139" t="inlineStr">
        <is>
          <t>Grand Prix</t>
        </is>
      </c>
      <c r="C2" s="127" t="inlineStr">
        <is>
          <t>AXA - Three Words</t>
        </is>
      </c>
      <c r="D2" s="127" t="inlineStr">
        <is>
          <t>AXA</t>
        </is>
      </c>
      <c r="E2" s="127" t="inlineStr">
        <is>
          <t>Insurance</t>
        </is>
      </c>
      <c r="F2" s="127" t="inlineStr">
        <is>
          <t>Publicis Conseil</t>
        </is>
      </c>
      <c r="G2" s="127" t="inlineStr">
        <is>
          <t>France</t>
        </is>
      </c>
      <c r="H2" s="113" t="inlineStr">
        <is>
          <t>Market Disruption</t>
        </is>
      </c>
      <c r="I2" s="128" t="inlineStr">
        <is>
          <t>https://ascentialcdn.filespin.io/api/v1/conversion/e1a85ff134e545c7b049791151432028</t>
        </is>
      </c>
      <c r="J2" s="127" t="inlineStr">
        <is>
          <t>pY-03zuV7mE</t>
        </is>
      </c>
      <c r="K2" s="127" t="n"/>
      <c r="L2" s="128" t="inlineStr">
        <is>
          <t>https://www.lovethework.com/work/entries/axa-three-words-744768</t>
        </is>
      </c>
      <c r="M2" s="113" t="inlineStr">
        <is>
          <t>AXA turned home insurance into a tool for escape by adding three words—“and domestic violence”—to its policies, making abuse a covered risk alongside fire and flood. The change gave victims emergency relocation support at no extra cost, updating 2.5 million contracts and helping women leave the most dangerous place they may face: their own home.</t>
        </is>
      </c>
      <c r="N2" s="113" t="inlineStr">
        <is>
          <t>insurance, financial-services, finance, france, domestic-violence, public-service, digital-platform, consumer-services, housing, publicis-conseil</t>
        </is>
      </c>
    </row>
    <row r="3">
      <c r="A3" s="127" t="n">
        <v>2025</v>
      </c>
      <c r="B3" s="140" t="inlineStr">
        <is>
          <t>Gold</t>
        </is>
      </c>
      <c r="C3" s="127" t="inlineStr">
        <is>
          <t>Coupon Rain</t>
        </is>
      </c>
      <c r="D3" s="127" t="inlineStr">
        <is>
          <t>Mercado Livre</t>
        </is>
      </c>
      <c r="E3" s="127" t="inlineStr">
        <is>
          <t>Mercado Livre</t>
        </is>
      </c>
      <c r="F3" s="127" t="inlineStr">
        <is>
          <t>Gut</t>
        </is>
      </c>
      <c r="G3" s="127" t="inlineStr">
        <is>
          <t>Brazil</t>
        </is>
      </c>
      <c r="H3" s="113" t="inlineStr">
        <is>
          <t>Travel, Leisure, Retail, Restaurants &amp; Fast-Food Chains</t>
        </is>
      </c>
      <c r="I3" s="128" t="inlineStr">
        <is>
          <t>https://ascentialcdn.filespin.io/api/v1/conversion/b99de0a05bc54707b1426d24706b518b</t>
        </is>
      </c>
      <c r="J3" s="127" t="inlineStr">
        <is>
          <t>vimeo:1093414319</t>
        </is>
      </c>
      <c r="K3" s="127" t="n"/>
      <c r="L3" s="128" t="inlineStr">
        <is>
          <t>https://www.lovethework.com/work/entries/coupon-rain-758980</t>
        </is>
      </c>
      <c r="M3" s="113" t="inlineStr">
        <is>
          <t>Mercado Livre sponsored the trophy lift at the final of one of Brazil's major football championships and replaced the customary confetti with thousands of branded discount coupons. The moment the winning captain raised the cup, the field rained with redeemable codes — putting the brand directly inside the photograph that ran on every front page.</t>
        </is>
      </c>
      <c r="N3" s="113" t="inlineStr">
        <is>
          <t>ecommerce, retail, online-shopping, sponsorship, football, soccer, sport, retail-promo, stunt, brazil, partnership</t>
        </is>
      </c>
    </row>
    <row r="4">
      <c r="A4" s="127" t="n">
        <v>2025</v>
      </c>
      <c r="B4" s="140" t="inlineStr">
        <is>
          <t>Gold</t>
        </is>
      </c>
      <c r="C4" s="127" t="inlineStr">
        <is>
          <t>U Up?</t>
        </is>
      </c>
      <c r="D4" s="127" t="inlineStr">
        <is>
          <t>IKEA</t>
        </is>
      </c>
      <c r="E4" s="127" t="inlineStr">
        <is>
          <t>IKEA</t>
        </is>
      </c>
      <c r="F4" s="127" t="inlineStr">
        <is>
          <t>Rethink</t>
        </is>
      </c>
      <c r="G4" s="127" t="inlineStr">
        <is>
          <t>Canada</t>
        </is>
      </c>
      <c r="H4" s="113" t="inlineStr">
        <is>
          <t>Breakthrough on a Budget</t>
        </is>
      </c>
      <c r="I4" s="128" t="inlineStr">
        <is>
          <t>https://ascentialcdn.filespin.io/api/v1/conversion/1d6f8cfcad1b47c9beaa5f403844ec8a</t>
        </is>
      </c>
      <c r="J4" s="127" t="inlineStr">
        <is>
          <t>VT02JDQuMxM</t>
        </is>
      </c>
      <c r="K4" s="127" t="n"/>
      <c r="L4" s="128" t="inlineStr">
        <is>
          <t>https://www.lovethework.com/work/entries/u-up-744634</t>
        </is>
      </c>
      <c r="M4" s="113" t="inlineStr">
        <is>
          <t>A late-night Instagram DM campaign that sent the message "u up?" to Canadians detected to be awake between 10 p.m. and 5 a.m., then offered anyone who replied a discounted or free mattress. The mechanic mimicked a late-night booty-call text to position IKEA as the reason you're still scrolling — and the solution to it.</t>
        </is>
      </c>
      <c r="N4" s="113" t="inlineStr">
        <is>
          <t>ikea, home-furnishings, social-media, instagram, direct-message, ooh, canada, use-of-humour, late-night</t>
        </is>
      </c>
    </row>
    <row r="5">
      <c r="A5" s="127" t="n">
        <v>2025</v>
      </c>
      <c r="B5" s="140" t="inlineStr">
        <is>
          <t>Gold</t>
        </is>
      </c>
      <c r="C5" s="127" t="inlineStr">
        <is>
          <t>Price Packs</t>
        </is>
      </c>
      <c r="D5" s="127" t="inlineStr">
        <is>
          <t>Penny</t>
        </is>
      </c>
      <c r="E5" s="127" t="inlineStr">
        <is>
          <t>Food/non-Food</t>
        </is>
      </c>
      <c r="F5" s="127" t="inlineStr">
        <is>
          <t>Serviceplan Germany</t>
        </is>
      </c>
      <c r="G5" s="127" t="inlineStr">
        <is>
          <t>Germany</t>
        </is>
      </c>
      <c r="H5" s="113" t="inlineStr">
        <is>
          <t>Experience Design</t>
        </is>
      </c>
      <c r="I5" s="128" t="inlineStr">
        <is>
          <t>https://ascentialcdn.filespin.io/api/v1/conversion/67b6df2a0fe64deeb274c91d50040c54</t>
        </is>
      </c>
      <c r="J5" s="127" t="inlineStr">
        <is>
          <t>wXx6z3mDnVc</t>
        </is>
      </c>
      <c r="K5" s="127" t="n"/>
      <c r="L5" s="128" t="inlineStr">
        <is>
          <t>https://www.lovethework.com/work/entries/price-packs-744245</t>
        </is>
      </c>
      <c r="M5" s="113" t="inlineStr">
        <is>
          <t>A packaging redesign for five Penny staples — oatmeal, toast, salt, crisps, mayonnaise — that swaps standard product graphics for the locked-in low price rendered enormous on the front of the pack. The shelf becomes its own price-stability ad, with the same visual extended to outdoor across all 2,100 stores.</t>
        </is>
      </c>
      <c r="N5" s="113" t="inlineStr">
        <is>
          <t>packaging, retail, ooh, supermarket, grocery, design, price, germany, market-disruption</t>
        </is>
      </c>
    </row>
    <row r="6">
      <c r="A6" s="127" t="n">
        <v>2025</v>
      </c>
      <c r="B6" s="140" t="inlineStr">
        <is>
          <t>Gold</t>
        </is>
      </c>
      <c r="C6" s="127" t="inlineStr">
        <is>
          <t>Football Is for Food</t>
        </is>
      </c>
      <c r="D6" s="127" t="inlineStr">
        <is>
          <t>Uber Eats</t>
        </is>
      </c>
      <c r="E6" s="127" t="inlineStr">
        <is>
          <t>Uber Eats</t>
        </is>
      </c>
      <c r="F6" s="127" t="inlineStr">
        <is>
          <t>Special</t>
        </is>
      </c>
      <c r="G6" s="127" t="inlineStr">
        <is>
          <t>United States</t>
        </is>
      </c>
      <c r="H6" s="113" t="inlineStr">
        <is>
          <t>Use of Humour</t>
        </is>
      </c>
      <c r="I6" s="128" t="inlineStr">
        <is>
          <t>https://ascentialcdn.filespin.io/api/v1/conversion/bdc3e17665e54318a6a9b4e6705f40a7</t>
        </is>
      </c>
      <c r="J6" s="127" t="inlineStr">
        <is>
          <t>Mi_cxUyqH4Q</t>
        </is>
      </c>
      <c r="K6" s="127" t="n"/>
      <c r="L6" s="128" t="inlineStr">
        <is>
          <t>https://www.lovethework.com/work/entries/football-is-for-food-744614</t>
        </is>
      </c>
      <c r="M6" s="113" t="inlineStr">
        <is>
          <t>A season-long campaign that reframed the entire NFL as a covert advertisement for food delivery — with a conspiracy theory, seeded across multiple spots, connecting football touchdowns, huddles, and tailgates to the act of ordering food. Matthew McConaughey and NFL star Christian McCaffrey fronted the launch film, which kicked off a rolling series of fabricated "evidence" uncovering hundreds of links between football and eating, created by Special US.</t>
        </is>
      </c>
      <c r="N6" s="113" t="inlineStr">
        <is>
          <t>food-delivery, food, restaurant, ecommerce, retail, online-shopping, television, brand-integration, nfl, united-states, conspiracy, humor, sports-sponsorship</t>
        </is>
      </c>
    </row>
    <row r="7">
      <c r="A7" s="127" t="n">
        <v>2025</v>
      </c>
      <c r="B7" s="140" t="inlineStr">
        <is>
          <t>Gold</t>
        </is>
      </c>
      <c r="C7" s="127" t="inlineStr">
        <is>
          <t>Lidlize</t>
        </is>
      </c>
      <c r="D7" s="127" t="inlineStr">
        <is>
          <t>Lidl</t>
        </is>
      </c>
      <c r="E7" s="127" t="inlineStr">
        <is>
          <t>Retail</t>
        </is>
      </c>
      <c r="F7" s="127" t="inlineStr">
        <is>
          <t>Marcel</t>
        </is>
      </c>
      <c r="G7" s="127" t="inlineStr">
        <is>
          <t>France</t>
        </is>
      </c>
      <c r="H7" s="113" t="inlineStr">
        <is>
          <t>Travel, Leisure, Retail, Restaurants &amp; Fast-Food Chains</t>
        </is>
      </c>
      <c r="I7" s="128" t="inlineStr">
        <is>
          <t>https://ascentialcdn.filespin.io/api/v1/conversion/f979928ea0a14ad7a4df5b301de95a0e</t>
        </is>
      </c>
      <c r="J7" s="127" t="inlineStr">
        <is>
          <t>mba6sPCSX_8</t>
        </is>
      </c>
      <c r="K7" s="127" t="n"/>
      <c r="L7" s="128" t="inlineStr">
        <is>
          <t>https://www.lovethework.com/work/entries/lidlize-760060</t>
        </is>
      </c>
      <c r="M7" s="113" t="inlineStr">
        <is>
          <t>An AI platform built by Lidl and Marcel Paris that let customers design their own products — apparel, accessories, objects — rendered in Lidl's signature yellow-and-blue branding. The most popular community-voted creation was then manufactured and sold in Lidl stores.</t>
        </is>
      </c>
      <c r="N7" s="113" t="inlineStr">
        <is>
          <t>retail, influencer-co-creation, ai, technology, mobile-app, user-generated-content, france, community-voting, product-design</t>
        </is>
      </c>
    </row>
    <row r="8">
      <c r="A8" s="127" t="n">
        <v>2025</v>
      </c>
      <c r="B8" s="140" t="inlineStr">
        <is>
          <t>Gold</t>
        </is>
      </c>
      <c r="C8" s="127" t="inlineStr">
        <is>
          <t>Prize on the Bone</t>
        </is>
      </c>
      <c r="D8" s="127" t="inlineStr">
        <is>
          <t>KFC</t>
        </is>
      </c>
      <c r="E8" s="127" t="inlineStr">
        <is>
          <t>KFC Ice-Cream</t>
        </is>
      </c>
      <c r="F8" s="127" t="inlineStr">
        <is>
          <t>DM9</t>
        </is>
      </c>
      <c r="G8" s="127" t="inlineStr">
        <is>
          <t>Brazil</t>
        </is>
      </c>
      <c r="H8" s="113" t="inlineStr">
        <is>
          <t>Launch/Relaunch</t>
        </is>
      </c>
      <c r="I8" s="128" t="inlineStr">
        <is>
          <t>https://ascentialcdn.filespin.io/api/v1/conversion/32ef7021bdbd4c4392fa51fb240d45e6</t>
        </is>
      </c>
      <c r="J8" s="127" t="inlineStr">
        <is>
          <t>h4Kl5THlsYw</t>
        </is>
      </c>
      <c r="K8" s="127" t="n"/>
      <c r="L8" s="128" t="inlineStr">
        <is>
          <t>https://www.lovethework.com/work/entries/prize-on-the-bone-744551</t>
        </is>
      </c>
      <c r="M8" s="113" t="inlineStr">
        <is>
          <t>A launch promotion for KFC's then-unknown Brazilian ice-cream product that laser-etched 'Você ganhou um sorvete' — 'You won an ice cream' — into the bones of 3,000 chicken pieces served across São Paulo. The hidden prize, revealed only after the bone was cleaned, deliberately echoed a beloved Brazilian ice-cream-stick promo from the 90s.</t>
        </is>
      </c>
      <c r="N8" s="113" t="inlineStr">
        <is>
          <t>qsr, fast-food, restaurant, food, product-launch, retail-promo, packaging, integrated, brazil, partnership</t>
        </is>
      </c>
    </row>
    <row r="9">
      <c r="A9" s="127" t="n">
        <v>2025</v>
      </c>
      <c r="B9" s="140" t="inlineStr">
        <is>
          <t>Gold</t>
        </is>
      </c>
      <c r="C9" s="127" t="inlineStr">
        <is>
          <t>Lucky Yatra</t>
        </is>
      </c>
      <c r="D9" s="127" t="inlineStr">
        <is>
          <t>Indian Railways</t>
        </is>
      </c>
      <c r="E9" s="127" t="inlineStr">
        <is>
          <t>Railway Service</t>
        </is>
      </c>
      <c r="F9" s="127" t="inlineStr">
        <is>
          <t>FCB India</t>
        </is>
      </c>
      <c r="G9" s="127" t="inlineStr">
        <is>
          <t>India</t>
        </is>
      </c>
      <c r="H9" s="113" t="inlineStr">
        <is>
          <t>Local Brand</t>
        </is>
      </c>
      <c r="I9" s="128" t="inlineStr">
        <is>
          <t>https://ascentialcdn.filespin.io/api/v1/conversion/baed08eef7b94a6cabcd62dedb653704</t>
        </is>
      </c>
      <c r="J9" s="127" t="inlineStr">
        <is>
          <t>19fzAvuFq0I</t>
        </is>
      </c>
      <c r="K9" s="127" t="n"/>
      <c r="L9" s="128" t="inlineStr">
        <is>
          <t>https://www.lovethework.com/work/entries/lucky-yatra-744460</t>
        </is>
      </c>
      <c r="M9" s="113" t="inlineStr">
        <is>
          <t>A loyalty program built into the ticketing system of Indian Railways: every valid ticket carries a unique number that's auto-entered into daily and weekly cash prize draws. Designed to turn ticketless travel — an entrenched habit on one of the world's largest rail networks — into a paid behavior worth doing.</t>
        </is>
      </c>
      <c r="N9" s="113" t="inlineStr">
        <is>
          <t>railway-service, loyalty-program, public-service, mobile-app, india, gamification, ticketing</t>
        </is>
      </c>
    </row>
    <row r="10">
      <c r="A10" s="127" t="n">
        <v>2025</v>
      </c>
      <c r="B10" s="140" t="inlineStr">
        <is>
          <t>Gold</t>
        </is>
      </c>
      <c r="C10" s="127" t="inlineStr">
        <is>
          <t>IKEA Hidden Tags</t>
        </is>
      </c>
      <c r="D10" s="127" t="inlineStr">
        <is>
          <t>IKEA</t>
        </is>
      </c>
      <c r="E10" s="127" t="inlineStr">
        <is>
          <t>IKEA</t>
        </is>
      </c>
      <c r="F10" s="127" t="inlineStr">
        <is>
          <t>Uzina</t>
        </is>
      </c>
      <c r="G10" s="127" t="inlineStr">
        <is>
          <t>Portugal</t>
        </is>
      </c>
      <c r="H10" s="113" t="inlineStr">
        <is>
          <t>Small-Scale Media</t>
        </is>
      </c>
      <c r="I10" s="128" t="inlineStr">
        <is>
          <t>https://ascentialcdn.filespin.io/api/v1/conversion/237ade5924eb407898bf58d19f58a52a</t>
        </is>
      </c>
      <c r="J10" s="127" t="inlineStr">
        <is>
          <t>oKWkHqlt7yA</t>
        </is>
      </c>
      <c r="K10" s="127" t="n"/>
      <c r="L10" s="128" t="inlineStr">
        <is>
          <t>https://www.lovethework.com/work/entries/ikea-hidden-tags-743744</t>
        </is>
      </c>
      <c r="M10" s="113" t="inlineStr">
        <is>
          <t>A national treasure hunt that asked Portuguese households to find and photograph the small printed tags hidden inside their IKEA furniture, then upload them to see whose piece was oldest. The activation, marking IKEA's 20 years in Portugal, used the brand's own quality-control tags as proof that the furniture is built to last.</t>
        </is>
      </c>
      <c r="N10" s="113" t="inlineStr">
        <is>
          <t>retail, ugc, gamification, anniversary, furniture, home, portugal, product-design, direct</t>
        </is>
      </c>
    </row>
    <row r="11">
      <c r="A11" s="127" t="n">
        <v>2025</v>
      </c>
      <c r="B11" s="140" t="inlineStr">
        <is>
          <t>Gold</t>
        </is>
      </c>
      <c r="C11" s="127" t="inlineStr">
        <is>
          <t>Potty-Tunities</t>
        </is>
      </c>
      <c r="D11" s="127" t="inlineStr">
        <is>
          <t>Angel Soft</t>
        </is>
      </c>
      <c r="E11" s="127" t="inlineStr">
        <is>
          <t>Angel Soft Toilet Paper</t>
        </is>
      </c>
      <c r="F11" s="127" t="inlineStr">
        <is>
          <t>Grey</t>
        </is>
      </c>
      <c r="G11" s="127" t="inlineStr">
        <is>
          <t>United States</t>
        </is>
      </c>
      <c r="H11" s="113" t="inlineStr">
        <is>
          <t>Use of Broadcast</t>
        </is>
      </c>
      <c r="I11" s="128" t="inlineStr">
        <is>
          <t>https://ascentialcdn.filespin.io/api/v1/conversion/d1fbeead5aeb4909a43f4920061be696</t>
        </is>
      </c>
      <c r="J11" s="127" t="inlineStr">
        <is>
          <t>eAh8JA18QJA</t>
        </is>
      </c>
      <c r="K11" s="127" t="n"/>
      <c r="L11" s="128" t="inlineStr">
        <is>
          <t>https://www.lovethework.com/work/entries/potty-tunities-743937</t>
        </is>
      </c>
      <c r="M11" s="113" t="inlineStr">
        <is>
          <t>A Super Bowl TV spot designed to be skipped — Angel Soft's first-ever Big Game commercial was intentionally placed and timed to air during a non-critical game moment, signaling to viewers that it was the ideal time for a bathroom break. Rather than competing for attention, the ad functioned as a live cue, with the Angel Soft brand character "Angel" narrating the permission to step away without missing anything important.</t>
        </is>
      </c>
      <c r="N11" s="113" t="inlineStr">
        <is>
          <t>toilet-paper, broadcast, entertainment, super-bowl, television, media-strategy, united-states, live-event</t>
        </is>
      </c>
    </row>
    <row r="12">
      <c r="A12" s="127" t="n">
        <v>2025</v>
      </c>
      <c r="B12" s="140" t="inlineStr">
        <is>
          <t>Gold</t>
        </is>
      </c>
      <c r="C12" s="127" t="inlineStr">
        <is>
          <t>Preserved Promos</t>
        </is>
      </c>
      <c r="D12" s="127" t="inlineStr">
        <is>
          <t>Ziploc</t>
        </is>
      </c>
      <c r="E12" s="127" t="inlineStr">
        <is>
          <t>Ziploc</t>
        </is>
      </c>
      <c r="F12" s="127" t="inlineStr">
        <is>
          <t>VML</t>
        </is>
      </c>
      <c r="G12" s="127" t="inlineStr">
        <is>
          <t>United States</t>
        </is>
      </c>
      <c r="H12" s="113" t="inlineStr">
        <is>
          <t>Use of Real-Time Data</t>
        </is>
      </c>
      <c r="I12" s="128" t="inlineStr">
        <is>
          <t>https://ascentialcdn.filespin.io/api/v1/conversion/8223f25b769b40e3b665c4ec19e2e12c</t>
        </is>
      </c>
      <c r="J12" s="127" t="inlineStr">
        <is>
          <t>F9CTRsV3N7k</t>
        </is>
      </c>
      <c r="K12" s="127" t="n"/>
      <c r="L12" s="128" t="inlineStr">
        <is>
          <t>https://www.lovethework.com/work/entries/preserved-promos-744127</t>
        </is>
      </c>
      <c r="M12" s="113" t="inlineStr">
        <is>
          <t>A retail promotion mechanic that accepted expired food coupons as valid discounts on Ziploc products — shoppers uploaded a photo of any out-of-date food coupon and received savings on Ziploc bags in return. The mechanic ties directly to the brand's core proposition: if Ziploc preserves food, it can preserve a coupon's value too.</t>
        </is>
      </c>
      <c r="N12" s="113" t="inlineStr">
        <is>
          <t>food-storage, retail-media, coupon, commerce, mobile, united-states, sc-johnson, promotion</t>
        </is>
      </c>
    </row>
    <row r="13">
      <c r="A13" s="127" t="n">
        <v>2025</v>
      </c>
      <c r="B13" s="132" t="inlineStr">
        <is>
          <t>Silver</t>
        </is>
      </c>
      <c r="C13" s="127" t="inlineStr">
        <is>
          <t>Breastmilk Money</t>
        </is>
      </c>
      <c r="D13" s="127" t="inlineStr">
        <is>
          <t>Herconomy</t>
        </is>
      </c>
      <c r="E13" s="127" t="inlineStr">
        <is>
          <t>Herconomy</t>
        </is>
      </c>
      <c r="F13" s="127" t="inlineStr">
        <is>
          <t>Serviceplan Germany</t>
        </is>
      </c>
      <c r="G13" s="127" t="inlineStr">
        <is>
          <t>Germany</t>
        </is>
      </c>
      <c r="H13" s="113" t="inlineStr">
        <is>
          <t>Cultural Engagement</t>
        </is>
      </c>
      <c r="I13" s="128" t="inlineStr">
        <is>
          <t>https://ascentialcdn.filespin.io/api/v1/conversion/73ea0e639f6747c68cf8460abe2f02bb</t>
        </is>
      </c>
      <c r="J13" s="127" t="inlineStr">
        <is>
          <t>vimeo:1094309200</t>
        </is>
      </c>
      <c r="K13" s="127" t="n"/>
      <c r="L13" s="128" t="inlineStr">
        <is>
          <t>https://www.lovethework.com/work/entries/breastmilk-money-744959</t>
        </is>
      </c>
      <c r="M13" s="113" t="inlineStr">
        <is>
          <t>A financial product built for breastfeeding mothers in Nigeria that converts expressed breast milk into a measurable economic unit — quantifying the unpaid labor of nursing and linking it to savings, investments, or financial services within the Herconomy platform. The product addresses the gap in women's financial participation during maternity, a period when income typically stalls while caregiving labor intensifies.</t>
        </is>
      </c>
      <c r="N13" s="113" t="inlineStr">
        <is>
          <t>fintech, financial-services, finance, womens-finance, breastfeeding, nigeria, single-market-campaign, mobile-app, health-and-wellness, creative-data, unpaid-labor</t>
        </is>
      </c>
    </row>
    <row r="14">
      <c r="A14" s="127" t="n">
        <v>2025</v>
      </c>
      <c r="B14" s="132" t="inlineStr">
        <is>
          <t>Silver</t>
        </is>
      </c>
      <c r="C14" s="127" t="inlineStr">
        <is>
          <t>Night Signals</t>
        </is>
      </c>
      <c r="D14" s="127" t="inlineStr">
        <is>
          <t>Chevrolet Dominican Republic</t>
        </is>
      </c>
      <c r="E14" s="127" t="inlineStr">
        <is>
          <t>Chevrolet</t>
        </is>
      </c>
      <c r="F14" s="127" t="inlineStr">
        <is>
          <t>Ogilvy Dominican Republic</t>
        </is>
      </c>
      <c r="G14" s="127" t="inlineStr">
        <is>
          <t>Dominican Republic</t>
        </is>
      </c>
      <c r="H14" s="113" t="inlineStr">
        <is>
          <t>Use of Print/Outdoor</t>
        </is>
      </c>
      <c r="I14" s="128" t="inlineStr">
        <is>
          <t>https://ascentialcdn.filespin.io/api/v1/conversion/08a2258d5d1348b1bc8f6014ff0c6655</t>
        </is>
      </c>
      <c r="J14" s="127" t="inlineStr">
        <is>
          <t>XVCXMuUU9s8</t>
        </is>
      </c>
      <c r="K14" s="127" t="n"/>
      <c r="L14" s="128" t="inlineStr">
        <is>
          <t>https://www.lovethework.com/work/entries/night-signals-743947</t>
        </is>
      </c>
      <c r="M14" s="113" t="inlineStr">
        <is>
          <t>Chevrolet dealership billboards placed along unlit road stretches in the Dominican Republic that doubled as reflective traffic signs after dark — the same printed canvas that carried daytime advertising became retroreflective road guidance for drivers at night. The campaign was built in partnership with Santo Domingo Motors, the National Institute of Transit and Land Transportation, and the Ministry of Public Works (MOPC).</t>
        </is>
      </c>
      <c r="N14" s="113" t="inlineStr">
        <is>
          <t>automotive, cars, transport, ooh, road-safety, dominican-republic, reflective, transit, public-service, out-of-home, public-private-partnership</t>
        </is>
      </c>
    </row>
    <row r="15">
      <c r="A15" s="127" t="n">
        <v>2025</v>
      </c>
      <c r="B15" s="132" t="inlineStr">
        <is>
          <t>Silver</t>
        </is>
      </c>
      <c r="C15" s="127" t="inlineStr">
        <is>
          <t>Followers Store</t>
        </is>
      </c>
      <c r="D15" s="127" t="inlineStr">
        <is>
          <t>New Balance</t>
        </is>
      </c>
      <c r="E15" s="127" t="inlineStr">
        <is>
          <t>New Balance</t>
        </is>
      </c>
      <c r="F15" s="127" t="inlineStr">
        <is>
          <t>LePub</t>
        </is>
      </c>
      <c r="G15" s="127" t="inlineStr">
        <is>
          <t>Brazil</t>
        </is>
      </c>
      <c r="H15" s="113" t="inlineStr">
        <is>
          <t>Data-Driven Targeting</t>
        </is>
      </c>
      <c r="I15" s="128" t="inlineStr">
        <is>
          <t>https://ascentialcdn.filespin.io/api/v1/conversion/3d0a357fb9de4393918aaa93dcff4033</t>
        </is>
      </c>
      <c r="J15" s="127" t="inlineStr">
        <is>
          <t>vimeo:1090614137</t>
        </is>
      </c>
      <c r="K15" s="127" t="n"/>
      <c r="L15" s="128" t="inlineStr">
        <is>
          <t>https://www.lovethework.com/work/entries/followers-store-744039</t>
        </is>
      </c>
      <c r="M15" s="113" t="inlineStr">
        <is>
          <t>A geo-fenced sales window for an exclusive São Paulo FC jersey, unlockable on the New Balance app only for fans physically near the team bus as it traveled to Morumbi Stadium ahead of a Brazilian Championship match. Outside that travel window, the jersey was unbuyable; inside it, fans had minutes to pre-order before the bus passed.</t>
        </is>
      </c>
      <c r="N15" s="113" t="inlineStr">
        <is>
          <t>ecommerce, retail, online-shopping, geolocation, football, soccer, sport, brazil, app, partnership</t>
        </is>
      </c>
    </row>
    <row r="16">
      <c r="A16" s="127" t="n">
        <v>2025</v>
      </c>
      <c r="B16" s="132" t="inlineStr">
        <is>
          <t>Silver</t>
        </is>
      </c>
      <c r="C16" s="127" t="inlineStr">
        <is>
          <t>Gulf of Mexico (bar)</t>
        </is>
      </c>
      <c r="D16" s="127" t="inlineStr">
        <is>
          <t>Tecate</t>
        </is>
      </c>
      <c r="E16" s="127" t="inlineStr">
        <is>
          <t>Tecate Light</t>
        </is>
      </c>
      <c r="F16" s="127" t="inlineStr">
        <is>
          <t>LePub</t>
        </is>
      </c>
      <c r="G16" s="127" t="inlineStr">
        <is>
          <t>Mexico</t>
        </is>
      </c>
      <c r="H16" s="113" t="inlineStr">
        <is>
          <t>Local Brand</t>
        </is>
      </c>
      <c r="I16" s="128" t="inlineStr">
        <is>
          <t>https://ascentialcdn.filespin.io/api/v1/conversion/afa88aa8421b41a18c68b9863bb6926c</t>
        </is>
      </c>
      <c r="J16" s="127" t="inlineStr">
        <is>
          <t>vimeo:1092263623</t>
        </is>
      </c>
      <c r="K16" s="127" t="n"/>
      <c r="L16" s="128" t="inlineStr">
        <is>
          <t>https://www.lovethework.com/work/entries/gulf-of-mexico-bar-744515</t>
        </is>
      </c>
      <c r="M16" s="113" t="inlineStr">
        <is>
          <t>A floating bar built on a boat in the Gulf of Mexico, accessible only by sea and named 'Golfo de México' — a response to a U.S. proposal to rename the gulf the 'Gulf of America.' To pair, Tecate launched a special-edition Tecate Light brewed with salt harvested from the disputed waters.</t>
        </is>
      </c>
      <c r="N16" s="113" t="inlineStr">
        <is>
          <t>ooh, brand-stunt, political-commentary, beer, alcohol, packaging, mexico, branded-venue, special-edition</t>
        </is>
      </c>
    </row>
    <row r="17">
      <c r="A17" s="127" t="n">
        <v>2025</v>
      </c>
      <c r="B17" s="132" t="inlineStr">
        <is>
          <t>Silver</t>
        </is>
      </c>
      <c r="C17" s="127" t="inlineStr">
        <is>
          <t>Certified Toasters</t>
        </is>
      </c>
      <c r="D17" s="127" t="inlineStr">
        <is>
          <t>Goodman Fielder Baking</t>
        </is>
      </c>
      <c r="E17" s="127" t="inlineStr">
        <is>
          <t>Vogel's</t>
        </is>
      </c>
      <c r="F17" s="127" t="inlineStr">
        <is>
          <t>DDB New Zealand</t>
        </is>
      </c>
      <c r="G17" s="127" t="inlineStr">
        <is>
          <t>New Zealand</t>
        </is>
      </c>
      <c r="H17" s="113" t="inlineStr">
        <is>
          <t>Small-Scale Media</t>
        </is>
      </c>
      <c r="I17" s="128" t="inlineStr">
        <is>
          <t>https://ascentialcdn.filespin.io/api/v1/conversion/c87256cd1a8e4e888796294b8fb32d99</t>
        </is>
      </c>
      <c r="J17" s="127" t="inlineStr">
        <is>
          <t>S_gE7H2X8zw</t>
        </is>
      </c>
      <c r="K17" s="127" t="n"/>
      <c r="L17" s="128" t="inlineStr">
        <is>
          <t>https://www.lovethework.com/work/entries/certified-toasters-743878</t>
        </is>
      </c>
      <c r="M17" s="113" t="inlineStr">
        <is>
          <t>A product certification program Vogel's ran with The Warehouse, New Zealand's largest retailer, testing every Living &amp; Co and Kensington toaster model sold in-store and online to determine the optimal toasting setting for Vogel's bread on each specific unit. Each certified toaster was labeled with its verified Vogel's toasting method, giving shoppers a bread-specific guide at the point of purchase.</t>
        </is>
      </c>
      <c r="N17" s="113" t="inlineStr">
        <is>
          <t>bread, food, packaged-goods, cpg, fmcg, retail, in-store, new-zealand, product-certification, social-behaviour, partnership, packaging-adjacent</t>
        </is>
      </c>
    </row>
    <row r="18">
      <c r="A18" s="127" t="n">
        <v>2025</v>
      </c>
      <c r="B18" s="132" t="inlineStr">
        <is>
          <t>Silver</t>
        </is>
      </c>
      <c r="C18" s="127" t="inlineStr">
        <is>
          <t>Vaseline Verified</t>
        </is>
      </c>
      <c r="D18" s="127" t="inlineStr">
        <is>
          <t>Unilever</t>
        </is>
      </c>
      <c r="E18" s="127" t="inlineStr">
        <is>
          <t>Vaseline</t>
        </is>
      </c>
      <c r="F18" s="127" t="inlineStr">
        <is>
          <t>Ogilvy</t>
        </is>
      </c>
      <c r="G18" s="127" t="inlineStr">
        <is>
          <t>Singapore</t>
        </is>
      </c>
      <c r="H18" s="113" t="inlineStr">
        <is>
          <t>Co-Creation &amp; User-Generated Content</t>
        </is>
      </c>
      <c r="I18" s="128" t="inlineStr">
        <is>
          <t>https://ascentialcdn.filespin.io/api/v1/conversion/faf0755b0d4e4594ad93cb75d6288e3d</t>
        </is>
      </c>
      <c r="J18" s="127" t="inlineStr">
        <is>
          <t>vimeo:1082798104</t>
        </is>
      </c>
      <c r="K18" s="127" t="n"/>
      <c r="L18" s="128" t="inlineStr">
        <is>
          <t>https://www.lovethework.com/work/entries/vaseline-verified-744266</t>
        </is>
      </c>
      <c r="M18" s="113" t="inlineStr">
        <is>
          <t>A community management campaign built around the 6,000-plus organic social media posts showing unofficial uses of Vaseline Petroleum Jelly: Ogilvy Singapore had dermatologists review each hack, awarding a "Vaseline Verified" seal to those that held up and publicly debunking those that didn't. The system turned user-generated content into a live, brand-endorsed verification layer — embracing the existing conversation rather than replacing it with controlled messaging.</t>
        </is>
      </c>
      <c r="N18" s="113" t="inlineStr">
        <is>
          <t>skincare, personal-care, beauty, community-management, social-media, user-generated-content, ooh, singapore, health-wellness, dermatology</t>
        </is>
      </c>
    </row>
    <row r="19">
      <c r="A19" s="127" t="n">
        <v>2025</v>
      </c>
      <c r="B19" s="132" t="inlineStr">
        <is>
          <t>Silver</t>
        </is>
      </c>
      <c r="C19" s="127" t="inlineStr">
        <is>
          <t>Resale</t>
        </is>
      </c>
      <c r="D19" s="127" t="inlineStr">
        <is>
          <t>Budweiser</t>
        </is>
      </c>
      <c r="E19" s="127" t="inlineStr">
        <is>
          <t>Beer</t>
        </is>
      </c>
      <c r="F19" s="127" t="inlineStr">
        <is>
          <t>Africa Creative DDB</t>
        </is>
      </c>
      <c r="G19" s="127" t="inlineStr">
        <is>
          <t>Brazil</t>
        </is>
      </c>
      <c r="H19" s="113" t="inlineStr">
        <is>
          <t>Data-Driven Targeting</t>
        </is>
      </c>
      <c r="I19" s="128" t="inlineStr">
        <is>
          <t>https://ascentialcdn.filespin.io/api/v1/conversion/abd9a65dba9c44ab8abe0ea46a3db71c</t>
        </is>
      </c>
      <c r="J19" s="127" t="inlineStr">
        <is>
          <t>vimeo:1079571158</t>
        </is>
      </c>
      <c r="K19" s="127" t="n"/>
      <c r="L19" s="128" t="inlineStr">
        <is>
          <t>https://www.lovethework.com/work/entries/resale-743971</t>
        </is>
      </c>
      <c r="M19" s="113" t="inlineStr">
        <is>
          <t>A resale platform built around Budweiser's archive of historical music memorabilia — items tied to concerts, artists, and cultural moments the brand sponsored over its history in Brazil. Fans could browse and purchase pieces of that shared history directly through the platform, with Budweiser framing its own back catalog as a record of music's past.</t>
        </is>
      </c>
      <c r="N19" s="113" t="inlineStr">
        <is>
          <t>beer, alcohol, e-commerce, music, entertainment, community-engagement, social, brazil, branded-platform, resale</t>
        </is>
      </c>
    </row>
    <row r="20">
      <c r="A20" s="127" t="n">
        <v>2025</v>
      </c>
      <c r="B20" s="132" t="inlineStr">
        <is>
          <t>Silver</t>
        </is>
      </c>
      <c r="C20" s="127" t="inlineStr">
        <is>
          <t>U Up?</t>
        </is>
      </c>
      <c r="D20" s="127" t="inlineStr">
        <is>
          <t>IKEA</t>
        </is>
      </c>
      <c r="E20" s="127" t="inlineStr">
        <is>
          <t>IKEA</t>
        </is>
      </c>
      <c r="F20" s="127" t="inlineStr">
        <is>
          <t>Rethink</t>
        </is>
      </c>
      <c r="G20" s="127" t="inlineStr">
        <is>
          <t>Canada</t>
        </is>
      </c>
      <c r="H20" s="113" t="inlineStr">
        <is>
          <t>Use of Social Platforms</t>
        </is>
      </c>
      <c r="I20" s="128" t="inlineStr">
        <is>
          <t>https://ascentialcdn.filespin.io/api/v1/conversion/1d6f8cfcad1b47c9beaa5f403844ec8a</t>
        </is>
      </c>
      <c r="J20" s="127" t="inlineStr">
        <is>
          <t>VT02JDQuMxM</t>
        </is>
      </c>
      <c r="K20" s="127" t="n"/>
      <c r="L20" s="128" t="inlineStr">
        <is>
          <t>https://www.lovethework.com/work/entries/u-up-744249</t>
        </is>
      </c>
      <c r="M20" s="113" t="inlineStr">
        <is>
          <t>A late-night Instagram DM campaign that sent the message "u up?" to Canadians detected to be awake between 10 p.m. and 5 a.m., then offered anyone who replied a discounted or free mattress. The mechanic mimicked a late-night booty-call text to position IKEA as the reason you're still scrolling — and the solution to it.</t>
        </is>
      </c>
      <c r="N20" s="113" t="inlineStr">
        <is>
          <t>ikea, home-furnishings, social-media, instagram, direct-message, ooh, canada, use-of-humour, late-night</t>
        </is>
      </c>
    </row>
    <row r="21">
      <c r="A21" s="127" t="n">
        <v>2025</v>
      </c>
      <c r="B21" s="132" t="inlineStr">
        <is>
          <t>Silver</t>
        </is>
      </c>
      <c r="C21" s="127" t="inlineStr">
        <is>
          <t>Sad Kama-Chan</t>
        </is>
      </c>
      <c r="D21" s="127" t="inlineStr">
        <is>
          <t>B&amp;Q</t>
        </is>
      </c>
      <c r="E21" s="127" t="inlineStr">
        <is>
          <t>Bar B Q Plaza</t>
        </is>
      </c>
      <c r="F21" s="127" t="inlineStr">
        <is>
          <t>Grey Thailand</t>
        </is>
      </c>
      <c r="G21" s="127" t="inlineStr">
        <is>
          <t>Thailand</t>
        </is>
      </c>
      <c r="H21" s="113" t="inlineStr">
        <is>
          <t>Small-Scale Media</t>
        </is>
      </c>
      <c r="I21" s="128" t="inlineStr">
        <is>
          <t>https://ascentialcdn.filespin.io/api/v1/conversion/b1a090f7c816487f8dcee01d4c656df9</t>
        </is>
      </c>
      <c r="J21" s="127" t="inlineStr">
        <is>
          <t>h7MYlQFAKMg</t>
        </is>
      </c>
      <c r="K21" s="127" t="n"/>
      <c r="L21" s="128" t="inlineStr">
        <is>
          <t>https://www.lovethework.com/work/entries/sad-kama-chan-743836</t>
        </is>
      </c>
      <c r="M21" s="113" t="inlineStr">
        <is>
          <t>A loyalty mechanic built around heartbreak: Bar B Q Plaza, a Thai barbecue restaurant chain, let customers who had just been through a breakup unlock exclusive discounts and offers by proving their sad status — turning post-breakup wallowing into a reason to visit the restaurant. "Kama-Chan" (กามะจัน) is a Thai term of endearment used by couples, so the campaign reframed the saddest moment of losing a partner as Bar B Q Plaza's prime acquisition window.</t>
        </is>
      </c>
      <c r="N21" s="113" t="inlineStr">
        <is>
          <t>restaurant, food, customer-acquisition, loyalty, thailand, creative-commerce, social, brand-design, emotional-targeting</t>
        </is>
      </c>
    </row>
    <row r="22">
      <c r="A22" s="127" t="n">
        <v>2025</v>
      </c>
      <c r="B22" s="132" t="inlineStr">
        <is>
          <t>Silver</t>
        </is>
      </c>
      <c r="C22" s="127" t="inlineStr">
        <is>
          <t>IKEA Hidden Tags</t>
        </is>
      </c>
      <c r="D22" s="127" t="inlineStr">
        <is>
          <t>IKEA</t>
        </is>
      </c>
      <c r="E22" s="127" t="inlineStr">
        <is>
          <t>IKEA</t>
        </is>
      </c>
      <c r="F22" s="127" t="inlineStr">
        <is>
          <t>Uzina</t>
        </is>
      </c>
      <c r="G22" s="127" t="inlineStr">
        <is>
          <t>Portugal</t>
        </is>
      </c>
      <c r="H22" s="113" t="inlineStr">
        <is>
          <t>Consumer Goods</t>
        </is>
      </c>
      <c r="I22" s="128" t="inlineStr">
        <is>
          <t>https://ascentialcdn.filespin.io/api/v1/conversion/237ade5924eb407898bf58d19f58a52a</t>
        </is>
      </c>
      <c r="J22" s="127" t="inlineStr">
        <is>
          <t>oKWkHqlt7yA</t>
        </is>
      </c>
      <c r="K22" s="127" t="n"/>
      <c r="L22" s="128" t="inlineStr">
        <is>
          <t>https://www.lovethework.com/work/entries/ikea-hidden-tags-743546</t>
        </is>
      </c>
      <c r="M22" s="113" t="inlineStr">
        <is>
          <t>A national treasure hunt that asked Portuguese households to find and photograph the small printed tags hidden inside their IKEA furniture, then upload them to see whose piece was oldest. The activation, marking IKEA's 20 years in Portugal, used the brand's own quality-control tags as proof that the furniture is built to last.</t>
        </is>
      </c>
      <c r="N22" s="113" t="inlineStr">
        <is>
          <t>retail, ugc, gamification, anniversary, furniture, home, portugal, product-design, direct</t>
        </is>
      </c>
    </row>
    <row r="23">
      <c r="A23" s="127" t="n">
        <v>2025</v>
      </c>
      <c r="B23" s="132" t="inlineStr">
        <is>
          <t>Silver</t>
        </is>
      </c>
      <c r="C23" s="127" t="inlineStr">
        <is>
          <t>Burger to King</t>
        </is>
      </c>
      <c r="D23" s="127" t="inlineStr">
        <is>
          <t>Burger King, Happiness</t>
        </is>
      </c>
      <c r="E23" s="127" t="inlineStr">
        <is>
          <t>Burger King</t>
        </is>
      </c>
      <c r="F23" s="127" t="inlineStr">
        <is>
          <t>An FCB Alliance</t>
        </is>
      </c>
      <c r="G23" s="127" t="inlineStr">
        <is>
          <t>Belgium</t>
        </is>
      </c>
      <c r="H23" s="113" t="inlineStr">
        <is>
          <t>Gaming</t>
        </is>
      </c>
      <c r="I23" s="128" t="inlineStr">
        <is>
          <t>https://ascentialcdn.filespin.io/api/v1/conversion/5edeb9f0501f4dc799bf63efd749c2e3</t>
        </is>
      </c>
      <c r="J23" s="127" t="inlineStr">
        <is>
          <t>RQVaoU4CGRk</t>
        </is>
      </c>
      <c r="K23" s="127" t="n"/>
      <c r="L23" s="128" t="inlineStr">
        <is>
          <t>https://www.lovethework.com/work/entries/burger-to-king-760824</t>
        </is>
      </c>
      <c r="M23" s="113" t="inlineStr">
        <is>
          <t>A loophole in EA Sports FC 25's in-game commentary audio update that allowed Burger King to inject its own brand mentions into the game's live commentary track — repositioning Burger King inside a media channel its competitor had paid heavily to dominate. The exploit was executed by Happiness, an FCB Alliance in Brussels, using the game's own audio-update system to route around the official sponsorship.</t>
        </is>
      </c>
      <c r="N23" s="113" t="inlineStr">
        <is>
          <t>burger-king, gaming, video-games, entertainment, qsr, fast-food, restaurant, food, in-game-audio, belgium, challenger-brand, ambient-media, sports-game</t>
        </is>
      </c>
    </row>
    <row r="24">
      <c r="A24" s="127" t="n">
        <v>2025</v>
      </c>
      <c r="B24" s="132" t="inlineStr">
        <is>
          <t>Silver</t>
        </is>
      </c>
      <c r="C24" s="127" t="inlineStr">
        <is>
          <t>Pedigree Caramelo</t>
        </is>
      </c>
      <c r="D24" s="127" t="inlineStr">
        <is>
          <t>Pedigree</t>
        </is>
      </c>
      <c r="E24" s="127" t="inlineStr">
        <is>
          <t>Pedigree</t>
        </is>
      </c>
      <c r="F24" s="127" t="inlineStr">
        <is>
          <t>AlmapBBDO</t>
        </is>
      </c>
      <c r="G24" s="127" t="inlineStr">
        <is>
          <t>Brazil</t>
        </is>
      </c>
      <c r="H24" s="113" t="inlineStr">
        <is>
          <t>Corporate Purpose &amp; Social Responsibility</t>
        </is>
      </c>
      <c r="I24" s="128" t="inlineStr">
        <is>
          <t>https://ascentialcdn.filespin.io/api/v1/conversion/d6016650d2a74669ae91f981af5a00f2</t>
        </is>
      </c>
      <c r="J24" s="127" t="inlineStr">
        <is>
          <t>prMM0H9psRs</t>
        </is>
      </c>
      <c r="K24" s="127" t="n"/>
      <c r="L24" s="128" t="inlineStr">
        <is>
          <t>https://www.lovethework.com/work/entries/pedigree-caramelo-760080</t>
        </is>
      </c>
      <c r="M24" s="113" t="inlineStr">
        <is>
          <t>A campaign by AlmapBBDO São Paulo that officially registered Brazil's most common shelter dog — the caramelo, a generic tan mixed-breed found across the country — as a recognized breed, complete with a formal Pedigree certificate, DNA testing, a Kennel Club, and its own Pedigree branded packaging. The premise was that the caramelo was already everywhere in Brazilian culture — in memes, jokes, and everyday affection — but had never received the official status that purebred dogs carry, which Pedigree used as a reason to give it one.</t>
        </is>
      </c>
      <c r="N24" s="113" t="inlineStr">
        <is>
          <t>dog-food, brazil, shelter-adoption, branded-experience, packaging, public-service, mixed-breed, brand-strategy, pet-care</t>
        </is>
      </c>
    </row>
    <row r="25">
      <c r="A25" s="127" t="n">
        <v>2025</v>
      </c>
      <c r="B25" s="132" t="inlineStr">
        <is>
          <t>Silver</t>
        </is>
      </c>
      <c r="C25" s="127" t="inlineStr">
        <is>
          <t>Oreo Square Cookie</t>
        </is>
      </c>
      <c r="D25" s="127" t="inlineStr">
        <is>
          <t>Mondelez International</t>
        </is>
      </c>
      <c r="E25" s="127" t="inlineStr">
        <is>
          <t>Oreo</t>
        </is>
      </c>
      <c r="F25" s="127" t="inlineStr">
        <is>
          <t>Saatchi &amp; Saatchi</t>
        </is>
      </c>
      <c r="G25" s="127" t="inlineStr">
        <is>
          <t>Germany</t>
        </is>
      </c>
      <c r="H25" s="113" t="inlineStr">
        <is>
          <t>Launch/Relaunch</t>
        </is>
      </c>
      <c r="I25" s="128" t="inlineStr">
        <is>
          <t>https://ascentialcdn.filespin.io/api/v1/conversion/76013060c8dd4eaab1a92bf04d89af79</t>
        </is>
      </c>
      <c r="J25" s="127" t="inlineStr">
        <is>
          <t>vimeo:1068186645</t>
        </is>
      </c>
      <c r="K25" s="127" t="n"/>
      <c r="L25" s="128" t="inlineStr">
        <is>
          <t>https://www.lovethework.com/work/entries/oreo-square-cookie-744485</t>
        </is>
      </c>
      <c r="M25" s="113" t="inlineStr">
        <is>
          <t>A limited-edition square Oreo cookie produced in collaboration with A Minecraft Movie, reshaping the brand's signature round format to match the block-based geometry of the Minecraft world. The tie-in was designed to get German consumers to sample Oreo's reformulated recipe — more cocoa, less sugar — by attaching a trial reason to one of the year's biggest cinema releases.</t>
        </is>
      </c>
      <c r="N25" s="113" t="inlineStr">
        <is>
          <t>snack, food, packaged-goods, cpg, fmcg, packaging, limited-edition, brand-collaboration, entertainment, germany, product-design, audience-engagement</t>
        </is>
      </c>
    </row>
    <row r="26">
      <c r="A26" s="127" t="n">
        <v>2025</v>
      </c>
      <c r="B26" s="132" t="inlineStr">
        <is>
          <t>Silver</t>
        </is>
      </c>
      <c r="C26" s="127" t="inlineStr">
        <is>
          <t>AXA - Three Words</t>
        </is>
      </c>
      <c r="D26" s="127" t="inlineStr">
        <is>
          <t>AXA</t>
        </is>
      </c>
      <c r="E26" s="127" t="inlineStr">
        <is>
          <t>Insurance</t>
        </is>
      </c>
      <c r="F26" s="127" t="inlineStr">
        <is>
          <t>Publicis Conseil</t>
        </is>
      </c>
      <c r="G26" s="127" t="inlineStr">
        <is>
          <t>France</t>
        </is>
      </c>
      <c r="H26" s="113" t="inlineStr">
        <is>
          <t>Corporate Purpose &amp; Social Responsibility</t>
        </is>
      </c>
      <c r="I26" s="128" t="inlineStr">
        <is>
          <t>https://ascentialcdn.filespin.io/api/v1/conversion/e1a85ff134e545c7b049791151432028</t>
        </is>
      </c>
      <c r="J26" s="127" t="inlineStr">
        <is>
          <t>pY-03zuV7mE</t>
        </is>
      </c>
      <c r="K26" s="127" t="n"/>
      <c r="L26" s="128" t="inlineStr">
        <is>
          <t>https://www.lovethework.com/work/entries/axa-three-words-744864</t>
        </is>
      </c>
      <c r="M26" s="113" t="inlineStr">
        <is>
          <t>AXA turned home insurance into a tool for escape by adding three words—“and domestic violence”—to its policies, making abuse a covered risk alongside fire and flood. The change gave victims emergency relocation support at no extra cost, updating 2.5 million contracts and helping women leave the most dangerous place they may face: their own home.</t>
        </is>
      </c>
      <c r="N26" s="113" t="inlineStr">
        <is>
          <t>insurance, financial-services, finance, france, domestic-violence, public-service, digital-platform, consumer-services, housing, publicis-conseil</t>
        </is>
      </c>
    </row>
    <row r="27">
      <c r="A27" s="127" t="n">
        <v>2025</v>
      </c>
      <c r="B27" s="132" t="inlineStr">
        <is>
          <t>Silver</t>
        </is>
      </c>
      <c r="C27" s="127" t="inlineStr">
        <is>
          <t>Potty-Tunities</t>
        </is>
      </c>
      <c r="D27" s="127" t="inlineStr">
        <is>
          <t>Angel Soft</t>
        </is>
      </c>
      <c r="E27" s="127" t="inlineStr">
        <is>
          <t>Angel Soft Toilet Paper</t>
        </is>
      </c>
      <c r="F27" s="127" t="inlineStr">
        <is>
          <t>Grey</t>
        </is>
      </c>
      <c r="G27" s="127" t="inlineStr">
        <is>
          <t>United States</t>
        </is>
      </c>
      <c r="H27" s="113" t="inlineStr">
        <is>
          <t>Consumer Goods</t>
        </is>
      </c>
      <c r="I27" s="128" t="inlineStr">
        <is>
          <t>https://ascentialcdn.filespin.io/api/v1/conversion/d1fbeead5aeb4909a43f4920061be696</t>
        </is>
      </c>
      <c r="J27" s="127" t="inlineStr">
        <is>
          <t>eAh8JA18QJA</t>
        </is>
      </c>
      <c r="K27" s="127" t="n"/>
      <c r="L27" s="128" t="inlineStr">
        <is>
          <t>https://www.lovethework.com/work/entries/potty-tunities-743534</t>
        </is>
      </c>
      <c r="M27" s="113" t="inlineStr">
        <is>
          <t>A Super Bowl TV spot designed to be skipped — Angel Soft's first-ever Big Game commercial was intentionally placed and timed to air during a non-critical game moment, signaling to viewers that it was the ideal time for a bathroom break. Rather than competing for attention, the ad functioned as a live cue, with the Angel Soft brand character "Angel" narrating the permission to step away without missing anything important.</t>
        </is>
      </c>
      <c r="N27" s="113" t="inlineStr">
        <is>
          <t>toilet-paper, broadcast, entertainment, super-bowl, television, media-strategy, united-states, live-event</t>
        </is>
      </c>
    </row>
    <row r="28">
      <c r="A28" s="127" t="n">
        <v>2025</v>
      </c>
      <c r="B28" s="132" t="inlineStr">
        <is>
          <t>Silver</t>
        </is>
      </c>
      <c r="C28" s="127" t="inlineStr">
        <is>
          <t>One Second Ads</t>
        </is>
      </c>
      <c r="D28" s="127" t="inlineStr">
        <is>
          <t>Budweiser</t>
        </is>
      </c>
      <c r="E28" s="127" t="inlineStr">
        <is>
          <t>Beer</t>
        </is>
      </c>
      <c r="F28" s="127" t="inlineStr">
        <is>
          <t>Africa Creative DDB</t>
        </is>
      </c>
      <c r="G28" s="127" t="inlineStr">
        <is>
          <t>Brazil</t>
        </is>
      </c>
      <c r="H28" s="113" t="inlineStr">
        <is>
          <t>Use of Social Platforms</t>
        </is>
      </c>
      <c r="I28" s="127" t="inlineStr">
        <is>
          <t>digital-presentation-images/direct-budweiser-one-second-ads.webp</t>
        </is>
      </c>
      <c r="J28" s="127" t="inlineStr">
        <is>
          <t>RpvlshoKIrE</t>
        </is>
      </c>
      <c r="K28" s="127" t="n"/>
      <c r="L28" s="128" t="inlineStr">
        <is>
          <t>https://www.lovethework.com/work/entries/one-second-ads-744331</t>
        </is>
      </c>
      <c r="M28" s="113" t="inlineStr">
        <is>
          <t>A series of one-second social media ads built around the opening note or two of globally recognized songs — from Beyoncé and Taylor Swift to The Beatles and Foo Fighters — short enough that true fans could identify the track but too brief to trigger music licensing fees. Budweiser challenged viewers on social media to name the song, rewarding correct guessers with a beer coupon sent via DM, which turned the comment sections into active guessing threads and kept viewers replaying the ads voluntarily.</t>
        </is>
      </c>
      <c r="N28" s="113" t="inlineStr">
        <is>
          <t>beer, alcohol, social-media, audio, music, entertainment, short-form-video, brazil, user-participation, mobile</t>
        </is>
      </c>
    </row>
    <row r="29">
      <c r="A29" s="127" t="n">
        <v>2025</v>
      </c>
      <c r="B29" s="132" t="inlineStr">
        <is>
          <t>Silver</t>
        </is>
      </c>
      <c r="C29" s="127" t="inlineStr">
        <is>
          <t>Public Money Atm</t>
        </is>
      </c>
      <c r="D29" s="127" t="inlineStr">
        <is>
          <t>Mastercard</t>
        </is>
      </c>
      <c r="E29" s="127" t="inlineStr">
        <is>
          <t>Mastercard</t>
        </is>
      </c>
      <c r="F29" s="127" t="inlineStr">
        <is>
          <t>McCANN POLAND</t>
        </is>
      </c>
      <c r="G29" s="127" t="inlineStr">
        <is>
          <t>Poland</t>
        </is>
      </c>
      <c r="H29" s="113" t="inlineStr">
        <is>
          <t>Large-Scale Media</t>
        </is>
      </c>
      <c r="I29" s="128" t="inlineStr">
        <is>
          <t>https://ascentialcdn.filespin.io/api/v1/conversion/faa00cc4c0b94e1ea53f6e9be2461987</t>
        </is>
      </c>
      <c r="J29" s="127" t="inlineStr">
        <is>
          <t>vimeo:1083554049</t>
        </is>
      </c>
      <c r="K29" s="127" t="n"/>
      <c r="L29" s="128" t="inlineStr">
        <is>
          <t>https://www.lovethework.com/work/entries/public-money-atm-760086</t>
        </is>
      </c>
      <c r="M29" s="113" t="inlineStr">
        <is>
          <t>A pilot in Ełk, Poland that turned everyday Mastercard ATMs into voting terminals for the city's participatory-budget program. Residents inserted the card they use to withdraw cash and picked which neighborhood projects got funded, with the bank network handling identity and one-vote-per-citizen enforcement.</t>
        </is>
      </c>
      <c r="N29" s="113" t="inlineStr">
        <is>
          <t>credit-card, credit, payments, fintech, financial-services, finance, civic-tech, participatory-democracy, atm, banking, poland, public-service, digital-installation</t>
        </is>
      </c>
    </row>
    <row r="30">
      <c r="A30" s="127" t="n">
        <v>2025</v>
      </c>
      <c r="B30" s="132" t="inlineStr">
        <is>
          <t>Silver</t>
        </is>
      </c>
      <c r="C30" s="127" t="inlineStr">
        <is>
          <t>Wendy's Frosty Fix</t>
        </is>
      </c>
      <c r="D30" s="127" t="inlineStr">
        <is>
          <t>Wendy's</t>
        </is>
      </c>
      <c r="E30" s="127" t="inlineStr">
        <is>
          <t>Fast Food Restaurant / Qsr</t>
        </is>
      </c>
      <c r="F30" s="127" t="inlineStr">
        <is>
          <t>VML</t>
        </is>
      </c>
      <c r="G30" s="127" t="inlineStr">
        <is>
          <t>United States</t>
        </is>
      </c>
      <c r="H30" s="113" t="inlineStr">
        <is>
          <t>Data-Driven Targeting</t>
        </is>
      </c>
      <c r="I30" s="128" t="inlineStr">
        <is>
          <t>https://ascentialcdn.filespin.io/api/v1/conversion/06391abc3c3345f286721abc9e8d250a</t>
        </is>
      </c>
      <c r="J30" s="127" t="inlineStr">
        <is>
          <t>OuOHjLcXtvA</t>
        </is>
      </c>
      <c r="K30" s="127" t="n"/>
      <c r="L30" s="128" t="inlineStr">
        <is>
          <t>https://www.lovethework.com/work/entries/wendys-frosty-fix-744137</t>
        </is>
      </c>
      <c r="M30" s="113" t="inlineStr">
        <is>
          <t>Custom "Frosty Fix" trucks deployed to Chicago neighborhoods near broken McDonald's ice cream machines, offering free Wendy's Frosty treats to customers experiencing the outage in real time. The targeting used live machine-status data to route trucks to the locations of McDonald's — a competitor with three times as many U.S. locations — where the soft-serve was down.</t>
        </is>
      </c>
      <c r="N30" s="113" t="inlineStr">
        <is>
          <t>qsr, fast-food, restaurant, food, data-driven-targeting, experiential, direct, competitor-targeting, united-states, mobile-activation, real-time-data</t>
        </is>
      </c>
    </row>
    <row r="31">
      <c r="A31" s="127" t="n">
        <v>2025</v>
      </c>
      <c r="B31" s="132" t="inlineStr">
        <is>
          <t>Silver</t>
        </is>
      </c>
      <c r="C31" s="127" t="inlineStr">
        <is>
          <t>Preserved Promos</t>
        </is>
      </c>
      <c r="D31" s="127" t="inlineStr">
        <is>
          <t>Ziploc</t>
        </is>
      </c>
      <c r="E31" s="127" t="inlineStr">
        <is>
          <t>Ziploc</t>
        </is>
      </c>
      <c r="F31" s="127" t="inlineStr">
        <is>
          <t>VML</t>
        </is>
      </c>
      <c r="G31" s="127" t="inlineStr">
        <is>
          <t>United States</t>
        </is>
      </c>
      <c r="H31" s="113" t="inlineStr">
        <is>
          <t>Market Disruption</t>
        </is>
      </c>
      <c r="I31" s="128" t="inlineStr">
        <is>
          <t>https://ascentialcdn.filespin.io/api/v1/conversion/8223f25b769b40e3b665c4ec19e2e12c</t>
        </is>
      </c>
      <c r="J31" s="127" t="inlineStr">
        <is>
          <t>F9CTRsV3N7k</t>
        </is>
      </c>
      <c r="K31" s="127" t="n"/>
      <c r="L31" s="128" t="inlineStr">
        <is>
          <t>https://www.lovethework.com/work/entries/preserved-promos-744907</t>
        </is>
      </c>
      <c r="M31" s="113" t="inlineStr">
        <is>
          <t>A retail promotion mechanic that accepted expired food coupons as valid discounts on Ziploc products — shoppers uploaded a photo of any out-of-date food coupon and received savings on Ziploc bags in return. The mechanic ties directly to the brand's core proposition: if Ziploc preserves food, it can preserve a coupon's value too.</t>
        </is>
      </c>
      <c r="N31" s="113" t="inlineStr">
        <is>
          <t>food-storage, retail-media, coupon, commerce, mobile, united-states, sc-johnson, promotion</t>
        </is>
      </c>
    </row>
    <row r="32">
      <c r="A32" s="127" t="n">
        <v>2025</v>
      </c>
      <c r="B32" s="132" t="inlineStr">
        <is>
          <t>Silver</t>
        </is>
      </c>
      <c r="C32" s="127" t="inlineStr">
        <is>
          <t>Prize on the Bone</t>
        </is>
      </c>
      <c r="D32" s="127" t="inlineStr">
        <is>
          <t>KFC</t>
        </is>
      </c>
      <c r="E32" s="127" t="inlineStr">
        <is>
          <t>KFC Ice-Cream</t>
        </is>
      </c>
      <c r="F32" s="127" t="inlineStr">
        <is>
          <t>DM9</t>
        </is>
      </c>
      <c r="G32" s="127" t="inlineStr">
        <is>
          <t>Brazil</t>
        </is>
      </c>
      <c r="H32" s="113" t="inlineStr">
        <is>
          <t>Small-Scale Media</t>
        </is>
      </c>
      <c r="I32" s="128" t="inlineStr">
        <is>
          <t>https://ascentialcdn.filespin.io/api/v1/conversion/32ef7021bdbd4c4392fa51fb240d45e6</t>
        </is>
      </c>
      <c r="J32" s="127" t="inlineStr">
        <is>
          <t>h4Kl5THlsYw</t>
        </is>
      </c>
      <c r="K32" s="127" t="n"/>
      <c r="L32" s="128" t="inlineStr">
        <is>
          <t>https://www.lovethework.com/work/entries/prize-on-the-bone-743661</t>
        </is>
      </c>
      <c r="M32" s="113" t="inlineStr">
        <is>
          <t>A launch promotion for KFC's then-unknown Brazilian ice-cream product that laser-etched 'Você ganhou um sorvete' — 'You won an ice cream' — into the bones of 3,000 chicken pieces served across São Paulo. The hidden prize, revealed only after the bone was cleaned, deliberately echoed a beloved Brazilian ice-cream-stick promo from the 90s.</t>
        </is>
      </c>
      <c r="N32" s="113" t="inlineStr">
        <is>
          <t>qsr, fast-food, restaurant, food, product-launch, retail-promo, packaging, integrated, brazil, partnership</t>
        </is>
      </c>
    </row>
    <row r="33">
      <c r="A33" s="127" t="n">
        <v>2025</v>
      </c>
      <c r="B33" s="133" t="inlineStr">
        <is>
          <t>Bronze</t>
        </is>
      </c>
      <c r="C33" s="127" t="inlineStr">
        <is>
          <t>Coupon Rain</t>
        </is>
      </c>
      <c r="D33" s="127" t="inlineStr">
        <is>
          <t>Mercado Livre</t>
        </is>
      </c>
      <c r="E33" s="127" t="inlineStr">
        <is>
          <t>Mercado Livre</t>
        </is>
      </c>
      <c r="F33" s="127" t="inlineStr">
        <is>
          <t>Gut</t>
        </is>
      </c>
      <c r="G33" s="127" t="inlineStr">
        <is>
          <t>Brazil</t>
        </is>
      </c>
      <c r="H33" s="113" t="inlineStr">
        <is>
          <t>Use of Print/Outdoor</t>
        </is>
      </c>
      <c r="I33" s="128" t="inlineStr">
        <is>
          <t>https://ascentialcdn.filespin.io/api/v1/conversion/a490647b563240a68a61883a7362c54b</t>
        </is>
      </c>
      <c r="J33" s="127" t="inlineStr">
        <is>
          <t>vimeo:1093414319</t>
        </is>
      </c>
      <c r="K33" s="127" t="n"/>
      <c r="L33" s="128" t="inlineStr">
        <is>
          <t>https://www.lovethework.com/work/entries/coupon-rain-759033</t>
        </is>
      </c>
      <c r="M33" s="113" t="inlineStr">
        <is>
          <t>Mercado Livre sponsored the trophy lift at the final of one of Brazil's major football championships and replaced the customary confetti with thousands of branded discount coupons. The moment the winning captain raised the cup, the field rained with redeemable codes — putting the brand directly inside the photograph that ran on every front page.</t>
        </is>
      </c>
      <c r="N33" s="113" t="inlineStr">
        <is>
          <t>ecommerce, retail, online-shopping, sponsorship, football, soccer, sport, retail-promo, stunt, brazil, partnership</t>
        </is>
      </c>
    </row>
    <row r="34">
      <c r="A34" s="127" t="n">
        <v>2025</v>
      </c>
      <c r="B34" s="133" t="inlineStr">
        <is>
          <t>Bronze</t>
        </is>
      </c>
      <c r="C34" s="127" t="inlineStr">
        <is>
          <t>Life Donor Card</t>
        </is>
      </c>
      <c r="D34" s="127" t="inlineStr">
        <is>
          <t>Mastercard</t>
        </is>
      </c>
      <c r="E34" s="127" t="inlineStr">
        <is>
          <t>Life Donor Feature</t>
        </is>
      </c>
      <c r="F34" s="127" t="inlineStr">
        <is>
          <t>MRM Germany</t>
        </is>
      </c>
      <c r="G34" s="127" t="inlineStr">
        <is>
          <t>Germany</t>
        </is>
      </c>
      <c r="H34" s="113" t="inlineStr">
        <is>
          <t>Consumer Services/Business to Business</t>
        </is>
      </c>
      <c r="I34" s="128" t="inlineStr">
        <is>
          <t>https://ascentialcdn.filespin.io/api/v1/conversion/5801ee4249af49b0aa23167f0d131de4</t>
        </is>
      </c>
      <c r="J34" s="127" t="inlineStr">
        <is>
          <t>pe-7cdkH2dA</t>
        </is>
      </c>
      <c r="K34" s="127" t="n"/>
      <c r="L34" s="128" t="inlineStr">
        <is>
          <t>https://www.lovethework.com/work/entries/life-donor-card-759052</t>
        </is>
      </c>
      <c r="M34" s="113" t="inlineStr">
        <is>
          <t>A Mastercard product update in Germany — built with prepaid issuer PayCenter — that lets cardholders document their organ-donor consent on the front of their payment card. The card becomes a portable, always-on donor record in a country with the lowest organ-donation rate in Europe.</t>
        </is>
      </c>
      <c r="N34" s="113" t="inlineStr">
        <is>
          <t>credit-card, credit, payments, fintech, financial-services, finance, healthcare, social-good, product-innovation, organ-donation, medical, germany, partnership</t>
        </is>
      </c>
    </row>
    <row r="35">
      <c r="A35" s="127" t="n">
        <v>2025</v>
      </c>
      <c r="B35" s="133" t="inlineStr">
        <is>
          <t>Bronze</t>
        </is>
      </c>
      <c r="C35" s="127" t="inlineStr">
        <is>
          <t>AXA - Three Words</t>
        </is>
      </c>
      <c r="D35" s="127" t="inlineStr">
        <is>
          <t>AXA</t>
        </is>
      </c>
      <c r="E35" s="127" t="inlineStr">
        <is>
          <t>Insurance</t>
        </is>
      </c>
      <c r="F35" s="127" t="inlineStr">
        <is>
          <t>Publicis Conseil</t>
        </is>
      </c>
      <c r="G35" s="127" t="inlineStr">
        <is>
          <t>France</t>
        </is>
      </c>
      <c r="H35" s="113" t="inlineStr">
        <is>
          <t>Consumer Services/Business to Business</t>
        </is>
      </c>
      <c r="I35" s="128" t="inlineStr">
        <is>
          <t>https://ascentialcdn.filespin.io/api/v1/conversion/e1a85ff134e545c7b049791151432028</t>
        </is>
      </c>
      <c r="J35" s="127" t="inlineStr">
        <is>
          <t>pY-03zuV7mE</t>
        </is>
      </c>
      <c r="K35" s="127" t="n"/>
      <c r="L35" s="128" t="inlineStr">
        <is>
          <t>https://www.lovethework.com/work/entries/axa-three-words-743592</t>
        </is>
      </c>
      <c r="M35" s="113" t="inlineStr">
        <is>
          <t>AXA turned home insurance into a tool for escape by adding three words—“and domestic violence”—to its policies, making abuse a covered risk alongside fire and flood. The change gave victims emergency relocation support at no extra cost, updating 2.5 million contracts and helping women leave the most dangerous place they may face: their own home.</t>
        </is>
      </c>
      <c r="N35" s="113" t="inlineStr">
        <is>
          <t>insurance, financial-services, finance, france, domestic-violence, public-service, digital-platform, consumer-services, housing, publicis-conseil</t>
        </is>
      </c>
    </row>
    <row r="36">
      <c r="A36" s="127" t="n">
        <v>2025</v>
      </c>
      <c r="B36" s="133" t="inlineStr">
        <is>
          <t>Bronze</t>
        </is>
      </c>
      <c r="C36" s="127" t="inlineStr">
        <is>
          <t>Preserved Promos</t>
        </is>
      </c>
      <c r="D36" s="127" t="inlineStr">
        <is>
          <t>Ziploc</t>
        </is>
      </c>
      <c r="E36" s="127" t="inlineStr">
        <is>
          <t>Ziploc</t>
        </is>
      </c>
      <c r="F36" s="127" t="inlineStr">
        <is>
          <t>VML</t>
        </is>
      </c>
      <c r="G36" s="127" t="inlineStr">
        <is>
          <t>United States</t>
        </is>
      </c>
      <c r="H36" s="113" t="inlineStr">
        <is>
          <t>Use of Mobile</t>
        </is>
      </c>
      <c r="I36" s="128" t="inlineStr">
        <is>
          <t>https://ascentialcdn.filespin.io/api/v1/conversion/8223f25b769b40e3b665c4ec19e2e12c</t>
        </is>
      </c>
      <c r="J36" s="127" t="inlineStr">
        <is>
          <t>F9CTRsV3N7k</t>
        </is>
      </c>
      <c r="K36" s="127" t="n"/>
      <c r="L36" s="128" t="inlineStr">
        <is>
          <t>https://www.lovethework.com/work/entries/preserved-promos-744111</t>
        </is>
      </c>
      <c r="M36" s="113" t="inlineStr">
        <is>
          <t>A retail promotion mechanic that accepted expired food coupons as valid discounts on Ziploc products — shoppers uploaded a photo of any out-of-date food coupon and received savings on Ziploc bags in return. The mechanic ties directly to the brand's core proposition: if Ziploc preserves food, it can preserve a coupon's value too.</t>
        </is>
      </c>
      <c r="N36" s="113" t="inlineStr">
        <is>
          <t>food-storage, retail-media, coupon, commerce, mobile, united-states, sc-johnson, promotion</t>
        </is>
      </c>
    </row>
    <row r="37">
      <c r="A37" s="127" t="n">
        <v>2025</v>
      </c>
      <c r="B37" s="133" t="inlineStr">
        <is>
          <t>Bronze</t>
        </is>
      </c>
      <c r="C37" s="127" t="inlineStr">
        <is>
          <t>Pub Succession</t>
        </is>
      </c>
      <c r="D37" s="127" t="inlineStr">
        <is>
          <t>Heineken</t>
        </is>
      </c>
      <c r="E37" s="127" t="inlineStr">
        <is>
          <t>Heineken</t>
        </is>
      </c>
      <c r="F37" s="127" t="inlineStr">
        <is>
          <t>LePub</t>
        </is>
      </c>
      <c r="G37" s="127" t="inlineStr">
        <is>
          <t>Italy</t>
        </is>
      </c>
      <c r="H37" s="113" t="inlineStr">
        <is>
          <t>Personalised Campaigns</t>
        </is>
      </c>
      <c r="I37" s="128" t="inlineStr">
        <is>
          <t>https://ascentialcdn.filespin.io/api/v1/conversion/a8d4e72bb1ce47508dcea8db73d16b01</t>
        </is>
      </c>
      <c r="J37" s="127" t="inlineStr">
        <is>
          <t>vimeo:1082873947</t>
        </is>
      </c>
      <c r="K37" s="127" t="n"/>
      <c r="L37" s="128" t="inlineStr">
        <is>
          <t>https://www.lovethework.com/work/entries/pub-succession-744903</t>
        </is>
      </c>
      <c r="M37" s="113" t="inlineStr">
        <is>
          <t>A global recruitment campaign to find a new owner for McLoughlin's Bar, a 155-year-old family pub on Ireland's Achill Island whose fourth-generation publican is retiring with no successor — but only candidates named McLoughlin can apply. Launched on St Patrick's Day and pushed everywhere from Times Square to The New York Times.</t>
        </is>
      </c>
      <c r="N37" s="113" t="inlineStr">
        <is>
          <t>pr, integrated, ooh, beer, alcohol, ireland, recruitment, cultural-engagement, partnership</t>
        </is>
      </c>
    </row>
    <row r="38">
      <c r="A38" s="127" t="n">
        <v>2025</v>
      </c>
      <c r="B38" s="133" t="inlineStr">
        <is>
          <t>Bronze</t>
        </is>
      </c>
      <c r="C38" s="127" t="inlineStr">
        <is>
          <t>The Final Exam</t>
        </is>
      </c>
      <c r="D38" s="127" t="inlineStr">
        <is>
          <t>Change the Ref</t>
        </is>
      </c>
      <c r="E38" s="127" t="inlineStr">
        <is>
          <t>Pro Bono</t>
        </is>
      </c>
      <c r="F38" s="127" t="inlineStr">
        <is>
          <t>Energy BBDO</t>
        </is>
      </c>
      <c r="G38" s="127" t="inlineStr">
        <is>
          <t>United States</t>
        </is>
      </c>
      <c r="H38" s="113" t="inlineStr">
        <is>
          <t>Gaming</t>
        </is>
      </c>
      <c r="I38" s="128" t="inlineStr">
        <is>
          <t>https://ascentialcdn.filespin.io/api/v1/conversion/615e3a15eabf457d91d317468a12d825</t>
        </is>
      </c>
      <c r="J38" s="127" t="inlineStr">
        <is>
          <t>y8LkiSNPJUs</t>
        </is>
      </c>
      <c r="K38" s="127" t="n"/>
      <c r="L38" s="128" t="inlineStr">
        <is>
          <t>https://www.lovethework.com/work/entries/the-final-exam-759400</t>
        </is>
      </c>
      <c r="M38" s="113" t="inlineStr">
        <is>
          <t>A playable PC game in which the player tries to survive a U.S. school shooting. Every level is reconstructed from real architectural layouts and eyewitness accounts from Columbine, Parkland, and Sandy Hook; survival depends on finding five actual U.S. gun-safety bills hidden as in-game items. Premiered at TwitchCon.</t>
        </is>
      </c>
      <c r="N38" s="113" t="inlineStr">
        <is>
          <t>gaming, video-games, entertainment, gun-violence, social-good, not-for-profit, charity, ngo, activism, united-states, twitch, advocacy</t>
        </is>
      </c>
    </row>
    <row r="39">
      <c r="A39" s="127" t="n">
        <v>2025</v>
      </c>
      <c r="B39" s="133" t="inlineStr">
        <is>
          <t>Bronze</t>
        </is>
      </c>
      <c r="C39" s="127" t="inlineStr">
        <is>
          <t>Choose Uber</t>
        </is>
      </c>
      <c r="D39" s="127" t="inlineStr">
        <is>
          <t>Heetch</t>
        </is>
      </c>
      <c r="E39" s="127" t="inlineStr">
        <is>
          <t>Heetch</t>
        </is>
      </c>
      <c r="F39" s="127" t="inlineStr">
        <is>
          <t>BETC</t>
        </is>
      </c>
      <c r="G39" s="127" t="inlineStr">
        <is>
          <t>France</t>
        </is>
      </c>
      <c r="H39" s="113" t="inlineStr">
        <is>
          <t>Challenger Brand</t>
        </is>
      </c>
      <c r="I39" s="128" t="inlineStr">
        <is>
          <t>https://ascentialcdn.filespin.io/api/v1/conversion/fd2b448479ca41b7aa08b7d8a4bd8749</t>
        </is>
      </c>
      <c r="J39" s="127" t="inlineStr">
        <is>
          <t>l9rO0yGTLEM</t>
        </is>
      </c>
      <c r="K39" s="127" t="n"/>
      <c r="L39" s="128" t="inlineStr">
        <is>
          <t>https://www.lovethework.com/work/entries/choose-uber-759506</t>
        </is>
      </c>
      <c r="M39" s="113" t="inlineStr">
        <is>
          <t>An ad campaign across Paris hotels, airports, and tourist sites during the 2024 Olympics — in 12 languages — that explicitly told visitors to choose Uber, Heetch's biggest competitor, for their rides. The deliberate hand-off kept Heetch's small fleet available for Parisian regulars during the summer surge.</t>
        </is>
      </c>
      <c r="N39" s="113" t="inlineStr">
        <is>
          <t>ride-share, mobility, transport, ooh, multilingual, paris, olympics, sport, customer-retention, france</t>
        </is>
      </c>
    </row>
    <row r="40">
      <c r="A40" s="127" t="n">
        <v>2025</v>
      </c>
      <c r="B40" s="133" t="inlineStr">
        <is>
          <t>Bronze</t>
        </is>
      </c>
      <c r="C40" s="127" t="inlineStr">
        <is>
          <t>Safe at 3am</t>
        </is>
      </c>
      <c r="D40" s="127" t="inlineStr">
        <is>
          <t>Dubai Tourism</t>
        </is>
      </c>
      <c r="E40" s="127" t="inlineStr">
        <is>
          <t>Dubai</t>
        </is>
      </c>
      <c r="F40" s="127" t="inlineStr">
        <is>
          <t>VML</t>
        </is>
      </c>
      <c r="G40" s="127" t="inlineStr">
        <is>
          <t>United Arab Emirates</t>
        </is>
      </c>
      <c r="H40" s="113" t="inlineStr">
        <is>
          <t>Use of Mobile</t>
        </is>
      </c>
      <c r="I40" s="128" t="inlineStr">
        <is>
          <t>https://ascentialcdn.filespin.io/api/v1/conversion/f9376c25bb2b48bca81ace4fc05d635c</t>
        </is>
      </c>
      <c r="J40" s="127" t="inlineStr">
        <is>
          <t>ZJV0Hf5gD54</t>
        </is>
      </c>
      <c r="K40" s="127" t="n"/>
      <c r="L40" s="128" t="inlineStr">
        <is>
          <t>https://www.lovethework.com/work/entries/safe-at-3am-759119</t>
        </is>
      </c>
      <c r="M40" s="113" t="inlineStr">
        <is>
          <t>A solo 42-kilometer marathon run at 3AM through Dubai's unmodified streets — no closed roads, no security escorts — documented by Lily Collyer, a Dubai-based personal trainer and running influencer. The challenge was designed to demonstrate the city's safety at its least-supervised hour, using a real, unscripted physical feat as the proof point.</t>
        </is>
      </c>
      <c r="N40" s="113" t="inlineStr">
        <is>
          <t>tourism, travel, mobile, influencer, user-generated-content, united-arab-emirates, outdoor, social-media, dubai</t>
        </is>
      </c>
    </row>
    <row r="41">
      <c r="A41" s="127" t="n">
        <v>2025</v>
      </c>
      <c r="B41" s="133" t="inlineStr">
        <is>
          <t>Bronze</t>
        </is>
      </c>
      <c r="C41" s="127" t="inlineStr">
        <is>
          <t>Football Is for Food</t>
        </is>
      </c>
      <c r="D41" s="127" t="inlineStr">
        <is>
          <t>Uber Eats</t>
        </is>
      </c>
      <c r="E41" s="127" t="inlineStr">
        <is>
          <t>Uber Eats</t>
        </is>
      </c>
      <c r="F41" s="127" t="inlineStr">
        <is>
          <t>Special</t>
        </is>
      </c>
      <c r="G41" s="127" t="inlineStr">
        <is>
          <t>United States</t>
        </is>
      </c>
      <c r="H41" s="113" t="inlineStr">
        <is>
          <t>Use of Broadcast</t>
        </is>
      </c>
      <c r="I41" s="128" t="inlineStr">
        <is>
          <t>https://ascentialcdn.filespin.io/api/v1/conversion/bdc3e17665e54318a6a9b4e6705f40a7</t>
        </is>
      </c>
      <c r="J41" s="127" t="inlineStr">
        <is>
          <t>Mi_cxUyqH4Q</t>
        </is>
      </c>
      <c r="K41" s="127" t="n"/>
      <c r="L41" s="128" t="inlineStr">
        <is>
          <t>https://www.lovethework.com/work/entries/football-is-for-food-743865</t>
        </is>
      </c>
      <c r="M41" s="113" t="inlineStr">
        <is>
          <t>A season-long campaign that reframed the entire NFL as a covert advertisement for food delivery — with a conspiracy theory, seeded across multiple spots, connecting football touchdowns, huddles, and tailgates to the act of ordering food. Matthew McConaughey and NFL star Christian McCaffrey fronted the launch film, which kicked off a rolling series of fabricated "evidence" uncovering hundreds of links between football and eating, created by Special US.</t>
        </is>
      </c>
      <c r="N41" s="113" t="inlineStr">
        <is>
          <t>food-delivery, food, restaurant, ecommerce, retail, online-shopping, television, brand-integration, nfl, united-states, conspiracy, humor, sports-sponsorship</t>
        </is>
      </c>
    </row>
    <row r="42">
      <c r="A42" s="127" t="n">
        <v>2025</v>
      </c>
      <c r="B42" s="133" t="inlineStr">
        <is>
          <t>Bronze</t>
        </is>
      </c>
      <c r="C42" s="127" t="inlineStr">
        <is>
          <t>Drinkable Anthem</t>
        </is>
      </c>
      <c r="D42" s="127" t="inlineStr">
        <is>
          <t>Super Bock</t>
        </is>
      </c>
      <c r="E42" s="127" t="inlineStr">
        <is>
          <t>Super Bock Beer</t>
        </is>
      </c>
      <c r="F42" s="127" t="inlineStr">
        <is>
          <t>Judas</t>
        </is>
      </c>
      <c r="G42" s="127" t="inlineStr">
        <is>
          <t>Portugal</t>
        </is>
      </c>
      <c r="H42" s="113" t="inlineStr">
        <is>
          <t>Use of Broadcast</t>
        </is>
      </c>
      <c r="I42" s="128" t="inlineStr">
        <is>
          <t>https://ascentialcdn.filespin.io/api/v1/conversion/f2e0559daeee4ccda58f909ec08f9fbf</t>
        </is>
      </c>
      <c r="J42" s="127" t="inlineStr">
        <is>
          <t>vimeo:1085986719</t>
        </is>
      </c>
      <c r="K42" s="127" t="n"/>
      <c r="L42" s="128" t="inlineStr">
        <is>
          <t>https://www.lovethework.com/work/entries/drinkable-anthem-743946</t>
        </is>
      </c>
      <c r="M42" s="113" t="inlineStr">
        <is>
          <t>A broadcast mechanic built around Portugal's national anthem: Super Bock aired its TV spot precisely during the seconds of the anthem's performance when the melody is traditionally sung without words — filling that familiar silence with the sound of a beer being poured and drunk. The timing turned a cultural blank that every Portuguese viewer already knew by heart into an ad placement.</t>
        </is>
      </c>
      <c r="N42" s="113" t="inlineStr">
        <is>
          <t>beer, alcohol, broadcast, entertainment, tv, portugal, real-time, cultural-moment, audio, timing</t>
        </is>
      </c>
    </row>
    <row r="43">
      <c r="A43" s="127" t="n">
        <v>2025</v>
      </c>
      <c r="B43" s="133" t="inlineStr">
        <is>
          <t>Bronze</t>
        </is>
      </c>
      <c r="C43" s="127" t="inlineStr">
        <is>
          <t>Most Likely To</t>
        </is>
      </c>
      <c r="D43" s="127" t="inlineStr">
        <is>
          <t>Dove</t>
        </is>
      </c>
      <c r="E43" s="127" t="inlineStr">
        <is>
          <t>Dove Brand</t>
        </is>
      </c>
      <c r="F43" s="127" t="inlineStr">
        <is>
          <t>Ogilvy</t>
        </is>
      </c>
      <c r="G43" s="127" t="inlineStr">
        <is>
          <t>Canada</t>
        </is>
      </c>
      <c r="H43" s="113" t="inlineStr">
        <is>
          <t>Single-Market Campaign</t>
        </is>
      </c>
      <c r="I43" s="128" t="inlineStr">
        <is>
          <t>https://ascentialcdn.filespin.io/api/v1/conversion/7b86925f1349408ea7adba9c5a0176eb</t>
        </is>
      </c>
      <c r="J43" s="127" t="inlineStr">
        <is>
          <t>z68efvxyj3M</t>
        </is>
      </c>
      <c r="K43" s="127" t="n"/>
      <c r="L43" s="128" t="inlineStr">
        <is>
          <t>https://www.lovethework.com/work/entries/most-likely-to-759537</t>
        </is>
      </c>
      <c r="M43" s="113" t="inlineStr">
        <is>
          <t>A long tracking shot through a school hallway that pauses on individual girls to display "Most Likely To" superlatives — not achievements, but appearance-based insecurities: "Most Likely To Get Made Fun Of For Her Hair," "Most Likely To Feel Ugly." The film, made with Ogilvy Toronto and PHD Toronto, surfaces the specific language young girls absorb about their looks to argue for early self-esteem intervention.</t>
        </is>
      </c>
      <c r="N43" s="113" t="inlineStr">
        <is>
          <t>dove, personal-care, film, cinema, entertainment, social-impact, canada, youth, body-image, ogilvy</t>
        </is>
      </c>
    </row>
    <row r="44">
      <c r="A44" s="127" t="n">
        <v>2025</v>
      </c>
      <c r="B44" s="133" t="inlineStr">
        <is>
          <t>Bronze</t>
        </is>
      </c>
      <c r="C44" s="127" t="inlineStr">
        <is>
          <t>Re-Commerce Atacama</t>
        </is>
      </c>
      <c r="D44" s="127" t="inlineStr">
        <is>
          <t>VTEX</t>
        </is>
      </c>
      <c r="E44" s="127" t="inlineStr">
        <is>
          <t>Re-Commerce Atacama</t>
        </is>
      </c>
      <c r="F44" s="127" t="inlineStr">
        <is>
          <t>Artplan</t>
        </is>
      </c>
      <c r="G44" s="127" t="inlineStr">
        <is>
          <t>Brazil</t>
        </is>
      </c>
      <c r="H44" s="113" t="inlineStr">
        <is>
          <t>Corporate Purpose &amp; Social Responsibility</t>
        </is>
      </c>
      <c r="I44" s="128" t="inlineStr">
        <is>
          <t>https://ascentialcdn.filespin.io/api/v1/conversion/4d03b091591e429f9ada2339d908dc54</t>
        </is>
      </c>
      <c r="J44" s="127" t="inlineStr">
        <is>
          <t>vimeo:1090194004</t>
        </is>
      </c>
      <c r="K44" s="127" t="n"/>
      <c r="L44" s="128" t="inlineStr">
        <is>
          <t>https://www.lovethework.com/work/entries/re-commerce-atacama-744934</t>
        </is>
      </c>
      <c r="M44" s="113" t="inlineStr">
        <is>
          <t>An e-commerce platform built by VTEX and Artplan to sell discarded fast-fashion garments dumped in Chile's Atacama Desert — one of the world's largest textile waste sites — directly to global buyers. By routing unsold and abandoned clothing through a re-commerce storefront, the project turned a landfill into a live digital inventory.</t>
        </is>
      </c>
      <c r="N44" s="113" t="inlineStr">
        <is>
          <t>e-commerce, digital-platform, circular-economy, fast-fashion-waste, retail, brazil, chile, sustainability, b2b-platform</t>
        </is>
      </c>
    </row>
    <row r="45">
      <c r="A45" s="127" t="n">
        <v>2025</v>
      </c>
      <c r="B45" s="133" t="inlineStr">
        <is>
          <t>Bronze</t>
        </is>
      </c>
      <c r="C45" s="127" t="inlineStr">
        <is>
          <t>Six Back</t>
        </is>
      </c>
      <c r="D45" s="127" t="inlineStr">
        <is>
          <t>Victoria</t>
        </is>
      </c>
      <c r="E45" s="127" t="inlineStr">
        <is>
          <t>Victoria</t>
        </is>
      </c>
      <c r="F45" s="127" t="inlineStr">
        <is>
          <t>Gut</t>
        </is>
      </c>
      <c r="G45" s="127" t="inlineStr">
        <is>
          <t>Mexico</t>
        </is>
      </c>
      <c r="H45" s="113" t="inlineStr">
        <is>
          <t>Small-Scale Media</t>
        </is>
      </c>
      <c r="I45" s="128" t="inlineStr">
        <is>
          <t>https://ascentialcdn.filespin.io/api/v1/conversion/b2fe6fe084884aab927d3e0312b40622</t>
        </is>
      </c>
      <c r="J45" s="127" t="inlineStr">
        <is>
          <t>xbkAvvh64IA</t>
        </is>
      </c>
      <c r="K45" s="127" t="n"/>
      <c r="L45" s="128" t="inlineStr">
        <is>
          <t>https://www.lovethework.com/work/entries/six-back-760070</t>
        </is>
      </c>
      <c r="M45" s="113" t="inlineStr">
        <is>
          <t>A packaging initiative by Cerveza Victoria and GUT Mexico City that collects used glass bottles from competing beer brands, fills them with Victoria beer, and sells them as mixed six-packs. Timed to Día de los Muertos, the campaign frames the returned bottles as coming back to life — a nod to the holiday's belief that the dead rejoin the living.</t>
        </is>
      </c>
      <c r="N45" s="113" t="inlineStr">
        <is>
          <t>beer, alcohol, packaging, recycling, dia-de-los-muertos, mexico, small-scale-media, gut</t>
        </is>
      </c>
    </row>
    <row r="46">
      <c r="A46" s="127" t="n">
        <v>2025</v>
      </c>
      <c r="B46" s="133" t="inlineStr">
        <is>
          <t>Bronze</t>
        </is>
      </c>
      <c r="C46" s="127" t="inlineStr">
        <is>
          <t>01. the Interrupted Goal</t>
        </is>
      </c>
      <c r="D46" s="127" t="inlineStr">
        <is>
          <t>Fiat Group</t>
        </is>
      </c>
      <c r="E46" s="127" t="inlineStr">
        <is>
          <t>Fiat Hybrid</t>
        </is>
      </c>
      <c r="F46" s="127" t="inlineStr">
        <is>
          <t>Leo Brazil</t>
        </is>
      </c>
      <c r="G46" s="127" t="inlineStr">
        <is>
          <t>Brazil</t>
        </is>
      </c>
      <c r="H46" s="113" t="inlineStr">
        <is>
          <t>Use of Broadcast</t>
        </is>
      </c>
      <c r="I46" s="128" t="inlineStr">
        <is>
          <t>https://ascentialcdn.filespin.io/api/v1/conversion/dfca319f7ffa4d2c80fe786b30e35c40</t>
        </is>
      </c>
      <c r="J46" s="127" t="inlineStr">
        <is>
          <t>vimeo:1082274260</t>
        </is>
      </c>
      <c r="K46" s="127" t="n"/>
      <c r="L46" s="128" t="inlineStr">
        <is>
          <t>https://www.lovethework.com/work/entries/01-the-interrupted-goal-743899</t>
        </is>
      </c>
      <c r="M46" s="113" t="inlineStr">
        <is>
          <t>Fiat turned a media mistake into a fan-first apology after one of its in-game ads accidentally interrupted a crucial Botafogo goal during the Brazilian title race. Within 24 hours, the brand interrupted its own commercial during a major news broadcast to replay the missed goal, giving fans back the moment Fiat had taken from them.</t>
        </is>
      </c>
      <c r="N46" s="113" t="inlineStr">
        <is>
          <t>automotive, cars, transport, sport, football, soccer, brazil, broadcast, entertainment, partnership, ooh, real-time</t>
        </is>
      </c>
    </row>
    <row r="47">
      <c r="A47" s="127" t="n">
        <v>2025</v>
      </c>
      <c r="B47" s="133" t="inlineStr">
        <is>
          <t>Bronze</t>
        </is>
      </c>
      <c r="C47" s="127" t="inlineStr">
        <is>
          <t>Ink of Democracy</t>
        </is>
      </c>
      <c r="D47" s="127" t="inlineStr">
        <is>
          <t>Times of India Group</t>
        </is>
      </c>
      <c r="E47" s="127" t="inlineStr">
        <is>
          <t>Election Appeal</t>
        </is>
      </c>
      <c r="F47" s="127" t="inlineStr">
        <is>
          <t>Havas</t>
        </is>
      </c>
      <c r="G47" s="127" t="inlineStr">
        <is>
          <t>India</t>
        </is>
      </c>
      <c r="H47" s="113" t="inlineStr">
        <is>
          <t>Social Behaviour</t>
        </is>
      </c>
      <c r="I47" s="127" t="inlineStr">
        <is>
          <t>digital-presentation-images/direct-times-of-india-group-ink-of-democracy.webp</t>
        </is>
      </c>
      <c r="J47" s="127" t="inlineStr">
        <is>
          <t>Y04IsSy9fCI</t>
        </is>
      </c>
      <c r="K47" s="127" t="n"/>
      <c r="L47" s="128" t="inlineStr">
        <is>
          <t>https://www.lovethework.com/work/entries/ink-of-democracy-744669</t>
        </is>
      </c>
      <c r="M47" s="113" t="inlineStr">
        <is>
          <t>Pages of The Times of India and The Economic Times — India's highest-circulation English-language newspapers — were printed in purple ink instead of black during the 2024 Indian General Elections, mirroring the electoral ink applied to every voter's finger as proof of voting. For every 132 registered voters who had not cast a ballot in the previous election, one purple-ink page was produced, resulting in 2.28 million prints, each functioning as a direct appeal to a specific share of the absent electorate. The campaign was created by Havas Creative India in partnership with The Times of India Group, drawing on the fact that 7,500 litres of electoral ink went unused in 2019 due to low turnout.</t>
        </is>
      </c>
      <c r="N47" s="113" t="inlineStr">
        <is>
          <t>newspaper, print, public-service, voter-turnout, india, corporate-purpose, packaging-craft, elections, media-brand</t>
        </is>
      </c>
    </row>
    <row r="48">
      <c r="A48" s="127" t="n">
        <v>2025</v>
      </c>
      <c r="B48" s="133" t="inlineStr">
        <is>
          <t>Bronze</t>
        </is>
      </c>
      <c r="C48" s="127" t="inlineStr">
        <is>
          <t>W1ng Cod3s</t>
        </is>
      </c>
      <c r="D48" s="127" t="inlineStr">
        <is>
          <t>Volaris Airlines</t>
        </is>
      </c>
      <c r="E48" s="127" t="inlineStr">
        <is>
          <t>Volaris Airlines</t>
        </is>
      </c>
      <c r="F48" s="127" t="inlineStr">
        <is>
          <t>Havas Hoy</t>
        </is>
      </c>
      <c r="G48" s="127" t="inlineStr">
        <is>
          <t>Mexico</t>
        </is>
      </c>
      <c r="H48" s="113" t="inlineStr">
        <is>
          <t>Breakthrough on a Budget</t>
        </is>
      </c>
      <c r="I48" s="128" t="inlineStr">
        <is>
          <t>https://ascentialcdn.filespin.io/api/v1/conversion/1294d1380c13485bb6bc73f942b57f75</t>
        </is>
      </c>
      <c r="J48" s="127" t="inlineStr">
        <is>
          <t>qsxzsAbHowQ</t>
        </is>
      </c>
      <c r="K48" s="127" t="n"/>
      <c r="L48" s="128" t="inlineStr">
        <is>
          <t>https://www.lovethework.com/work/entries/w1ng-cod3s-744593</t>
        </is>
      </c>
      <c r="M48" s="113" t="inlineStr">
        <is>
          <t>A discount mechanic built around the aircraft registration codes printed on airplane wings — codes that appear in 83% of in-flight window-seat photos but had previously gone unnoticed. Volaris invited passengers to photograph the wing code on their flight and redeem it for a discount on their next booking, turning an overlooked piece of livery into a loyalty trigger shared across social media.</t>
        </is>
      </c>
      <c r="N48" s="113" t="inlineStr">
        <is>
          <t>airline, social-media, user-generated-content, promotion, mexico, mobile, influencer, ooh</t>
        </is>
      </c>
    </row>
    <row r="49">
      <c r="A49" s="127" t="n">
        <v>2025</v>
      </c>
      <c r="B49" s="133" t="inlineStr">
        <is>
          <t>Bronze</t>
        </is>
      </c>
      <c r="C49" s="127" t="inlineStr">
        <is>
          <t>Lidlize</t>
        </is>
      </c>
      <c r="D49" s="127" t="inlineStr">
        <is>
          <t>Lidl</t>
        </is>
      </c>
      <c r="E49" s="127" t="inlineStr">
        <is>
          <t>Retail</t>
        </is>
      </c>
      <c r="F49" s="127" t="inlineStr">
        <is>
          <t>Marcel</t>
        </is>
      </c>
      <c r="G49" s="127" t="inlineStr">
        <is>
          <t>France</t>
        </is>
      </c>
      <c r="H49" s="113" t="inlineStr">
        <is>
          <t>New Realities &amp; Emerging Tech</t>
        </is>
      </c>
      <c r="I49" s="128" t="inlineStr">
        <is>
          <t>https://ascentialcdn.filespin.io/api/v1/conversion/f979928ea0a14ad7a4df5b301de95a0e</t>
        </is>
      </c>
      <c r="J49" s="127" t="inlineStr">
        <is>
          <t>mba6sPCSX_8</t>
        </is>
      </c>
      <c r="K49" s="127" t="n"/>
      <c r="L49" s="128" t="inlineStr">
        <is>
          <t>https://www.lovethework.com/work/entries/lidlize-760120</t>
        </is>
      </c>
      <c r="M49" s="113" t="inlineStr">
        <is>
          <t>An AI platform built by Lidl and Marcel Paris that let customers design their own products — apparel, accessories, objects — rendered in Lidl's signature yellow-and-blue branding. The most popular community-voted creation was then manufactured and sold in Lidl stores.</t>
        </is>
      </c>
      <c r="N49" s="113" t="inlineStr">
        <is>
          <t>retail, influencer-co-creation, ai, technology, mobile-app, user-generated-content, france, community-voting, product-design</t>
        </is>
      </c>
    </row>
    <row r="50">
      <c r="A50" s="127" t="n">
        <v>2025</v>
      </c>
      <c r="B50" s="133" t="inlineStr">
        <is>
          <t>Bronze</t>
        </is>
      </c>
      <c r="C50" s="127" t="inlineStr">
        <is>
          <t>Supportbelt</t>
        </is>
      </c>
      <c r="D50" s="127" t="inlineStr">
        <is>
          <t>Ford</t>
        </is>
      </c>
      <c r="E50" s="127" t="inlineStr">
        <is>
          <t>Ford Supportbelt</t>
        </is>
      </c>
      <c r="F50" s="127" t="inlineStr">
        <is>
          <t>VML</t>
        </is>
      </c>
      <c r="G50" s="127" t="inlineStr">
        <is>
          <t>United States</t>
        </is>
      </c>
      <c r="H50" s="113" t="inlineStr">
        <is>
          <t>Automotive</t>
        </is>
      </c>
      <c r="I50" s="128" t="inlineStr">
        <is>
          <t>https://ascentialcdn.filespin.io/api/v1/conversion/325a5a7b867c43a7a400829c3a94a862</t>
        </is>
      </c>
      <c r="J50" s="127" t="inlineStr">
        <is>
          <t>BU0WI3A9bKQ</t>
        </is>
      </c>
      <c r="K50" s="127" t="n"/>
      <c r="L50" s="128" t="inlineStr">
        <is>
          <t>https://www.lovethework.com/work/entries/supportbelt-743599</t>
        </is>
      </c>
      <c r="M50" s="113" t="inlineStr">
        <is>
          <t>A free seat-belt accessory engineered to relieve the pressure of a standard shoulder belt across a mastectomy surgical site. Designed by VML creative director Lynn Simoncini after her own double mastectomy, and distributed at no cost through Ford's 3,200 U.S. dealerships and partner hospital networks.</t>
        </is>
      </c>
      <c r="N50" s="113" t="inlineStr">
        <is>
          <t>automotive, cars, transport, healthcare, product-innovation, breast-cancer, cancer, medical, corporate-purpose, united-states, social-good, partnership</t>
        </is>
      </c>
    </row>
    <row r="51">
      <c r="A51" s="127" t="n">
        <v>2025</v>
      </c>
      <c r="B51" s="133" t="inlineStr">
        <is>
          <t>Bronze</t>
        </is>
      </c>
      <c r="C51" s="127" t="inlineStr">
        <is>
          <t>Olympic Curry</t>
        </is>
      </c>
      <c r="D51" s="127" t="inlineStr">
        <is>
          <t>McDonald's</t>
        </is>
      </c>
      <c r="E51" s="127" t="inlineStr">
        <is>
          <t>Curry Sauce</t>
        </is>
      </c>
      <c r="F51" s="127" t="inlineStr">
        <is>
          <t>DDB Paris</t>
        </is>
      </c>
      <c r="G51" s="127" t="inlineStr">
        <is>
          <t>France</t>
        </is>
      </c>
      <c r="H51" s="113" t="inlineStr">
        <is>
          <t>Real-Time Response</t>
        </is>
      </c>
      <c r="I51" s="128" t="inlineStr">
        <is>
          <t>https://ascentialcdn.filespin.io/api/v1/conversion/b8993a8a561d47fe9b9f126b8fbb45ce</t>
        </is>
      </c>
      <c r="J51" s="127" t="inlineStr">
        <is>
          <t>tOs7DlcDX0U</t>
        </is>
      </c>
      <c r="K51" s="127" t="n"/>
      <c r="L51" s="128" t="inlineStr">
        <is>
          <t>https://www.lovethework.com/work/entries/olympic-curry-744223</t>
        </is>
      </c>
      <c r="M51" s="113" t="inlineStr">
        <is>
          <t>A social media exchange between McDonald's France and McDonald's USA accounts, sparked by American athletes at the Paris 2024 Olympics publicly craving McDonald's France's curry sauce — a dipping sauce unavailable in U.S. locations. DDB Paris amplified the moment by staging a cross-account dialogue between the two national McDonald's handles, leaning into the menu difference as a point of cultural tension during the Games.</t>
        </is>
      </c>
      <c r="N51" s="113" t="inlineStr">
        <is>
          <t>quick-service-restaurant, social-media, social-engagement, france, united-states, paris-olympics, condiment, real-time-marketing</t>
        </is>
      </c>
    </row>
    <row r="52">
      <c r="A52" s="127" t="n">
        <v>2025</v>
      </c>
      <c r="B52" s="133" t="inlineStr">
        <is>
          <t>Bronze</t>
        </is>
      </c>
      <c r="C52" s="127" t="inlineStr">
        <is>
          <t>Dancing Washers</t>
        </is>
      </c>
      <c r="D52" s="127" t="inlineStr">
        <is>
          <t>Whirlpool</t>
        </is>
      </c>
      <c r="E52" s="127" t="inlineStr">
        <is>
          <t>Whirlpool</t>
        </is>
      </c>
      <c r="F52" s="127" t="inlineStr">
        <is>
          <t>VML</t>
        </is>
      </c>
      <c r="G52" s="127" t="inlineStr">
        <is>
          <t>Mexico</t>
        </is>
      </c>
      <c r="H52" s="113" t="inlineStr">
        <is>
          <t>Consumer Goods</t>
        </is>
      </c>
      <c r="I52" s="128" t="inlineStr">
        <is>
          <t>https://ascentialcdn.filespin.io/api/v1/conversion/84f374748a0c44bbb252faac921d51a3</t>
        </is>
      </c>
      <c r="J52" s="127" t="inlineStr">
        <is>
          <t>y1x9FxIUVMs</t>
        </is>
      </c>
      <c r="K52" s="127" t="n"/>
      <c r="L52" s="128" t="inlineStr">
        <is>
          <t>https://www.lovethework.com/work/entries/dancing-washers-760796</t>
        </is>
      </c>
      <c r="M52" s="113" t="inlineStr">
        <is>
          <t>A direct-response mechanic built around the social media trend of "dancing" washing machines — videos of unbalanced washers vibrating and spinning across laundry room floors. Whirlpool and VML Mexico turned user encounters with that content into a trigger: viewers who engaged with the dancing washer behavior could unlock exclusive discounts and benefits on Whirlpool products.</t>
        </is>
      </c>
      <c r="N52" s="113" t="inlineStr">
        <is>
          <t>consumer-goods, cpg, fmcg, washing-machine, social-media, direct-response, mobile, mexico, branded-experience, user-generated-content</t>
        </is>
      </c>
    </row>
    <row r="53">
      <c r="A53" s="127" t="n">
        <v>2025</v>
      </c>
      <c r="B53" s="133" t="inlineStr">
        <is>
          <t>Bronze</t>
        </is>
      </c>
      <c r="C53" s="127" t="inlineStr">
        <is>
          <t>Name This Oreo</t>
        </is>
      </c>
      <c r="D53" s="127" t="inlineStr">
        <is>
          <t>Oreo</t>
        </is>
      </c>
      <c r="E53" s="127" t="inlineStr">
        <is>
          <t>Oreo</t>
        </is>
      </c>
      <c r="F53" s="127" t="inlineStr">
        <is>
          <t>VML</t>
        </is>
      </c>
      <c r="G53" s="127" t="inlineStr">
        <is>
          <t>United States</t>
        </is>
      </c>
      <c r="H53" s="113" t="inlineStr">
        <is>
          <t>Use of Mobile</t>
        </is>
      </c>
      <c r="I53" s="127" t="inlineStr">
        <is>
          <t>digital-presentation-images/direct-oreo-name-this-oreo.webp</t>
        </is>
      </c>
      <c r="J53" s="127" t="inlineStr">
        <is>
          <t>vimeo:1078732737</t>
        </is>
      </c>
      <c r="K53" s="127" t="n"/>
      <c r="L53" s="128" t="inlineStr">
        <is>
          <t>https://www.lovethework.com/work/entries/name-this-oreo-765252</t>
        </is>
      </c>
      <c r="M53" s="113" t="inlineStr">
        <is>
          <t>A voice-activated web game at namethisoreo.com that turns "OREO Grammar" — a viral internet meme in which cookie-and-creme combinations are read aloud as sequences of "O" (cookie) and "RE" (creme) — into a timed naming challenge. Players speak the correct O-RE sequence for each stacked OREO combination shown on screen, build streaks, and unlock cookie offers. The campaign launched in partnership with TikTok's 2024 Creator of the Year, @OHIOSATOYUBOSS, whose existing OREO Grammar content made him the natural host.</t>
        </is>
      </c>
      <c r="N53" s="113" t="inlineStr">
        <is>
          <t>snack, food, packaged-goods, cpg, fmcg, voice-activation, mobile-app, social-influencer, gamification, united-states, tiktok, audio</t>
        </is>
      </c>
    </row>
    <row r="54">
      <c r="A54" s="127" t="n">
        <v>2025</v>
      </c>
      <c r="B54" s="133" t="inlineStr">
        <is>
          <t>Bronze</t>
        </is>
      </c>
      <c r="C54" s="127" t="inlineStr">
        <is>
          <t>Antenaguila</t>
        </is>
      </c>
      <c r="D54" s="127" t="inlineStr">
        <is>
          <t>Aguila</t>
        </is>
      </c>
      <c r="E54" s="127" t="inlineStr">
        <is>
          <t>Aguila</t>
        </is>
      </c>
      <c r="F54" s="127" t="inlineStr">
        <is>
          <t>David</t>
        </is>
      </c>
      <c r="G54" s="127" t="inlineStr">
        <is>
          <t>Argentina</t>
        </is>
      </c>
      <c r="H54" s="113" t="inlineStr">
        <is>
          <t>Single-Market Campaign</t>
        </is>
      </c>
      <c r="I54" s="128" t="inlineStr">
        <is>
          <t>https://ascentialcdn.filespin.io/api/v1/conversion/2fe29fade1f74fc5a8b09a7cd9bc4b80</t>
        </is>
      </c>
      <c r="J54" s="127" t="inlineStr">
        <is>
          <t>ydC7JlDo0z8</t>
        </is>
      </c>
      <c r="K54" s="127" t="n"/>
      <c r="L54" s="128" t="inlineStr">
        <is>
          <t>https://www.lovethework.com/work/entries/antenaguila-744463</t>
        </is>
      </c>
      <c r="M54" s="113" t="inlineStr">
        <is>
          <t>A physical antenna branded as "Antenaguila" — Águila's take on the Argentine habit of improvising TV antennas from whatever's available — distributed to fans so they could pick up free-to-air broadcast signals and watch football matches that had moved behind paywalls. The campaign addressed a specific local tension: working-class supporters losing access to live games as broadcast rights migrated to subscription platforms.</t>
        </is>
      </c>
      <c r="N54" s="113" t="inlineStr">
        <is>
          <t>beer, alcohol, direct, argentina, broadcast, entertainment, football, soccer, sport, free-to-air, physical-product, single-market-campaign</t>
        </is>
      </c>
    </row>
    <row r="55">
      <c r="A55" s="127" t="n">
        <v>2025</v>
      </c>
      <c r="B55" s="133" t="inlineStr">
        <is>
          <t>Bronze</t>
        </is>
      </c>
      <c r="C55" s="127" t="inlineStr">
        <is>
          <t>Pub Succession</t>
        </is>
      </c>
      <c r="D55" s="127" t="inlineStr">
        <is>
          <t>Heineken</t>
        </is>
      </c>
      <c r="E55" s="127" t="inlineStr">
        <is>
          <t>Heineken</t>
        </is>
      </c>
      <c r="F55" s="127" t="inlineStr">
        <is>
          <t>LePub</t>
        </is>
      </c>
      <c r="G55" s="127" t="inlineStr">
        <is>
          <t>Italy</t>
        </is>
      </c>
      <c r="H55" s="113" t="inlineStr">
        <is>
          <t>Cultural Engagement</t>
        </is>
      </c>
      <c r="I55" s="128" t="inlineStr">
        <is>
          <t>https://ascentialcdn.filespin.io/api/v1/conversion/a8d4e72bb1ce47508dcea8db73d16b01</t>
        </is>
      </c>
      <c r="J55" s="127" t="inlineStr">
        <is>
          <t>vimeo:1082873947</t>
        </is>
      </c>
      <c r="K55" s="127" t="n"/>
      <c r="L55" s="128" t="inlineStr">
        <is>
          <t>https://www.lovethework.com/work/entries/pub-succession-744903</t>
        </is>
      </c>
      <c r="M55" s="113" t="inlineStr">
        <is>
          <t>A global recruitment campaign to find a new owner for McLoughlin's Bar, a 155-year-old family pub on Ireland's Achill Island whose fourth-generation publican is retiring with no successor — but only candidates named McLoughlin can apply. Launched on St Patrick's Day and pushed everywhere from Times Square to The New York Times.</t>
        </is>
      </c>
      <c r="N55" s="113" t="inlineStr">
        <is>
          <t>pr, integrated, ooh, beer, alcohol, ireland, recruitment, cultural-engagement, partnership</t>
        </is>
      </c>
    </row>
    <row r="56">
      <c r="A56" s="127" t="n">
        <v>2025</v>
      </c>
      <c r="B56" s="133" t="inlineStr">
        <is>
          <t>Bronze</t>
        </is>
      </c>
      <c r="C56" s="127" t="inlineStr">
        <is>
          <t>Price Packs</t>
        </is>
      </c>
      <c r="D56" s="127" t="inlineStr">
        <is>
          <t>Penny</t>
        </is>
      </c>
      <c r="E56" s="127" t="inlineStr">
        <is>
          <t>Food/non-Food</t>
        </is>
      </c>
      <c r="F56" s="127" t="inlineStr">
        <is>
          <t>Serviceplan Germany</t>
        </is>
      </c>
      <c r="G56" s="127" t="inlineStr">
        <is>
          <t>Germany</t>
        </is>
      </c>
      <c r="H56" s="113" t="inlineStr">
        <is>
          <t>Launch/Relaunch</t>
        </is>
      </c>
      <c r="I56" s="128" t="inlineStr">
        <is>
          <t>https://ascentialcdn.filespin.io/api/v1/conversion/67b6df2a0fe64deeb274c91d50040c54</t>
        </is>
      </c>
      <c r="J56" s="127" t="inlineStr">
        <is>
          <t>wXx6z3mDnVc</t>
        </is>
      </c>
      <c r="K56" s="127" t="n"/>
      <c r="L56" s="128" t="inlineStr">
        <is>
          <t>https://www.lovethework.com/work/entries/price-packs-744455</t>
        </is>
      </c>
      <c r="M56" s="113" t="inlineStr">
        <is>
          <t>A packaging redesign for five Penny staples — oatmeal, toast, salt, crisps, mayonnaise — that swaps standard product graphics for the locked-in low price rendered enormous on the front of the pack. The shelf becomes its own price-stability ad, with the same visual extended to outdoor across all 2,100 stores.</t>
        </is>
      </c>
      <c r="N56" s="113" t="inlineStr">
        <is>
          <t>packaging, retail, ooh, supermarket, grocery, design, price, germany, market-disruption</t>
        </is>
      </c>
    </row>
    <row r="57">
      <c r="A57" s="127" t="n">
        <v>2025</v>
      </c>
      <c r="B57" s="133" t="inlineStr">
        <is>
          <t>Bronze</t>
        </is>
      </c>
      <c r="C57" s="127" t="inlineStr">
        <is>
          <t>Omnilivery</t>
        </is>
      </c>
      <c r="D57" s="127" t="inlineStr">
        <is>
          <t>Omni</t>
        </is>
      </c>
      <c r="E57" s="127" t="inlineStr">
        <is>
          <t>Mobility System for Wheelchair</t>
        </is>
      </c>
      <c r="F57" s="127" t="inlineStr">
        <is>
          <t>Saatchi &amp; Saatchi France</t>
        </is>
      </c>
      <c r="G57" s="127" t="inlineStr">
        <is>
          <t>France</t>
        </is>
      </c>
      <c r="H57" s="113" t="inlineStr">
        <is>
          <t>Large-Scale Media</t>
        </is>
      </c>
      <c r="I57" s="128" t="inlineStr">
        <is>
          <t>https://ascentialcdn.filespin.io/api/v1/conversion/38cbe1a6ee444db186b748c9da630bdc</t>
        </is>
      </c>
      <c r="J57" s="127" t="inlineStr">
        <is>
          <t>vimeo:1158377325</t>
        </is>
      </c>
      <c r="K57" s="127" t="n"/>
      <c r="L57" s="128" t="inlineStr">
        <is>
          <t>https://www.lovethework.com/work/entries/omnilivery-743884</t>
        </is>
      </c>
      <c r="M57" s="113" t="inlineStr">
        <is>
          <t>A one-day live event in which wheelchair users equipped with Omni's mobility scooter attachment completed food delivery shifts across a city — the job category typically considered most demanding of physical mobility. Produced by Prodigious Paris for Saatchi &amp; Saatchi France, the stunt challenged the assumption that wheelchair users cannot perform high-mobility work.</t>
        </is>
      </c>
      <c r="N57" s="113" t="inlineStr">
        <is>
          <t>mobility-system, wheelchair, experiential, public-relations, disability, france, reduced-inequalities, health-wellness</t>
        </is>
      </c>
    </row>
    <row r="58">
      <c r="A58" s="127" t="n">
        <v>2025</v>
      </c>
      <c r="B58" s="133" t="inlineStr">
        <is>
          <t>Bronze</t>
        </is>
      </c>
      <c r="C58" s="127" t="inlineStr">
        <is>
          <t>Returning Creativity</t>
        </is>
      </c>
      <c r="D58" s="127" t="inlineStr">
        <is>
          <t>Crayola</t>
        </is>
      </c>
      <c r="E58" s="127" t="inlineStr">
        <is>
          <t>Crayola Crayons</t>
        </is>
      </c>
      <c r="F58" s="127" t="inlineStr">
        <is>
          <t>Dentsu Creative</t>
        </is>
      </c>
      <c r="G58" s="127" t="inlineStr">
        <is>
          <t>United States</t>
        </is>
      </c>
      <c r="H58" s="113" t="inlineStr">
        <is>
          <t>Use of Print/Outdoor</t>
        </is>
      </c>
      <c r="I58" s="128" t="inlineStr">
        <is>
          <t>https://ascentialcdn.filespin.io/api/v1/conversion/13424edec35d460b97b34cd5a9346311</t>
        </is>
      </c>
      <c r="J58" s="127" t="inlineStr">
        <is>
          <t>p8IHkizfvVE</t>
        </is>
      </c>
      <c r="K58" s="127" t="n"/>
      <c r="L58" s="128" t="inlineStr">
        <is>
          <t>https://www.lovethework.com/work/entries/returning-creativity-743883</t>
        </is>
      </c>
      <c r="M58" s="113" t="inlineStr">
        <is>
          <t>A documentary project that opened Crayola's archive of decades-old children's drawings and physically returned each piece to its now-adult creator. The film followed reunions across the country — including one staged on a Times Square billboard with the artist's former teacher — to argue that creativity is a habit adults stop practicing.</t>
        </is>
      </c>
      <c r="N58" s="113" t="inlineStr">
        <is>
          <t>consumer-goods, cpg, fmcg, art, integrated, documentary, film, entertainment, cinema, ooh, united-states, partnership, social-engagement</t>
        </is>
      </c>
    </row>
    <row r="59">
      <c r="A59" s="127" t="n">
        <v>2025</v>
      </c>
      <c r="B59" s="133" t="inlineStr">
        <is>
          <t>Bronze</t>
        </is>
      </c>
      <c r="C59" s="127" t="inlineStr">
        <is>
          <t>Haaland Payback Time</t>
        </is>
      </c>
      <c r="D59" s="127" t="inlineStr">
        <is>
          <t>Clash of Clans</t>
        </is>
      </c>
      <c r="E59" s="127" t="inlineStr">
        <is>
          <t>Clash of Clans</t>
        </is>
      </c>
      <c r="F59" s="127" t="inlineStr">
        <is>
          <t>David</t>
        </is>
      </c>
      <c r="G59" s="127" t="inlineStr">
        <is>
          <t>United States</t>
        </is>
      </c>
      <c r="H59" s="113" t="inlineStr">
        <is>
          <t>Gaming</t>
        </is>
      </c>
      <c r="I59" s="128" t="inlineStr">
        <is>
          <t>https://ascentialcdn.filespin.io/api/v1/conversion/e56e744cd3594eceb82733246e9035b2</t>
        </is>
      </c>
      <c r="J59" s="127" t="inlineStr">
        <is>
          <t>TcQ--NtSQ9s</t>
        </is>
      </c>
      <c r="K59" s="127" t="n"/>
      <c r="L59" s="128" t="inlineStr">
        <is>
          <t>https://www.lovethework.com/work/entries/haaland-payback-time-744101</t>
        </is>
      </c>
      <c r="M59" s="113" t="inlineStr">
        <is>
          <t>A limited in-game challenge built around Premier League footballer Erling Haaland's actual Clash of Clans village — one he had spent over a decade constructing. The campaign invited rival players and self-declared Haaland "haters" to raid and attack that real village, turning his personal in-game progress into a target. The mechanic used Haaland's existing game history as the creative raw material, with his real account serving as the prize to be plundered.</t>
        </is>
      </c>
      <c r="N59" s="113" t="inlineStr">
        <is>
          <t>mobile-game, gaming, video-games, entertainment, influencer, sport, in-game-activation, football, soccer, celebrity, united-states</t>
        </is>
      </c>
    </row>
    <row r="60">
      <c r="A60" s="127" t="n">
        <v>2025</v>
      </c>
      <c r="B60" s="133" t="inlineStr">
        <is>
          <t>Bronze</t>
        </is>
      </c>
      <c r="C60" s="127" t="inlineStr">
        <is>
          <t>Daisy vs Scammers</t>
        </is>
      </c>
      <c r="D60" s="127" t="inlineStr">
        <is>
          <t>O2</t>
        </is>
      </c>
      <c r="E60" s="127" t="inlineStr">
        <is>
          <t>Daisy vs Scammers</t>
        </is>
      </c>
      <c r="F60" s="127" t="inlineStr">
        <is>
          <t>VCCP</t>
        </is>
      </c>
      <c r="G60" s="127" t="inlineStr">
        <is>
          <t>United Kingdom</t>
        </is>
      </c>
      <c r="H60" s="113" t="inlineStr">
        <is>
          <t>New Realities &amp; Emerging Tech</t>
        </is>
      </c>
      <c r="I60" s="128" t="inlineStr">
        <is>
          <t>https://ascentialcdn.filespin.io/api/v1/conversion/1e451eb4b5bc4d44a6946bac225c6e96</t>
        </is>
      </c>
      <c r="J60" s="127" t="inlineStr">
        <is>
          <t>tnfhe_XMg7U</t>
        </is>
      </c>
      <c r="K60" s="127" t="n"/>
      <c r="L60" s="128" t="inlineStr">
        <is>
          <t>https://www.lovethework.com/work/entries/daisy-vs-scammers-744081</t>
        </is>
      </c>
      <c r="M60" s="113" t="inlineStr">
        <is>
          <t>An AI-generated elderly woman named Daisy, built by O2 and VCCP to engage phone scammers in extended, rambling conversations — keeping them on the line and away from real potential victims. Daisy is deployed as a live phone persona, realistic enough to hold fraudsters in lengthy calls while collecting intelligence on active scam scripts, at a time when 7 in 10 people in the UK were being targeted by scammers.</t>
        </is>
      </c>
      <c r="N60" s="113" t="inlineStr">
        <is>
          <t>telecommunications, ai, technology, public-safety, conversational-ai, united-kingdom, use-of-technology, consumer-protection, voice</t>
        </is>
      </c>
    </row>
    <row r="61">
      <c r="A61" s="33" t="n">
        <v>2026</v>
      </c>
      <c r="B61" s="167" t="inlineStr">
        <is>
          <t>Grand Prix</t>
        </is>
      </c>
      <c r="C61" s="107" t="inlineStr">
        <is>
          <t>Uva Uva Bombón</t>
        </is>
      </c>
      <c r="D61" s="33" t="inlineStr">
        <is>
          <t>Uva App</t>
        </is>
      </c>
      <c r="E61" s="33" t="inlineStr">
        <is>
          <t>Uva App</t>
        </is>
      </c>
      <c r="F61" s="33" t="inlineStr">
        <is>
          <t>De La Cruz Ogilvy</t>
        </is>
      </c>
      <c r="G61" s="33" t="inlineStr">
        <is>
          <t>Puerto Rico</t>
        </is>
      </c>
      <c r="H61" s="33" t="inlineStr">
        <is>
          <t>Challenger Brand</t>
        </is>
      </c>
      <c r="I61" s="33" t="inlineStr">
        <is>
          <t>https://ascentialcdn.filespin.io/api/v1/conversion/afb7cf6990dc496f9c2b62d97d07c989</t>
        </is>
      </c>
      <c r="J61" s="33" t="inlineStr">
        <is>
          <t>vimeo:1204190443</t>
        </is>
      </c>
      <c r="L61" s="33" t="inlineStr">
        <is>
          <t>https://www.lovethework.com/work/entries/uva-uva-bombn-785361</t>
        </is>
      </c>
      <c r="M61" s="33" t="inlineStr">
        <is>
          <t>The Direct Grand Prix. De La Cruz Ogilvy built Puerto Rican delivery app Uva's campaign around Bad Bunny headlining the Super Bowl Halftime Show — a moment of enormous national pride on the island — turning the cultural event into a real-time reason for Puerto Ricans to order from their local delivery app instead of the global giants.</t>
        </is>
      </c>
      <c r="N61" s="33" t="inlineStr">
        <is>
          <t>uva, uva app, delivery, food delivery, app, ecommerce, retail, online-shopping, technology, puerto rico, bad bunny, super bowl, music, entertainment, culture, real-time, challenger brand, direct, de la cruz ogilvy, ogilvy, grand prix</t>
        </is>
      </c>
    </row>
    <row r="62">
      <c r="A62" s="33" t="n">
        <v>2026</v>
      </c>
      <c r="B62" s="164" t="inlineStr">
        <is>
          <t>Gold</t>
        </is>
      </c>
      <c r="C62" s="107" t="inlineStr">
        <is>
          <t>Oreo Cows</t>
        </is>
      </c>
      <c r="D62" s="33" t="inlineStr">
        <is>
          <t>Oreo</t>
        </is>
      </c>
      <c r="E62" s="33" t="inlineStr">
        <is>
          <t>Oreo</t>
        </is>
      </c>
      <c r="F62" s="33" t="inlineStr">
        <is>
          <t>VML</t>
        </is>
      </c>
      <c r="G62" s="33" t="inlineStr">
        <is>
          <t>United States</t>
        </is>
      </c>
      <c r="H62" s="33" t="inlineStr">
        <is>
          <t>Consumer Goods</t>
        </is>
      </c>
      <c r="I62" s="33" t="inlineStr">
        <is>
          <t>https://ascentialcdn.filespin.io/api/v1/conversion/f34bbf1c3b224a62a7b93946bce31756</t>
        </is>
      </c>
      <c r="J62" s="33" t="inlineStr">
        <is>
          <t>F2EjJgR0adE</t>
        </is>
      </c>
      <c r="L62" s="33" t="inlineStr">
        <is>
          <t>https://www.lovethework.com/work/entries/oreo-cows-780105</t>
        </is>
      </c>
      <c r="M62" s="33" t="inlineStr">
        <is>
          <t>A Consumer Goods Gold for Oreo, created by VML New York and VML Mexico City. The campaign brings Oreo's black-and-white world to life through 'Oreo Cows', a playful idea rooted in the cookie's classic pairing with a glass of milk.</t>
        </is>
      </c>
      <c r="N62" s="33" t="inlineStr">
        <is>
          <t>oreo, cookies, biscuits, snacks, fmcg, food, mondelez, milk, dairy, cows, consumer goods, united states, mexico, direct, vml, gold</t>
        </is>
      </c>
    </row>
    <row r="63">
      <c r="A63" s="33" t="n">
        <v>2026</v>
      </c>
      <c r="B63" s="164" t="inlineStr">
        <is>
          <t>Gold</t>
        </is>
      </c>
      <c r="C63" s="107" t="inlineStr">
        <is>
          <t>Everybody Coinbase</t>
        </is>
      </c>
      <c r="D63" s="33" t="inlineStr">
        <is>
          <t>Coinbase</t>
        </is>
      </c>
      <c r="E63" s="33" t="inlineStr">
        <is>
          <t>Coinbase</t>
        </is>
      </c>
      <c r="F63" s="33" t="inlineStr">
        <is>
          <t>Isle of Any</t>
        </is>
      </c>
      <c r="G63" s="33" t="inlineStr">
        <is>
          <t>United States</t>
        </is>
      </c>
      <c r="H63" s="33" t="inlineStr">
        <is>
          <t>Consumer Services/Business to Business</t>
        </is>
      </c>
      <c r="I63" s="33" t="inlineStr">
        <is>
          <t>https://ascentialcdn.filespin.io/api/v1/conversion/650e0a742ab3494e961dbed96de8f279</t>
        </is>
      </c>
      <c r="J63" s="33" t="inlineStr">
        <is>
          <t>mp4:videos/coinbase-everybody-coinbase.mp4</t>
        </is>
      </c>
      <c r="L63" s="33" t="inlineStr">
        <is>
          <t>https://www.lovethework.com/work/entries/everybody-coinbase-783752</t>
        </is>
      </c>
      <c r="M63" s="33" t="inlineStr">
        <is>
          <t>A Consumer Services / B2B Gold for crypto platform Coinbase by Isle of Any, New York. 'Everybody Coinbase' makes the case that crypto belongs to everyone, positioning Coinbase as the on-ramp for ordinary people rather than a niche for insiders.</t>
        </is>
      </c>
      <c r="N63" s="33" t="inlineStr">
        <is>
          <t>coinbase, crypto, cryptocurrency, bitcoin, fintech, financial-services, finance, financial services, technology, investing, consumer services, b2b, business, united states, direct, isle of any, gold</t>
        </is>
      </c>
    </row>
    <row r="64">
      <c r="A64" s="33" t="n">
        <v>2026</v>
      </c>
      <c r="B64" s="164" t="inlineStr">
        <is>
          <t>Gold</t>
        </is>
      </c>
      <c r="C64" s="107" t="inlineStr">
        <is>
          <t>Lime Guides</t>
        </is>
      </c>
      <c r="D64" s="33" t="inlineStr">
        <is>
          <t>Corona</t>
        </is>
      </c>
      <c r="E64" s="33" t="inlineStr">
        <is>
          <t>Corona</t>
        </is>
      </c>
      <c r="F64" s="33" t="inlineStr">
        <is>
          <t>Grey</t>
        </is>
      </c>
      <c r="G64" s="33" t="inlineStr">
        <is>
          <t>United States</t>
        </is>
      </c>
      <c r="H64" s="33" t="inlineStr">
        <is>
          <t>Small-Scale Media</t>
        </is>
      </c>
      <c r="I64" s="33" t="inlineStr">
        <is>
          <t>https://ascentialcdn.filespin.io/api/v1/conversion/0f00c68c37e04e99bca93b8eacf50e60</t>
        </is>
      </c>
      <c r="J64" s="33" t="inlineStr">
        <is>
          <t>vimeo:1188248881</t>
        </is>
      </c>
      <c r="L64" s="33" t="inlineStr">
        <is>
          <t>https://www.lovethework.com/work/entries/lime-guides-782638</t>
        </is>
      </c>
      <c r="M64" s="33" t="inlineStr">
        <is>
          <t>A Small-Scale Media Gold for Corona by Grey, New York. Built on the ritual of a lime wedge in every Corona, 'Lime Guides' turns the humble lime into a branded wayfinding device, using the fruit itself as media.</t>
        </is>
      </c>
      <c r="N64" s="33" t="inlineStr">
        <is>
          <t>corona, beer, alcohol, drinks, lager, ab inbev, lime, ritual, ambient, outdoor, small-scale media, united states, direct, grey, gold</t>
        </is>
      </c>
    </row>
    <row r="65">
      <c r="A65" s="33" t="n">
        <v>2026</v>
      </c>
      <c r="B65" s="164" t="inlineStr">
        <is>
          <t>Gold</t>
        </is>
      </c>
      <c r="C65" s="107" t="inlineStr">
        <is>
          <t>Build Your Own Super Bowl Commercial</t>
        </is>
      </c>
      <c r="D65" s="33" t="inlineStr">
        <is>
          <t>Uber Eats</t>
        </is>
      </c>
      <c r="E65" s="33" t="inlineStr">
        <is>
          <t>Uber Eats</t>
        </is>
      </c>
      <c r="F65" s="33" t="inlineStr">
        <is>
          <t>Special</t>
        </is>
      </c>
      <c r="G65" s="33" t="inlineStr">
        <is>
          <t>United States</t>
        </is>
      </c>
      <c r="H65" s="33" t="inlineStr">
        <is>
          <t>Use of Digital Platforms</t>
        </is>
      </c>
      <c r="I65" s="33" t="inlineStr">
        <is>
          <t>https://ascentialcdn.filespin.io/api/v1/conversion/3a3cb88a45a847e69c7da15b7c3e3d41</t>
        </is>
      </c>
      <c r="J65" s="33" t="inlineStr">
        <is>
          <t>vimeo:1204133679</t>
        </is>
      </c>
      <c r="L65" s="33" t="inlineStr">
        <is>
          <t>https://www.lovethework.com/work/entries/build-your-own-super-bowl-commercial-775125</t>
        </is>
      </c>
      <c r="M65" s="33" t="inlineStr">
        <is>
          <t>A Use of Digital Platforms Gold for Uber Eats by Special, Los Angeles. Rather than buy a single fixed Super Bowl spot, the campaign let people build their own Uber Eats Super Bowl commercials, handing the brand's biggest ad moment to the audience to customise and share.</t>
        </is>
      </c>
      <c r="N65" s="33" t="inlineStr">
        <is>
          <t>uber eats, delivery, food delivery, app, technology, ecommerce, retail, online-shopping, super bowl, football, soccer, sport, nfl, user-generated, co-creation, digital platforms, united states, direct, special, gold</t>
        </is>
      </c>
    </row>
    <row r="66">
      <c r="A66" s="33" t="n">
        <v>2026</v>
      </c>
      <c r="B66" s="164" t="inlineStr">
        <is>
          <t>Gold</t>
        </is>
      </c>
      <c r="C66" s="107" t="inlineStr">
        <is>
          <t>Heinz Dipper</t>
        </is>
      </c>
      <c r="D66" s="33" t="inlineStr">
        <is>
          <t>Heinz</t>
        </is>
      </c>
      <c r="E66" s="33" t="inlineStr">
        <is>
          <t>Heinz Ketchup</t>
        </is>
      </c>
      <c r="F66" s="33" t="inlineStr">
        <is>
          <t>Rethink</t>
        </is>
      </c>
      <c r="G66" s="33" t="inlineStr">
        <is>
          <t>Canada</t>
        </is>
      </c>
      <c r="H66" s="33" t="inlineStr">
        <is>
          <t>Experience Design</t>
        </is>
      </c>
      <c r="I66" s="33" t="inlineStr">
        <is>
          <t>https://ascentialcdn.filespin.io/api/v1/conversion/2bd855a931a3444fb19b3ea0277d289e</t>
        </is>
      </c>
      <c r="J66" s="33" t="inlineStr">
        <is>
          <t>vimeo:1187334779</t>
        </is>
      </c>
      <c r="L66" s="33" t="inlineStr">
        <is>
          <t>https://www.lovethework.com/work/entries/heinz-dipper-783858</t>
        </is>
      </c>
      <c r="M66" s="33" t="inlineStr">
        <is>
          <t>An Experience Design Gold for Heinz Ketchup by Rethink, Toronto. The Heinz Dipper is a purpose-built product for the brand's most devoted fans — the people who care more about the ketchup than the fries — giving them a dedicated way to enjoy Heinz on its own terms.</t>
        </is>
      </c>
      <c r="N66" s="33" t="inlineStr">
        <is>
          <t>heinz, ketchup, condiments, sauce, fmcg, food, kraft heinz, product design, experience design, fans, canada, direct, rethink, gold</t>
        </is>
      </c>
    </row>
    <row r="67">
      <c r="A67" s="33" t="n">
        <v>2026</v>
      </c>
      <c r="B67" s="164" t="inlineStr">
        <is>
          <t>Gold</t>
        </is>
      </c>
      <c r="C67" s="107" t="inlineStr">
        <is>
          <t>Could Have Been a Heineken</t>
        </is>
      </c>
      <c r="D67" s="33" t="inlineStr">
        <is>
          <t>Heineken</t>
        </is>
      </c>
      <c r="E67" s="33" t="inlineStr">
        <is>
          <t>Heineken Beer</t>
        </is>
      </c>
      <c r="F67" s="33" t="inlineStr">
        <is>
          <t>LePub</t>
        </is>
      </c>
      <c r="G67" s="33" t="inlineStr">
        <is>
          <t>Italy</t>
        </is>
      </c>
      <c r="H67" s="33" t="inlineStr">
        <is>
          <t>Social Behaviour</t>
        </is>
      </c>
      <c r="I67" s="33" t="inlineStr">
        <is>
          <t>https://ascentialcdn.filespin.io/api/v1/conversion/325cbd01df444a49a6a09ac2bc5dd3fa</t>
        </is>
      </c>
      <c r="J67" s="33" t="inlineStr">
        <is>
          <t>vimeo:1203492482</t>
        </is>
      </c>
      <c r="L67" s="33" t="inlineStr">
        <is>
          <t>https://www.lovethework.com/work/entries/could-have-been-a-heineken-775100</t>
        </is>
      </c>
      <c r="M67" s="33" t="inlineStr">
        <is>
          <t>A Social Behaviour Gold for Heineken by LePub, Milan and São Paulo. Built on the insight that people spend hundreds of hours a year listening to voice notes, Heineken created a service that turned long WhatsApp voice notes into an invitation to meet in person over a beer — 'Could Have Been a Heineken' stickers reframing the recordings as missed moments of real connection.</t>
        </is>
      </c>
      <c r="N67" s="33" t="inlineStr">
        <is>
          <t>heineken, beer, alcohol, drinks, lager, whatsapp, voice notes, messaging, social, connection, technology, social behaviour, italy, brazil, direct, lepub, gold</t>
        </is>
      </c>
    </row>
    <row r="68">
      <c r="A68" s="33" t="n">
        <v>2026</v>
      </c>
      <c r="B68" s="164" t="inlineStr">
        <is>
          <t>Gold</t>
        </is>
      </c>
      <c r="C68" s="107" t="inlineStr">
        <is>
          <t>Expedition Impossible</t>
        </is>
      </c>
      <c r="D68" s="33" t="inlineStr">
        <is>
          <t>Columbia Sportswear</t>
        </is>
      </c>
      <c r="E68" s="33" t="inlineStr">
        <is>
          <t>Sportswear</t>
        </is>
      </c>
      <c r="F68" s="33" t="inlineStr">
        <is>
          <t>adam&amp;eve\TBWA</t>
        </is>
      </c>
      <c r="G68" s="33" t="inlineStr">
        <is>
          <t>United Kingdom</t>
        </is>
      </c>
      <c r="H68" s="33" t="inlineStr">
        <is>
          <t>Use of Humour</t>
        </is>
      </c>
      <c r="I68" s="33" t="inlineStr">
        <is>
          <t>https://ascentialcdn.filespin.io/api/v1/conversion/bf27011e79f94826a41c286a1bbd22d5</t>
        </is>
      </c>
      <c r="J68" s="33" t="inlineStr">
        <is>
          <t>N0WxAUkBuQA</t>
        </is>
      </c>
      <c r="L68" s="33" t="inlineStr">
        <is>
          <t>https://www.lovethework.com/work/entries/expedition-impossible-776268</t>
        </is>
      </c>
      <c r="M68" s="33" t="inlineStr">
        <is>
          <t>A Use of Humour Gold for Columbia Sportswear by adam&amp;eve\TBWA, London. Since Columbia builds gear for the edges of the Earth, the brand challenged the flat-earth community to actually go and find one, funding an 'Expedition Impossible' to the supposed edge of a flat planet, kitted head to toe in Columbia.</t>
        </is>
      </c>
      <c r="N68" s="33" t="inlineStr">
        <is>
          <t>columbia sportswear, sportswear, apparel, clothing, outdoor gear, retail, flat earth, expedition, humour, comedy, use of humour, united kingdom, direct, adam&amp;eve tbwa, tbwa, gold</t>
        </is>
      </c>
    </row>
    <row r="69">
      <c r="A69" s="33" t="n">
        <v>2026</v>
      </c>
      <c r="B69" s="165" t="inlineStr">
        <is>
          <t>Silver</t>
        </is>
      </c>
      <c r="C69" s="107" t="inlineStr">
        <is>
          <t>Lime Guides</t>
        </is>
      </c>
      <c r="D69" s="33" t="inlineStr">
        <is>
          <t>Corona</t>
        </is>
      </c>
      <c r="E69" s="33" t="inlineStr">
        <is>
          <t>Corona</t>
        </is>
      </c>
      <c r="F69" s="33" t="inlineStr">
        <is>
          <t>Grey</t>
        </is>
      </c>
      <c r="G69" s="33" t="inlineStr">
        <is>
          <t>United States</t>
        </is>
      </c>
      <c r="H69" s="33" t="inlineStr">
        <is>
          <t>Consumer Goods</t>
        </is>
      </c>
      <c r="I69" s="33" t="inlineStr">
        <is>
          <t>https://ascentialcdn.filespin.io/api/v1/conversion/0f00c68c37e04e99bca93b8eacf50e60</t>
        </is>
      </c>
      <c r="J69" s="33" t="inlineStr">
        <is>
          <t>vimeo:1188248881</t>
        </is>
      </c>
      <c r="L69" s="33" t="inlineStr">
        <is>
          <t>https://www.lovethework.com/work/entries/lime-guides-774528</t>
        </is>
      </c>
      <c r="M69" s="33" t="inlineStr">
        <is>
          <t>A Small-Scale Media Gold for Corona by Grey, New York. Built on the ritual of a lime wedge in every Corona, 'Lime Guides' turns the humble lime into a branded wayfinding device, using the fruit itself as media.</t>
        </is>
      </c>
      <c r="N69" s="33" t="inlineStr">
        <is>
          <t>corona, beer, alcohol, drinks, lager, ab inbev, lime, ritual, ambient, outdoor, small-scale media, united states, direct, grey, gold</t>
        </is>
      </c>
    </row>
    <row r="70">
      <c r="A70" s="33" t="n">
        <v>2026</v>
      </c>
      <c r="B70" s="165" t="inlineStr">
        <is>
          <t>Silver</t>
        </is>
      </c>
      <c r="C70" s="107" t="inlineStr">
        <is>
          <t>Expedition Impossible</t>
        </is>
      </c>
      <c r="D70" s="33" t="inlineStr">
        <is>
          <t>Columbia Sportswear</t>
        </is>
      </c>
      <c r="E70" s="33" t="inlineStr">
        <is>
          <t>Sportswear</t>
        </is>
      </c>
      <c r="F70" s="33" t="inlineStr">
        <is>
          <t>adam&amp;eve\TBWA</t>
        </is>
      </c>
      <c r="G70" s="33" t="inlineStr">
        <is>
          <t>United Kingdom</t>
        </is>
      </c>
      <c r="H70" s="33" t="inlineStr">
        <is>
          <t>Consumer Goods</t>
        </is>
      </c>
      <c r="I70" s="33" t="inlineStr">
        <is>
          <t>https://ascentialcdn.filespin.io/api/v1/conversion/bf27011e79f94826a41c286a1bbd22d5</t>
        </is>
      </c>
      <c r="J70" s="33" t="inlineStr">
        <is>
          <t>N0WxAUkBuQA</t>
        </is>
      </c>
      <c r="L70" s="33" t="inlineStr">
        <is>
          <t>https://www.lovethework.com/work/entries/expedition-impossible-776371</t>
        </is>
      </c>
      <c r="M70" s="33" t="inlineStr">
        <is>
          <t>A Use of Humour Gold for Columbia Sportswear by adam&amp;eve\TBWA, London. Since Columbia builds gear for the edges of the Earth, the brand challenged the flat-earth community to actually go and find one, funding an 'Expedition Impossible' to the supposed edge of a flat planet, kitted head to toe in Columbia.</t>
        </is>
      </c>
      <c r="N70" s="33" t="inlineStr">
        <is>
          <t>columbia sportswear, sportswear, apparel, clothing, outdoor gear, retail, flat earth, expedition, humour, comedy, use of humour, united kingdom, direct, adam&amp;eve tbwa, tbwa, gold</t>
        </is>
      </c>
    </row>
    <row r="71">
      <c r="A71" s="33" t="n">
        <v>2026</v>
      </c>
      <c r="B71" s="165" t="inlineStr">
        <is>
          <t>Silver</t>
        </is>
      </c>
      <c r="C71" s="107" t="inlineStr">
        <is>
          <t>Heinz Dipper</t>
        </is>
      </c>
      <c r="D71" s="33" t="inlineStr">
        <is>
          <t>Heinz</t>
        </is>
      </c>
      <c r="E71" s="33" t="inlineStr">
        <is>
          <t>Heinz Ketchup</t>
        </is>
      </c>
      <c r="F71" s="33" t="inlineStr">
        <is>
          <t>Rethink</t>
        </is>
      </c>
      <c r="G71" s="33" t="inlineStr">
        <is>
          <t>Canada</t>
        </is>
      </c>
      <c r="H71" s="33" t="inlineStr">
        <is>
          <t>Small-Scale Media</t>
        </is>
      </c>
      <c r="I71" s="33" t="inlineStr">
        <is>
          <t>https://ascentialcdn.filespin.io/api/v1/conversion/2bd855a931a3444fb19b3ea0277d289e</t>
        </is>
      </c>
      <c r="J71" s="33" t="inlineStr">
        <is>
          <t>vimeo:1187334779</t>
        </is>
      </c>
      <c r="L71" s="33" t="inlineStr">
        <is>
          <t>https://www.lovethework.com/work/entries/heinz-dipper-783782</t>
        </is>
      </c>
      <c r="M71" s="33" t="inlineStr">
        <is>
          <t>An Experience Design Gold for Heinz Ketchup by Rethink, Toronto. The Heinz Dipper is a purpose-built product for the brand's most devoted fans — the people who care more about the ketchup than the fries — giving them a dedicated way to enjoy Heinz on its own terms.</t>
        </is>
      </c>
      <c r="N71" s="33" t="inlineStr">
        <is>
          <t>heinz, ketchup, condiments, sauce, fmcg, food, kraft heinz, product design, experience design, fans, canada, direct, rethink, gold</t>
        </is>
      </c>
    </row>
    <row r="72">
      <c r="A72" s="33" t="n">
        <v>2026</v>
      </c>
      <c r="B72" s="165" t="inlineStr">
        <is>
          <t>Silver</t>
        </is>
      </c>
      <c r="C72" s="107" t="inlineStr">
        <is>
          <t>Field Barcode</t>
        </is>
      </c>
      <c r="D72" s="33" t="inlineStr">
        <is>
          <t>Mercado Livre</t>
        </is>
      </c>
      <c r="E72" s="33" t="inlineStr">
        <is>
          <t>Mercado Livre</t>
        </is>
      </c>
      <c r="F72" s="33" t="inlineStr">
        <is>
          <t>GUT</t>
        </is>
      </c>
      <c r="G72" s="33" t="inlineStr">
        <is>
          <t>Brazil</t>
        </is>
      </c>
      <c r="H72" s="33" t="inlineStr">
        <is>
          <t>Large-Scale Media</t>
        </is>
      </c>
      <c r="I72" s="33" t="inlineStr">
        <is>
          <t>https://ascentialcdn.filespin.io/api/v1/conversion/0d6c81bf819e42acb5e3eb218ef54128</t>
        </is>
      </c>
      <c r="J72" s="33" t="inlineStr">
        <is>
          <t>vimeo:1186329990</t>
        </is>
      </c>
      <c r="L72" s="33" t="inlineStr">
        <is>
          <t>https://www.lovethework.com/work/entries/field-barcode-779735</t>
        </is>
      </c>
      <c r="M72" s="33" t="inlineStr">
        <is>
          <t>A Large-Scale Media Silver for Mercado Livre by GUT, São Paulo. The campaign turned the pitch of Brazil's Pacaembu stadium into a giant working barcode that viewers could scan to discover and shop deals on Mercado Livre, making the football field itself a piece of shoppable media.</t>
        </is>
      </c>
      <c r="N72" s="33" t="inlineStr">
        <is>
          <t>mercado livre, ecommerce, retail, online-shopping, marketplace, online shopping, technology, football, soccer, sport, stadium, barcode, shoppable, large-scale media, brazil, direct, gut, silver</t>
        </is>
      </c>
    </row>
    <row r="73">
      <c r="A73" s="33" t="n">
        <v>2026</v>
      </c>
      <c r="B73" s="165" t="inlineStr">
        <is>
          <t>Silver</t>
        </is>
      </c>
      <c r="C73" s="107" t="inlineStr">
        <is>
          <t>One More Question</t>
        </is>
      </c>
      <c r="D73" s="33" t="inlineStr">
        <is>
          <t>LALCEC</t>
        </is>
      </c>
      <c r="E73" s="33" t="inlineStr">
        <is>
          <t>LALCEC</t>
        </is>
      </c>
      <c r="F73" s="33" t="inlineStr">
        <is>
          <t>Grey Argentina</t>
        </is>
      </c>
      <c r="G73" s="33" t="inlineStr">
        <is>
          <t>Argentina</t>
        </is>
      </c>
      <c r="H73" s="33" t="inlineStr">
        <is>
          <t>Use of Broadcast</t>
        </is>
      </c>
      <c r="I73" s="33" t="inlineStr">
        <is>
          <t>https://ascentialcdn.filespin.io/api/v1/conversion/8e389b9962ab40f28ab224f99a4a97f5</t>
        </is>
      </c>
      <c r="J73" s="33" t="inlineStr">
        <is>
          <t>SCS8CJGqSDo</t>
        </is>
      </c>
      <c r="L73" s="33" t="inlineStr">
        <is>
          <t>https://www.lovethework.com/work/entries/one-more-question-774662</t>
        </is>
      </c>
      <c r="M73" s="33" t="inlineStr">
        <is>
          <t>A Use of Broadcast Silver for Argentine cancer-prevention NGO LALCEC by Grey, Buenos Aires. 'One More Question' uses broadcast to prompt people to ask the extra question that leads to early detection, turning airtime into a nudge toward life-saving checkups.</t>
        </is>
      </c>
      <c r="N73" s="33" t="inlineStr">
        <is>
          <t>lalcec, ngo, not-for-profit, charity, social-good, nonprofit, health, healthcare, cancer, medical, prevention, early detection, awareness, broadcast, entertainment, argentina, direct, grey, grey argentina, silver</t>
        </is>
      </c>
    </row>
    <row r="74">
      <c r="A74" s="33" t="n">
        <v>2026</v>
      </c>
      <c r="B74" s="165" t="inlineStr">
        <is>
          <t>Silver</t>
        </is>
      </c>
      <c r="C74" s="107" t="inlineStr">
        <is>
          <t>Prime Time 0.7</t>
        </is>
      </c>
      <c r="D74" s="33" t="inlineStr">
        <is>
          <t>Frecuencia Latina</t>
        </is>
      </c>
      <c r="E74" s="33" t="inlineStr">
        <is>
          <t>Frecuencia Latina</t>
        </is>
      </c>
      <c r="F74" s="33" t="inlineStr">
        <is>
          <t>Fahrenheit DDB</t>
        </is>
      </c>
      <c r="G74" s="33" t="inlineStr">
        <is>
          <t>Peru</t>
        </is>
      </c>
      <c r="H74" s="33" t="inlineStr">
        <is>
          <t>Use of Broadcast</t>
        </is>
      </c>
      <c r="I74" s="33" t="inlineStr">
        <is>
          <t>https://ascentialcdn.filespin.io/api/v1/conversion/71096be7aa25433194472ff77c82e1af</t>
        </is>
      </c>
      <c r="J74" s="33" t="inlineStr">
        <is>
          <t>vimeo:1188326564</t>
        </is>
      </c>
      <c r="L74" s="33" t="inlineStr">
        <is>
          <t>https://www.lovethework.com/work/entries/prime-time-07-774679</t>
        </is>
      </c>
      <c r="M74" s="33" t="inlineStr">
        <is>
          <t>A Use of Broadcast Silver for Peruvian TV channel Frecuencia Latina by Fahrenheit DDB, Lima. 'Prime Time 0.7' reframes an overlooked, low-rated broadcast window, using television's own scheduling to turn a neglected slot into a programming and audience opportunity.</t>
        </is>
      </c>
      <c r="N74" s="33" t="inlineStr">
        <is>
          <t>frecuencia latina, television, tv, broadcast, entertainment, media, channel, ratings, prime time, peru, direct, fahrenheit ddb, ddb, silver</t>
        </is>
      </c>
    </row>
    <row r="75">
      <c r="A75" s="33" t="n">
        <v>2026</v>
      </c>
      <c r="B75" s="165" t="inlineStr">
        <is>
          <t>Silver</t>
        </is>
      </c>
      <c r="C75" s="107" t="inlineStr">
        <is>
          <t>The Golden Zone</t>
        </is>
      </c>
      <c r="D75" s="33" t="inlineStr">
        <is>
          <t>McDonald's</t>
        </is>
      </c>
      <c r="E75" s="33" t="inlineStr">
        <is>
          <t>McDonald's App</t>
        </is>
      </c>
      <c r="F75" s="33" t="inlineStr">
        <is>
          <t>TBWA\Colombia</t>
        </is>
      </c>
      <c r="G75" s="33" t="inlineStr">
        <is>
          <t>Colombia</t>
        </is>
      </c>
      <c r="H75" s="33" t="inlineStr">
        <is>
          <t>Use of Broadcast</t>
        </is>
      </c>
      <c r="I75" s="33" t="inlineStr">
        <is>
          <t>https://ascentialcdn.filespin.io/api/v1/conversion/acf814348925404b95578a389224f8a4</t>
        </is>
      </c>
      <c r="J75" s="33" t="inlineStr">
        <is>
          <t>joqkwPzQ8VQ</t>
        </is>
      </c>
      <c r="L75" s="33" t="inlineStr">
        <is>
          <t>https://www.lovethework.com/work/entries/the-golden-zone-778048</t>
        </is>
      </c>
      <c r="M75" s="33" t="inlineStr">
        <is>
          <t>A Use of Broadcast Silver for McDonald's by TBWA\Colombia and DDB Colombia, Bogotá. Tied to the Formula 1 season, 'The Golden Zone' turned race broadcasts into an app-activated moment, rewarding fans through the McDonald's app during key windows of each Grand Prix.</t>
        </is>
      </c>
      <c r="N75" s="33" t="inlineStr">
        <is>
          <t>mcdonalds, fast food, qsr, fast-food, restaurant, food, restaurants, app, formula 1, f1, motorsport, sport, racing, sports, broadcast, entertainment, colombia, direct, tbwa, ddb, silver</t>
        </is>
      </c>
    </row>
    <row r="76">
      <c r="A76" s="33" t="n">
        <v>2026</v>
      </c>
      <c r="B76" s="165" t="inlineStr">
        <is>
          <t>Silver</t>
        </is>
      </c>
      <c r="C76" s="107" t="inlineStr">
        <is>
          <t>Discount Chants</t>
        </is>
      </c>
      <c r="D76" s="33" t="inlineStr">
        <is>
          <t>Mercado Libre</t>
        </is>
      </c>
      <c r="E76" s="33" t="inlineStr">
        <is>
          <t>Mercado Libre</t>
        </is>
      </c>
      <c r="F76" s="33" t="inlineStr">
        <is>
          <t>GUT</t>
        </is>
      </c>
      <c r="G76" s="33" t="inlineStr">
        <is>
          <t>Argentina</t>
        </is>
      </c>
      <c r="H76" s="33" t="inlineStr">
        <is>
          <t>Use of Print/Outdoor</t>
        </is>
      </c>
      <c r="I76" s="33" t="inlineStr">
        <is>
          <t>https://ascentialcdn.filespin.io/api/v1/conversion/6f517e3917a04fb19738c49af7c9f4c2</t>
        </is>
      </c>
      <c r="J76" s="33" t="inlineStr">
        <is>
          <t>k2JGGB1tPEA</t>
        </is>
      </c>
      <c r="L76" s="33" t="inlineStr">
        <is>
          <t>https://www.lovethework.com/work/entries/discount-chants-778798</t>
        </is>
      </c>
      <c r="M76" s="33" t="inlineStr">
        <is>
          <t>A Use of Print/Outdoor Silver for Mercado Libre by GUT, Buenos Aires. 'Discount Chants' taps football's terrace culture, turning the chants fans sing in the stands into a vehicle for Mercado Libre discounts.</t>
        </is>
      </c>
      <c r="N76" s="33" t="inlineStr">
        <is>
          <t>mercado libre, ecommerce, retail, online-shopping, marketplace, online shopping, football, soccer, sport, fans, chants, discounts, print, outdoor, argentina, direct, gut, silver</t>
        </is>
      </c>
    </row>
    <row r="77">
      <c r="A77" s="33" t="n">
        <v>2026</v>
      </c>
      <c r="B77" s="165" t="inlineStr">
        <is>
          <t>Silver</t>
        </is>
      </c>
      <c r="C77" s="107" t="inlineStr">
        <is>
          <t>Copycats Welcome</t>
        </is>
      </c>
      <c r="D77" s="33" t="inlineStr">
        <is>
          <t>Clash Royale</t>
        </is>
      </c>
      <c r="E77" s="33" t="inlineStr">
        <is>
          <t>Clash Royale</t>
        </is>
      </c>
      <c r="F77" s="33" t="inlineStr">
        <is>
          <t>David</t>
        </is>
      </c>
      <c r="G77" s="33" t="inlineStr">
        <is>
          <t>United States</t>
        </is>
      </c>
      <c r="H77" s="33" t="inlineStr">
        <is>
          <t>Gaming</t>
        </is>
      </c>
      <c r="I77" s="33" t="inlineStr">
        <is>
          <t>https://ascentialcdn.filespin.io/api/v1/conversion/d39099422846496fa2533748e14c3643</t>
        </is>
      </c>
      <c r="J77" s="33" t="inlineStr">
        <is>
          <t>izSoHjBvAwA</t>
        </is>
      </c>
      <c r="L77" s="33" t="inlineStr">
        <is>
          <t>https://www.lovethework.com/work/entries/copycats-welcome-774700</t>
        </is>
      </c>
      <c r="M77" s="33" t="inlineStr">
        <is>
          <t>A Gaming Silver for Clash Royale by David, New York. Facing a market of copycat clones, the game flipped the threat into an invitation: 'Copycats Welcome' let players trade their progress in imitation titles for rewards and progression inside the official Clash Royale.</t>
        </is>
      </c>
      <c r="N77" s="33" t="inlineStr">
        <is>
          <t>clash royale, gaming, video-games, entertainment, games, mobile games, video games, supercell, esports, technology, copycats, clones, gamers, united states, direct, david, silver</t>
        </is>
      </c>
    </row>
    <row r="78">
      <c r="A78" s="33" t="n">
        <v>2026</v>
      </c>
      <c r="B78" s="165" t="inlineStr">
        <is>
          <t>Silver</t>
        </is>
      </c>
      <c r="C78" s="107" t="inlineStr">
        <is>
          <t>Could Have Been a Heineken</t>
        </is>
      </c>
      <c r="D78" s="33" t="inlineStr">
        <is>
          <t>Heineken</t>
        </is>
      </c>
      <c r="E78" s="33" t="inlineStr">
        <is>
          <t>Heineken Beer</t>
        </is>
      </c>
      <c r="F78" s="33" t="inlineStr">
        <is>
          <t>LePub</t>
        </is>
      </c>
      <c r="G78" s="33" t="inlineStr">
        <is>
          <t>Italy</t>
        </is>
      </c>
      <c r="H78" s="33" t="inlineStr">
        <is>
          <t>Use of Mobile</t>
        </is>
      </c>
      <c r="I78" s="33" t="inlineStr">
        <is>
          <t>https://ascentialcdn.filespin.io/api/v1/conversion/325cbd01df444a49a6a09ac2bc5dd3fa</t>
        </is>
      </c>
      <c r="J78" s="33" t="inlineStr">
        <is>
          <t>vimeo:1203492482</t>
        </is>
      </c>
      <c r="L78" s="33" t="inlineStr">
        <is>
          <t>https://www.lovethework.com/work/entries/could-have-been-a-heineken-775142</t>
        </is>
      </c>
      <c r="M78" s="33" t="inlineStr">
        <is>
          <t>A Social Behaviour Gold for Heineken by LePub, Milan and São Paulo. Built on the insight that people spend hundreds of hours a year listening to voice notes, Heineken created a service that turned long WhatsApp voice notes into an invitation to meet in person over a beer — 'Could Have Been a Heineken' stickers reframing the recordings as missed moments of real connection.</t>
        </is>
      </c>
      <c r="N78" s="33" t="inlineStr">
        <is>
          <t>heineken, beer, alcohol, drinks, lager, whatsapp, voice notes, messaging, social, connection, technology, social behaviour, italy, brazil, direct, lepub, gold</t>
        </is>
      </c>
    </row>
    <row r="79">
      <c r="A79" s="33" t="n">
        <v>2026</v>
      </c>
      <c r="B79" s="165" t="inlineStr">
        <is>
          <t>Silver</t>
        </is>
      </c>
      <c r="C79" s="107" t="inlineStr">
        <is>
          <t>The KitKat Heist</t>
        </is>
      </c>
      <c r="D79" s="33" t="inlineStr">
        <is>
          <t>KitKat</t>
        </is>
      </c>
      <c r="E79" s="33" t="inlineStr">
        <is>
          <t>KitKat</t>
        </is>
      </c>
      <c r="F79" s="33" t="inlineStr">
        <is>
          <t>VML</t>
        </is>
      </c>
      <c r="G79" s="33" t="inlineStr">
        <is>
          <t>United Kingdom</t>
        </is>
      </c>
      <c r="H79" s="33" t="inlineStr">
        <is>
          <t>Real-Time Response</t>
        </is>
      </c>
      <c r="I79" s="33" t="inlineStr">
        <is>
          <t>https://ascentialcdn.filespin.io/api/v1/conversion/b6aeadffadfb47f0b90e360a028c9d81</t>
        </is>
      </c>
      <c r="J79" s="33" t="inlineStr">
        <is>
          <t>vimeo:1204147459</t>
        </is>
      </c>
      <c r="L79" s="33" t="inlineStr">
        <is>
          <t>https://www.lovethework.com/work/entries/the-kitkat-heist-783841</t>
        </is>
      </c>
      <c r="M79" s="33" t="inlineStr">
        <is>
          <t>A Real-Time Response Silver for KitKat by VML, London. When a shipment of KitKat was stolen in transit before Easter, the brand gamified the theft, turning a real heist into a public chocolate hunt that invited people to help track the missing bars down.</t>
        </is>
      </c>
      <c r="N79" s="33" t="inlineStr">
        <is>
          <t>kitkat, chocolate, confectionery, candy, snack, packaged-goods, food, cpg, fmcg, snacks, nestle, easter, heist, theft, gamification, real-time response, united kingdom, direct, vml, silver</t>
        </is>
      </c>
    </row>
    <row r="80">
      <c r="A80" s="33" t="n">
        <v>2026</v>
      </c>
      <c r="B80" s="165" t="inlineStr">
        <is>
          <t>Silver</t>
        </is>
      </c>
      <c r="C80" s="107" t="inlineStr">
        <is>
          <t>Uva Uva Bombón</t>
        </is>
      </c>
      <c r="D80" s="33" t="inlineStr">
        <is>
          <t>Uva App</t>
        </is>
      </c>
      <c r="E80" s="33" t="inlineStr">
        <is>
          <t>Uva App</t>
        </is>
      </c>
      <c r="F80" s="33" t="inlineStr">
        <is>
          <t>De La Cruz Ogilvy</t>
        </is>
      </c>
      <c r="G80" s="33" t="inlineStr">
        <is>
          <t>Puerto Rico</t>
        </is>
      </c>
      <c r="H80" s="33" t="inlineStr">
        <is>
          <t>Real-Time Response</t>
        </is>
      </c>
      <c r="I80" s="33" t="inlineStr">
        <is>
          <t>https://ascentialcdn.filespin.io/api/v1/conversion/afb7cf6990dc496f9c2b62d97d07c989</t>
        </is>
      </c>
      <c r="J80" s="33" t="inlineStr">
        <is>
          <t>vimeo:1204190443</t>
        </is>
      </c>
      <c r="L80" s="33" t="inlineStr">
        <is>
          <t>https://www.lovethework.com/work/entries/uva-uva-bombn-785317</t>
        </is>
      </c>
      <c r="M80" s="33" t="inlineStr">
        <is>
          <t>The Direct Grand Prix. De La Cruz Ogilvy built Puerto Rican delivery app Uva's campaign around Bad Bunny headlining the Super Bowl Halftime Show — a moment of enormous national pride on the island — turning the cultural event into a real-time reason for Puerto Ricans to order from their local delivery app instead of the global giants.</t>
        </is>
      </c>
      <c r="N80" s="33" t="inlineStr">
        <is>
          <t>uva, uva app, delivery, food delivery, app, ecommerce, retail, online-shopping, technology, puerto rico, bad bunny, super bowl, music, entertainment, culture, real-time, challenger brand, direct, de la cruz ogilvy, ogilvy, grand prix</t>
        </is>
      </c>
    </row>
    <row r="81">
      <c r="A81" s="33" t="n">
        <v>2026</v>
      </c>
      <c r="B81" s="165" t="inlineStr">
        <is>
          <t>Silver</t>
        </is>
      </c>
      <c r="C81" s="107" t="inlineStr">
        <is>
          <t>The Periodic Fable</t>
        </is>
      </c>
      <c r="D81" s="33" t="inlineStr">
        <is>
          <t>The Ordinary</t>
        </is>
      </c>
      <c r="E81" s="33" t="inlineStr">
        <is>
          <t>The Ordinary</t>
        </is>
      </c>
      <c r="F81" s="33" t="inlineStr">
        <is>
          <t>Uncommon Creative Studio</t>
        </is>
      </c>
      <c r="G81" s="33" t="inlineStr">
        <is>
          <t>United Kingdom</t>
        </is>
      </c>
      <c r="H81" s="33" t="inlineStr">
        <is>
          <t>Art Direction/Design</t>
        </is>
      </c>
      <c r="I81" s="33" t="inlineStr">
        <is>
          <t>https://ascentialcdn.filespin.io/api/v1/conversion/68e9398659d74a86812704e4e5e814d4</t>
        </is>
      </c>
      <c r="J81" s="33" t="inlineStr">
        <is>
          <t>mp4:videos/the-ordinary-the-periodic-fable.mp4</t>
        </is>
      </c>
      <c r="L81" s="33" t="inlineStr">
        <is>
          <t>https://www.lovethework.com/work/entries/the-periodic-fable-774783</t>
        </is>
      </c>
      <c r="M81" s="33" t="inlineStr">
        <is>
          <t>An Art Direction/Design Silver for skincare brand The Ordinary by Uncommon Creative Studio, London. 'The Periodic Fable' debunks the pseudo-science of beauty marketing by rebuilding the periodic table, swapping real elements for the baseless buzzwords — 'age-defying', 'wrinkle-erasing' — the industry invents to sell.</t>
        </is>
      </c>
      <c r="N81" s="33" t="inlineStr">
        <is>
          <t>the ordinary, skincare, personal-care, beauty, cosmetics, deciem, science, periodic table, marketing, transparency, art direction, design, united kingdom, direct, uncommon, silver</t>
        </is>
      </c>
    </row>
    <row r="82">
      <c r="A82" s="33" t="n">
        <v>2026</v>
      </c>
      <c r="B82" s="166" t="inlineStr">
        <is>
          <t>Bronze</t>
        </is>
      </c>
      <c r="C82" s="107" t="inlineStr">
        <is>
          <t>The Pub That Refused to Die</t>
        </is>
      </c>
      <c r="D82" s="33" t="inlineStr">
        <is>
          <t>Heineken</t>
        </is>
      </c>
      <c r="E82" s="33" t="inlineStr">
        <is>
          <t>Heineken Green</t>
        </is>
      </c>
      <c r="F82" s="33" t="inlineStr">
        <is>
          <t>LePub</t>
        </is>
      </c>
      <c r="G82" s="33" t="inlineStr">
        <is>
          <t>Italy</t>
        </is>
      </c>
      <c r="H82" s="33" t="inlineStr">
        <is>
          <t>Consumer Goods</t>
        </is>
      </c>
      <c r="I82" s="33" t="inlineStr">
        <is>
          <t>https://i.ytimg.com/vi/fbfxwHTi2S4/maxresdefault.jpg</t>
        </is>
      </c>
      <c r="J82" s="33" t="inlineStr">
        <is>
          <t>vimeo:1190924385</t>
        </is>
      </c>
      <c r="L82" s="33" t="inlineStr">
        <is>
          <t>https://www.lovethework.com/work/entries/the-pub-that-refused-to-die-784975</t>
        </is>
      </c>
      <c r="M82" s="33" t="inlineStr">
        <is>
          <t>A Consumer Goods Bronze for Heineken by LePub, Milan and Publicis, Dublin. The campaign rallies around a local pub fighting closure, casting Heineken as the champion of the traditional pub and the social life it anchors.</t>
        </is>
      </c>
      <c r="N82" s="33" t="inlineStr">
        <is>
          <t>heineken, beer, alcohol, drinks, lager, pub, bar, hospitality, community, local business, consumer goods, italy, ireland, direct, lepub, publicis, bronze</t>
        </is>
      </c>
    </row>
    <row r="83">
      <c r="A83" s="33" t="n">
        <v>2026</v>
      </c>
      <c r="B83" s="166" t="inlineStr">
        <is>
          <t>Bronze</t>
        </is>
      </c>
      <c r="C83" s="107" t="inlineStr">
        <is>
          <t>Let It Fly</t>
        </is>
      </c>
      <c r="D83" s="33" t="inlineStr">
        <is>
          <t>Saudia Airlines</t>
        </is>
      </c>
      <c r="E83" s="33" t="inlineStr">
        <is>
          <t>Baggage Stickers</t>
        </is>
      </c>
      <c r="F83" s="33" t="inlineStr">
        <is>
          <t>Publicis KSA</t>
        </is>
      </c>
      <c r="G83" s="33" t="inlineStr">
        <is>
          <t>Saudi Arabia</t>
        </is>
      </c>
      <c r="H83" s="33" t="inlineStr">
        <is>
          <t>Travel, Leisure, Retail, Restaurants &amp; Fast-Food Chains</t>
        </is>
      </c>
      <c r="I83" s="33" t="inlineStr">
        <is>
          <t>https://ascentialcdn.filespin.io/api/v1/conversion/ff8336a1534d40f2bc4137f90045a7ea</t>
        </is>
      </c>
      <c r="J83" s="33" t="inlineStr">
        <is>
          <t>vimeo:1163152448</t>
        </is>
      </c>
      <c r="L83" s="33" t="inlineStr">
        <is>
          <t>https://www.lovethework.com/work/entries/let-it-fly-783746</t>
        </is>
      </c>
      <c r="M83" s="33" t="inlineStr">
        <is>
          <t>A Travel &amp; Leisure Bronze for Saudia Airlines by Publicis KSA, Jeddah and Saatchi &amp; Saatchi Middle East, Dubai. The campaign used baggage stickers as media to communicate and unlock extra baggage allowance for travellers.</t>
        </is>
      </c>
      <c r="N83" s="33" t="inlineStr">
        <is>
          <t>saudia airlines, airline, aviation, travel, tourism, flights, transport, baggage, stickers, travel leisure retail, saudi arabia, direct, publicis, saatchi, bronze</t>
        </is>
      </c>
    </row>
    <row r="84">
      <c r="A84" s="33" t="n">
        <v>2026</v>
      </c>
      <c r="B84" s="166" t="inlineStr">
        <is>
          <t>Bronze</t>
        </is>
      </c>
      <c r="C84" s="107" t="inlineStr">
        <is>
          <t>Prime Time 0.7</t>
        </is>
      </c>
      <c r="D84" s="33" t="inlineStr">
        <is>
          <t>Frecuencia Latina</t>
        </is>
      </c>
      <c r="E84" s="33" t="inlineStr">
        <is>
          <t>Frecuencia Latina</t>
        </is>
      </c>
      <c r="F84" s="33" t="inlineStr">
        <is>
          <t>Fahrenheit DDB</t>
        </is>
      </c>
      <c r="G84" s="33" t="inlineStr">
        <is>
          <t>Peru</t>
        </is>
      </c>
      <c r="H84" s="33" t="inlineStr">
        <is>
          <t>Media/Entertainment</t>
        </is>
      </c>
      <c r="I84" s="33" t="inlineStr">
        <is>
          <t>https://ascentialcdn.filespin.io/api/v1/conversion/71096be7aa25433194472ff77c82e1af</t>
        </is>
      </c>
      <c r="J84" s="33" t="inlineStr">
        <is>
          <t>vimeo:1188326564</t>
        </is>
      </c>
      <c r="L84" s="33" t="inlineStr">
        <is>
          <t>https://www.lovethework.com/work/entries/prime-time-07-774590</t>
        </is>
      </c>
      <c r="M84" s="33" t="inlineStr">
        <is>
          <t>A Use of Broadcast Silver for Peruvian TV channel Frecuencia Latina by Fahrenheit DDB, Lima. 'Prime Time 0.7' reframes an overlooked, low-rated broadcast window, using television's own scheduling to turn a neglected slot into a programming and audience opportunity.</t>
        </is>
      </c>
      <c r="N84" s="33" t="inlineStr">
        <is>
          <t>frecuencia latina, television, tv, broadcast, entertainment, media, channel, ratings, prime time, peru, direct, fahrenheit ddb, ddb, silver</t>
        </is>
      </c>
    </row>
    <row r="85">
      <c r="A85" s="33" t="n">
        <v>2026</v>
      </c>
      <c r="B85" s="166" t="inlineStr">
        <is>
          <t>Bronze</t>
        </is>
      </c>
      <c r="C85" s="107" t="inlineStr">
        <is>
          <t>Santa Maria Pueblo Hotel</t>
        </is>
      </c>
      <c r="D85" s="33" t="inlineStr">
        <is>
          <t>Senatur</t>
        </is>
      </c>
      <c r="E85" s="33" t="inlineStr">
        <is>
          <t>Pueblo Hotel</t>
        </is>
      </c>
      <c r="F85" s="33" t="inlineStr">
        <is>
          <t>Oniria\TBWA</t>
        </is>
      </c>
      <c r="G85" s="33" t="inlineStr">
        <is>
          <t>Paraguay</t>
        </is>
      </c>
      <c r="H85" s="33" t="inlineStr">
        <is>
          <t>Not-For-Profit / Charity / Government</t>
        </is>
      </c>
      <c r="I85" s="33" t="inlineStr">
        <is>
          <t>https://ascentialcdn.filespin.io/api/v1/conversion/98fac48b166544d9afbedba9cb5fff27</t>
        </is>
      </c>
      <c r="J85" s="33" t="inlineStr">
        <is>
          <t>0qMWo7jbXdo</t>
        </is>
      </c>
      <c r="L85" s="33" t="inlineStr">
        <is>
          <t>https://www.lovethework.com/work/entries/santa-maria-pueblo-hotel-774539</t>
        </is>
      </c>
      <c r="M85" s="33" t="inlineStr">
        <is>
          <t>A Not-for-Profit / Government Bronze for Paraguay's national tourism board Senatur by Oniria\TBWA, Asunción. The campaign turns the town of Santa María de Fe into a distributed 'pueblo hotel', inviting travellers to stay across the community itself and spread tourism's benefits to local families.</t>
        </is>
      </c>
      <c r="N85" s="33" t="inlineStr">
        <is>
          <t>senatur, tourism, travel, government, paraguay, hospitality, hotel, community, rural, culture, not-for-profit, charity, ngo, social-good, direct, oniria, tbwa, bronze</t>
        </is>
      </c>
    </row>
    <row r="86">
      <c r="A86" s="33" t="n">
        <v>2026</v>
      </c>
      <c r="B86" s="166" t="inlineStr">
        <is>
          <t>Bronze</t>
        </is>
      </c>
      <c r="C86" s="107" t="inlineStr">
        <is>
          <t>Scratch Your Data</t>
        </is>
      </c>
      <c r="D86" s="33" t="inlineStr">
        <is>
          <t>Mercado Livre</t>
        </is>
      </c>
      <c r="E86" s="33" t="inlineStr">
        <is>
          <t>Mercado Livre</t>
        </is>
      </c>
      <c r="F86" s="33" t="inlineStr">
        <is>
          <t>GUT</t>
        </is>
      </c>
      <c r="G86" s="33" t="inlineStr">
        <is>
          <t>Brazil</t>
        </is>
      </c>
      <c r="H86" s="33" t="inlineStr">
        <is>
          <t>Mailing/Programmatic Mail</t>
        </is>
      </c>
      <c r="I86" s="33" t="inlineStr">
        <is>
          <t>https://ascentialcdn.filespin.io/api/v1/conversion/b07e0fc7f84a49dba4143084f19ce9cc</t>
        </is>
      </c>
      <c r="J86" s="33" t="inlineStr">
        <is>
          <t>vimeo:1186417316</t>
        </is>
      </c>
      <c r="L86" s="33" t="inlineStr">
        <is>
          <t>https://www.lovethework.com/work/entries/scratch-your-data-784985</t>
        </is>
      </c>
      <c r="M86" s="33" t="inlineStr">
        <is>
          <t>A Mailing and Experience Design Bronze for Mercado Livre by GUT, São Paulo. 'Scratch Your Data' tackles a hidden e-commerce risk — the shipping label stuck to every box, full of personal information, that gets thrown out intact — by turning the label into a scratch-off that prompts shoppers to destroy their own data.</t>
        </is>
      </c>
      <c r="N86" s="33" t="inlineStr">
        <is>
          <t>mercado livre, ecommerce, retail, online-shopping, marketplace, online shopping, delivery, privacy, data, personal information, security, shipping label, packaging, mailing, experience design, brazil, direct, gut, bronze</t>
        </is>
      </c>
    </row>
    <row r="87">
      <c r="A87" s="33" t="n">
        <v>2026</v>
      </c>
      <c r="B87" s="166" t="inlineStr">
        <is>
          <t>Bronze</t>
        </is>
      </c>
      <c r="C87" s="107" t="inlineStr">
        <is>
          <t>Resize the Price</t>
        </is>
      </c>
      <c r="D87" s="33" t="inlineStr">
        <is>
          <t>Aguila</t>
        </is>
      </c>
      <c r="E87" s="33" t="inlineStr">
        <is>
          <t>Beer</t>
        </is>
      </c>
      <c r="F87" s="33" t="inlineStr">
        <is>
          <t>David</t>
        </is>
      </c>
      <c r="G87" s="33" t="inlineStr">
        <is>
          <t>Colombia</t>
        </is>
      </c>
      <c r="H87" s="33" t="inlineStr">
        <is>
          <t>Small-Scale Media</t>
        </is>
      </c>
      <c r="I87" s="33" t="inlineStr">
        <is>
          <t>https://ascentialcdn.filespin.io/api/v1/conversion/87169f0d7c434ec5877ae8c9a5aeab45</t>
        </is>
      </c>
      <c r="J87" s="33" t="inlineStr">
        <is>
          <t>vimeo:1203767931</t>
        </is>
      </c>
      <c r="L87" s="33" t="inlineStr">
        <is>
          <t>https://www.lovethework.com/work/entries/resize-the-price-774722</t>
        </is>
      </c>
      <c r="M87" s="33" t="inlineStr">
        <is>
          <t>A Small-Scale Media Bronze for Águila beer by David, Bogotá and Madrid. Responding to the rising cost of football jerseys in Colombia, the campaign tied the retail price of the shirts to the size of Águila's sponsor logo — shrink the logo, shrink the price.</t>
        </is>
      </c>
      <c r="N87" s="33" t="inlineStr">
        <is>
          <t>aguila, beer, alcohol, drinks, lager, football, soccer, sport, jersey, sponsorship, sports, pricing, retail, small-scale media, colombia, spain, direct, david, bronze</t>
        </is>
      </c>
    </row>
    <row r="88">
      <c r="A88" s="33" t="n">
        <v>2026</v>
      </c>
      <c r="B88" s="166" t="inlineStr">
        <is>
          <t>Bronze</t>
        </is>
      </c>
      <c r="C88" s="107" t="inlineStr">
        <is>
          <t>Fantastic Keys</t>
        </is>
      </c>
      <c r="D88" s="33" t="inlineStr">
        <is>
          <t>Marvel</t>
        </is>
      </c>
      <c r="E88" s="33" t="inlineStr">
        <is>
          <t>Entertainment</t>
        </is>
      </c>
      <c r="F88" s="33" t="inlineStr">
        <is>
          <t>Marcel</t>
        </is>
      </c>
      <c r="G88" s="33" t="inlineStr">
        <is>
          <t>France</t>
        </is>
      </c>
      <c r="H88" s="33" t="inlineStr">
        <is>
          <t>Small-Scale Media</t>
        </is>
      </c>
      <c r="I88" s="33" t="inlineStr">
        <is>
          <t>https://ascentialcdn.filespin.io/api/v1/conversion/35dc17f1a3904337ad4b4e94fd954d52</t>
        </is>
      </c>
      <c r="J88" s="33" t="inlineStr">
        <is>
          <t>e4SIlC4Ey_Y</t>
        </is>
      </c>
      <c r="L88" s="33" t="inlineStr">
        <is>
          <t>https://www.lovethework.com/work/entries/fantastic-keys-776810</t>
        </is>
      </c>
      <c r="M88" s="33" t="inlineStr">
        <is>
          <t>A Small-Scale Media Bronze for Marvel and The Walt Disney Company France by Marcel, Paris. 'Fantastic Keys' uses an everyday object as branded media to promote Marvel's entertainment, turning keys into a small-scale touchpoint for the franchise.</t>
        </is>
      </c>
      <c r="N88" s="33" t="inlineStr">
        <is>
          <t>marvel, disney, walt disney, entertainment, film, cinema, movies, franchise, keys, small-scale media, france, direct, marcel, bronze</t>
        </is>
      </c>
    </row>
    <row r="89">
      <c r="A89" s="33" t="n">
        <v>2026</v>
      </c>
      <c r="B89" s="166" t="inlineStr">
        <is>
          <t>Bronze</t>
        </is>
      </c>
      <c r="C89" s="107" t="inlineStr">
        <is>
          <t>Let's End Fast Tech</t>
        </is>
      </c>
      <c r="D89" s="33" t="inlineStr">
        <is>
          <t>Back Market</t>
        </is>
      </c>
      <c r="E89" s="33" t="inlineStr">
        <is>
          <t>Refurbished Electronics Marketplace</t>
        </is>
      </c>
      <c r="F89" s="33" t="inlineStr">
        <is>
          <t>Marcel</t>
        </is>
      </c>
      <c r="G89" s="33" t="inlineStr">
        <is>
          <t>France</t>
        </is>
      </c>
      <c r="H89" s="33" t="inlineStr">
        <is>
          <t>Use of Print/Outdoor</t>
        </is>
      </c>
      <c r="I89" s="33" t="inlineStr">
        <is>
          <t>https://ascentialcdn.filespin.io/api/v1/conversion/95c51787f8394b7f848de1ede5c0640c</t>
        </is>
      </c>
      <c r="J89" s="33" t="inlineStr">
        <is>
          <t>vimeo:1203484921</t>
        </is>
      </c>
      <c r="L89" s="33" t="inlineStr">
        <is>
          <t>https://www.lovethework.com/work/entries/lets-end-fast-tech-783796</t>
        </is>
      </c>
      <c r="M89" s="33" t="inlineStr">
        <is>
          <t>A Use of Print/Outdoor Bronze for refurbished-electronics marketplace Back Market by Marcel, Paris. Continuing the brand's fight against the accelerated churn of gadgets, 'Let's End Fast Tech' borrows the language of fast fashion to call out 'fast tech' and push refurbished devices as the responsible alternative.</t>
        </is>
      </c>
      <c r="N89" s="33" t="inlineStr">
        <is>
          <t>back market, refurbished, electronics, technology, ecommerce, retail, online-shopping, marketplace, sustainability, e-waste, fast tech, environment, print, outdoor, france, direct, marcel, bronze</t>
        </is>
      </c>
    </row>
    <row r="90">
      <c r="A90" s="33" t="n">
        <v>2026</v>
      </c>
      <c r="B90" s="166" t="inlineStr">
        <is>
          <t>Bronze</t>
        </is>
      </c>
      <c r="C90" s="107" t="inlineStr">
        <is>
          <t>Lucky Fan Index</t>
        </is>
      </c>
      <c r="D90" s="33" t="inlineStr">
        <is>
          <t>Wisła Kraków Football Club</t>
        </is>
      </c>
      <c r="E90" s="33" t="inlineStr">
        <is>
          <t>Wisła Kraków Football Club</t>
        </is>
      </c>
      <c r="F90" s="33" t="inlineStr">
        <is>
          <t>VML</t>
        </is>
      </c>
      <c r="G90" s="33" t="inlineStr">
        <is>
          <t>Poland</t>
        </is>
      </c>
      <c r="H90" s="33" t="inlineStr">
        <is>
          <t>Use of Real-Time Data</t>
        </is>
      </c>
      <c r="I90" s="33" t="inlineStr">
        <is>
          <t>https://ascentialcdn.filespin.io/api/v1/conversion/0c49c9d60a944a37add314890bbff7bb</t>
        </is>
      </c>
      <c r="J90" s="33" t="inlineStr">
        <is>
          <t>vimeo:1182366532</t>
        </is>
      </c>
      <c r="L90" s="33" t="inlineStr">
        <is>
          <t>https://www.lovethework.com/work/entries/lucky-fan-index-782651</t>
        </is>
      </c>
      <c r="M90" s="33" t="inlineStr">
        <is>
          <t>A Use of Real-Time Data Bronze for Polish football club Wisła Kraków by VML, Warsaw. The Lucky Fan Index is an AI-built tool that analyses and quantifies the 'luck' supporters bring to the club, turning the intangible feeling of fan influence into a measurable, shareable index.</t>
        </is>
      </c>
      <c r="N90" s="33" t="inlineStr">
        <is>
          <t>wisla krakow, football, soccer, sport, sports, sports club, poland, fans, supporters, ai, technology, artificial intelligence, real-time data, analytics, data, direct, vml, bronze</t>
        </is>
      </c>
    </row>
    <row r="91">
      <c r="A91" s="33" t="n">
        <v>2026</v>
      </c>
      <c r="B91" s="166" t="inlineStr">
        <is>
          <t>Bronze</t>
        </is>
      </c>
      <c r="C91" s="107" t="inlineStr">
        <is>
          <t>The Most Epic Watch Party Group</t>
        </is>
      </c>
      <c r="D91" s="33" t="inlineStr">
        <is>
          <t>Lay's</t>
        </is>
      </c>
      <c r="E91" s="33" t="inlineStr">
        <is>
          <t>Lay's</t>
        </is>
      </c>
      <c r="F91" s="33" t="inlineStr">
        <is>
          <t>Slap Global</t>
        </is>
      </c>
      <c r="G91" s="33" t="inlineStr">
        <is>
          <t>Argentina</t>
        </is>
      </c>
      <c r="H91" s="33" t="inlineStr">
        <is>
          <t>Use of Social Platforms</t>
        </is>
      </c>
      <c r="I91" s="33" t="inlineStr">
        <is>
          <t>https://ascentialcdn.filespin.io/api/v1/conversion/54be476c57844c43a4b49ea795ae2dca</t>
        </is>
      </c>
      <c r="J91" s="33" t="inlineStr">
        <is>
          <t>vimeo:1192014627</t>
        </is>
      </c>
      <c r="L91" s="33" t="inlineStr">
        <is>
          <t>https://www.lovethework.com/work/entries/the-most-epic-watch-party-group-785302</t>
        </is>
      </c>
      <c r="M91" s="33" t="inlineStr">
        <is>
          <t>A Use of Social Platforms Bronze for Lay's by Slap Global, Buenos Aires. Built around the World Cup, the campaign created the ultimate fan watch-party group, using social platforms to bring far-flung supporters together around the match — and a bowl of Lay's.</t>
        </is>
      </c>
      <c r="N91" s="33" t="inlineStr">
        <is>
          <t>lays, chips, crisps, snacks, fmcg, food, pepsico, frito-lay, world cup, football, soccer, sport, watch party, social, community, social platforms, argentina, direct, slap global, bronze</t>
        </is>
      </c>
    </row>
    <row r="92">
      <c r="A92" s="33" t="n">
        <v>2026</v>
      </c>
      <c r="B92" s="166" t="inlineStr">
        <is>
          <t>Bronze</t>
        </is>
      </c>
      <c r="C92" s="107" t="inlineStr">
        <is>
          <t>Bedtime Donations</t>
        </is>
      </c>
      <c r="D92" s="33" t="inlineStr">
        <is>
          <t>Royal Society for Blind Children</t>
        </is>
      </c>
      <c r="E92" s="33" t="inlineStr">
        <is>
          <t>Bedtime Donations App</t>
        </is>
      </c>
      <c r="F92" s="33" t="inlineStr">
        <is>
          <t>Innocean Berlin</t>
        </is>
      </c>
      <c r="G92" s="33" t="inlineStr">
        <is>
          <t>Germany</t>
        </is>
      </c>
      <c r="H92" s="33" t="inlineStr">
        <is>
          <t>Co-Creation &amp; User-Generated Content</t>
        </is>
      </c>
      <c r="I92" s="33" t="inlineStr">
        <is>
          <t>https://ascentialcdn.filespin.io/api/v1/conversion/f4c9dafd39714b8c96da0d7dd9e055ea</t>
        </is>
      </c>
      <c r="J92" s="33" t="inlineStr">
        <is>
          <t>nw12Kyu0wqQ</t>
        </is>
      </c>
      <c r="L92" s="33" t="inlineStr">
        <is>
          <t>https://www.lovethework.com/work/entries/bedtime-donations-774696</t>
        </is>
      </c>
      <c r="M92" s="33" t="inlineStr">
        <is>
          <t>A Co-Creation / User-Generated Content Bronze for the Royal Society for Blind Children by Innocean, Berlin. 'Bedtime Donations' invites people to record bedtime stories that become audio content for blind children, turning everyday voices into donated story time.</t>
        </is>
      </c>
      <c r="N92" s="33" t="inlineStr">
        <is>
          <t>royal society for blind children, charity, nonprofit, ngo, not-for-profit, social-good, blindness, accessibility, disability, children, audio, bedtime stories, donations, co-creation, user-generated content, united kingdom, germany, direct, innocean, bronze</t>
        </is>
      </c>
    </row>
    <row r="93">
      <c r="A93" s="33" t="n">
        <v>2026</v>
      </c>
      <c r="B93" s="166" t="inlineStr">
        <is>
          <t>Bronze</t>
        </is>
      </c>
      <c r="C93" s="107" t="inlineStr">
        <is>
          <t>The Filet-O-Fish Facebook Society of 2012</t>
        </is>
      </c>
      <c r="D93" s="33" t="inlineStr">
        <is>
          <t>McDonald's</t>
        </is>
      </c>
      <c r="E93" s="33" t="inlineStr">
        <is>
          <t>McDonald's</t>
        </is>
      </c>
      <c r="F93" s="33" t="inlineStr">
        <is>
          <t>Leo</t>
        </is>
      </c>
      <c r="G93" s="33" t="inlineStr">
        <is>
          <t>United Kingdom</t>
        </is>
      </c>
      <c r="H93" s="33" t="inlineStr">
        <is>
          <t>Co-Creation &amp; User-Generated Content</t>
        </is>
      </c>
      <c r="I93" s="33" t="inlineStr">
        <is>
          <t>https://ascentialcdn.filespin.io/api/v1/conversion/891e92ac22304d769b6599ffa9bc2de6</t>
        </is>
      </c>
      <c r="J93" s="33" t="inlineStr">
        <is>
          <t>Qd2k250KMvo</t>
        </is>
      </c>
      <c r="L93" s="33" t="inlineStr">
        <is>
          <t>https://www.lovethework.com/work/entries/the-filet-o-fish-facebook-society-of-2012-783846</t>
        </is>
      </c>
      <c r="M93" s="33" t="inlineStr">
        <is>
          <t>A Co-Creation / User-Generated Content Bronze for McDonald's by Leo Burnett, London. The brand revived a forgotten fan-made Facebook group — the six-member 'Filet-O-Fish Society of 2012' — and turned this tiny piece of cult fandom into the spark for a national Filet-O-Fish campaign.</t>
        </is>
      </c>
      <c r="N93" s="33" t="inlineStr">
        <is>
          <t>mcdonalds, fast food, qsr, fast-food, restaurant, food, restaurants, filet-o-fish, facebook, fans, fandom, community, co-creation, user-generated content, united kingdom, direct, leo burnett, leo, bronze</t>
        </is>
      </c>
    </row>
    <row r="94">
      <c r="A94" s="33" t="n">
        <v>2026</v>
      </c>
      <c r="B94" s="166" t="inlineStr">
        <is>
          <t>Bronze</t>
        </is>
      </c>
      <c r="C94" s="107" t="inlineStr">
        <is>
          <t>Cheetos Flamin' Hot Dill Pickle Relaunch</t>
        </is>
      </c>
      <c r="D94" s="33" t="inlineStr">
        <is>
          <t>Cheetos</t>
        </is>
      </c>
      <c r="E94" s="33" t="inlineStr">
        <is>
          <t>PepsiCo</t>
        </is>
      </c>
      <c r="F94" s="33" t="inlineStr">
        <is>
          <t>GUT</t>
        </is>
      </c>
      <c r="G94" s="33" t="inlineStr">
        <is>
          <t>United States</t>
        </is>
      </c>
      <c r="H94" s="33" t="inlineStr">
        <is>
          <t>Co-Creation &amp; User-Generated Content</t>
        </is>
      </c>
      <c r="I94" s="33" t="inlineStr">
        <is>
          <t>https://ascentialcdn.filespin.io/api/v1/conversion/acd96c3ad06a4d00a1c0c9cff953e55f</t>
        </is>
      </c>
      <c r="J94" s="33" t="inlineStr">
        <is>
          <t>vimeo:1204193109</t>
        </is>
      </c>
      <c r="L94" s="33" t="inlineStr">
        <is>
          <t>https://www.lovethework.com/work/entries/cheetos-flamin-hot-dill-pickle-relaunch-777172</t>
        </is>
      </c>
      <c r="M94" s="33" t="inlineStr">
        <is>
          <t>A Co-Creation / User-Generated Content Bronze for Cheetos by GUT, Miami. The campaign relaunched the Flamin' Hot Dill Pickle flavour on the back of fan demand, channelling the community's own appetite for the snack into its comeback.</t>
        </is>
      </c>
      <c r="N94" s="33" t="inlineStr">
        <is>
          <t>cheetos, snacks, chips, crisps, fmcg, food, pepsico, frito-lay, flamin hot, dill pickle, fans, relaunch, co-creation, user-generated content, united states, direct, gut, bronze</t>
        </is>
      </c>
    </row>
    <row r="95">
      <c r="A95" s="33" t="n">
        <v>2026</v>
      </c>
      <c r="B95" s="166" t="inlineStr">
        <is>
          <t>Bronze</t>
        </is>
      </c>
      <c r="C95" s="107" t="inlineStr">
        <is>
          <t>Oreo Cows</t>
        </is>
      </c>
      <c r="D95" s="33" t="inlineStr">
        <is>
          <t>Oreo</t>
        </is>
      </c>
      <c r="E95" s="33" t="inlineStr">
        <is>
          <t>Oreo</t>
        </is>
      </c>
      <c r="F95" s="33" t="inlineStr">
        <is>
          <t>VML</t>
        </is>
      </c>
      <c r="G95" s="33" t="inlineStr">
        <is>
          <t>United States</t>
        </is>
      </c>
      <c r="H95" s="33" t="inlineStr">
        <is>
          <t>Art Direction/Design</t>
        </is>
      </c>
      <c r="I95" s="33" t="inlineStr">
        <is>
          <t>https://ascentialcdn.filespin.io/api/v1/conversion/f34bbf1c3b224a62a7b93946bce31756</t>
        </is>
      </c>
      <c r="J95" s="33" t="inlineStr">
        <is>
          <t>F2EjJgR0adE</t>
        </is>
      </c>
      <c r="L95" s="33" t="inlineStr">
        <is>
          <t>https://www.lovethework.com/work/entries/oreo-cows-780018</t>
        </is>
      </c>
      <c r="M95" s="33" t="inlineStr">
        <is>
          <t>A Consumer Goods Gold for Oreo, created by VML New York and VML Mexico City. The campaign brings Oreo's black-and-white world to life through 'Oreo Cows', a playful idea rooted in the cookie's classic pairing with a glass of milk.</t>
        </is>
      </c>
      <c r="N95" s="33" t="inlineStr">
        <is>
          <t>oreo, cookies, biscuits, snacks, fmcg, food, mondelez, milk, dairy, cows, consumer goods, united states, mexico, direct, vml, gold</t>
        </is>
      </c>
    </row>
    <row r="96">
      <c r="A96" s="33" t="n">
        <v>2026</v>
      </c>
      <c r="B96" s="166" t="inlineStr">
        <is>
          <t>Bronze</t>
        </is>
      </c>
      <c r="C96" s="107" t="inlineStr">
        <is>
          <t>Scratch Your Data</t>
        </is>
      </c>
      <c r="D96" s="33" t="inlineStr">
        <is>
          <t>Mercado Livre</t>
        </is>
      </c>
      <c r="E96" s="33" t="inlineStr">
        <is>
          <t>Mercado Livre</t>
        </is>
      </c>
      <c r="F96" s="33" t="inlineStr">
        <is>
          <t>GUT</t>
        </is>
      </c>
      <c r="G96" s="33" t="inlineStr">
        <is>
          <t>Brazil</t>
        </is>
      </c>
      <c r="H96" s="33" t="inlineStr">
        <is>
          <t>Experience Design</t>
        </is>
      </c>
      <c r="I96" s="33" t="inlineStr">
        <is>
          <t>https://ascentialcdn.filespin.io/api/v1/conversion/b07e0fc7f84a49dba4143084f19ce9cc</t>
        </is>
      </c>
      <c r="J96" s="33" t="inlineStr">
        <is>
          <t>vimeo:1186417316</t>
        </is>
      </c>
      <c r="L96" s="33" t="inlineStr">
        <is>
          <t>https://www.lovethework.com/work/entries/scratch-your-data-785020</t>
        </is>
      </c>
      <c r="M96" s="33" t="inlineStr">
        <is>
          <t>A Mailing and Experience Design Bronze for Mercado Livre by GUT, São Paulo. 'Scratch Your Data' tackles a hidden e-commerce risk — the shipping label stuck to every box, full of personal information, that gets thrown out intact — by turning the label into a scratch-off that prompts shoppers to destroy their own data.</t>
        </is>
      </c>
      <c r="N96" s="33" t="inlineStr">
        <is>
          <t>mercado livre, ecommerce, retail, online-shopping, marketplace, online shopping, delivery, privacy, data, personal information, security, shipping label, packaging, mailing, experience design, brazil, direct, gut, bronze</t>
        </is>
      </c>
    </row>
    <row r="97">
      <c r="A97" s="33" t="n">
        <v>2026</v>
      </c>
      <c r="B97" s="166" t="inlineStr">
        <is>
          <t>Bronze</t>
        </is>
      </c>
      <c r="C97" s="107" t="inlineStr">
        <is>
          <t>Vaseline Originals</t>
        </is>
      </c>
      <c r="D97" s="33" t="inlineStr">
        <is>
          <t>Vaseline</t>
        </is>
      </c>
      <c r="E97" s="33" t="inlineStr">
        <is>
          <t>Vaseline</t>
        </is>
      </c>
      <c r="F97" s="33" t="inlineStr">
        <is>
          <t>Ogilvy Singapore</t>
        </is>
      </c>
      <c r="G97" s="33" t="inlineStr">
        <is>
          <t>Singapore</t>
        </is>
      </c>
      <c r="H97" s="33" t="inlineStr">
        <is>
          <t>Launch/Relaunch</t>
        </is>
      </c>
      <c r="I97" s="33" t="inlineStr">
        <is>
          <t>https://ascentialcdn.filespin.io/api/v1/conversion/a51e4b12607a4d19abcc64bca7c099f5</t>
        </is>
      </c>
      <c r="J97" s="33" t="inlineStr">
        <is>
          <t>hzq9lR5SsNo</t>
        </is>
      </c>
      <c r="L97" s="33" t="inlineStr">
        <is>
          <t>https://www.lovethework.com/work/entries/vaseline-originals-779667</t>
        </is>
      </c>
      <c r="M97" s="33" t="inlineStr">
        <is>
          <t>A Launch/Relaunch Bronze for Vaseline by Ogilvy, Singapore. Vaseline traced its most popular online beauty hacks back to the creators who started them, named those creators 'Vaseline OGs', and built a real product line — Vaseline Originals — around their ideas, sharing the commercial success with them.</t>
        </is>
      </c>
      <c r="N97" s="33" t="inlineStr">
        <is>
          <t>vaseline, skincare, personal-care, beauty, personal care, fmcg, unilever, creators, influencers, social, beauty hacks, product launch, co-creation, launch, relaunch, singapore, direct, ogilvy, bronze</t>
        </is>
      </c>
    </row>
    <row r="98">
      <c r="A98" s="33" t="n">
        <v>2026</v>
      </c>
      <c r="B98" s="166" t="inlineStr">
        <is>
          <t>Bronze</t>
        </is>
      </c>
      <c r="C98" s="107" t="inlineStr">
        <is>
          <t>Simply NKD™ The Renaissance of Snacking</t>
        </is>
      </c>
      <c r="D98" s="33" t="inlineStr">
        <is>
          <t>Simply NKD™</t>
        </is>
      </c>
      <c r="E98" s="33" t="inlineStr">
        <is>
          <t>Doritos &amp; Cheetos Simply NKD™</t>
        </is>
      </c>
      <c r="F98" s="33" t="inlineStr">
        <is>
          <t>GUT</t>
        </is>
      </c>
      <c r="G98" s="33" t="inlineStr">
        <is>
          <t>United States</t>
        </is>
      </c>
      <c r="H98" s="33" t="inlineStr">
        <is>
          <t>Launch/Relaunch</t>
        </is>
      </c>
      <c r="I98" s="33" t="inlineStr">
        <is>
          <t>https://ascentialcdn.filespin.io/api/v1/conversion/cb67de72e57a4245aab90cde9930c3dc</t>
        </is>
      </c>
      <c r="J98" s="33" t="inlineStr">
        <is>
          <t>mp4:videos/direct-simply-nkd-renaissance-of-snacking-nkd.mp4</t>
        </is>
      </c>
      <c r="L98" s="33" t="inlineStr">
        <is>
          <t>https://www.lovethework.com/work/entries/simply-nkd-the-renaissance-of-snacking-785702</t>
        </is>
      </c>
      <c r="M98" s="33" t="inlineStr">
        <is>
          <t>A Launch/Relaunch Bronze for PepsiCo's Simply NKD line by GUT, Miami. The campaign launched a range of 'naked' Doritos and Cheetos — the familiar shapes without the seasoning — as a new, pared-back take on snacking.</t>
        </is>
      </c>
      <c r="N98" s="33" t="inlineStr">
        <is>
          <t>simply nkd, doritos, cheetos, snacks, chips, crisps, fmcg, food, pepsico, frito-lay, naked, unseasoned, product launch, launch, relaunch, united states, direct, gut, bronze</t>
        </is>
      </c>
    </row>
    <row r="99">
      <c r="A99" s="33" t="n">
        <v>2026</v>
      </c>
      <c r="B99" s="166" t="inlineStr">
        <is>
          <t>Bronze</t>
        </is>
      </c>
      <c r="C99" s="107" t="inlineStr">
        <is>
          <t>Haven</t>
        </is>
      </c>
      <c r="D99" s="33" t="inlineStr">
        <is>
          <t>Suncorp Insurance</t>
        </is>
      </c>
      <c r="E99" s="33" t="inlineStr">
        <is>
          <t>Insurance</t>
        </is>
      </c>
      <c r="F99" s="33" t="inlineStr">
        <is>
          <t>Leo Australia</t>
        </is>
      </c>
      <c r="G99" s="33" t="inlineStr">
        <is>
          <t>Australia</t>
        </is>
      </c>
      <c r="H99" s="33" t="inlineStr">
        <is>
          <t>Personalised Campaigns</t>
        </is>
      </c>
      <c r="I99" s="33" t="inlineStr">
        <is>
          <t>https://ascentialcdn.filespin.io/api/v1/conversion/77cfcfb8b3214196bb50aae00975065b</t>
        </is>
      </c>
      <c r="J99" s="33" t="inlineStr">
        <is>
          <t>Pwf50R9flkU</t>
        </is>
      </c>
      <c r="L99" s="33" t="inlineStr">
        <is>
          <t>https://www.lovethework.com/work/entries/haven-782674</t>
        </is>
      </c>
      <c r="M99" s="33" t="inlineStr">
        <is>
          <t>A Personalised Campaigns Bronze for Suncorp Insurance by Leo, Australia. Haven lets any Australian homeowner enter their address and receive a personalised report and video on their property's flood, bushfire, cyclone and storm risk, drawing on live weather and natural-peril data to deliver tailored resilience advice.</t>
        </is>
      </c>
      <c r="N99" s="33" t="inlineStr">
        <is>
          <t>suncorp insurance, insurance, financial-services, finance, financial services, australia, home, property, climate, sustainability, environment, natural disasters, flood, bushfire, cyclone, weather data, risk, personalised, data, personalised campaigns, direct, leo australia, leo, bronze</t>
        </is>
      </c>
    </row>
    <row r="100">
      <c r="A100" s="33" t="n">
        <v>2026</v>
      </c>
      <c r="B100" s="166" t="inlineStr">
        <is>
          <t>Bronze</t>
        </is>
      </c>
      <c r="C100" s="107" t="inlineStr">
        <is>
          <t>Custom Billboards</t>
        </is>
      </c>
      <c r="D100" s="33" t="inlineStr">
        <is>
          <t>Mercado Libre</t>
        </is>
      </c>
      <c r="E100" s="33" t="inlineStr">
        <is>
          <t>Mercado Libre</t>
        </is>
      </c>
      <c r="F100" s="33" t="inlineStr">
        <is>
          <t>GUT</t>
        </is>
      </c>
      <c r="G100" s="33" t="inlineStr">
        <is>
          <t>Argentina</t>
        </is>
      </c>
      <c r="H100" s="33" t="inlineStr">
        <is>
          <t>Personalised Campaigns</t>
        </is>
      </c>
      <c r="I100" s="33" t="inlineStr">
        <is>
          <t>https://ascentialcdn.filespin.io/api/v1/conversion/a701df9b51b841aebf0f26feba28d039</t>
        </is>
      </c>
      <c r="J100" s="33" t="inlineStr">
        <is>
          <t>vimeo:1190157662</t>
        </is>
      </c>
      <c r="L100" s="33" t="inlineStr">
        <is>
          <t>https://www.lovethework.com/work/entries/custom-billboards-785354</t>
        </is>
      </c>
      <c r="M100" s="33" t="inlineStr">
        <is>
          <t>A Personalised Campaigns Bronze for Mercado Libre by GUT, Buenos Aires. AI-powered billboards across the city read their surroundings in real time to generate personalised messages for the people passing by, turning outdoor advertising into individually tailored prompts.</t>
        </is>
      </c>
      <c r="N100" s="33" t="inlineStr">
        <is>
          <t>mercado libre, ecommerce, retail, online-shopping, marketplace, online shopping, ai, technology, artificial intelligence, billboards, outdoor, ooh, personalisation, real-time, data, personalised campaigns, argentina, direct, gut, bronze</t>
        </is>
      </c>
    </row>
    <row r="101">
      <c r="A101" s="33" t="n">
        <v>2026</v>
      </c>
      <c r="B101" s="166" t="inlineStr">
        <is>
          <t>Bronze</t>
        </is>
      </c>
      <c r="C101" s="107" t="inlineStr">
        <is>
          <t>Protect the Peanut</t>
        </is>
      </c>
      <c r="D101" s="33" t="inlineStr">
        <is>
          <t>Mars Snacking</t>
        </is>
      </c>
      <c r="E101" s="33" t="inlineStr">
        <is>
          <t>M&amp;M's</t>
        </is>
      </c>
      <c r="F101" s="33" t="inlineStr">
        <is>
          <t>BBDO</t>
        </is>
      </c>
      <c r="G101" s="33" t="inlineStr">
        <is>
          <t>United States</t>
        </is>
      </c>
      <c r="H101" s="33" t="inlineStr">
        <is>
          <t>Corporate Purpose &amp; Social Responsibility</t>
        </is>
      </c>
      <c r="I101" s="33" t="inlineStr">
        <is>
          <t>https://ascentialcdn.filespin.io/api/v1/conversion/babe4d0b35444d75921ae5d39f5d1deb</t>
        </is>
      </c>
      <c r="J101" s="33" t="inlineStr">
        <is>
          <t>vimeo:1190628293</t>
        </is>
      </c>
      <c r="L101" s="33" t="inlineStr">
        <is>
          <t>https://www.lovethework.com/work/entries/protect-the-peanut-785433</t>
        </is>
      </c>
      <c r="M101" s="33" t="inlineStr">
        <is>
          <t>A Corporate Purpose Bronze for M&amp;M's (Mars Snacking) by BBDO, Chicago. Building on Mars's investment in peanut science, 'Protect the Peanut' is a documentary-style campaign that frames protecting the peanut — and the people who grow it — as a cause worth the brand's voice.</t>
        </is>
      </c>
      <c r="N101" s="33" t="inlineStr">
        <is>
          <t>mms, m&amp;ms, mars, mars snacking, chocolate, confectionery, candy, snack, packaged-goods, food, cpg, fmcg, snacks, peanut, agriculture, farming, sustainability, purpose, corporate social responsibility, united states, direct, bbdo, bronze</t>
        </is>
      </c>
    </row>
    <row r="102">
      <c r="A102" s="33" t="n">
        <v>2026</v>
      </c>
      <c r="B102" s="166" t="inlineStr">
        <is>
          <t>Bronze</t>
        </is>
      </c>
      <c r="C102" s="107" t="inlineStr">
        <is>
          <t>SOS POS</t>
        </is>
      </c>
      <c r="D102" s="33" t="inlineStr">
        <is>
          <t>BCP</t>
        </is>
      </c>
      <c r="E102" s="33" t="inlineStr">
        <is>
          <t>SOS POS</t>
        </is>
      </c>
      <c r="F102" s="33" t="inlineStr">
        <is>
          <t>Circus Grey</t>
        </is>
      </c>
      <c r="G102" s="33" t="inlineStr">
        <is>
          <t>Peru</t>
        </is>
      </c>
      <c r="H102" s="33" t="inlineStr">
        <is>
          <t>Market Disruption</t>
        </is>
      </c>
      <c r="I102" s="33" t="inlineStr">
        <is>
          <t>https://ascentialcdn.filespin.io/api/v1/conversion/1d46e6542c474e14a830761bec4b045a</t>
        </is>
      </c>
      <c r="J102" s="33" t="inlineStr">
        <is>
          <t>GVdCoJEhO6M</t>
        </is>
      </c>
      <c r="L102" s="33" t="inlineStr">
        <is>
          <t>https://www.lovethework.com/work/entries/sos-pos-774927</t>
        </is>
      </c>
      <c r="M102" s="33" t="inlineStr">
        <is>
          <t>For Peruvian bank BCP, Circus Grey turned ordinary retail POS terminals into emergency account-blocking points: a phone-theft victim can walk into any participating shop, verify their identity at the checkout and instantly freeze their accounts, connecting front-end POS terminals to the bank's back-end via a purpose-built API.</t>
        </is>
      </c>
      <c r="N102" s="33" t="inlineStr">
        <is>
          <t>bcp, bank, banking, financial-services, finance, financial services, peru, phone theft, security, fraud prevention, pos terminal, payments, fintech, api, market disruption, direct, circus grey, bronze</t>
        </is>
      </c>
    </row>
  </sheetData>
  <autoFilter ref="A1:N60"/>
  <hyperlinks>
    <hyperlink xmlns:r="http://schemas.openxmlformats.org/officeDocument/2006/relationships" ref="I2" r:id="rId1"/>
    <hyperlink xmlns:r="http://schemas.openxmlformats.org/officeDocument/2006/relationships" ref="L2" r:id="rId2"/>
    <hyperlink xmlns:r="http://schemas.openxmlformats.org/officeDocument/2006/relationships" ref="I3" r:id="rId3"/>
    <hyperlink xmlns:r="http://schemas.openxmlformats.org/officeDocument/2006/relationships" ref="L3" r:id="rId4"/>
    <hyperlink xmlns:r="http://schemas.openxmlformats.org/officeDocument/2006/relationships" ref="I4" r:id="rId5"/>
    <hyperlink xmlns:r="http://schemas.openxmlformats.org/officeDocument/2006/relationships" ref="L4" r:id="rId6"/>
    <hyperlink xmlns:r="http://schemas.openxmlformats.org/officeDocument/2006/relationships" ref="I5" r:id="rId7"/>
    <hyperlink xmlns:r="http://schemas.openxmlformats.org/officeDocument/2006/relationships" ref="L5" r:id="rId8"/>
    <hyperlink xmlns:r="http://schemas.openxmlformats.org/officeDocument/2006/relationships" ref="I6" r:id="rId9"/>
    <hyperlink xmlns:r="http://schemas.openxmlformats.org/officeDocument/2006/relationships" ref="L6" r:id="rId10"/>
    <hyperlink xmlns:r="http://schemas.openxmlformats.org/officeDocument/2006/relationships" ref="I7" r:id="rId11"/>
    <hyperlink xmlns:r="http://schemas.openxmlformats.org/officeDocument/2006/relationships" ref="L7" r:id="rId12"/>
    <hyperlink xmlns:r="http://schemas.openxmlformats.org/officeDocument/2006/relationships" ref="I8" r:id="rId13"/>
    <hyperlink xmlns:r="http://schemas.openxmlformats.org/officeDocument/2006/relationships" ref="L8" r:id="rId14"/>
    <hyperlink xmlns:r="http://schemas.openxmlformats.org/officeDocument/2006/relationships" ref="I9" r:id="rId15"/>
    <hyperlink xmlns:r="http://schemas.openxmlformats.org/officeDocument/2006/relationships" ref="L9" r:id="rId16"/>
    <hyperlink xmlns:r="http://schemas.openxmlformats.org/officeDocument/2006/relationships" ref="I10" r:id="rId17"/>
    <hyperlink xmlns:r="http://schemas.openxmlformats.org/officeDocument/2006/relationships" ref="L10" r:id="rId18"/>
    <hyperlink xmlns:r="http://schemas.openxmlformats.org/officeDocument/2006/relationships" ref="I11" r:id="rId19"/>
    <hyperlink xmlns:r="http://schemas.openxmlformats.org/officeDocument/2006/relationships" ref="L11" r:id="rId20"/>
    <hyperlink xmlns:r="http://schemas.openxmlformats.org/officeDocument/2006/relationships" ref="I12" r:id="rId21"/>
    <hyperlink xmlns:r="http://schemas.openxmlformats.org/officeDocument/2006/relationships" ref="L12" r:id="rId22"/>
    <hyperlink xmlns:r="http://schemas.openxmlformats.org/officeDocument/2006/relationships" ref="I13" r:id="rId23"/>
    <hyperlink xmlns:r="http://schemas.openxmlformats.org/officeDocument/2006/relationships" ref="L13" r:id="rId24"/>
    <hyperlink xmlns:r="http://schemas.openxmlformats.org/officeDocument/2006/relationships" ref="I14" r:id="rId25"/>
    <hyperlink xmlns:r="http://schemas.openxmlformats.org/officeDocument/2006/relationships" ref="L14" r:id="rId26"/>
    <hyperlink xmlns:r="http://schemas.openxmlformats.org/officeDocument/2006/relationships" ref="I15" r:id="rId27"/>
    <hyperlink xmlns:r="http://schemas.openxmlformats.org/officeDocument/2006/relationships" ref="L15" r:id="rId28"/>
    <hyperlink xmlns:r="http://schemas.openxmlformats.org/officeDocument/2006/relationships" ref="I16" r:id="rId29"/>
    <hyperlink xmlns:r="http://schemas.openxmlformats.org/officeDocument/2006/relationships" ref="L16" r:id="rId30"/>
    <hyperlink xmlns:r="http://schemas.openxmlformats.org/officeDocument/2006/relationships" ref="I17" r:id="rId31"/>
    <hyperlink xmlns:r="http://schemas.openxmlformats.org/officeDocument/2006/relationships" ref="L17" r:id="rId32"/>
    <hyperlink xmlns:r="http://schemas.openxmlformats.org/officeDocument/2006/relationships" ref="I18" r:id="rId33"/>
    <hyperlink xmlns:r="http://schemas.openxmlformats.org/officeDocument/2006/relationships" ref="L18" r:id="rId34"/>
    <hyperlink xmlns:r="http://schemas.openxmlformats.org/officeDocument/2006/relationships" ref="I19" r:id="rId35"/>
    <hyperlink xmlns:r="http://schemas.openxmlformats.org/officeDocument/2006/relationships" ref="L19" r:id="rId36"/>
    <hyperlink xmlns:r="http://schemas.openxmlformats.org/officeDocument/2006/relationships" ref="I20" r:id="rId37"/>
    <hyperlink xmlns:r="http://schemas.openxmlformats.org/officeDocument/2006/relationships" ref="L20" r:id="rId38"/>
    <hyperlink xmlns:r="http://schemas.openxmlformats.org/officeDocument/2006/relationships" ref="I21" r:id="rId39"/>
    <hyperlink xmlns:r="http://schemas.openxmlformats.org/officeDocument/2006/relationships" ref="L21" r:id="rId40"/>
    <hyperlink xmlns:r="http://schemas.openxmlformats.org/officeDocument/2006/relationships" ref="I22" r:id="rId41"/>
    <hyperlink xmlns:r="http://schemas.openxmlformats.org/officeDocument/2006/relationships" ref="L22" r:id="rId42"/>
    <hyperlink xmlns:r="http://schemas.openxmlformats.org/officeDocument/2006/relationships" ref="I23" r:id="rId43"/>
    <hyperlink xmlns:r="http://schemas.openxmlformats.org/officeDocument/2006/relationships" ref="L23" r:id="rId44"/>
    <hyperlink xmlns:r="http://schemas.openxmlformats.org/officeDocument/2006/relationships" ref="I24" r:id="rId45"/>
    <hyperlink xmlns:r="http://schemas.openxmlformats.org/officeDocument/2006/relationships" ref="L24" r:id="rId46"/>
    <hyperlink xmlns:r="http://schemas.openxmlformats.org/officeDocument/2006/relationships" ref="I25" r:id="rId47"/>
    <hyperlink xmlns:r="http://schemas.openxmlformats.org/officeDocument/2006/relationships" ref="L25" r:id="rId48"/>
    <hyperlink xmlns:r="http://schemas.openxmlformats.org/officeDocument/2006/relationships" ref="I26" r:id="rId49"/>
    <hyperlink xmlns:r="http://schemas.openxmlformats.org/officeDocument/2006/relationships" ref="L26" r:id="rId50"/>
    <hyperlink xmlns:r="http://schemas.openxmlformats.org/officeDocument/2006/relationships" ref="I27" r:id="rId51"/>
    <hyperlink xmlns:r="http://schemas.openxmlformats.org/officeDocument/2006/relationships" ref="L27" r:id="rId52"/>
    <hyperlink xmlns:r="http://schemas.openxmlformats.org/officeDocument/2006/relationships" ref="L28" r:id="rId53"/>
    <hyperlink xmlns:r="http://schemas.openxmlformats.org/officeDocument/2006/relationships" ref="I29" r:id="rId54"/>
    <hyperlink xmlns:r="http://schemas.openxmlformats.org/officeDocument/2006/relationships" ref="L29" r:id="rId55"/>
    <hyperlink xmlns:r="http://schemas.openxmlformats.org/officeDocument/2006/relationships" ref="I30" r:id="rId56"/>
    <hyperlink xmlns:r="http://schemas.openxmlformats.org/officeDocument/2006/relationships" ref="L30" r:id="rId57"/>
    <hyperlink xmlns:r="http://schemas.openxmlformats.org/officeDocument/2006/relationships" ref="I31" r:id="rId58"/>
    <hyperlink xmlns:r="http://schemas.openxmlformats.org/officeDocument/2006/relationships" ref="L31" r:id="rId59"/>
    <hyperlink xmlns:r="http://schemas.openxmlformats.org/officeDocument/2006/relationships" ref="I32" r:id="rId60"/>
    <hyperlink xmlns:r="http://schemas.openxmlformats.org/officeDocument/2006/relationships" ref="L32" r:id="rId61"/>
    <hyperlink xmlns:r="http://schemas.openxmlformats.org/officeDocument/2006/relationships" ref="I33" r:id="rId62"/>
    <hyperlink xmlns:r="http://schemas.openxmlformats.org/officeDocument/2006/relationships" ref="L33" r:id="rId63"/>
    <hyperlink xmlns:r="http://schemas.openxmlformats.org/officeDocument/2006/relationships" ref="I34" r:id="rId64"/>
    <hyperlink xmlns:r="http://schemas.openxmlformats.org/officeDocument/2006/relationships" ref="L34" r:id="rId65"/>
    <hyperlink xmlns:r="http://schemas.openxmlformats.org/officeDocument/2006/relationships" ref="I35" r:id="rId66"/>
    <hyperlink xmlns:r="http://schemas.openxmlformats.org/officeDocument/2006/relationships" ref="L35" r:id="rId67"/>
    <hyperlink xmlns:r="http://schemas.openxmlformats.org/officeDocument/2006/relationships" ref="I36" r:id="rId68"/>
    <hyperlink xmlns:r="http://schemas.openxmlformats.org/officeDocument/2006/relationships" ref="L36" r:id="rId69"/>
    <hyperlink xmlns:r="http://schemas.openxmlformats.org/officeDocument/2006/relationships" ref="I37" r:id="rId70"/>
    <hyperlink xmlns:r="http://schemas.openxmlformats.org/officeDocument/2006/relationships" ref="L37" r:id="rId71"/>
    <hyperlink xmlns:r="http://schemas.openxmlformats.org/officeDocument/2006/relationships" ref="I38" r:id="rId72"/>
    <hyperlink xmlns:r="http://schemas.openxmlformats.org/officeDocument/2006/relationships" ref="L38" r:id="rId73"/>
    <hyperlink xmlns:r="http://schemas.openxmlformats.org/officeDocument/2006/relationships" ref="I39" r:id="rId74"/>
    <hyperlink xmlns:r="http://schemas.openxmlformats.org/officeDocument/2006/relationships" ref="L39" r:id="rId75"/>
    <hyperlink xmlns:r="http://schemas.openxmlformats.org/officeDocument/2006/relationships" ref="I40" r:id="rId76"/>
    <hyperlink xmlns:r="http://schemas.openxmlformats.org/officeDocument/2006/relationships" ref="L40" r:id="rId77"/>
    <hyperlink xmlns:r="http://schemas.openxmlformats.org/officeDocument/2006/relationships" ref="I41" r:id="rId78"/>
    <hyperlink xmlns:r="http://schemas.openxmlformats.org/officeDocument/2006/relationships" ref="L41" r:id="rId79"/>
    <hyperlink xmlns:r="http://schemas.openxmlformats.org/officeDocument/2006/relationships" ref="I42" r:id="rId80"/>
    <hyperlink xmlns:r="http://schemas.openxmlformats.org/officeDocument/2006/relationships" ref="L42" r:id="rId81"/>
    <hyperlink xmlns:r="http://schemas.openxmlformats.org/officeDocument/2006/relationships" ref="I43" r:id="rId82"/>
    <hyperlink xmlns:r="http://schemas.openxmlformats.org/officeDocument/2006/relationships" ref="L43" r:id="rId83"/>
    <hyperlink xmlns:r="http://schemas.openxmlformats.org/officeDocument/2006/relationships" ref="I44" r:id="rId84"/>
    <hyperlink xmlns:r="http://schemas.openxmlformats.org/officeDocument/2006/relationships" ref="L44" r:id="rId85"/>
    <hyperlink xmlns:r="http://schemas.openxmlformats.org/officeDocument/2006/relationships" ref="I45" r:id="rId86"/>
    <hyperlink xmlns:r="http://schemas.openxmlformats.org/officeDocument/2006/relationships" ref="L45" r:id="rId87"/>
    <hyperlink xmlns:r="http://schemas.openxmlformats.org/officeDocument/2006/relationships" ref="I46" r:id="rId88"/>
    <hyperlink xmlns:r="http://schemas.openxmlformats.org/officeDocument/2006/relationships" ref="L46" r:id="rId89"/>
    <hyperlink xmlns:r="http://schemas.openxmlformats.org/officeDocument/2006/relationships" ref="L47" r:id="rId90"/>
    <hyperlink xmlns:r="http://schemas.openxmlformats.org/officeDocument/2006/relationships" ref="I48" r:id="rId91"/>
    <hyperlink xmlns:r="http://schemas.openxmlformats.org/officeDocument/2006/relationships" ref="L48" r:id="rId92"/>
    <hyperlink xmlns:r="http://schemas.openxmlformats.org/officeDocument/2006/relationships" ref="I49" r:id="rId93"/>
    <hyperlink xmlns:r="http://schemas.openxmlformats.org/officeDocument/2006/relationships" ref="L49" r:id="rId94"/>
    <hyperlink xmlns:r="http://schemas.openxmlformats.org/officeDocument/2006/relationships" ref="I50" r:id="rId95"/>
    <hyperlink xmlns:r="http://schemas.openxmlformats.org/officeDocument/2006/relationships" ref="L50" r:id="rId96"/>
    <hyperlink xmlns:r="http://schemas.openxmlformats.org/officeDocument/2006/relationships" ref="I51" r:id="rId97"/>
    <hyperlink xmlns:r="http://schemas.openxmlformats.org/officeDocument/2006/relationships" ref="L51" r:id="rId98"/>
    <hyperlink xmlns:r="http://schemas.openxmlformats.org/officeDocument/2006/relationships" ref="I52" r:id="rId99"/>
    <hyperlink xmlns:r="http://schemas.openxmlformats.org/officeDocument/2006/relationships" ref="L52" r:id="rId100"/>
    <hyperlink xmlns:r="http://schemas.openxmlformats.org/officeDocument/2006/relationships" ref="L53" r:id="rId101"/>
    <hyperlink xmlns:r="http://schemas.openxmlformats.org/officeDocument/2006/relationships" ref="I54" r:id="rId102"/>
    <hyperlink xmlns:r="http://schemas.openxmlformats.org/officeDocument/2006/relationships" ref="L54" r:id="rId103"/>
    <hyperlink xmlns:r="http://schemas.openxmlformats.org/officeDocument/2006/relationships" ref="I55" r:id="rId104"/>
    <hyperlink xmlns:r="http://schemas.openxmlformats.org/officeDocument/2006/relationships" ref="L55" r:id="rId105"/>
    <hyperlink xmlns:r="http://schemas.openxmlformats.org/officeDocument/2006/relationships" ref="I56" r:id="rId106"/>
    <hyperlink xmlns:r="http://schemas.openxmlformats.org/officeDocument/2006/relationships" ref="L56" r:id="rId107"/>
    <hyperlink xmlns:r="http://schemas.openxmlformats.org/officeDocument/2006/relationships" ref="I57" r:id="rId108"/>
    <hyperlink xmlns:r="http://schemas.openxmlformats.org/officeDocument/2006/relationships" ref="L57" r:id="rId109"/>
    <hyperlink xmlns:r="http://schemas.openxmlformats.org/officeDocument/2006/relationships" ref="I58" r:id="rId110"/>
    <hyperlink xmlns:r="http://schemas.openxmlformats.org/officeDocument/2006/relationships" ref="L58" r:id="rId111"/>
    <hyperlink xmlns:r="http://schemas.openxmlformats.org/officeDocument/2006/relationships" ref="I59" r:id="rId112"/>
    <hyperlink xmlns:r="http://schemas.openxmlformats.org/officeDocument/2006/relationships" ref="L59" r:id="rId113"/>
    <hyperlink xmlns:r="http://schemas.openxmlformats.org/officeDocument/2006/relationships" ref="I60" r:id="rId114"/>
    <hyperlink xmlns:r="http://schemas.openxmlformats.org/officeDocument/2006/relationships" ref="L60" r:id="rId115"/>
    <hyperlink xmlns:r="http://schemas.openxmlformats.org/officeDocument/2006/relationships" ref="I61" r:id="rId116"/>
    <hyperlink xmlns:r="http://schemas.openxmlformats.org/officeDocument/2006/relationships" ref="L61" r:id="rId117"/>
    <hyperlink xmlns:r="http://schemas.openxmlformats.org/officeDocument/2006/relationships" ref="I62" r:id="rId118"/>
    <hyperlink xmlns:r="http://schemas.openxmlformats.org/officeDocument/2006/relationships" ref="L62" r:id="rId119"/>
    <hyperlink xmlns:r="http://schemas.openxmlformats.org/officeDocument/2006/relationships" ref="I63" r:id="rId120"/>
    <hyperlink xmlns:r="http://schemas.openxmlformats.org/officeDocument/2006/relationships" ref="L63" r:id="rId121"/>
    <hyperlink xmlns:r="http://schemas.openxmlformats.org/officeDocument/2006/relationships" ref="I64" r:id="rId122"/>
    <hyperlink xmlns:r="http://schemas.openxmlformats.org/officeDocument/2006/relationships" ref="L64" r:id="rId123"/>
    <hyperlink xmlns:r="http://schemas.openxmlformats.org/officeDocument/2006/relationships" ref="I65" r:id="rId124"/>
    <hyperlink xmlns:r="http://schemas.openxmlformats.org/officeDocument/2006/relationships" ref="L65" r:id="rId125"/>
    <hyperlink xmlns:r="http://schemas.openxmlformats.org/officeDocument/2006/relationships" ref="I66" r:id="rId126"/>
    <hyperlink xmlns:r="http://schemas.openxmlformats.org/officeDocument/2006/relationships" ref="L66" r:id="rId127"/>
    <hyperlink xmlns:r="http://schemas.openxmlformats.org/officeDocument/2006/relationships" ref="I67" r:id="rId128"/>
    <hyperlink xmlns:r="http://schemas.openxmlformats.org/officeDocument/2006/relationships" ref="L67" r:id="rId129"/>
    <hyperlink xmlns:r="http://schemas.openxmlformats.org/officeDocument/2006/relationships" ref="I68" r:id="rId130"/>
    <hyperlink xmlns:r="http://schemas.openxmlformats.org/officeDocument/2006/relationships" ref="L68" r:id="rId131"/>
    <hyperlink xmlns:r="http://schemas.openxmlformats.org/officeDocument/2006/relationships" ref="I69" r:id="rId132"/>
    <hyperlink xmlns:r="http://schemas.openxmlformats.org/officeDocument/2006/relationships" ref="L69" r:id="rId133"/>
    <hyperlink xmlns:r="http://schemas.openxmlformats.org/officeDocument/2006/relationships" ref="I70" r:id="rId134"/>
    <hyperlink xmlns:r="http://schemas.openxmlformats.org/officeDocument/2006/relationships" ref="L70" r:id="rId135"/>
    <hyperlink xmlns:r="http://schemas.openxmlformats.org/officeDocument/2006/relationships" ref="I71" r:id="rId136"/>
    <hyperlink xmlns:r="http://schemas.openxmlformats.org/officeDocument/2006/relationships" ref="L71" r:id="rId137"/>
    <hyperlink xmlns:r="http://schemas.openxmlformats.org/officeDocument/2006/relationships" ref="I72" r:id="rId138"/>
    <hyperlink xmlns:r="http://schemas.openxmlformats.org/officeDocument/2006/relationships" ref="L72" r:id="rId139"/>
    <hyperlink xmlns:r="http://schemas.openxmlformats.org/officeDocument/2006/relationships" ref="I73" r:id="rId140"/>
    <hyperlink xmlns:r="http://schemas.openxmlformats.org/officeDocument/2006/relationships" ref="L73" r:id="rId141"/>
    <hyperlink xmlns:r="http://schemas.openxmlformats.org/officeDocument/2006/relationships" ref="I74" r:id="rId142"/>
    <hyperlink xmlns:r="http://schemas.openxmlformats.org/officeDocument/2006/relationships" ref="L74" r:id="rId143"/>
    <hyperlink xmlns:r="http://schemas.openxmlformats.org/officeDocument/2006/relationships" ref="I75" r:id="rId144"/>
    <hyperlink xmlns:r="http://schemas.openxmlformats.org/officeDocument/2006/relationships" ref="L75" r:id="rId145"/>
    <hyperlink xmlns:r="http://schemas.openxmlformats.org/officeDocument/2006/relationships" ref="I76" r:id="rId146"/>
    <hyperlink xmlns:r="http://schemas.openxmlformats.org/officeDocument/2006/relationships" ref="L76" r:id="rId147"/>
    <hyperlink xmlns:r="http://schemas.openxmlformats.org/officeDocument/2006/relationships" ref="I77" r:id="rId148"/>
    <hyperlink xmlns:r="http://schemas.openxmlformats.org/officeDocument/2006/relationships" ref="L77" r:id="rId149"/>
    <hyperlink xmlns:r="http://schemas.openxmlformats.org/officeDocument/2006/relationships" ref="I78" r:id="rId150"/>
    <hyperlink xmlns:r="http://schemas.openxmlformats.org/officeDocument/2006/relationships" ref="L78" r:id="rId151"/>
    <hyperlink xmlns:r="http://schemas.openxmlformats.org/officeDocument/2006/relationships" ref="I79" r:id="rId152"/>
    <hyperlink xmlns:r="http://schemas.openxmlformats.org/officeDocument/2006/relationships" ref="L79" r:id="rId153"/>
    <hyperlink xmlns:r="http://schemas.openxmlformats.org/officeDocument/2006/relationships" ref="I80" r:id="rId154"/>
    <hyperlink xmlns:r="http://schemas.openxmlformats.org/officeDocument/2006/relationships" ref="L80" r:id="rId155"/>
    <hyperlink xmlns:r="http://schemas.openxmlformats.org/officeDocument/2006/relationships" ref="I81" r:id="rId156"/>
    <hyperlink xmlns:r="http://schemas.openxmlformats.org/officeDocument/2006/relationships" ref="L81" r:id="rId157"/>
    <hyperlink xmlns:r="http://schemas.openxmlformats.org/officeDocument/2006/relationships" ref="I82" r:id="rId158"/>
    <hyperlink xmlns:r="http://schemas.openxmlformats.org/officeDocument/2006/relationships" ref="L82" r:id="rId159"/>
    <hyperlink xmlns:r="http://schemas.openxmlformats.org/officeDocument/2006/relationships" ref="I83" r:id="rId160"/>
    <hyperlink xmlns:r="http://schemas.openxmlformats.org/officeDocument/2006/relationships" ref="L83" r:id="rId161"/>
    <hyperlink xmlns:r="http://schemas.openxmlformats.org/officeDocument/2006/relationships" ref="I84" r:id="rId162"/>
    <hyperlink xmlns:r="http://schemas.openxmlformats.org/officeDocument/2006/relationships" ref="L84" r:id="rId163"/>
    <hyperlink xmlns:r="http://schemas.openxmlformats.org/officeDocument/2006/relationships" ref="I85" r:id="rId164"/>
    <hyperlink xmlns:r="http://schemas.openxmlformats.org/officeDocument/2006/relationships" ref="L85" r:id="rId165"/>
    <hyperlink xmlns:r="http://schemas.openxmlformats.org/officeDocument/2006/relationships" ref="I86" r:id="rId166"/>
    <hyperlink xmlns:r="http://schemas.openxmlformats.org/officeDocument/2006/relationships" ref="L86" r:id="rId167"/>
    <hyperlink xmlns:r="http://schemas.openxmlformats.org/officeDocument/2006/relationships" ref="I87" r:id="rId168"/>
    <hyperlink xmlns:r="http://schemas.openxmlformats.org/officeDocument/2006/relationships" ref="L87" r:id="rId169"/>
    <hyperlink xmlns:r="http://schemas.openxmlformats.org/officeDocument/2006/relationships" ref="I88" r:id="rId170"/>
    <hyperlink xmlns:r="http://schemas.openxmlformats.org/officeDocument/2006/relationships" ref="L88" r:id="rId171"/>
    <hyperlink xmlns:r="http://schemas.openxmlformats.org/officeDocument/2006/relationships" ref="I89" r:id="rId172"/>
    <hyperlink xmlns:r="http://schemas.openxmlformats.org/officeDocument/2006/relationships" ref="L89" r:id="rId173"/>
    <hyperlink xmlns:r="http://schemas.openxmlformats.org/officeDocument/2006/relationships" ref="I90" r:id="rId174"/>
    <hyperlink xmlns:r="http://schemas.openxmlformats.org/officeDocument/2006/relationships" ref="L90" r:id="rId175"/>
    <hyperlink xmlns:r="http://schemas.openxmlformats.org/officeDocument/2006/relationships" ref="I91" r:id="rId176"/>
    <hyperlink xmlns:r="http://schemas.openxmlformats.org/officeDocument/2006/relationships" ref="L91" r:id="rId177"/>
    <hyperlink xmlns:r="http://schemas.openxmlformats.org/officeDocument/2006/relationships" ref="I92" r:id="rId178"/>
    <hyperlink xmlns:r="http://schemas.openxmlformats.org/officeDocument/2006/relationships" ref="L92" r:id="rId179"/>
    <hyperlink xmlns:r="http://schemas.openxmlformats.org/officeDocument/2006/relationships" ref="I93" r:id="rId180"/>
    <hyperlink xmlns:r="http://schemas.openxmlformats.org/officeDocument/2006/relationships" ref="L93" r:id="rId181"/>
    <hyperlink xmlns:r="http://schemas.openxmlformats.org/officeDocument/2006/relationships" ref="I94" r:id="rId182"/>
    <hyperlink xmlns:r="http://schemas.openxmlformats.org/officeDocument/2006/relationships" ref="L94" r:id="rId183"/>
    <hyperlink xmlns:r="http://schemas.openxmlformats.org/officeDocument/2006/relationships" ref="I95" r:id="rId184"/>
    <hyperlink xmlns:r="http://schemas.openxmlformats.org/officeDocument/2006/relationships" ref="L95" r:id="rId185"/>
    <hyperlink xmlns:r="http://schemas.openxmlformats.org/officeDocument/2006/relationships" ref="I96" r:id="rId186"/>
    <hyperlink xmlns:r="http://schemas.openxmlformats.org/officeDocument/2006/relationships" ref="L96" r:id="rId187"/>
    <hyperlink xmlns:r="http://schemas.openxmlformats.org/officeDocument/2006/relationships" ref="I97" r:id="rId188"/>
    <hyperlink xmlns:r="http://schemas.openxmlformats.org/officeDocument/2006/relationships" ref="L97" r:id="rId189"/>
    <hyperlink xmlns:r="http://schemas.openxmlformats.org/officeDocument/2006/relationships" ref="I98" r:id="rId190"/>
    <hyperlink xmlns:r="http://schemas.openxmlformats.org/officeDocument/2006/relationships" ref="L98" r:id="rId191"/>
    <hyperlink xmlns:r="http://schemas.openxmlformats.org/officeDocument/2006/relationships" ref="I99" r:id="rId192"/>
    <hyperlink xmlns:r="http://schemas.openxmlformats.org/officeDocument/2006/relationships" ref="L99" r:id="rId193"/>
    <hyperlink xmlns:r="http://schemas.openxmlformats.org/officeDocument/2006/relationships" ref="I100" r:id="rId194"/>
    <hyperlink xmlns:r="http://schemas.openxmlformats.org/officeDocument/2006/relationships" ref="L100" r:id="rId195"/>
    <hyperlink xmlns:r="http://schemas.openxmlformats.org/officeDocument/2006/relationships" ref="I101" r:id="rId196"/>
    <hyperlink xmlns:r="http://schemas.openxmlformats.org/officeDocument/2006/relationships" ref="L101" r:id="rId197"/>
    <hyperlink xmlns:r="http://schemas.openxmlformats.org/officeDocument/2006/relationships" ref="I102" r:id="rId198"/>
    <hyperlink xmlns:r="http://schemas.openxmlformats.org/officeDocument/2006/relationships" ref="L102" r:id="rId199"/>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112"/>
  <sheetViews>
    <sheetView workbookViewId="0">
      <pane ySplit="1" topLeftCell="A2" activePane="bottomLeft" state="frozen"/>
      <selection pane="bottomLeft" activeCell="A1" sqref="A1"/>
      <selection pane="bottomLeft" activeCell="A1" sqref="A1"/>
      <selection pane="bottomRight" activeCell="A1" sqref="A1"/>
    </sheetView>
  </sheetViews>
  <sheetFormatPr baseColWidth="8" defaultRowHeight="15"/>
  <cols>
    <col width="6" customWidth="1" style="34" min="1" max="1"/>
    <col width="16" customWidth="1" style="34" min="2" max="2"/>
    <col width="34" customWidth="1" style="34" min="3" max="3"/>
    <col width="22" customWidth="1" style="34" min="4" max="4"/>
    <col width="26" customWidth="1" style="34" min="5" max="5"/>
    <col width="28" customWidth="1" style="34" min="6" max="6"/>
    <col width="16" customWidth="1" style="34" min="7" max="7"/>
    <col width="34" customWidth="1" style="34" min="8" max="8"/>
    <col width="18" customWidth="1" style="34" min="9" max="9"/>
    <col width="16" customWidth="1" style="34" min="10" max="10"/>
    <col width="22" customWidth="1" style="34" min="11" max="11"/>
    <col hidden="1" width="20" customWidth="1" style="34" min="12" max="12"/>
    <col width="60" customWidth="1" style="34" min="13" max="13"/>
    <col width="40" customWidth="1" style="34" min="14" max="14"/>
  </cols>
  <sheetData>
    <row r="1" ht="22" customHeight="1" s="34">
      <c r="A1" s="122" t="inlineStr">
        <is>
          <t>Year</t>
        </is>
      </c>
      <c r="B1" s="122" t="inlineStr">
        <is>
          <t>Tier</t>
        </is>
      </c>
      <c r="C1" s="122" t="inlineStr">
        <is>
          <t>Campaign</t>
        </is>
      </c>
      <c r="D1" s="122" t="inlineStr">
        <is>
          <t>Brand</t>
        </is>
      </c>
      <c r="E1" s="122" t="inlineStr">
        <is>
          <t>Product/Service</t>
        </is>
      </c>
      <c r="F1" s="122" t="inlineStr">
        <is>
          <t>Agency</t>
        </is>
      </c>
      <c r="G1" s="122" t="inlineStr">
        <is>
          <t>Country</t>
        </is>
      </c>
      <c r="H1" s="122" t="inlineStr">
        <is>
          <t>Subcategory</t>
        </is>
      </c>
      <c r="I1" s="122" t="inlineStr">
        <is>
          <t>Image URL</t>
        </is>
      </c>
      <c r="J1" s="122" t="inlineStr">
        <is>
          <t>YouTube ID</t>
        </is>
      </c>
      <c r="K1" s="122" t="inlineStr">
        <is>
          <t>Campaign Group</t>
        </is>
      </c>
      <c r="L1" s="122" t="inlineStr">
        <is>
          <t>Entry URL</t>
        </is>
      </c>
      <c r="M1" s="122" t="inlineStr">
        <is>
          <t>Description</t>
        </is>
      </c>
      <c r="N1" s="122" t="inlineStr">
        <is>
          <t>Keywords</t>
        </is>
      </c>
    </row>
    <row r="2" ht="34.5" customHeight="1" s="34">
      <c r="A2" s="141" t="n">
        <v>2025</v>
      </c>
      <c r="B2" s="142" t="inlineStr">
        <is>
          <t>Grand Prix</t>
        </is>
      </c>
      <c r="C2" s="143" t="inlineStr">
        <is>
          <t>Dove Real Beauty Redefined for the AI Era</t>
        </is>
      </c>
      <c r="D2" s="141" t="inlineStr">
        <is>
          <t>Dove</t>
        </is>
      </c>
      <c r="E2" s="141" t="inlineStr">
        <is>
          <t>Dove</t>
        </is>
      </c>
      <c r="F2" s="141" t="inlineStr">
        <is>
          <t>Mindshare</t>
        </is>
      </c>
      <c r="G2" s="141" t="inlineStr">
        <is>
          <t>United States</t>
        </is>
      </c>
      <c r="H2" s="80" t="inlineStr">
        <is>
          <t>E01 - Media Insights &amp; Strategy</t>
        </is>
      </c>
      <c r="I2" s="128" t="inlineStr">
        <is>
          <t>https://ascentialcdn.filespin.io/api/v1/conversion/da693fd61fc74ddfbb3525f638cd77c6</t>
        </is>
      </c>
      <c r="J2" s="141" t="inlineStr">
        <is>
          <t>8vYoL8nga-A</t>
        </is>
      </c>
      <c r="K2" s="127" t="n"/>
      <c r="L2" s="128" t="inlineStr">
        <is>
          <t>https://www.lovethework.com/work/entries/dove-real-beauty-redefined-for-the-ai-era-746537</t>
        </is>
      </c>
      <c r="M2" s="113" t="inlineStr">
        <is>
          <t>A media strategy built around the finding that AI image generators, trained on internet archives, disproportionately reproduce narrow beauty ideals — reinforcing the same distortions Dove's Real Beauty platform has spent two decades pushing against. Mindshare New York redirected Dove's media investment to actively counter AI-generated beauty imagery, placing real, unretouched depictions of women in the contexts and channels where AI-produced content was displacing them.</t>
        </is>
      </c>
      <c r="N2" s="113" t="inlineStr">
        <is>
          <t>personal-care, media-strategy, ai, technology, beauty-standards, united-states, social-media, ooh</t>
        </is>
      </c>
    </row>
    <row r="3" ht="34.5" customHeight="1" s="34">
      <c r="A3" s="141" t="n">
        <v>2025</v>
      </c>
      <c r="B3" s="144" t="inlineStr">
        <is>
          <t>Gold</t>
        </is>
      </c>
      <c r="C3" s="143" t="inlineStr">
        <is>
          <t>Can't Unsee It</t>
        </is>
      </c>
      <c r="D3" s="141" t="inlineStr">
        <is>
          <t>Heinz Ketchup &amp; Mustard</t>
        </is>
      </c>
      <c r="E3" s="141" t="inlineStr">
        <is>
          <t>Kraft Heinz</t>
        </is>
      </c>
      <c r="F3" s="141" t="inlineStr">
        <is>
          <t>Rethink</t>
        </is>
      </c>
      <c r="G3" s="141" t="inlineStr">
        <is>
          <t>Canada</t>
        </is>
      </c>
      <c r="H3" s="80" t="inlineStr">
        <is>
          <t>A01 - Consumer Goods</t>
        </is>
      </c>
      <c r="I3" s="128" t="inlineStr">
        <is>
          <t>https://ascentialcdn.filespin.io/api/v1/conversion/3db7ec7e31b7459bafa082009489d40e</t>
        </is>
      </c>
      <c r="J3" s="141" t="inlineStr">
        <is>
          <t>itiHi3WYcSs</t>
        </is>
      </c>
      <c r="K3" s="127" t="n"/>
      <c r="L3" s="128" t="inlineStr">
        <is>
          <t>https://www.lovethework.com/work/entries/cant-unsee-it-745091</t>
        </is>
      </c>
      <c r="M3" s="113" t="inlineStr">
        <is>
          <t>Out-of-home placements in New York, Los Angeles, Toronto, and Vancouver that targeted Marvel's existing Deadpool &amp; Wolverine outdoor campaign — replacing the film's characters with Heinz Ketchup and Mustard bottles under the line "You Can't Unsee It." The ads leaned on the visual match between Deadpool's red suit and Wolverine's yellow suit and the two condiment bottles, a parallel that moviegoers had already started noting online ahead of the film's summer 2024 release.</t>
        </is>
      </c>
      <c r="N3" s="113" t="inlineStr">
        <is>
          <t>condiment, ooh, cultural-hijack, media-placement, canada, united-states, superhero-film, ambient</t>
        </is>
      </c>
    </row>
    <row r="4" ht="34.5" customHeight="1" s="34">
      <c r="A4" s="141" t="n">
        <v>2025</v>
      </c>
      <c r="B4" s="144" t="inlineStr">
        <is>
          <t>Gold</t>
        </is>
      </c>
      <c r="C4" s="143" t="inlineStr">
        <is>
          <t>Vaseline Verified</t>
        </is>
      </c>
      <c r="D4" s="141" t="inlineStr">
        <is>
          <t>Unilever</t>
        </is>
      </c>
      <c r="E4" s="141" t="inlineStr">
        <is>
          <t>Vaseline</t>
        </is>
      </c>
      <c r="F4" s="141" t="inlineStr">
        <is>
          <t>Ogilvy</t>
        </is>
      </c>
      <c r="G4" s="141" t="inlineStr">
        <is>
          <t>Singapore</t>
        </is>
      </c>
      <c r="H4" s="80" t="inlineStr">
        <is>
          <t>A02 - Healthcare</t>
        </is>
      </c>
      <c r="I4" s="128" t="inlineStr">
        <is>
          <t>https://ascentialcdn.filespin.io/api/v1/conversion/faf0755b0d4e4594ad93cb75d6288e3d</t>
        </is>
      </c>
      <c r="J4" s="141" t="inlineStr">
        <is>
          <t>ApwxlBruV90</t>
        </is>
      </c>
      <c r="K4" s="127" t="n"/>
      <c r="L4" s="128" t="inlineStr">
        <is>
          <t>https://www.lovethework.com/work/entries/vaseline-verified-745075</t>
        </is>
      </c>
      <c r="M4" s="113" t="inlineStr">
        <is>
          <t>A community management campaign built around the 6,000-plus organic social media posts showing unofficial uses of Vaseline Petroleum Jelly: Ogilvy Singapore had dermatologists review each hack, awarding a "Vaseline Verified" seal to those that held up and publicly debunking those that didn't. The system turned user-generated content into a live, brand-endorsed verification layer — embracing the existing conversation rather than replacing it with controlled messaging.</t>
        </is>
      </c>
      <c r="N4" s="113" t="inlineStr">
        <is>
          <t>skincare, personal-care, beauty, community-management, social-media, user-generated-content, ooh, singapore, health-wellness, dermatology</t>
        </is>
      </c>
    </row>
    <row r="5" ht="34.5" customHeight="1" s="34">
      <c r="A5" s="141" t="n">
        <v>2025</v>
      </c>
      <c r="B5" s="144" t="inlineStr">
        <is>
          <t>Gold</t>
        </is>
      </c>
      <c r="C5" s="143" t="inlineStr">
        <is>
          <t>Redditor Edit</t>
        </is>
      </c>
      <c r="D5" s="141" t="inlineStr">
        <is>
          <t>Skoda</t>
        </is>
      </c>
      <c r="E5" s="141" t="inlineStr">
        <is>
          <t>Automotive</t>
        </is>
      </c>
      <c r="F5" s="141" t="inlineStr">
        <is>
          <t>PHD</t>
        </is>
      </c>
      <c r="G5" s="141" t="inlineStr">
        <is>
          <t>United Kingdom</t>
        </is>
      </c>
      <c r="H5" s="80" t="inlineStr">
        <is>
          <t>A03 - Automotive</t>
        </is>
      </c>
      <c r="I5" s="128" t="inlineStr">
        <is>
          <t>https://ascentialcdn.filespin.io/api/v1/conversion/fa18cc31eca84cf2a41f8d9f4a3e8e89</t>
        </is>
      </c>
      <c r="J5" s="141" t="inlineStr">
        <is>
          <t>KmLMtKsmwqA</t>
        </is>
      </c>
      <c r="K5" s="127" t="n"/>
      <c r="L5" s="128" t="inlineStr">
        <is>
          <t>https://www.lovethework.com/work/entries/redditor-edit-744990</t>
        </is>
      </c>
      <c r="M5" s="113" t="inlineStr">
        <is>
          <t>A car reveal built entirely around the organic opinions of r/CarTalkUK — a Reddit community of over 350,000 members — where Škoda identified dedicated followers who had publicly discussed what they wanted in a next-generation car, then used those real comments to shape the presentation of the fourth-generation Octavia. PHD London structured the campaign so that the audience's own words, posted before any brand involvement, became the editorial voice of the launch.</t>
        </is>
      </c>
      <c r="N5" s="113" t="inlineStr">
        <is>
          <t>automotive, cars, transport, social-media, reddit, community, user-generated-content, united-kingdom, launch, skoda-octavia</t>
        </is>
      </c>
    </row>
    <row r="6" ht="34.5" customHeight="1" s="34">
      <c r="A6" s="141" t="n">
        <v>2025</v>
      </c>
      <c r="B6" s="144" t="inlineStr">
        <is>
          <t>Gold</t>
        </is>
      </c>
      <c r="C6" s="143" t="inlineStr">
        <is>
          <t>Coupon Rain</t>
        </is>
      </c>
      <c r="D6" s="141" t="inlineStr">
        <is>
          <t>Mercado Livre</t>
        </is>
      </c>
      <c r="E6" s="141" t="inlineStr">
        <is>
          <t>Mercado Livre</t>
        </is>
      </c>
      <c r="F6" s="141" t="inlineStr">
        <is>
          <t>Gut</t>
        </is>
      </c>
      <c r="G6" s="141" t="inlineStr">
        <is>
          <t>Brazil</t>
        </is>
      </c>
      <c r="H6" s="80" t="inlineStr">
        <is>
          <t>A04 - Travel, Leisure, Retail, Restaurants &amp; Fast-Food Chains</t>
        </is>
      </c>
      <c r="I6" s="128" t="inlineStr">
        <is>
          <t>https://ascentialcdn.filespin.io/api/v1/conversion/5418c22c9d864f579ce966a3f138628e</t>
        </is>
      </c>
      <c r="J6" s="141" t="inlineStr">
        <is>
          <t>RXw_xdHILoU</t>
        </is>
      </c>
      <c r="K6" s="127" t="n"/>
      <c r="L6" s="128" t="inlineStr">
        <is>
          <t>https://www.lovethework.com/work/entries/coupon-rain-745092</t>
        </is>
      </c>
      <c r="M6" s="113" t="inlineStr">
        <is>
          <t>Mercado Livre sponsored the trophy lift at the final of one of Brazil's major football championships and replaced the customary confetti with thousands of branded discount coupons. The moment the winning captain raised the cup, the field rained with redeemable codes — putting the brand directly inside the photograph that ran on every front page.</t>
        </is>
      </c>
      <c r="N6" s="113" t="inlineStr">
        <is>
          <t>ecommerce, retail, online-shopping, sponsorship, football, soccer, sport, retail-promo, stunt, brazil, partnership</t>
        </is>
      </c>
    </row>
    <row r="7" ht="34.5" customHeight="1" s="34">
      <c r="A7" s="141" t="n">
        <v>2025</v>
      </c>
      <c r="B7" s="144" t="inlineStr">
        <is>
          <t>Gold</t>
        </is>
      </c>
      <c r="C7" s="143" t="inlineStr">
        <is>
          <t>The Final Exam</t>
        </is>
      </c>
      <c r="D7" s="141" t="inlineStr">
        <is>
          <t>Change the Ref</t>
        </is>
      </c>
      <c r="E7" s="141" t="inlineStr">
        <is>
          <t>Pro Bono</t>
        </is>
      </c>
      <c r="F7" s="141" t="inlineStr">
        <is>
          <t>Energy BBDO</t>
        </is>
      </c>
      <c r="G7" s="141" t="inlineStr">
        <is>
          <t>United States</t>
        </is>
      </c>
      <c r="H7" s="80" t="inlineStr">
        <is>
          <t>A07 - Not-for-Profit / Charity / Government</t>
        </is>
      </c>
      <c r="I7" s="128" t="inlineStr">
        <is>
          <t>https://ascentialcdn.filespin.io/api/v1/conversion/615e3a15eabf457d91d317468a12d825</t>
        </is>
      </c>
      <c r="J7" s="141" t="inlineStr">
        <is>
          <t>Ljsstj4eiko</t>
        </is>
      </c>
      <c r="K7" s="127" t="n"/>
      <c r="L7" s="128" t="inlineStr">
        <is>
          <t>https://www.lovethework.com/work/entries/the-final-exam-761015</t>
        </is>
      </c>
      <c r="M7" s="113" t="inlineStr">
        <is>
          <t>A playable PC game in which the player tries to survive a U.S. school shooting. Every level is reconstructed from real architectural layouts and eyewitness accounts from Columbine, Parkland, and Sandy Hook; survival depends on finding five actual U.S. gun-safety bills hidden as in-game items. Premiered at TwitchCon.</t>
        </is>
      </c>
      <c r="N7" s="113" t="inlineStr">
        <is>
          <t>gaming, video-games, entertainment, gun-violence, social-good, not-for-profit, charity, ngo, activism, united-states, twitch, advocacy</t>
        </is>
      </c>
    </row>
    <row r="8" ht="34.5" customHeight="1" s="34">
      <c r="A8" s="141" t="n">
        <v>2025</v>
      </c>
      <c r="B8" s="144" t="inlineStr">
        <is>
          <t>Gold</t>
        </is>
      </c>
      <c r="C8" s="143" t="inlineStr">
        <is>
          <t>Streaming Bars</t>
        </is>
      </c>
      <c r="D8" s="141" t="inlineStr">
        <is>
          <t>Heineken</t>
        </is>
      </c>
      <c r="E8" s="141" t="inlineStr">
        <is>
          <t>Heineken</t>
        </is>
      </c>
      <c r="F8" s="141" t="inlineStr">
        <is>
          <t>LePub</t>
        </is>
      </c>
      <c r="G8" s="141" t="inlineStr">
        <is>
          <t>Brazil</t>
        </is>
      </c>
      <c r="H8" s="80" t="inlineStr">
        <is>
          <t>B01 - Use of Screens &amp; Audio Visual Platforms</t>
        </is>
      </c>
      <c r="I8" s="128" t="inlineStr">
        <is>
          <t>https://ascentialcdn.filespin.io/api/v1/conversion/d0be42343a2e4aaea76238ca95dfcbab</t>
        </is>
      </c>
      <c r="J8" s="141" t="inlineStr">
        <is>
          <t>0izbOb7N73g</t>
        </is>
      </c>
      <c r="K8" s="127" t="n"/>
      <c r="L8" s="128" t="inlineStr">
        <is>
          <t>https://www.lovethework.com/work/entries/streaming-bars-745041</t>
        </is>
      </c>
      <c r="M8" s="113" t="inlineStr">
        <is>
          <t>A media placement that inserted Heineken ads inside the streaming bars — the progress/scrubbing bars — of video content on digital platforms in Brazil, so the brand appeared in the one UI element viewers interact with rather than skip. The placement turned a functional interface strip into ad inventory, surfacing Heineken at the exact moment a viewer reaches for the controls.</t>
        </is>
      </c>
      <c r="N8" s="113" t="inlineStr">
        <is>
          <t>beer, alcohol, streaming, tv, entertainment, digital-video, media-placement, ui, brazil, screens, lepub</t>
        </is>
      </c>
    </row>
    <row r="9" ht="34.5" customHeight="1" s="34">
      <c r="A9" s="141" t="n">
        <v>2025</v>
      </c>
      <c r="B9" s="144" t="inlineStr">
        <is>
          <t>Gold</t>
        </is>
      </c>
      <c r="C9" s="143" t="inlineStr">
        <is>
          <t>"Raise Your Banners"</t>
        </is>
      </c>
      <c r="D9" s="141" t="inlineStr">
        <is>
          <t>HBO</t>
        </is>
      </c>
      <c r="E9" s="141" t="inlineStr">
        <is>
          <t>House of the Dragon Season 2</t>
        </is>
      </c>
      <c r="F9" s="141" t="inlineStr">
        <is>
          <t>Giant Spoon</t>
        </is>
      </c>
      <c r="G9" s="141" t="inlineStr">
        <is>
          <t>United States</t>
        </is>
      </c>
      <c r="H9" s="80" t="inlineStr">
        <is>
          <t>B06 - Large-Scale Media</t>
        </is>
      </c>
      <c r="I9" s="128" t="inlineStr">
        <is>
          <t>https://ascentialcdn.filespin.io/api/v1/conversion/8568fb79e86c4ae994a024b682498651</t>
        </is>
      </c>
      <c r="J9" s="141" t="inlineStr">
        <is>
          <t>S-r_T-LZBR0</t>
        </is>
      </c>
      <c r="K9" s="127" t="n"/>
      <c r="L9" s="128" t="inlineStr">
        <is>
          <t>https://www.lovethework.com/work/entries/raise-your-banners-745396</t>
        </is>
      </c>
      <c r="M9" s="113" t="inlineStr">
        <is>
          <t>A sequenced out-of-home and experiential campaign in which global landmarks and local institutions unfurled giant digital banners declaring loyalty to either Team Green or Team Black — the two warring factions in House of the Dragon Season 2 — in the days leading up to the premiere. Giant Spoon staged the rollout to build incrementally, with each new banner drop stoking fan debate about which side each location had chosen.</t>
        </is>
      </c>
      <c r="N9" s="113" t="inlineStr">
        <is>
          <t>hbo, streaming, tv, entertainment, ooh, experiential, large-scale-media, united-states, fantasy, integrated-campaign, out-of-home</t>
        </is>
      </c>
    </row>
    <row r="10" ht="34.5" customHeight="1" s="34">
      <c r="A10" s="141" t="n">
        <v>2025</v>
      </c>
      <c r="B10" s="144" t="inlineStr">
        <is>
          <t>Gold</t>
        </is>
      </c>
      <c r="C10" s="143" t="inlineStr">
        <is>
          <t>Retro Influencers</t>
        </is>
      </c>
      <c r="D10" s="141" t="inlineStr">
        <is>
          <t>Skol</t>
        </is>
      </c>
      <c r="E10" s="141" t="inlineStr">
        <is>
          <t>Skol</t>
        </is>
      </c>
      <c r="F10" s="141" t="inlineStr">
        <is>
          <t>Gut</t>
        </is>
      </c>
      <c r="G10" s="141" t="inlineStr">
        <is>
          <t>Brazil</t>
        </is>
      </c>
      <c r="H10" s="80" t="inlineStr">
        <is>
          <t>B10 - Use of Social Platforms</t>
        </is>
      </c>
      <c r="I10" s="128" t="inlineStr">
        <is>
          <t>https://ascentialcdn.filespin.io/api/v1/conversion/8d30857fd8bf46f3ab1b9c9b3d0a50fa</t>
        </is>
      </c>
      <c r="J10" s="141" t="inlineStr">
        <is>
          <t>FKLnmbWukt0</t>
        </is>
      </c>
      <c r="K10" s="127" t="n"/>
      <c r="L10" s="128" t="inlineStr">
        <is>
          <t>https://www.lovethework.com/work/entries/retro-influencers-745595</t>
        </is>
      </c>
      <c r="M10" s="113" t="inlineStr">
        <is>
          <t>A social media mechanic built around Skol's dormant archive of tagged content — years of organic posts in which consumers had already photographed themselves with the beer. Skol asked those original posters to retag the old content, and in exchange paid them in beer, effectively converting an untapped back-catalogue of authentic user content into a compensated influencer network.</t>
        </is>
      </c>
      <c r="N10" s="113" t="inlineStr">
        <is>
          <t>beer, alcohol, social-media, user-generated-content, influencer-marketing, brazil, organic-content, community</t>
        </is>
      </c>
    </row>
    <row r="11" ht="34.5" customHeight="1" s="34">
      <c r="A11" s="141" t="n">
        <v>2025</v>
      </c>
      <c r="B11" s="144" t="inlineStr">
        <is>
          <t>Gold</t>
        </is>
      </c>
      <c r="C11" s="143" t="inlineStr">
        <is>
          <t>The Rewards Bag</t>
        </is>
      </c>
      <c r="D11" s="141" t="inlineStr">
        <is>
          <t>Tata</t>
        </is>
      </c>
      <c r="E11" s="141" t="inlineStr">
        <is>
          <t>Tata</t>
        </is>
      </c>
      <c r="F11" s="141" t="inlineStr">
        <is>
          <t>VML</t>
        </is>
      </c>
      <c r="G11" s="141" t="inlineStr">
        <is>
          <t>Uruguay</t>
        </is>
      </c>
      <c r="H11" s="80" t="inlineStr">
        <is>
          <t>B13 - Retail Media</t>
        </is>
      </c>
      <c r="I11" s="128" t="inlineStr">
        <is>
          <t>https://ascentialcdn.filespin.io/api/v1/conversion/9d355715dd4d4857a2f82df5c502290b</t>
        </is>
      </c>
      <c r="J11" s="141" t="inlineStr">
        <is>
          <t>RzJQ1TVItHI</t>
        </is>
      </c>
      <c r="K11" s="127" t="n"/>
      <c r="L11" s="128" t="inlineStr">
        <is>
          <t>https://www.lovethework.com/work/entries/the-rewards-bag-745869</t>
        </is>
      </c>
      <c r="M11" s="113" t="inlineStr">
        <is>
          <t>A reusable shopping bag embedded with technology that identifies the shopper and surfaces personalized discounts at the point of purchase, built for Uruguayan supermarket chain Tata. The bag itself acts as the loyalty mechanic — carrying it into the store triggers the rewards rather than requiring a separate card, app, or code.</t>
        </is>
      </c>
      <c r="N11" s="113" t="inlineStr">
        <is>
          <t>retail, supermarket, grocery, reusable-bag, loyalty, personalization, retail-media, uruguay, in-store</t>
        </is>
      </c>
    </row>
    <row r="12" ht="34.5" customHeight="1" s="34">
      <c r="A12" s="141" t="n">
        <v>2025</v>
      </c>
      <c r="B12" s="144" t="inlineStr">
        <is>
          <t>Gold</t>
        </is>
      </c>
      <c r="C12" s="143" t="inlineStr">
        <is>
          <t>Fictional Insurance</t>
        </is>
      </c>
      <c r="D12" s="141" t="inlineStr">
        <is>
          <t>RCN/Prime</t>
        </is>
      </c>
      <c r="E12" s="141" t="inlineStr">
        <is>
          <t>Insurance</t>
        </is>
      </c>
      <c r="F12" s="141" t="inlineStr">
        <is>
          <t>DDB Colombia</t>
        </is>
      </c>
      <c r="G12" s="141" t="inlineStr">
        <is>
          <t>Colombia</t>
        </is>
      </c>
      <c r="H12" s="80" t="inlineStr">
        <is>
          <t>C02 - Use of Brand or Product Integration into a Programme or Platform</t>
        </is>
      </c>
      <c r="I12" s="128" t="inlineStr">
        <is>
          <t>https://ascentialcdn.filespin.io/api/v1/conversion/9f879201572d4cb9aa1e14e89b6a4f2f</t>
        </is>
      </c>
      <c r="J12" s="141" t="inlineStr">
        <is>
          <t>OctiVcwaiXI</t>
        </is>
      </c>
      <c r="K12" s="127" t="n"/>
      <c r="L12" s="128" t="inlineStr">
        <is>
          <t>https://www.lovethework.com/work/entries/fictional-insurance-745946</t>
        </is>
      </c>
      <c r="M12" s="113" t="inlineStr">
        <is>
          <t>A platform that lets soap-opera viewers buy 'insurance' on their favorite characters before an episode airs. Pick a character and a policy type — life, health, or accident — and if the on-screen tragedy lands, the viewer collects a real-world payout. Built with insurer Seguros del Estado as a paid product tied to the broadcast schedule.</t>
        </is>
      </c>
      <c r="N12" s="113" t="inlineStr">
        <is>
          <t>streaming, tv, entertainment, gamification, soap-opera, telenovela, partnership, insurance, financial-services, finance, latin-america, colombia, integrated</t>
        </is>
      </c>
    </row>
    <row r="13" ht="34.5" customHeight="1" s="34">
      <c r="A13" s="141" t="n">
        <v>2025</v>
      </c>
      <c r="B13" s="144" t="inlineStr">
        <is>
          <t>Gold</t>
        </is>
      </c>
      <c r="C13" s="143" t="inlineStr">
        <is>
          <t>First Ever Live Commercial Crossover</t>
        </is>
      </c>
      <c r="D13" s="141" t="inlineStr">
        <is>
          <t>Rocket</t>
        </is>
      </c>
      <c r="E13" s="141" t="inlineStr">
        <is>
          <t>Rocket</t>
        </is>
      </c>
      <c r="F13" s="141" t="inlineStr">
        <is>
          <t>Zenith</t>
        </is>
      </c>
      <c r="G13" s="141" t="inlineStr">
        <is>
          <t>United States</t>
        </is>
      </c>
      <c r="H13" s="80" t="inlineStr">
        <is>
          <t>E03 - Media Execution</t>
        </is>
      </c>
      <c r="I13" s="128" t="inlineStr">
        <is>
          <t>https://ascentialcdn.filespin.io/api/v1/conversion/c8c6d973823e408c926f4de68327d5df</t>
        </is>
      </c>
      <c r="J13" s="141" t="inlineStr">
        <is>
          <t>oF6A79XVZsc</t>
        </is>
      </c>
      <c r="K13" s="127" t="n"/>
      <c r="L13" s="128" t="inlineStr">
        <is>
          <t>https://www.lovethework.com/work/entries/first-ever-live-commercial-crossover-759386</t>
        </is>
      </c>
      <c r="M13" s="113" t="inlineStr">
        <is>
          <t>A live 60-second commercial aired during Super Bowl LIX in which Rocket coordinated a real-time crossover between its own ad break and the broadcast itself, with real people on screen and John Denver's "Take Me Home, Country Roads" used as a unifying brand anthem. Produced with Miramar, Los Angeles alongside Zenith, New York, the spot was designed to blur the line between paid spot and live event programming at the year's largest U.S. television audience.</t>
        </is>
      </c>
      <c r="N13" s="113" t="inlineStr">
        <is>
          <t>mortgage, financial-services, finance, banking, television, live-broadcast, super-bowl, united-states, media-execution, music-licensing, real-time</t>
        </is>
      </c>
    </row>
    <row r="14" ht="34.5" customHeight="1" s="34">
      <c r="A14" s="141" t="n">
        <v>2025</v>
      </c>
      <c r="B14" s="144" t="inlineStr">
        <is>
          <t>Gold</t>
        </is>
      </c>
      <c r="C14" s="143" t="inlineStr">
        <is>
          <t>Waitrose Sweet Suspicion - A Deliciously Festive Whodunnit</t>
        </is>
      </c>
      <c r="D14" s="141" t="inlineStr">
        <is>
          <t>Waitrose &amp; Partners</t>
        </is>
      </c>
      <c r="E14" s="141" t="inlineStr">
        <is>
          <t>Waitrose &amp; Partners</t>
        </is>
      </c>
      <c r="F14" s="141" t="inlineStr">
        <is>
          <t>Manning Gottlieb OMD</t>
        </is>
      </c>
      <c r="G14" s="141" t="inlineStr">
        <is>
          <t>United Kingdom</t>
        </is>
      </c>
      <c r="H14" s="80" t="inlineStr">
        <is>
          <t>E04 - Use of Channel Integration</t>
        </is>
      </c>
      <c r="I14" s="128" t="inlineStr">
        <is>
          <t>https://ascentialcdn.filespin.io/api/v1/conversion/e69c489d848f46d9939d454b8fb7ec2f</t>
        </is>
      </c>
      <c r="J14" s="141" t="inlineStr">
        <is>
          <t>4_BtosdFfbk</t>
        </is>
      </c>
      <c r="K14" s="127" t="n"/>
      <c r="L14" s="128" t="inlineStr">
        <is>
          <t>https://www.lovethework.com/work/entries/waitrose-sweet-suspicion-a-deliciously-festive-whodunnit-762693</t>
        </is>
      </c>
      <c r="M14" s="113" t="inlineStr">
        <is>
          <t>A cross-channel murder mystery rolled out across UK media for Waitrose's 2024 Christmas campaign, built around the question of who stole the brand's festive dessert. Clues and story developments were seeded across TV, social, press, and digital touchpoints in sequence, so audiences following across channels encountered a different piece of the narrative depending on where they looked.</t>
        </is>
      </c>
      <c r="N14" s="113" t="inlineStr">
        <is>
          <t>grocery-retail, channel-integration, television, social-media, seasonal, united-kingdom, narrative, multi-platform</t>
        </is>
      </c>
    </row>
    <row r="15" ht="34.5" customHeight="1" s="34">
      <c r="A15" s="141" t="n">
        <v>2025</v>
      </c>
      <c r="B15" s="145" t="inlineStr">
        <is>
          <t>Silver</t>
        </is>
      </c>
      <c r="C15" s="143" t="inlineStr">
        <is>
          <t>Sweet Suspicion</t>
        </is>
      </c>
      <c r="D15" s="141" t="inlineStr">
        <is>
          <t>Waitrose</t>
        </is>
      </c>
      <c r="E15" s="141" t="inlineStr">
        <is>
          <t>Waitrose</t>
        </is>
      </c>
      <c r="F15" s="141" t="inlineStr">
        <is>
          <t>Saatchi &amp; Saatchi</t>
        </is>
      </c>
      <c r="G15" s="141" t="inlineStr">
        <is>
          <t>United Kingdom</t>
        </is>
      </c>
      <c r="H15" s="80" t="inlineStr">
        <is>
          <t>A04 - Travel, Leisure, Retail, Restaurants &amp; Fast-Food Chains</t>
        </is>
      </c>
      <c r="I15" s="128" t="inlineStr">
        <is>
          <t>https://ascentialcdn.filespin.io/api/v1/conversion/d5a5f996a09d495dac5d5cdbef7ae33f</t>
        </is>
      </c>
      <c r="J15" s="141" t="inlineStr">
        <is>
          <t>4_BtosdFfbk</t>
        </is>
      </c>
      <c r="K15" s="127" t="n"/>
      <c r="L15" s="128" t="inlineStr">
        <is>
          <t>https://www.lovethework.com/work/entries/sweet-suspicion-745100</t>
        </is>
      </c>
      <c r="M15" s="113" t="inlineStr">
        <is>
          <t>A two-part festive film series structured as a whodunnit, in which Matthew Macfadyen plays a detective investigating the disappearance of a Christmas dessert — a trail of clues that ends with the cook, Steve, having hidden it inside a gingerbread house. Created by Saatchi &amp; Saatchi, the campaign ran across the UK as Waitrose's Christmas advertising.</t>
        </is>
      </c>
      <c r="N15" s="113" t="inlineStr">
        <is>
          <t>retail, film, cinema, entertainment, festive, whodunnit, united-kingdom, grocery, serialised-content, celebrity</t>
        </is>
      </c>
    </row>
    <row r="16" ht="34.5" customHeight="1" s="34">
      <c r="A16" s="141" t="n">
        <v>2025</v>
      </c>
      <c r="B16" s="145" t="inlineStr">
        <is>
          <t>Silver</t>
        </is>
      </c>
      <c r="C16" s="143" t="inlineStr">
        <is>
          <t>Bring Korea to the World</t>
        </is>
      </c>
      <c r="D16" s="141" t="inlineStr">
        <is>
          <t>Netflix</t>
        </is>
      </c>
      <c r="E16" s="141" t="inlineStr">
        <is>
          <t>Squid Game</t>
        </is>
      </c>
      <c r="F16" s="141" t="inlineStr">
        <is>
          <t>Netflix</t>
        </is>
      </c>
      <c r="G16" s="141" t="inlineStr">
        <is>
          <t>United States</t>
        </is>
      </c>
      <c r="H16" s="80" t="inlineStr">
        <is>
          <t>A05 - Media/Entertainment</t>
        </is>
      </c>
      <c r="I16" s="128" t="inlineStr">
        <is>
          <t>https://ascentialcdn.filespin.io/api/v1/conversion/7e4fdab3938d4931a5578f05baa5aa36</t>
        </is>
      </c>
      <c r="J16" s="141" t="inlineStr">
        <is>
          <t>vimeo:1120973708</t>
        </is>
      </c>
      <c r="K16" s="127" t="n"/>
      <c r="L16" s="128" t="inlineStr">
        <is>
          <t>https://www.lovethework.com/work/entries/bring-korea-to-the-world-745005</t>
        </is>
      </c>
      <c r="M16" s="113" t="inlineStr">
        <is>
          <t>Netflix made Squid Game impossible to ignore again by turning Season 2 into a worldwide pink-suit takeover across 50+ cities and 35 countries. With 10,000 guards, massive public stunts and brand collabs from McDonald's to Gucci to Duolingo, the campaign made 'there's no stopping the game' feel true everywhere you looked.</t>
        </is>
      </c>
      <c r="N16" s="113" t="inlineStr">
        <is>
          <t>streaming, tv, entertainment, korean-drama, ooh, partnership, global, integrated, brand-stunt</t>
        </is>
      </c>
    </row>
    <row r="17" ht="34.5" customHeight="1" s="34">
      <c r="A17" s="141" t="n">
        <v>2025</v>
      </c>
      <c r="B17" s="145" t="inlineStr">
        <is>
          <t>Silver</t>
        </is>
      </c>
      <c r="C17" s="143" t="inlineStr">
        <is>
          <t>Dirty Mouth Sponsorship</t>
        </is>
      </c>
      <c r="D17" s="141" t="inlineStr">
        <is>
          <t>Cif</t>
        </is>
      </c>
      <c r="E17" s="141" t="inlineStr">
        <is>
          <t>Cif</t>
        </is>
      </c>
      <c r="F17" s="141" t="inlineStr">
        <is>
          <t>Droga5, Part of Accenture Song</t>
        </is>
      </c>
      <c r="G17" s="141" t="inlineStr">
        <is>
          <t>Brazil</t>
        </is>
      </c>
      <c r="H17" s="80" t="inlineStr">
        <is>
          <t>B02 - Use of Audio Platforms</t>
        </is>
      </c>
      <c r="I17" s="147" t="inlineStr">
        <is>
          <t>digital-presentation-images/media-cif-dirty-mouth-sponsorship.webp</t>
        </is>
      </c>
      <c r="J17" s="141" t="inlineStr">
        <is>
          <t>DlylpwndJuU</t>
        </is>
      </c>
      <c r="K17" s="127" t="n"/>
      <c r="L17" s="128" t="inlineStr">
        <is>
          <t>https://www.lovethework.com/work/entries/dirty-mouth-sponsorship-745194</t>
        </is>
      </c>
      <c r="M17" s="113" t="inlineStr">
        <is>
          <t>A podcast sponsorship format created for Brazil — the world's second-largest podcast market — in which Cif paid to replace swear words with a branded audio drop of the Cif name, turning the bleeps that typically trigger algorithm demonetization into a sponsorship slot. Brazilian podcasters kept their uncensored delivery while Cif's name appeared wherever an expletive would have been, protecting creators' reach and embedding the brand into their natural speech. Developed by Droga5 São Paulo, part of Accenture Song, the mechanic extended Cif's existing claim of cleaning over 100 surfaces to include dirty mouths.</t>
        </is>
      </c>
      <c r="N17" s="113" t="inlineStr">
        <is>
          <t>household-cleaner, audio-platform, streaming, music, entertainment, tv, podcast, branded-sound, content-sponsorship, brazil, creator-marketing, unilever</t>
        </is>
      </c>
    </row>
    <row r="18" ht="34.5" customHeight="1" s="34">
      <c r="A18" s="141" t="n">
        <v>2025</v>
      </c>
      <c r="B18" s="145" t="inlineStr">
        <is>
          <t>Silver</t>
        </is>
      </c>
      <c r="C18" s="143" t="inlineStr">
        <is>
          <t>Speed Coupons</t>
        </is>
      </c>
      <c r="D18" s="141" t="inlineStr">
        <is>
          <t>Mercado Livre</t>
        </is>
      </c>
      <c r="E18" s="141" t="inlineStr">
        <is>
          <t>Mercado Livre</t>
        </is>
      </c>
      <c r="F18" s="141" t="inlineStr">
        <is>
          <t>Gut</t>
        </is>
      </c>
      <c r="G18" s="141" t="inlineStr">
        <is>
          <t>Brazil</t>
        </is>
      </c>
      <c r="H18" s="80" t="inlineStr">
        <is>
          <t>B04 - Use of Outdoor</t>
        </is>
      </c>
      <c r="I18" s="128" t="inlineStr">
        <is>
          <t>https://ascentialcdn.filespin.io/api/v1/conversion/24e11754184a42ce8f0744b5d9f56d7a</t>
        </is>
      </c>
      <c r="J18" s="141" t="inlineStr">
        <is>
          <t>l3Sxq8LCXZA</t>
        </is>
      </c>
      <c r="K18" s="127" t="n"/>
      <c r="L18" s="128" t="inlineStr">
        <is>
          <t>https://www.lovethework.com/work/entries/speed-coupons-745245</t>
        </is>
      </c>
      <c r="M18" s="113" t="inlineStr">
        <is>
          <t>Outdoor discount coupons placed on Brazilian speed-camera signs, timed so that drivers traveling at or below the legal speed limit could photograph the QR code and redeem a deal on Mercado Livre. The mechanic turns the roadside infrastructure that penalizes speeding into a reward for obeying it.</t>
        </is>
      </c>
      <c r="N18" s="113" t="inlineStr">
        <is>
          <t>e-commerce, ooh, ambient, qr-code, promotion, road-safety, brazil, outdoor</t>
        </is>
      </c>
    </row>
    <row r="19" ht="34.5" customHeight="1" s="34">
      <c r="A19" s="141" t="n">
        <v>2025</v>
      </c>
      <c r="B19" s="145" t="inlineStr">
        <is>
          <t>Silver</t>
        </is>
      </c>
      <c r="C19" s="143" t="inlineStr">
        <is>
          <t>Takeoff Takeover</t>
        </is>
      </c>
      <c r="D19" s="141" t="inlineStr">
        <is>
          <t>Cathay Pacific</t>
        </is>
      </c>
      <c r="E19" s="141" t="inlineStr">
        <is>
          <t>Cathay Pacific Airways</t>
        </is>
      </c>
      <c r="F19" s="141" t="inlineStr">
        <is>
          <t>Leo</t>
        </is>
      </c>
      <c r="G19" s="141" t="inlineStr">
        <is>
          <t>India</t>
        </is>
      </c>
      <c r="H19" s="80" t="inlineStr">
        <is>
          <t>B04 - Use of Outdoor</t>
        </is>
      </c>
      <c r="I19" s="128" t="inlineStr">
        <is>
          <t>https://ascentialcdn.filespin.io/api/v1/conversion/a6416f5b55ed4d7ca12d09d85560d5a3</t>
        </is>
      </c>
      <c r="J19" s="141" t="inlineStr">
        <is>
          <t>vPK3k8dYrSk</t>
        </is>
      </c>
      <c r="K19" s="127" t="n"/>
      <c r="L19" s="128" t="inlineStr">
        <is>
          <t>https://www.lovethework.com/work/entries/takeoff-takeover-745197</t>
        </is>
      </c>
      <c r="M19" s="113" t="inlineStr">
        <is>
          <t>A hyper-targeted airport OOH takeover for Cathay Pacific, created by Leo Burnett Mumbai, that served ads to travelers based on real-time flight departure data — showing relevant Cathay Pacific messaging only when and where passengers bound for its destinations were present. Rather than blanketing airport media, the campaign concentrated spend precisely at the gate-level moments when a competing connection was most plausible.</t>
        </is>
      </c>
      <c r="N19" s="113" t="inlineStr">
        <is>
          <t>airline, ooh, airport, real-time-data, hyper-targeting, india, programmatic, travel, tourism</t>
        </is>
      </c>
    </row>
    <row r="20" ht="34.5" customHeight="1" s="34">
      <c r="A20" s="141" t="n">
        <v>2025</v>
      </c>
      <c r="B20" s="145" t="inlineStr">
        <is>
          <t>Silver</t>
        </is>
      </c>
      <c r="C20" s="143" t="inlineStr">
        <is>
          <t>Gulf of Mexico (Bar)</t>
        </is>
      </c>
      <c r="D20" s="141" t="inlineStr">
        <is>
          <t>Tecate</t>
        </is>
      </c>
      <c r="E20" s="141" t="inlineStr">
        <is>
          <t>Tecate Light</t>
        </is>
      </c>
      <c r="F20" s="141" t="inlineStr">
        <is>
          <t>LePub</t>
        </is>
      </c>
      <c r="G20" s="141" t="inlineStr">
        <is>
          <t>Mexico</t>
        </is>
      </c>
      <c r="H20" s="80" t="inlineStr">
        <is>
          <t>B07 - Use of Events &amp; Stunts</t>
        </is>
      </c>
      <c r="I20" s="128" t="inlineStr">
        <is>
          <t>https://ascentialcdn.filespin.io/api/v1/conversion/afa88aa8421b41a18c68b9863bb6926c</t>
        </is>
      </c>
      <c r="J20" s="141" t="inlineStr">
        <is>
          <t>TFbAS7weMR8</t>
        </is>
      </c>
      <c r="K20" s="127" t="n"/>
      <c r="L20" s="128" t="inlineStr">
        <is>
          <t>https://www.lovethework.com/work/entries/gulf-of-mexico-bar-745576</t>
        </is>
      </c>
      <c r="M20" s="113" t="inlineStr">
        <is>
          <t>A floating bar built on a boat in the Gulf of Mexico, accessible only by sea and named 'Golfo de México' — a response to a U.S. proposal to rename the gulf the 'Gulf of America.' To pair, Tecate launched a special-edition Tecate Light brewed with salt harvested from the disputed waters.</t>
        </is>
      </c>
      <c r="N20" s="113" t="inlineStr">
        <is>
          <t>ooh, brand-stunt, political-commentary, beer, alcohol, packaging, mexico, branded-venue, special-edition</t>
        </is>
      </c>
    </row>
    <row r="21" ht="34.5" customHeight="1" s="34">
      <c r="A21" s="141" t="n">
        <v>2025</v>
      </c>
      <c r="B21" s="145" t="inlineStr">
        <is>
          <t>Silver</t>
        </is>
      </c>
      <c r="C21" s="143" t="inlineStr">
        <is>
          <t>Kleenex Score</t>
        </is>
      </c>
      <c r="D21" s="141" t="inlineStr">
        <is>
          <t>Kimberly-Clark</t>
        </is>
      </c>
      <c r="E21" s="141" t="inlineStr">
        <is>
          <t>Kleenex</t>
        </is>
      </c>
      <c r="F21" s="141" t="inlineStr">
        <is>
          <t>VML</t>
        </is>
      </c>
      <c r="G21" s="141" t="inlineStr">
        <is>
          <t>United States</t>
        </is>
      </c>
      <c r="H21" s="80" t="inlineStr">
        <is>
          <t>B08 - Use of Digital Platforms</t>
        </is>
      </c>
      <c r="I21" s="128" t="inlineStr">
        <is>
          <t>https://ascentialcdn.filespin.io/api/v1/conversion/b71f0dff73f3455abef2899f0b1aeb49</t>
        </is>
      </c>
      <c r="J21" s="141" t="inlineStr">
        <is>
          <t>hKBNKbhMwZw</t>
        </is>
      </c>
      <c r="K21" s="127" t="n"/>
      <c r="L21" s="128" t="inlineStr">
        <is>
          <t>https://www.lovethework.com/work/entries/kleenex-score-745583</t>
        </is>
      </c>
      <c r="M21" s="113" t="inlineStr">
        <is>
          <t>A rating system built into IMDb, in partnership with VML, that assigns each film a "Kleenex Score" indicating how likely it is to make viewers cry. The score appears alongside standard IMDb ratings, placing Kleenex directly inside the moment moviegoers decide what to watch.</t>
        </is>
      </c>
      <c r="N21" s="113" t="inlineStr">
        <is>
          <t>tissue, digital-platform, imdb, branded-utility, film, cinema, entertainment, united-states, rating-system</t>
        </is>
      </c>
    </row>
    <row r="22" ht="34.5" customHeight="1" s="34">
      <c r="A22" s="141" t="n">
        <v>2025</v>
      </c>
      <c r="B22" s="145" t="inlineStr">
        <is>
          <t>Silver</t>
        </is>
      </c>
      <c r="C22" s="143" t="inlineStr">
        <is>
          <t>Maccie</t>
        </is>
      </c>
      <c r="D22" s="141" t="inlineStr">
        <is>
          <t>McDonald's</t>
        </is>
      </c>
      <c r="E22" s="141" t="inlineStr">
        <is>
          <t>Maccie</t>
        </is>
      </c>
      <c r="F22" s="141" t="inlineStr">
        <is>
          <t>TBWA\Neboko</t>
        </is>
      </c>
      <c r="G22" s="141" t="inlineStr">
        <is>
          <t>Netherlands</t>
        </is>
      </c>
      <c r="H22" s="80" t="inlineStr">
        <is>
          <t>B09 - Use of Mobile</t>
        </is>
      </c>
      <c r="I22" s="128" t="inlineStr">
        <is>
          <t>https://ascentialcdn.filespin.io/api/v1/conversion/16832e372e2c49889fda6d5d3168015d</t>
        </is>
      </c>
      <c r="J22" s="141" t="inlineStr">
        <is>
          <t>vimeo:1076319737</t>
        </is>
      </c>
      <c r="K22" s="127" t="n"/>
      <c r="L22" s="128" t="inlineStr">
        <is>
          <t>https://www.lovethework.com/work/entries/maccie-745574</t>
        </is>
      </c>
      <c r="M22" s="113" t="inlineStr">
        <is>
          <t>A mobile mechanic built around the Dutch slang name teenagers use for McDonald's — "Maccie" — that lets friends send each other treat requests directly through their phones. The campaign taps into a well-established youth behavior of asking friends to bring food, turning an informal social habit into a branded mobile interaction.</t>
        </is>
      </c>
      <c r="N22" s="113" t="inlineStr">
        <is>
          <t>fast-food, mobile-app, youth, netherlands, social, use-of-mobile</t>
        </is>
      </c>
    </row>
    <row r="23" ht="34.5" customHeight="1" s="34">
      <c r="A23" s="141" t="n">
        <v>2025</v>
      </c>
      <c r="B23" s="145" t="inlineStr">
        <is>
          <t>Silver</t>
        </is>
      </c>
      <c r="C23" s="143" t="inlineStr">
        <is>
          <t>Navy Subreddit Hunt</t>
        </is>
      </c>
      <c r="D23" s="141" t="inlineStr">
        <is>
          <t>U.S. Navy</t>
        </is>
      </c>
      <c r="E23" s="141" t="inlineStr">
        <is>
          <t>U.S. Navy Recruitment Initiative</t>
        </is>
      </c>
      <c r="F23" s="141" t="inlineStr">
        <is>
          <t>VML</t>
        </is>
      </c>
      <c r="G23" s="141" t="inlineStr">
        <is>
          <t>United States</t>
        </is>
      </c>
      <c r="H23" s="80" t="inlineStr">
        <is>
          <t>B10 - Use of Social Platforms</t>
        </is>
      </c>
      <c r="I23" s="128" t="inlineStr">
        <is>
          <t>https://ascentialcdn.filespin.io/api/v1/conversion/acedbde3eb964175b899c5e90a584d7a</t>
        </is>
      </c>
      <c r="J23" s="141" t="inlineStr">
        <is>
          <t>1qkvD-Vpqp4</t>
        </is>
      </c>
      <c r="K23" s="127" t="n"/>
      <c r="L23" s="128" t="inlineStr">
        <is>
          <t>https://www.lovethework.com/work/entries/navy-subreddit-hunt-745721</t>
        </is>
      </c>
      <c r="M23" s="113" t="inlineStr">
        <is>
          <t>A recruitment campaign built across Reddit in which the U.S. Navy hid enlistment calls-to-action inside niche subreddits relevant to Navy career fields — diving communities, engineering forums, aviation threads — so that users already deep in those interests encountered recruiting messages in the spaces where they were most engaged. Created by VML Dallas, the effort treated Reddit's community architecture as a targeting layer rather than a media buy.</t>
        </is>
      </c>
      <c r="N23" s="113" t="inlineStr">
        <is>
          <t>military-recruitment, social-media, reddit, united-states, community-targeting, direct-response, vml</t>
        </is>
      </c>
    </row>
    <row r="24" ht="34.5" customHeight="1" s="34">
      <c r="A24" s="141" t="n">
        <v>2025</v>
      </c>
      <c r="B24" s="145" t="inlineStr">
        <is>
          <t>Silver</t>
        </is>
      </c>
      <c r="C24" s="143" t="inlineStr">
        <is>
          <t>Dove Real Beauty Redefined for the AI Era</t>
        </is>
      </c>
      <c r="D24" s="141" t="inlineStr">
        <is>
          <t>Dove</t>
        </is>
      </c>
      <c r="E24" s="141" t="inlineStr">
        <is>
          <t>Dove</t>
        </is>
      </c>
      <c r="F24" s="141" t="inlineStr">
        <is>
          <t>Mindshare</t>
        </is>
      </c>
      <c r="G24" s="141" t="inlineStr">
        <is>
          <t>United States</t>
        </is>
      </c>
      <c r="H24" s="80" t="inlineStr">
        <is>
          <t>B12 - New Realities &amp; Emerging Tech</t>
        </is>
      </c>
      <c r="I24" s="128" t="inlineStr">
        <is>
          <t>https://ascentialcdn.filespin.io/api/v1/conversion/da693fd61fc74ddfbb3525f638cd77c6</t>
        </is>
      </c>
      <c r="J24" s="141" t="inlineStr">
        <is>
          <t>8vYoL8nga-A</t>
        </is>
      </c>
      <c r="K24" s="127" t="n"/>
      <c r="L24" s="128" t="inlineStr">
        <is>
          <t>https://www.lovethework.com/work/entries/dove-real-beauty-redefined-for-the-ai-era-745808</t>
        </is>
      </c>
      <c r="M24" s="113" t="inlineStr">
        <is>
          <t>A media strategy built around the finding that AI image generators, trained on internet archives, disproportionately reproduce narrow beauty ideals — reinforcing the same distortions Dove's Real Beauty platform has spent two decades pushing against. Mindshare New York redirected Dove's media investment to actively counter AI-generated beauty imagery, placing real, unretouched depictions of women in the contexts and channels where AI-produced content was displacing them.</t>
        </is>
      </c>
      <c r="N24" s="113" t="inlineStr">
        <is>
          <t>personal-care, media-strategy, ai, technology, beauty-standards, united-states, social-media, ooh</t>
        </is>
      </c>
    </row>
    <row r="25" ht="34.5" customHeight="1" s="34">
      <c r="A25" s="141" t="n">
        <v>2025</v>
      </c>
      <c r="B25" s="145" t="inlineStr">
        <is>
          <t>Silver</t>
        </is>
      </c>
      <c r="C25" s="143" t="inlineStr">
        <is>
          <t>Preserved Promos</t>
        </is>
      </c>
      <c r="D25" s="141" t="inlineStr">
        <is>
          <t>Ziploc</t>
        </is>
      </c>
      <c r="E25" s="141" t="inlineStr">
        <is>
          <t>Ziploc</t>
        </is>
      </c>
      <c r="F25" s="141" t="inlineStr">
        <is>
          <t>VML</t>
        </is>
      </c>
      <c r="G25" s="141" t="inlineStr">
        <is>
          <t>United States</t>
        </is>
      </c>
      <c r="H25" s="80" t="inlineStr">
        <is>
          <t>B13 - Retail Media</t>
        </is>
      </c>
      <c r="I25" s="128" t="inlineStr">
        <is>
          <t>https://ascentialcdn.filespin.io/api/v1/conversion/8223f25b769b40e3b665c4ec19e2e12c</t>
        </is>
      </c>
      <c r="J25" s="141" t="inlineStr">
        <is>
          <t>CYF3rvwSY78</t>
        </is>
      </c>
      <c r="K25" s="127" t="n"/>
      <c r="L25" s="128" t="inlineStr">
        <is>
          <t>https://www.lovethework.com/work/entries/preserved-promos-745777</t>
        </is>
      </c>
      <c r="M25" s="113" t="inlineStr">
        <is>
          <t>A retail promotion mechanic that accepted expired food coupons as valid discounts on Ziploc products — shoppers uploaded a photo of any out-of-date food coupon and received savings on Ziploc bags in return. The mechanic ties directly to the brand's core proposition: if Ziploc preserves food, it can preserve a coupon's value too.</t>
        </is>
      </c>
      <c r="N25" s="113" t="inlineStr">
        <is>
          <t>food-storage, retail-media, coupon, commerce, mobile, united-states, sc-johnson, promotion</t>
        </is>
      </c>
    </row>
    <row r="26" ht="34.5" customHeight="1" s="34">
      <c r="A26" s="141" t="n">
        <v>2025</v>
      </c>
      <c r="B26" s="145" t="inlineStr">
        <is>
          <t>Silver</t>
        </is>
      </c>
      <c r="C26" s="143" t="inlineStr">
        <is>
          <t>The 26th Minute</t>
        </is>
      </c>
      <c r="D26" s="141" t="inlineStr">
        <is>
          <t>Dublin Samaritans</t>
        </is>
      </c>
      <c r="E26" s="141" t="inlineStr">
        <is>
          <t>Samaritans Volunteer Recruitment</t>
        </is>
      </c>
      <c r="F26" s="141" t="inlineStr">
        <is>
          <t>Droga5, Part of Accenture Song</t>
        </is>
      </c>
      <c r="G26" s="141" t="inlineStr">
        <is>
          <t>Ireland</t>
        </is>
      </c>
      <c r="H26" s="80" t="inlineStr">
        <is>
          <t>C01 - Audience Insights</t>
        </is>
      </c>
      <c r="I26" s="128" t="inlineStr">
        <is>
          <t>https://ascentialcdn.filespin.io/api/v1/conversion/4972357db5c14f0b84fd31512fa3d28c</t>
        </is>
      </c>
      <c r="J26" s="141" t="inlineStr">
        <is>
          <t>vimeo:1156074978</t>
        </is>
      </c>
      <c r="K26" s="127" t="n"/>
      <c r="L26" s="128" t="inlineStr">
        <is>
          <t>https://www.lovethework.com/work/entries/the-26th-minute-745873</t>
        </is>
      </c>
      <c r="M26" s="113" t="inlineStr">
        <is>
          <t>A radio and media recruitment campaign built around the insight that the best Samaritans volunteers are people who already have a natural instinct to listen — specifically, those who stay on the phone in silence rather than hanging up during long pauses. The 26th minute refers to the point in a call where an untrained person typically runs out of things to say, which Samaritans reframed as the exact quality they need: someone willing to simply stay present and keep listening.</t>
        </is>
      </c>
      <c r="N26" s="113" t="inlineStr">
        <is>
          <t>volunteer-recruitment, radio, mental-health, healthcare, medical, ireland, audience-insight, public-service, media-strategy</t>
        </is>
      </c>
    </row>
    <row r="27" ht="34.5" customHeight="1" s="34">
      <c r="A27" s="141" t="n">
        <v>2025</v>
      </c>
      <c r="B27" s="145" t="inlineStr">
        <is>
          <t>Silver</t>
        </is>
      </c>
      <c r="C27" s="143" t="inlineStr">
        <is>
          <t>Vaseline Verified</t>
        </is>
      </c>
      <c r="D27" s="141" t="inlineStr">
        <is>
          <t>Unilever</t>
        </is>
      </c>
      <c r="E27" s="141" t="inlineStr">
        <is>
          <t>Vaseline</t>
        </is>
      </c>
      <c r="F27" s="141" t="inlineStr">
        <is>
          <t>Ogilvy</t>
        </is>
      </c>
      <c r="G27" s="141" t="inlineStr">
        <is>
          <t>Singapore</t>
        </is>
      </c>
      <c r="H27" s="80" t="inlineStr">
        <is>
          <t>C01 - Audience Insights</t>
        </is>
      </c>
      <c r="I27" s="128" t="inlineStr">
        <is>
          <t>https://ascentialcdn.filespin.io/api/v1/conversion/faf0755b0d4e4594ad93cb75d6288e3d</t>
        </is>
      </c>
      <c r="J27" s="141" t="inlineStr">
        <is>
          <t>ApwxlBruV90</t>
        </is>
      </c>
      <c r="K27" s="127" t="n"/>
      <c r="L27" s="128" t="inlineStr">
        <is>
          <t>https://www.lovethework.com/work/entries/vaseline-verified-745828</t>
        </is>
      </c>
      <c r="M27" s="113" t="inlineStr">
        <is>
          <t>A community management campaign built around the 6,000-plus organic social media posts showing unofficial uses of Vaseline Petroleum Jelly: Ogilvy Singapore had dermatologists review each hack, awarding a "Vaseline Verified" seal to those that held up and publicly debunking those that didn't. The system turned user-generated content into a live, brand-endorsed verification layer — embracing the existing conversation rather than replacing it with controlled messaging.</t>
        </is>
      </c>
      <c r="N27" s="113" t="inlineStr">
        <is>
          <t>skincare, personal-care, beauty, community-management, social-media, user-generated-content, ooh, singapore, health-wellness, dermatology</t>
        </is>
      </c>
    </row>
    <row r="28" ht="34.5" customHeight="1" s="34">
      <c r="A28" s="141" t="n">
        <v>2025</v>
      </c>
      <c r="B28" s="145" t="inlineStr">
        <is>
          <t>Silver</t>
        </is>
      </c>
      <c r="C28" s="143" t="inlineStr">
        <is>
          <t>Report This Ad</t>
        </is>
      </c>
      <c r="D28" s="141" t="inlineStr">
        <is>
          <t>Veris</t>
        </is>
      </c>
      <c r="E28" s="141" t="inlineStr">
        <is>
          <t>Online Mental Health Institution</t>
        </is>
      </c>
      <c r="F28" s="141" t="inlineStr">
        <is>
          <t>Paradais DDB</t>
        </is>
      </c>
      <c r="G28" s="141" t="inlineStr">
        <is>
          <t>Ecuador</t>
        </is>
      </c>
      <c r="H28" s="80" t="inlineStr">
        <is>
          <t>C01 - Audience Insights</t>
        </is>
      </c>
      <c r="I28" s="128" t="inlineStr">
        <is>
          <t>https://ascentialcdn.filespin.io/api/v1/conversion/acbb86d466734cc4890607c8d8d33696</t>
        </is>
      </c>
      <c r="J28" s="141" t="inlineStr">
        <is>
          <t>hyWYqBMUTk8</t>
        </is>
      </c>
      <c r="K28" s="127" t="n"/>
      <c r="L28" s="128" t="inlineStr">
        <is>
          <t>https://www.lovethework.com/work/entries/report-this-ad-745783</t>
        </is>
      </c>
      <c r="M28" s="113" t="inlineStr">
        <is>
          <t>An ad campaign engineered to be reported by social-media users — over 500 deliberately flag-bait ads uploaded across platforms. When the content moderator behind the report opened the post for review, they were the one being addressed, with a hidden message offering free, anonymous psychological support from Ecuadorian health network Veris.</t>
        </is>
      </c>
      <c r="N28" s="113" t="inlineStr">
        <is>
          <t>healthcare, mental-health, medical, social-media, hidden-message, ecuador, social-good, content-moderation, guerrilla</t>
        </is>
      </c>
    </row>
    <row r="29" ht="34.5" customHeight="1" s="34">
      <c r="A29" s="141" t="n">
        <v>2025</v>
      </c>
      <c r="B29" s="145" t="inlineStr">
        <is>
          <t>Silver</t>
        </is>
      </c>
      <c r="C29" s="143" t="inlineStr">
        <is>
          <t>Football Is for Food</t>
        </is>
      </c>
      <c r="D29" s="141" t="inlineStr">
        <is>
          <t>Uber Eats</t>
        </is>
      </c>
      <c r="E29" s="141" t="inlineStr">
        <is>
          <t>Uber Eats</t>
        </is>
      </c>
      <c r="F29" s="141" t="inlineStr">
        <is>
          <t>Special</t>
        </is>
      </c>
      <c r="G29" s="141" t="inlineStr">
        <is>
          <t>United States</t>
        </is>
      </c>
      <c r="H29" s="80" t="inlineStr">
        <is>
          <t>C02 - Use of Brand or Product Integration into a Programme or Platform</t>
        </is>
      </c>
      <c r="I29" s="128" t="inlineStr">
        <is>
          <t>https://ascentialcdn.filespin.io/api/v1/conversion/5ce0f137b7254d7aa885d7e83850f046</t>
        </is>
      </c>
      <c r="J29" s="141" t="inlineStr">
        <is>
          <t>81ahl1QYMp0</t>
        </is>
      </c>
      <c r="K29" s="127" t="n"/>
      <c r="L29" s="128" t="inlineStr">
        <is>
          <t>https://www.lovethework.com/work/entries/football-is-for-food-745820</t>
        </is>
      </c>
      <c r="M29" s="113" t="inlineStr">
        <is>
          <t>A season-long campaign that reframed the entire NFL as a covert advertisement for food delivery — with a conspiracy theory, seeded across multiple spots, connecting football touchdowns, huddles, and tailgates to the act of ordering food. Matthew McConaughey and NFL star Christian McCaffrey fronted the launch film, which kicked off a rolling series of fabricated "evidence" uncovering hundreds of links between football and eating, created by Special US.</t>
        </is>
      </c>
      <c r="N29" s="113" t="inlineStr">
        <is>
          <t>food-delivery, food, restaurant, ecommerce, retail, online-shopping, television, brand-integration, nfl, united-states, conspiracy, humor, sports-sponsorship</t>
        </is>
      </c>
    </row>
    <row r="30" ht="34.5" customHeight="1" s="34">
      <c r="A30" s="141" t="n">
        <v>2025</v>
      </c>
      <c r="B30" s="145" t="inlineStr">
        <is>
          <t>Silver</t>
        </is>
      </c>
      <c r="C30" s="143" t="inlineStr">
        <is>
          <t>Thanks for Coke-Creating</t>
        </is>
      </c>
      <c r="D30" s="141" t="inlineStr">
        <is>
          <t>Coca-Cola</t>
        </is>
      </c>
      <c r="E30" s="141" t="inlineStr">
        <is>
          <t>Coca-Cola</t>
        </is>
      </c>
      <c r="F30" s="141" t="inlineStr">
        <is>
          <t>VML</t>
        </is>
      </c>
      <c r="G30" s="141" t="inlineStr">
        <is>
          <t>United States</t>
        </is>
      </c>
      <c r="H30" s="80" t="inlineStr">
        <is>
          <t>C06 - Co-Creation of Branded IP</t>
        </is>
      </c>
      <c r="I30" s="128" t="inlineStr">
        <is>
          <t>https://ascentialcdn.filespin.io/api/v1/conversion/e2d391a076394851ad0376152ece61bb</t>
        </is>
      </c>
      <c r="J30" s="141" t="inlineStr">
        <is>
          <t>gFQUmcwgoMg</t>
        </is>
      </c>
      <c r="K30" s="127" t="n"/>
      <c r="L30" s="128" t="inlineStr">
        <is>
          <t>https://www.lovethework.com/work/entries/thanks-for-coke-creating-746016</t>
        </is>
      </c>
      <c r="M30" s="113" t="inlineStr">
        <is>
          <t>A global campaign that surfaced the hand-painted, often imperfect versions of the Coca-Cola logo that shopkeepers and bodega owners around the world paint onto their own storefronts. Rather than enforce brand guidelines, Coca-Cola elevated those vernacular interpretations to its own out-of-home — including Times Square — as a tribute to the local craft that brings the brand to life.</t>
        </is>
      </c>
      <c r="N30" s="113" t="inlineStr">
        <is>
          <t>ooh, brand-identity, social-behavior, integrated, partnership, beverage, drinks, global, social-engagement</t>
        </is>
      </c>
    </row>
    <row r="31" ht="34.5" customHeight="1" s="34">
      <c r="A31" s="141" t="n">
        <v>2025</v>
      </c>
      <c r="B31" s="145" t="inlineStr">
        <is>
          <t>Silver</t>
        </is>
      </c>
      <c r="C31" s="143" t="inlineStr">
        <is>
          <t>Export Ultra Cold Call Back Service</t>
        </is>
      </c>
      <c r="D31" s="141" t="inlineStr">
        <is>
          <t>Export Ultra</t>
        </is>
      </c>
      <c r="E31" s="141" t="inlineStr">
        <is>
          <t>Beer</t>
        </is>
      </c>
      <c r="F31" s="141" t="inlineStr">
        <is>
          <t>Carat</t>
        </is>
      </c>
      <c r="G31" s="141" t="inlineStr">
        <is>
          <t>New Zealand</t>
        </is>
      </c>
      <c r="H31" s="80" t="inlineStr">
        <is>
          <t>D01 - Local Brand</t>
        </is>
      </c>
      <c r="I31" s="128" t="inlineStr">
        <is>
          <t>https://ascentialcdn.filespin.io/api/v1/conversion/933648a57dec4e89a455851927c51e15</t>
        </is>
      </c>
      <c r="J31" s="141" t="inlineStr">
        <is>
          <t>EMZYDpxI_KI</t>
        </is>
      </c>
      <c r="K31" s="127" t="n"/>
      <c r="L31" s="128" t="inlineStr">
        <is>
          <t>https://www.lovethework.com/work/entries/export-ultra-cold-call-back-service-759477</t>
        </is>
      </c>
      <c r="M31" s="113" t="inlineStr">
        <is>
          <t>A call-back service for New Zealand beer drinkers who put their cans in the freezer and forget them — users text "ICE ICE" to 423, and 34 minutes later Vanilla Ice calls them back with a personalised reminder delivered as a rhyming one-liner. Built around the recurring summer problem of frozen, exploding beers, the campaign ran from December 2024 through February 2025 with a rotating series of bespoke recorded messages voiced by the rapper, developed with agency Special and media partner Carat Auckland.</t>
        </is>
      </c>
      <c r="N31" s="113" t="inlineStr">
        <is>
          <t>beer, alcohol, new-zealand, sms, direct-response, celebrity-partnership, humor, mobile, seasonal, audio</t>
        </is>
      </c>
    </row>
    <row r="32" ht="34.5" customHeight="1" s="34">
      <c r="A32" s="141" t="n">
        <v>2025</v>
      </c>
      <c r="B32" s="145" t="inlineStr">
        <is>
          <t>Silver</t>
        </is>
      </c>
      <c r="C32" s="143" t="inlineStr">
        <is>
          <t>Legacy Lager</t>
        </is>
      </c>
      <c r="D32" s="141" t="inlineStr">
        <is>
          <t>Legacy Australia</t>
        </is>
      </c>
      <c r="E32" s="141" t="inlineStr">
        <is>
          <t>Legacy Australia</t>
        </is>
      </c>
      <c r="F32" s="141" t="inlineStr">
        <is>
          <t>VML</t>
        </is>
      </c>
      <c r="G32" s="141" t="inlineStr">
        <is>
          <t>Australia</t>
        </is>
      </c>
      <c r="H32" s="80" t="inlineStr">
        <is>
          <t>D04 - Social Behaviour</t>
        </is>
      </c>
      <c r="I32" s="128" t="inlineStr">
        <is>
          <t>https://ascentialcdn.filespin.io/api/v1/conversion/ba35a566f4064244b364f68bf3a55633</t>
        </is>
      </c>
      <c r="J32" s="141" t="inlineStr">
        <is>
          <t>vimeo:1087794273</t>
        </is>
      </c>
      <c r="K32" s="127" t="n"/>
      <c r="L32" s="128" t="inlineStr">
        <is>
          <t>https://www.lovethework.com/work/entries/legacy-lager-746168</t>
        </is>
      </c>
      <c r="M32" s="113" t="inlineStr">
        <is>
          <t>A dry tap installed alongside standard beer taps in pubs and clubs across New South Wales — when a patron pulls the handle, nothing comes out, prompting bar staff to explain that the empty tap honours the veterans and military families supported by Legacy Australia. The mechanic turns a moment of expected service into a conversation about sacrifice, with the proceeds from surrounding taps directed to Legacy's work.</t>
        </is>
      </c>
      <c r="N32" s="113" t="inlineStr">
        <is>
          <t>charity, beer, alcohol, ooh, on-premise, pub, australia, social-behaviour, veterans</t>
        </is>
      </c>
    </row>
    <row r="33" ht="34.5" customHeight="1" s="34">
      <c r="A33" s="141" t="n">
        <v>2025</v>
      </c>
      <c r="B33" s="145" t="inlineStr">
        <is>
          <t>Silver</t>
        </is>
      </c>
      <c r="C33" s="143" t="inlineStr">
        <is>
          <t>Health Is</t>
        </is>
      </c>
      <c r="D33" s="141" t="inlineStr">
        <is>
          <t>Bupa</t>
        </is>
      </c>
      <c r="E33" s="141" t="inlineStr">
        <is>
          <t>BUPA Health Insurance</t>
        </is>
      </c>
      <c r="F33" s="141" t="inlineStr">
        <is>
          <t>Initiative Media</t>
        </is>
      </c>
      <c r="G33" s="141" t="inlineStr">
        <is>
          <t>United Kingdom</t>
        </is>
      </c>
      <c r="H33" s="80" t="inlineStr">
        <is>
          <t>D07 - Corporate Purpose &amp; Social Responsibility</t>
        </is>
      </c>
      <c r="I33" s="128" t="inlineStr">
        <is>
          <t>https://ascentialcdn.filespin.io/api/v1/conversion/97b8e88790d047b79a07f2461478c324</t>
        </is>
      </c>
      <c r="J33" s="141" t="inlineStr">
        <is>
          <t>vimeo:1065929468</t>
        </is>
      </c>
      <c r="K33" s="127" t="n"/>
      <c r="L33" s="128" t="inlineStr">
        <is>
          <t>https://www.lovethework.com/work/entries/health-is-746400</t>
        </is>
      </c>
      <c r="M33" s="113" t="inlineStr">
        <is>
          <t>A media campaign built around an immersive installation at London's King's Cross St Pancras station, created by Initiative and Momentum, designed to challenge how mainstream media engages with disabled audiences. The campaign centred on authentic representation of disability across paid media placements, with the station activation serving as a physical demonstration of accessible advertising in a high-footfall public space.</t>
        </is>
      </c>
      <c r="N33" s="113" t="inlineStr">
        <is>
          <t>health-insurance, ooh, experiential, disability-inclusion, accessible-advertising, corporate-purpose, united-kingdom, media-strategy</t>
        </is>
      </c>
    </row>
    <row r="34" ht="34.5" customHeight="1" s="34">
      <c r="A34" s="141" t="n">
        <v>2025</v>
      </c>
      <c r="B34" s="145" t="inlineStr">
        <is>
          <t>Silver</t>
        </is>
      </c>
      <c r="C34" s="143" t="inlineStr">
        <is>
          <t>Code My Crown</t>
        </is>
      </c>
      <c r="D34" s="141" t="inlineStr">
        <is>
          <t>Dove</t>
        </is>
      </c>
      <c r="E34" s="141" t="inlineStr">
        <is>
          <t>Dove</t>
        </is>
      </c>
      <c r="F34" s="141" t="inlineStr">
        <is>
          <t>Edelman</t>
        </is>
      </c>
      <c r="G34" s="141" t="inlineStr">
        <is>
          <t>United Kingdom</t>
        </is>
      </c>
      <c r="H34" s="80" t="inlineStr">
        <is>
          <t>D09 - Cultural Engagement</t>
        </is>
      </c>
      <c r="I34" s="128" t="inlineStr">
        <is>
          <t>https://ascentialcdn.filespin.io/api/v1/conversion/dc773a5191b947ea85626af886046a69</t>
        </is>
      </c>
      <c r="J34" s="141" t="inlineStr">
        <is>
          <t>stQ442QJ9pg</t>
        </is>
      </c>
      <c r="K34" s="127" t="n"/>
      <c r="L34" s="128" t="inlineStr">
        <is>
          <t>https://www.lovethework.com/work/entries/code-my-crown-746487</t>
        </is>
      </c>
      <c r="M34" s="113" t="inlineStr">
        <is>
          <t>A guide and training resource built for game developers that shows how to accurately code Black hair styles and textures inside video game character creators — covering curl patterns, locs, braids, and protective styles that are routinely absent or poorly rendered in mainstream titles. Developed by Dove and Edelman London, it addresses the gap between the diversity of Black hair and the limited, often inaccurate options players encounter when building avatars that look like them.</t>
        </is>
      </c>
      <c r="N34" s="113" t="inlineStr">
        <is>
          <t>personal-care, gaming, video-games, entertainment, inclusive-design, developer-tool, united-kingdom, black-hair, digital, representation</t>
        </is>
      </c>
    </row>
    <row r="35" ht="34.5" customHeight="1" s="34">
      <c r="A35" s="141" t="n">
        <v>2025</v>
      </c>
      <c r="B35" s="145" t="inlineStr">
        <is>
          <t>Silver</t>
        </is>
      </c>
      <c r="C35" s="143" t="inlineStr">
        <is>
          <t>Pub Succession</t>
        </is>
      </c>
      <c r="D35" s="141" t="inlineStr">
        <is>
          <t>Heineken</t>
        </is>
      </c>
      <c r="E35" s="141" t="inlineStr">
        <is>
          <t>Heineken</t>
        </is>
      </c>
      <c r="F35" s="141" t="inlineStr">
        <is>
          <t>LePub</t>
        </is>
      </c>
      <c r="G35" s="141" t="inlineStr">
        <is>
          <t>Italy</t>
        </is>
      </c>
      <c r="H35" s="80" t="inlineStr">
        <is>
          <t>D09 - Cultural Engagement</t>
        </is>
      </c>
      <c r="I35" s="128" t="inlineStr">
        <is>
          <t>https://ascentialcdn.filespin.io/api/v1/conversion/a8d4e72bb1ce47508dcea8db73d16b01</t>
        </is>
      </c>
      <c r="J35" s="141" t="inlineStr">
        <is>
          <t>Cu0FLBdZrcM</t>
        </is>
      </c>
      <c r="K35" s="127" t="n"/>
      <c r="L35" s="128" t="inlineStr">
        <is>
          <t>https://www.lovethework.com/work/entries/pub-succession-746430</t>
        </is>
      </c>
      <c r="M35" s="113" t="inlineStr">
        <is>
          <t>A global recruitment campaign to find a new owner for McLoughlin's Bar, a 155-year-old family pub on Ireland's Achill Island whose fourth-generation publican is retiring with no successor — but only candidates named McLoughlin can apply. Launched on St Patrick's Day and pushed everywhere from Times Square to The New York Times.</t>
        </is>
      </c>
      <c r="N35" s="113" t="inlineStr">
        <is>
          <t>pr, integrated, ooh, beer, alcohol, ireland, recruitment, cultural-engagement, partnership</t>
        </is>
      </c>
    </row>
    <row r="36" ht="34.5" customHeight="1" s="34">
      <c r="A36" s="141" t="n">
        <v>2025</v>
      </c>
      <c r="B36" s="145" t="inlineStr">
        <is>
          <t>Silver</t>
        </is>
      </c>
      <c r="C36" s="143" t="inlineStr">
        <is>
          <t>The Flame That Wasn't a Flame</t>
        </is>
      </c>
      <c r="D36" s="141" t="inlineStr">
        <is>
          <t>EDF</t>
        </is>
      </c>
      <c r="E36" s="141" t="inlineStr">
        <is>
          <t>The Olympic Cauldron</t>
        </is>
      </c>
      <c r="F36" s="141" t="inlineStr">
        <is>
          <t>Havas Media</t>
        </is>
      </c>
      <c r="G36" s="141" t="inlineStr">
        <is>
          <t>France</t>
        </is>
      </c>
      <c r="H36" s="80" t="inlineStr">
        <is>
          <t>E02 - Media Planning</t>
        </is>
      </c>
      <c r="I36" s="128" t="inlineStr">
        <is>
          <t>https://ascentialcdn.filespin.io/api/v1/conversion/179b9d045d1a44c7b9cf08ed801fec37</t>
        </is>
      </c>
      <c r="J36" s="141" t="inlineStr">
        <is>
          <t>sXFFpanPbNE</t>
        </is>
      </c>
      <c r="K36" s="127" t="n"/>
      <c r="L36" s="128" t="inlineStr">
        <is>
          <t>https://www.lovethework.com/work/entries/the-flame-that-wasnt-a-flame-746404</t>
        </is>
      </c>
      <c r="M36" s="113" t="inlineStr">
        <is>
          <t>The Paris 2024 Olympic cauldron reimagined as an entirely electric flame — a halo of vapor and light driven by EDF's grid, with no combustion at all. Part of Paris 2024's commitment to halve the Games' carbon footprint, the cauldron rose above the Tuileries on a hot-air balloon for the run of the Olympics and Paralympics.</t>
        </is>
      </c>
      <c r="N36" s="113" t="inlineStr">
        <is>
          <t>olympics, sport, sustainability, energy, ceremony, paris, partnership, live-event, corporate-purpose</t>
        </is>
      </c>
    </row>
    <row r="37" ht="34.5" customHeight="1" s="34">
      <c r="A37" s="141" t="n">
        <v>2025</v>
      </c>
      <c r="B37" s="146" t="inlineStr">
        <is>
          <t>Bronze</t>
        </is>
      </c>
      <c r="C37" s="143" t="inlineStr">
        <is>
          <t>Ad-Free Movies</t>
        </is>
      </c>
      <c r="D37" s="141" t="inlineStr">
        <is>
          <t>Budweiser</t>
        </is>
      </c>
      <c r="E37" s="141" t="inlineStr">
        <is>
          <t>Beer</t>
        </is>
      </c>
      <c r="F37" s="141" t="inlineStr">
        <is>
          <t>Africa Creative DDB</t>
        </is>
      </c>
      <c r="G37" s="141" t="inlineStr">
        <is>
          <t>Brazil</t>
        </is>
      </c>
      <c r="H37" s="80" t="inlineStr">
        <is>
          <t>A01 - Consumer Goods</t>
        </is>
      </c>
      <c r="I37" s="128" t="inlineStr">
        <is>
          <t>https://ascentialcdn.filespin.io/api/v1/conversion/7bea5da12c704fafb1e98229f26e85bb</t>
        </is>
      </c>
      <c r="J37" s="141" t="inlineStr">
        <is>
          <t>vimeo:1077750867</t>
        </is>
      </c>
      <c r="K37" s="127" t="n"/>
      <c r="L37" s="128" t="inlineStr">
        <is>
          <t>https://www.lovethework.com/work/entries/ad-free-movies-745151</t>
        </is>
      </c>
      <c r="M37" s="113" t="inlineStr">
        <is>
          <t>A packaging and point-of-sale campaign built around Budweiser's existing placement in Hollywood films — rather than buying ad space, the brand surfaced the moments it already appears on screen organically, letting the movies themselves serve as the ad. Labels and in-store materials pointed to titles where Budweiser appears without paid integration, positioning the beer as the one brand that doesn't need to interrupt the film.</t>
        </is>
      </c>
      <c r="N37" s="113" t="inlineStr">
        <is>
          <t>beer, alcohol, packaging, point-of-sale, branded-entertainment, brazil, product-placement, film, cinema, entertainment</t>
        </is>
      </c>
    </row>
    <row r="38" ht="34.5" customHeight="1" s="34">
      <c r="A38" s="141" t="n">
        <v>2025</v>
      </c>
      <c r="B38" s="146" t="inlineStr">
        <is>
          <t>Bronze</t>
        </is>
      </c>
      <c r="C38" s="143" t="inlineStr">
        <is>
          <t>Eye Test Menu</t>
        </is>
      </c>
      <c r="D38" s="141" t="inlineStr">
        <is>
          <t>Titan Company Limited</t>
        </is>
      </c>
      <c r="E38" s="141" t="inlineStr">
        <is>
          <t>Eyewear</t>
        </is>
      </c>
      <c r="F38" s="141" t="inlineStr">
        <is>
          <t>Ogilvy</t>
        </is>
      </c>
      <c r="G38" s="141" t="inlineStr">
        <is>
          <t>India</t>
        </is>
      </c>
      <c r="H38" s="80" t="inlineStr">
        <is>
          <t>A02 - Healthcare</t>
        </is>
      </c>
      <c r="I38" s="128" t="inlineStr">
        <is>
          <t>https://ascentialcdn.filespin.io/api/v1/conversion/423282a302ed4fe187b1a0b7b5eb8284</t>
        </is>
      </c>
      <c r="J38" s="141" t="inlineStr">
        <is>
          <t>vimeo:1093963149</t>
        </is>
      </c>
      <c r="K38" s="127" t="n"/>
      <c r="L38" s="128" t="inlineStr">
        <is>
          <t>https://www.lovethework.com/work/entries/eye-test-menu-745061</t>
        </is>
      </c>
      <c r="M38" s="113" t="inlineStr">
        <is>
          <t>A swap-out of the standard eye chart at Indian truck-stop diners ('dhabas') with food menus printed in the same diminishing point sizes. Long-haul truck drivers ordered a meal and unknowingly took an eyesight test — and any driver who struggled to read the lower lines got a free on-site exam from a Titan Eye+ optometrist.</t>
        </is>
      </c>
      <c r="N38" s="113" t="inlineStr">
        <is>
          <t>healthcare, eye-care, optometry, medical, ooh, partnership, road-safety, india, social-good, retail</t>
        </is>
      </c>
    </row>
    <row r="39" ht="34.5" customHeight="1" s="34">
      <c r="A39" s="141" t="n">
        <v>2025</v>
      </c>
      <c r="B39" s="146" t="inlineStr">
        <is>
          <t>Bronze</t>
        </is>
      </c>
      <c r="C39" s="143" t="inlineStr">
        <is>
          <t>Football Is for Food</t>
        </is>
      </c>
      <c r="D39" s="141" t="inlineStr">
        <is>
          <t>Uber Eats</t>
        </is>
      </c>
      <c r="E39" s="141" t="inlineStr">
        <is>
          <t>Uber Eats</t>
        </is>
      </c>
      <c r="F39" s="141" t="inlineStr">
        <is>
          <t>Special</t>
        </is>
      </c>
      <c r="G39" s="141" t="inlineStr">
        <is>
          <t>United States</t>
        </is>
      </c>
      <c r="H39" s="80" t="inlineStr">
        <is>
          <t>A04 - Travel, Leisure, Retail, Restaurants &amp; Fast-Food Chains</t>
        </is>
      </c>
      <c r="I39" s="128" t="inlineStr">
        <is>
          <t>https://ascentialcdn.filespin.io/api/v1/conversion/5ce0f137b7254d7aa885d7e83850f046</t>
        </is>
      </c>
      <c r="J39" s="141" t="inlineStr">
        <is>
          <t>81ahl1QYMp0</t>
        </is>
      </c>
      <c r="K39" s="127" t="n"/>
      <c r="L39" s="128" t="inlineStr">
        <is>
          <t>https://www.lovethework.com/work/entries/football-is-for-food-745080</t>
        </is>
      </c>
      <c r="M39" s="113" t="inlineStr">
        <is>
          <t>A season-long campaign that reframed the entire NFL as a covert advertisement for food delivery — with a conspiracy theory, seeded across multiple spots, connecting football touchdowns, huddles, and tailgates to the act of ordering food. Matthew McConaughey and NFL star Christian McCaffrey fronted the launch film, which kicked off a rolling series of fabricated "evidence" uncovering hundreds of links between football and eating, created by Special US.</t>
        </is>
      </c>
      <c r="N39" s="113" t="inlineStr">
        <is>
          <t>food-delivery, food, restaurant, ecommerce, retail, online-shopping, television, brand-integration, nfl, united-states, conspiracy, humor, sports-sponsorship</t>
        </is>
      </c>
    </row>
    <row r="40" ht="34.5" customHeight="1" s="34">
      <c r="A40" s="141" t="n">
        <v>2025</v>
      </c>
      <c r="B40" s="146" t="inlineStr">
        <is>
          <t>Bronze</t>
        </is>
      </c>
      <c r="C40" s="143" t="inlineStr">
        <is>
          <t>Bait Boards</t>
        </is>
      </c>
      <c r="D40" s="141" t="inlineStr">
        <is>
          <t>Mercado Ads</t>
        </is>
      </c>
      <c r="E40" s="141" t="inlineStr">
        <is>
          <t>Mercado Ads</t>
        </is>
      </c>
      <c r="F40" s="141" t="inlineStr">
        <is>
          <t>Gut</t>
        </is>
      </c>
      <c r="G40" s="141" t="inlineStr">
        <is>
          <t>Argentina</t>
        </is>
      </c>
      <c r="H40" s="80" t="inlineStr">
        <is>
          <t>A06 - Consumer Services/Business to Business</t>
        </is>
      </c>
      <c r="I40" s="147" t="inlineStr">
        <is>
          <t>digital-presentation-images/media-mercado-ads-bait-boards.webp</t>
        </is>
      </c>
      <c r="J40" s="141" t="inlineStr">
        <is>
          <t>hLdCk8nEFcg</t>
        </is>
      </c>
      <c r="K40" s="127" t="n"/>
      <c r="L40" s="128" t="inlineStr">
        <is>
          <t>https://www.lovethework.com/work/entries/bait-boards-760974</t>
        </is>
      </c>
      <c r="M40" s="113" t="inlineStr">
        <is>
          <t>A media buy across Latin American billboards-for-rent — the kind that display only a phone number — that redirected every inbound call to an AI agent trained as a Mercado Ads expert. On each call, the agent cross-referenced the specific billboard's location and audience data against Mercado Ads inventory, showing the caller how a smaller digital investment could outperform the very billboard they'd just dialed.</t>
        </is>
      </c>
      <c r="N40" s="113" t="inlineStr">
        <is>
          <t>digital-advertising-platform, ooh, ai, technology, b2b, business, latin-america, argentina, phone, ambient</t>
        </is>
      </c>
    </row>
    <row r="41" ht="34.5" customHeight="1" s="34">
      <c r="A41" s="141" t="n">
        <v>2025</v>
      </c>
      <c r="B41" s="146" t="inlineStr">
        <is>
          <t>Bronze</t>
        </is>
      </c>
      <c r="C41" s="143" t="inlineStr">
        <is>
          <t>Sleep with Rain</t>
        </is>
      </c>
      <c r="D41" s="141" t="inlineStr">
        <is>
          <t>AT&amp;T Business</t>
        </is>
      </c>
      <c r="E41" s="141" t="inlineStr">
        <is>
          <t>AT&amp;T Business</t>
        </is>
      </c>
      <c r="F41" s="141" t="inlineStr">
        <is>
          <t>Critical Mass</t>
        </is>
      </c>
      <c r="G41" s="141" t="inlineStr">
        <is>
          <t>Canada</t>
        </is>
      </c>
      <c r="H41" s="80" t="inlineStr">
        <is>
          <t>A06 - Consumer Services/Business to Business</t>
        </is>
      </c>
      <c r="I41" s="128" t="inlineStr">
        <is>
          <t>https://ascentialcdn.filespin.io/api/v1/conversion/d0260b381fef4eeeb8801c1df7cf7a2d</t>
        </is>
      </c>
      <c r="J41" s="141" t="inlineStr">
        <is>
          <t>7rUF8izWxc8</t>
        </is>
      </c>
      <c r="K41" s="127" t="n"/>
      <c r="L41" s="128" t="inlineStr">
        <is>
          <t>https://www.lovethework.com/work/entries/sleep-with-rain-763538</t>
        </is>
      </c>
      <c r="M41" s="113" t="inlineStr">
        <is>
          <t>A social and influencer campaign built around the widespread habit of playing rain sounds to fall asleep — AT&amp;T Business co-opted the behavior by sponsoring or seeding rain-sound content tied to the reliability of its network. The connection drawn is between uninterrupted background audio and uninterrupted business connectivity.</t>
        </is>
      </c>
      <c r="N41" s="113" t="inlineStr">
        <is>
          <t>telecommunications, social-media, influencer, b2b, business, canada, audio, content-marketing, consumer-services</t>
        </is>
      </c>
    </row>
    <row r="42" ht="34.5" customHeight="1" s="34">
      <c r="A42" s="141" t="n">
        <v>2025</v>
      </c>
      <c r="B42" s="146" t="inlineStr">
        <is>
          <t>Bronze</t>
        </is>
      </c>
      <c r="C42" s="143" t="inlineStr">
        <is>
          <t>Ink of Democracy</t>
        </is>
      </c>
      <c r="D42" s="141" t="inlineStr">
        <is>
          <t>The Times of India</t>
        </is>
      </c>
      <c r="E42" s="141" t="inlineStr">
        <is>
          <t>Election Appeal</t>
        </is>
      </c>
      <c r="F42" s="141" t="inlineStr">
        <is>
          <t>Havas</t>
        </is>
      </c>
      <c r="G42" s="141" t="inlineStr">
        <is>
          <t>India</t>
        </is>
      </c>
      <c r="H42" s="80" t="inlineStr">
        <is>
          <t>B03 - Use of Print</t>
        </is>
      </c>
      <c r="I42" s="128" t="inlineStr">
        <is>
          <t>https://ascentialcdn.filespin.io/api/v1/conversion/1e8aea61826944b9a3dd3ed2db299576</t>
        </is>
      </c>
      <c r="J42" s="141" t="inlineStr">
        <is>
          <t>Y04IsSy9fCI</t>
        </is>
      </c>
      <c r="K42" s="127" t="n"/>
      <c r="L42" s="128" t="inlineStr">
        <is>
          <t>https://www.lovethework.com/work/entries/ink-of-democracy-745354</t>
        </is>
      </c>
      <c r="M42" s="113" t="inlineStr">
        <is>
          <t>A print campaign built around the indelible purple ink that India's Election Commission applies to every voter's finger after casting a ballot — The Times of India used that familiar mark as the visual and editorial centerpiece of its election coverage to appeal for voter turnout. Created with Havas Creative India, the campaign ran across the newspaper's print editions during India's general election season.</t>
        </is>
      </c>
      <c r="N42" s="113" t="inlineStr">
        <is>
          <t>newspaper, print, election, public-interest, india, voter-turnout, havas, civic-engagement</t>
        </is>
      </c>
    </row>
    <row r="43" ht="34.5" customHeight="1" s="34">
      <c r="A43" s="141" t="n">
        <v>2025</v>
      </c>
      <c r="B43" s="146" t="inlineStr">
        <is>
          <t>Bronze</t>
        </is>
      </c>
      <c r="C43" s="143" t="inlineStr">
        <is>
          <t>Boxed Ads</t>
        </is>
      </c>
      <c r="D43" s="141" t="inlineStr">
        <is>
          <t>Mercado Libre</t>
        </is>
      </c>
      <c r="E43" s="141" t="inlineStr">
        <is>
          <t>Mercado Libre</t>
        </is>
      </c>
      <c r="F43" s="141" t="inlineStr">
        <is>
          <t>Gut</t>
        </is>
      </c>
      <c r="G43" s="141" t="inlineStr">
        <is>
          <t>Argentina</t>
        </is>
      </c>
      <c r="H43" s="80" t="inlineStr">
        <is>
          <t>B04 - Use of Outdoor</t>
        </is>
      </c>
      <c r="I43" s="128" t="inlineStr">
        <is>
          <t>https://ascentialcdn.filespin.io/api/v1/conversion/7fbdb5c2391043e18032480b6a5a068b</t>
        </is>
      </c>
      <c r="J43" s="141" t="inlineStr">
        <is>
          <t>2t2ysywk3do</t>
        </is>
      </c>
      <c r="K43" s="127" t="n"/>
      <c r="L43" s="128" t="inlineStr">
        <is>
          <t>https://www.lovethework.com/work/entries/boxed-ads-761062</t>
        </is>
      </c>
      <c r="M43" s="113" t="inlineStr">
        <is>
          <t>An outdoor format that replaces traditional billboard space with the cardboard shipping boxes stacked behind it — Mercado Libre's branded packaging, visible above and around the boards, became the ad itself. Instead of buying poster space in Argentina's crowded urban environments, the campaign bought the storage real estate retailers use to pile surplus inventory directly behind existing billboards.</t>
        </is>
      </c>
      <c r="N43" s="113" t="inlineStr">
        <is>
          <t>e-commerce, ooh, packaging, argentina, ambient, retail-media, outdoor</t>
        </is>
      </c>
    </row>
    <row r="44" ht="34.5" customHeight="1" s="34">
      <c r="A44" s="141" t="n">
        <v>2025</v>
      </c>
      <c r="B44" s="146" t="inlineStr">
        <is>
          <t>Bronze</t>
        </is>
      </c>
      <c r="C44" s="143" t="inlineStr">
        <is>
          <t>Heinz Roller Shutter</t>
        </is>
      </c>
      <c r="D44" s="141" t="inlineStr">
        <is>
          <t>Heinz</t>
        </is>
      </c>
      <c r="E44" s="141" t="inlineStr">
        <is>
          <t>Ketchup</t>
        </is>
      </c>
      <c r="F44" s="141" t="inlineStr">
        <is>
          <t>Kraft Heinz</t>
        </is>
      </c>
      <c r="G44" s="141" t="inlineStr">
        <is>
          <t>China</t>
        </is>
      </c>
      <c r="H44" s="80" t="inlineStr">
        <is>
          <t>B05 - Small-Scale Media</t>
        </is>
      </c>
      <c r="I44" s="128" t="inlineStr">
        <is>
          <t>https://ascentialcdn.filespin.io/api/v1/conversion/12442b60aad54ce89573c747a787164d</t>
        </is>
      </c>
      <c r="J44" s="141" t="inlineStr">
        <is>
          <t>vimeo:1094886574/76a7dd4cff</t>
        </is>
      </c>
      <c r="K44" s="127" t="n"/>
      <c r="L44" s="128" t="inlineStr">
        <is>
          <t>https://www.lovethework.com/work/entries/heinz-roller-shutter-745293</t>
        </is>
      </c>
      <c r="M44" s="113" t="inlineStr">
        <is>
          <t>To grow ketchup usage in China's lower-tier cities, Heinz used Chinese New Year closures to turn local diner shutters into recipe-revealing billboards. Written in the voice of the owners, the shutters showed that beloved signature dishes were made with Heinz ketchup, while recipe handouts and free sachets helped families try it at home.</t>
        </is>
      </c>
      <c r="N44" s="113" t="inlineStr">
        <is>
          <t>packaged-goods, cpg, fmcg, food, condiment, ooh, china, partnership, restaurant, cultural-engagement</t>
        </is>
      </c>
    </row>
    <row r="45" ht="34.5" customHeight="1" s="34">
      <c r="A45" s="141" t="n">
        <v>2025</v>
      </c>
      <c r="B45" s="146" t="inlineStr">
        <is>
          <t>Bronze</t>
        </is>
      </c>
      <c r="C45" s="143" t="inlineStr">
        <is>
          <t>The Meal</t>
        </is>
      </c>
      <c r="D45" s="141" t="inlineStr">
        <is>
          <t>McDonald's</t>
        </is>
      </c>
      <c r="E45" s="141" t="inlineStr">
        <is>
          <t>Happy Meal</t>
        </is>
      </c>
      <c r="F45" s="141" t="inlineStr">
        <is>
          <t>Leo</t>
        </is>
      </c>
      <c r="G45" s="141" t="inlineStr">
        <is>
          <t>United Kingdom</t>
        </is>
      </c>
      <c r="H45" s="80" t="inlineStr">
        <is>
          <t>B05 - Small-Scale Media</t>
        </is>
      </c>
      <c r="I45" s="128" t="inlineStr">
        <is>
          <t>https://ascentialcdn.filespin.io/api/v1/conversion/5e2b835a636345e0a9110a3076d31dca</t>
        </is>
      </c>
      <c r="J45" s="141" t="inlineStr">
        <is>
          <t>YEPttzbn0Z0</t>
        </is>
      </c>
      <c r="K45" s="127" t="n"/>
      <c r="L45" s="128" t="inlineStr">
        <is>
          <t>https://www.lovethework.com/work/entries/the-meal-745474</t>
        </is>
      </c>
      <c r="M45" s="113" t="inlineStr">
        <is>
          <t>For UK Mental Health Awareness Week, McDonald's stripped the smile off the Happy Meal box — and renamed it simply 'The Meal' — to acknowledge it's normal for kids not to feel happy. Each box came with a strip of emotion stickers for children to express how they actually felt, with footballer Rio Ferdinand fronting the campaign in partnership with BBC Children in Need.</t>
        </is>
      </c>
      <c r="N45" s="113" t="inlineStr">
        <is>
          <t>qsr, fast-food, restaurant, food, mental-health, healthcare, medical, packaging, kids, partnership, united-kingdom, corporate-purpose, integrated</t>
        </is>
      </c>
    </row>
    <row r="46" ht="34.5" customHeight="1" s="34">
      <c r="A46" s="141" t="n">
        <v>2025</v>
      </c>
      <c r="B46" s="146" t="inlineStr">
        <is>
          <t>Bronze</t>
        </is>
      </c>
      <c r="C46" s="143" t="inlineStr">
        <is>
          <t>W1ng Cod3s</t>
        </is>
      </c>
      <c r="D46" s="141" t="inlineStr">
        <is>
          <t>Volaris Airlines</t>
        </is>
      </c>
      <c r="E46" s="141" t="inlineStr">
        <is>
          <t>Volaris Airlines</t>
        </is>
      </c>
      <c r="F46" s="141" t="inlineStr">
        <is>
          <t>Havas Hoy</t>
        </is>
      </c>
      <c r="G46" s="141" t="inlineStr">
        <is>
          <t>Mexico</t>
        </is>
      </c>
      <c r="H46" s="80" t="inlineStr">
        <is>
          <t>B06 - Large-Scale Media</t>
        </is>
      </c>
      <c r="I46" s="128" t="inlineStr">
        <is>
          <t>https://ascentialcdn.filespin.io/api/v1/conversion/e0c228ff0e134ebea6c5d9ba0440fe7a</t>
        </is>
      </c>
      <c r="J46" s="141" t="inlineStr">
        <is>
          <t>qsxzsAbHowQ</t>
        </is>
      </c>
      <c r="K46" s="127" t="n"/>
      <c r="L46" s="128" t="inlineStr">
        <is>
          <t>https://www.lovethework.com/work/entries/w1ng-cod3s-745433</t>
        </is>
      </c>
      <c r="M46" s="113" t="inlineStr">
        <is>
          <t>A discount mechanic built around the aircraft registration codes printed on airplane wings — codes that appear in 83% of in-flight window-seat photos but had previously gone unnoticed. Volaris invited passengers to photograph the wing code on their flight and redeem it for a discount on their next booking, turning an overlooked piece of livery into a loyalty trigger shared across social media.</t>
        </is>
      </c>
      <c r="N46" s="113" t="inlineStr">
        <is>
          <t>airline, social-media, user-generated-content, promotion, mexico, mobile, influencer, ooh</t>
        </is>
      </c>
    </row>
    <row r="47" ht="34.5" customHeight="1" s="34">
      <c r="A47" s="141" t="n">
        <v>2025</v>
      </c>
      <c r="B47" s="146" t="inlineStr">
        <is>
          <t>Bronze</t>
        </is>
      </c>
      <c r="C47" s="143" t="inlineStr">
        <is>
          <t>Airbnb Up-House</t>
        </is>
      </c>
      <c r="D47" s="141" t="inlineStr">
        <is>
          <t>Airbnb</t>
        </is>
      </c>
      <c r="E47" s="141" t="inlineStr">
        <is>
          <t>Airbnb Icons</t>
        </is>
      </c>
      <c r="F47" s="141" t="inlineStr">
        <is>
          <t>Weber Shandwick</t>
        </is>
      </c>
      <c r="G47" s="141" t="inlineStr">
        <is>
          <t>United States</t>
        </is>
      </c>
      <c r="H47" s="80" t="inlineStr">
        <is>
          <t>B06 - Large-Scale Media</t>
        </is>
      </c>
      <c r="I47" s="128" t="inlineStr">
        <is>
          <t>https://ascentialcdn.filespin.io/api/v1/conversion/2b13b666d8054d2b91c39276aa026ac6</t>
        </is>
      </c>
      <c r="J47" s="141" t="inlineStr">
        <is>
          <t>Rz2FWiJq4Mw</t>
        </is>
      </c>
      <c r="K47" s="127" t="n"/>
      <c r="L47" s="128" t="inlineStr">
        <is>
          <t>https://www.lovethework.com/work/entries/airbnb-up-house-745499</t>
        </is>
      </c>
      <c r="M47" s="113" t="inlineStr">
        <is>
          <t>A full-scale replica of the floating house from Pixar's Up — balloon cluster and all — built as a bookable Airbnb Icons listing in the United States. The structure was constructed at real scale and available for guests to stay in overnight, timed to the film's anniversary.</t>
        </is>
      </c>
      <c r="N47" s="113" t="inlineStr">
        <is>
          <t>airbnb, experiential, branded-venue, entertainment, united-states, large-scale-media, film-tie-in, pr-stunt</t>
        </is>
      </c>
    </row>
    <row r="48" ht="34.5" customHeight="1" s="34">
      <c r="A48" s="141" t="n">
        <v>2025</v>
      </c>
      <c r="B48" s="146" t="inlineStr">
        <is>
          <t>Bronze</t>
        </is>
      </c>
      <c r="C48" s="143" t="inlineStr">
        <is>
          <t>Touchboards Discount</t>
        </is>
      </c>
      <c r="D48" s="141" t="inlineStr">
        <is>
          <t>Itaú Unibanco</t>
        </is>
      </c>
      <c r="E48" s="141" t="inlineStr">
        <is>
          <t>Bank</t>
        </is>
      </c>
      <c r="F48" s="141" t="inlineStr">
        <is>
          <t>Africa Creative DDB</t>
        </is>
      </c>
      <c r="G48" s="141" t="inlineStr">
        <is>
          <t>Brazil</t>
        </is>
      </c>
      <c r="H48" s="80" t="inlineStr">
        <is>
          <t>B07 - Use of Events &amp; Stunts</t>
        </is>
      </c>
      <c r="I48" s="128" t="inlineStr">
        <is>
          <t>https://ascentialcdn.filespin.io/api/v1/conversion/e14b84bfe13a475898db5ad4b54d8a97</t>
        </is>
      </c>
      <c r="J48" s="141" t="inlineStr">
        <is>
          <t>vimeo:1136599182</t>
        </is>
      </c>
      <c r="K48" s="127" t="n"/>
      <c r="L48" s="128" t="inlineStr">
        <is>
          <t>https://www.lovethework.com/work/entries/touchboards-discount-745407</t>
        </is>
      </c>
      <c r="M48" s="113" t="inlineStr">
        <is>
          <t>Interactive touchscreens installed on skatepark boards across Brazil that double as discount terminals — skaters tap their Itaú card on the board's surface to unlock deals at nearby local businesses. The installation places the bank's payment mechanic directly inside a space built around street culture and youth activity.</t>
        </is>
      </c>
      <c r="N48" s="113" t="inlineStr">
        <is>
          <t>banking, financial-services, finance, interactive-installation, ooh, youth, street-culture, skateboarding, brazil, experiential</t>
        </is>
      </c>
    </row>
    <row r="49" ht="34.5" customHeight="1" s="34">
      <c r="A49" s="141" t="n">
        <v>2025</v>
      </c>
      <c r="B49" s="146" t="inlineStr">
        <is>
          <t>Bronze</t>
        </is>
      </c>
      <c r="C49" s="143" t="inlineStr">
        <is>
          <t>Re-Commerce Atacama</t>
        </is>
      </c>
      <c r="D49" s="141" t="inlineStr">
        <is>
          <t>VTEX</t>
        </is>
      </c>
      <c r="E49" s="141" t="inlineStr">
        <is>
          <t>Re-Commerce Atacama</t>
        </is>
      </c>
      <c r="F49" s="141" t="inlineStr">
        <is>
          <t>Artplan</t>
        </is>
      </c>
      <c r="G49" s="141" t="inlineStr">
        <is>
          <t>Brazil</t>
        </is>
      </c>
      <c r="H49" s="80" t="inlineStr">
        <is>
          <t>B08 - Use of Digital Platforms</t>
        </is>
      </c>
      <c r="I49" s="128" t="inlineStr">
        <is>
          <t>https://ascentialcdn.filespin.io/api/v1/conversion/029792253daf49f2b2f5cce5c082ba68</t>
        </is>
      </c>
      <c r="J49" s="141" t="inlineStr">
        <is>
          <t>EpzZu_9Zudw</t>
        </is>
      </c>
      <c r="K49" s="127" t="n"/>
      <c r="L49" s="128" t="inlineStr">
        <is>
          <t>https://www.lovethework.com/work/entries/re-commerce-atacama-745730</t>
        </is>
      </c>
      <c r="M49" s="113" t="inlineStr">
        <is>
          <t>An e-commerce platform built by VTEX and Artplan to sell discarded fast-fashion garments dumped in Chile's Atacama Desert — one of the world's largest textile waste sites — directly to global buyers. By routing unsold and abandoned clothing through a re-commerce storefront, the project turned a landfill into a live digital inventory.</t>
        </is>
      </c>
      <c r="N49" s="113" t="inlineStr">
        <is>
          <t>e-commerce, digital-platform, circular-economy, fast-fashion-waste, retail, brazil, chile, sustainability, b2b-platform</t>
        </is>
      </c>
    </row>
    <row r="50" ht="34.5" customHeight="1" s="34">
      <c r="A50" s="141" t="n">
        <v>2025</v>
      </c>
      <c r="B50" s="146" t="inlineStr">
        <is>
          <t>Bronze</t>
        </is>
      </c>
      <c r="C50" s="143" t="inlineStr">
        <is>
          <t>Airbnb Icons</t>
        </is>
      </c>
      <c r="D50" s="141" t="inlineStr">
        <is>
          <t>Airbnb</t>
        </is>
      </c>
      <c r="E50" s="141" t="inlineStr">
        <is>
          <t>Airbnb Icons</t>
        </is>
      </c>
      <c r="F50" s="141" t="inlineStr">
        <is>
          <t>Weber Shandwick</t>
        </is>
      </c>
      <c r="G50" s="141" t="inlineStr">
        <is>
          <t>United States</t>
        </is>
      </c>
      <c r="H50" s="80" t="inlineStr">
        <is>
          <t>B08 - Use of Digital Platforms</t>
        </is>
      </c>
      <c r="I50" s="128" t="inlineStr">
        <is>
          <t>https://ascentialcdn.filespin.io/api/v1/conversion/db51bea9a01d40108f74e1fa9bd7ad3f</t>
        </is>
      </c>
      <c r="J50" s="141" t="inlineStr">
        <is>
          <t>Rz2FWiJq4Mw</t>
        </is>
      </c>
      <c r="K50" s="127" t="n"/>
      <c r="L50" s="128" t="inlineStr">
        <is>
          <t>https://www.lovethework.com/work/entries/airbnb-icons-745739</t>
        </is>
      </c>
      <c r="M50" s="113" t="inlineStr">
        <is>
          <t>A permanent Airbnb category of pop-culture stays built with film studios and celebrities — Pixar's Up house lifted by balloons, the X-Men mansion, a serenade from Doja Cat. The 11 launch experiences were either free or priced under $100, recasting media partnerships as bookable places to spend the night.</t>
        </is>
      </c>
      <c r="N50" s="113" t="inlineStr">
        <is>
          <t>travel, tourism, sponsorship, partnership, ip, celebrity, branded-experience, united-states, platform</t>
        </is>
      </c>
    </row>
    <row r="51" ht="34.5" customHeight="1" s="34">
      <c r="A51" s="141" t="n">
        <v>2025</v>
      </c>
      <c r="B51" s="146" t="inlineStr">
        <is>
          <t>Bronze</t>
        </is>
      </c>
      <c r="C51" s="143" t="inlineStr">
        <is>
          <t>Reshaping Rugby: The World's First TikTok Final</t>
        </is>
      </c>
      <c r="D51" s="141" t="inlineStr">
        <is>
          <t>2Degrees</t>
        </is>
      </c>
      <c r="E51" s="141" t="inlineStr">
        <is>
          <t>2Degrees Mobile</t>
        </is>
      </c>
      <c r="F51" s="141" t="inlineStr">
        <is>
          <t>TBWA\New Zealand</t>
        </is>
      </c>
      <c r="G51" s="141" t="inlineStr">
        <is>
          <t>New Zealand</t>
        </is>
      </c>
      <c r="H51" s="80" t="inlineStr">
        <is>
          <t>B09 - Use of Mobile</t>
        </is>
      </c>
      <c r="I51" s="128" t="inlineStr">
        <is>
          <t>https://ascentialcdn.filespin.io/api/v1/conversion/2a4269c3a4f744c88133f4bc79e63794</t>
        </is>
      </c>
      <c r="J51" s="141" t="inlineStr">
        <is>
          <t>yefnOIEivmQ</t>
        </is>
      </c>
      <c r="K51" s="127" t="n"/>
      <c r="L51" s="128" t="inlineStr">
        <is>
          <t>https://www.lovethework.com/work/entries/reshaping-rugby-the-worlds-first-tiktok-final-745671</t>
        </is>
      </c>
      <c r="M51" s="113" t="inlineStr">
        <is>
          <t>A live rugby final broadcast produced entirely in vertical format for TikTok, with bespoke commentary and real-time interactive features built for the platform's native environment. 2Degrees, the naming-rights sponsor of the 2Degrees Mobile Premiership in New Zealand, partnered with TBWA\New Zealand to shoot and stream the match specifically for TikTok rather than adapting an existing broadcast.</t>
        </is>
      </c>
      <c r="N51" s="113" t="inlineStr">
        <is>
          <t>mobile, tiktok, rugby, live-broadcast, vertical-video, sports-sponsorship, new-zealand, mobile-network</t>
        </is>
      </c>
    </row>
    <row r="52" ht="34.5" customHeight="1" s="34">
      <c r="A52" s="141" t="n">
        <v>2025</v>
      </c>
      <c r="B52" s="146" t="inlineStr">
        <is>
          <t>Bronze</t>
        </is>
      </c>
      <c r="C52" s="143" t="inlineStr">
        <is>
          <t>One Second Ads</t>
        </is>
      </c>
      <c r="D52" s="141" t="inlineStr">
        <is>
          <t>Budweiser</t>
        </is>
      </c>
      <c r="E52" s="141" t="inlineStr">
        <is>
          <t>Beer</t>
        </is>
      </c>
      <c r="F52" s="141" t="inlineStr">
        <is>
          <t>Africa Creative DDB</t>
        </is>
      </c>
      <c r="G52" s="141" t="inlineStr">
        <is>
          <t>Brazil</t>
        </is>
      </c>
      <c r="H52" s="80" t="inlineStr">
        <is>
          <t>B10 - Use of Social Platforms</t>
        </is>
      </c>
      <c r="I52" s="128" t="inlineStr">
        <is>
          <t>https://ascentialcdn.filespin.io/api/v1/conversion/7bea5da12c704fafb1e98229f26e85bb</t>
        </is>
      </c>
      <c r="J52" s="141" t="inlineStr">
        <is>
          <t>RpvlshoKIrE</t>
        </is>
      </c>
      <c r="K52" s="127" t="n"/>
      <c r="L52" s="128" t="inlineStr">
        <is>
          <t>https://www.lovethework.com/work/entries/one-second-ads-745740</t>
        </is>
      </c>
      <c r="M52" s="113" t="inlineStr">
        <is>
          <t>A series of one-second social media ads built around the opening note or two of globally recognized songs — from Beyoncé and Taylor Swift to The Beatles and Foo Fighters — short enough that true fans could identify the track but too brief to trigger music licensing fees. Budweiser challenged viewers on social media to name the song, rewarding correct guessers with a beer coupon sent via DM, which turned the comment sections into active guessing threads and kept viewers replaying the ads voluntarily.</t>
        </is>
      </c>
      <c r="N52" s="113" t="inlineStr">
        <is>
          <t>beer, alcohol, social-media, audio, music, entertainment, short-form-video, brazil, user-participation, mobile</t>
        </is>
      </c>
    </row>
    <row r="53" ht="34.5" customHeight="1" s="34">
      <c r="A53" s="141" t="n">
        <v>2025</v>
      </c>
      <c r="B53" s="146" t="inlineStr">
        <is>
          <t>Bronze</t>
        </is>
      </c>
      <c r="C53" s="143" t="inlineStr">
        <is>
          <t>Just Joking</t>
        </is>
      </c>
      <c r="D53" s="141" t="inlineStr">
        <is>
          <t>Sandy Hook Promise</t>
        </is>
      </c>
      <c r="E53" s="141" t="inlineStr">
        <is>
          <t>Sandy Hook Promise</t>
        </is>
      </c>
      <c r="F53" s="141" t="inlineStr">
        <is>
          <t>PHD</t>
        </is>
      </c>
      <c r="G53" s="141" t="inlineStr">
        <is>
          <t>United States</t>
        </is>
      </c>
      <c r="H53" s="80" t="inlineStr">
        <is>
          <t>B11 - Innovative Use of Influencers/Creators</t>
        </is>
      </c>
      <c r="I53" s="128" t="inlineStr">
        <is>
          <t>https://ascentialcdn.filespin.io/api/v1/conversion/c71743fc60654f52936a39391c93e6b7</t>
        </is>
      </c>
      <c r="J53" s="141" t="inlineStr">
        <is>
          <t>g0qM5Cp7sTQ</t>
        </is>
      </c>
      <c r="K53" s="127" t="n"/>
      <c r="L53" s="128" t="inlineStr">
        <is>
          <t>https://www.lovethework.com/work/entries/just-joking-745651</t>
        </is>
      </c>
      <c r="M53" s="113" t="inlineStr">
        <is>
          <t>A PSA starring nine stand-up comedians — including Billy Eichner, Wanda Sykes, Margaret Cho, and Roy Wood Jr. — each delivering what appears to be a joke, until the punchline turns out to be a school shooting threat that was dismissed as humor. The film is built around the statistic that 80% of school shooters tell someone about their plans beforehand, and the social habit of brushing those statements off as comedy. Directed by Henry-Alex Rubin and produced with BBDO New York and SMUGGLER.</t>
        </is>
      </c>
      <c r="N53" s="113" t="inlineStr">
        <is>
          <t>gun-violence-prevention, film, cinema, entertainment, influencer, comedy, public-service, united-states, school-safety, nonprofit</t>
        </is>
      </c>
    </row>
    <row r="54" ht="34.5" customHeight="1" s="34">
      <c r="A54" s="141" t="n">
        <v>2025</v>
      </c>
      <c r="B54" s="146" t="inlineStr">
        <is>
          <t>Bronze</t>
        </is>
      </c>
      <c r="C54" s="143" t="inlineStr">
        <is>
          <t>Garuda Rakshak</t>
        </is>
      </c>
      <c r="D54" s="141" t="inlineStr">
        <is>
          <t>DSP Mutual Funds</t>
        </is>
      </c>
      <c r="E54" s="141" t="inlineStr">
        <is>
          <t>Mutual Funds</t>
        </is>
      </c>
      <c r="F54" s="141" t="inlineStr">
        <is>
          <t>Dentsu Creative</t>
        </is>
      </c>
      <c r="G54" s="141" t="inlineStr">
        <is>
          <t>India</t>
        </is>
      </c>
      <c r="H54" s="80" t="inlineStr">
        <is>
          <t>B12 - New Realities &amp; Emerging Tech</t>
        </is>
      </c>
      <c r="I54" s="128" t="inlineStr">
        <is>
          <t>https://ascentialcdn.filespin.io/api/v1/conversion/fd608adb8feb426fab936573ef6661c0</t>
        </is>
      </c>
      <c r="J54" s="141" t="inlineStr">
        <is>
          <t>dgo176RMzTA</t>
        </is>
      </c>
      <c r="K54" s="127" t="n"/>
      <c r="L54" s="128" t="inlineStr">
        <is>
          <t>https://www.lovethework.com/work/entries/garuda-rakshak-758736</t>
        </is>
      </c>
      <c r="M54" s="113" t="inlineStr">
        <is>
          <t>An AR-powered missing-child recovery system deployed at the 2025 Purna Maha Kumbh in India, where crowd density made conventional tracking technology unreliable. Volunteers equipped with smartphones used the Garuda Rakshak app — built by Dentsu Creative India for DSP Mutual Funds — to scan crowds and match faces against a database of reported missing children in real time.</t>
        </is>
      </c>
      <c r="N54" s="113" t="inlineStr">
        <is>
          <t>mutual-fund, mobile-app, augmented-reality, public-service, emerging-tech, india, face-recognition, event-activation</t>
        </is>
      </c>
    </row>
    <row r="55" ht="34.5" customHeight="1" s="34">
      <c r="A55" s="141" t="n">
        <v>2025</v>
      </c>
      <c r="B55" s="146" t="inlineStr">
        <is>
          <t>Bronze</t>
        </is>
      </c>
      <c r="C55" s="143" t="inlineStr">
        <is>
          <t>Certified Toasters</t>
        </is>
      </c>
      <c r="D55" s="141" t="inlineStr">
        <is>
          <t>Goodman Fielder</t>
        </is>
      </c>
      <c r="E55" s="141" t="inlineStr">
        <is>
          <t>Vogel's</t>
        </is>
      </c>
      <c r="F55" s="141" t="inlineStr">
        <is>
          <t>DDB New Zealand</t>
        </is>
      </c>
      <c r="G55" s="141" t="inlineStr">
        <is>
          <t>New Zealand</t>
        </is>
      </c>
      <c r="H55" s="80" t="inlineStr">
        <is>
          <t>B13 - Retail Media</t>
        </is>
      </c>
      <c r="I55" s="128" t="inlineStr">
        <is>
          <t>https://ascentialcdn.filespin.io/api/v1/conversion/8adbba54b1ee4132ba0f1dc7f1572480</t>
        </is>
      </c>
      <c r="J55" s="141" t="inlineStr">
        <is>
          <t>5NNhDRF-BUY</t>
        </is>
      </c>
      <c r="K55" s="127" t="n"/>
      <c r="L55" s="128" t="inlineStr">
        <is>
          <t>https://www.lovethework.com/work/entries/certified-toasters-745904</t>
        </is>
      </c>
      <c r="M55" s="113" t="inlineStr">
        <is>
          <t>Vogel's bread tested every toaster sold at New Zealand's largest discount retailer, The Warehouse, to find the exact setting for a slice of Vogel's on each model. The result was a 'Certified Toasters' sticker applied in-store, listing the right time and dial position for that specific toaster — turning the retail aisle into a usage guide.</t>
        </is>
      </c>
      <c r="N55" s="113" t="inlineStr">
        <is>
          <t>retail, partnership, packaged-goods, cpg, fmcg, ooh, bread, food, new-zealand, customer-acquisition, in-store</t>
        </is>
      </c>
    </row>
    <row r="56" ht="34.5" customHeight="1" s="34">
      <c r="A56" s="141" t="n">
        <v>2025</v>
      </c>
      <c r="B56" s="146" t="inlineStr">
        <is>
          <t>Bronze</t>
        </is>
      </c>
      <c r="C56" s="143" t="inlineStr">
        <is>
          <t>Most Likely To</t>
        </is>
      </c>
      <c r="D56" s="141" t="inlineStr">
        <is>
          <t>Dove</t>
        </is>
      </c>
      <c r="E56" s="141" t="inlineStr">
        <is>
          <t>Dove Brand</t>
        </is>
      </c>
      <c r="F56" s="141" t="inlineStr">
        <is>
          <t>Ogilvy</t>
        </is>
      </c>
      <c r="G56" s="141" t="inlineStr">
        <is>
          <t>Canada</t>
        </is>
      </c>
      <c r="H56" s="80" t="inlineStr">
        <is>
          <t>C01 - Audience Insights</t>
        </is>
      </c>
      <c r="I56" s="128" t="inlineStr">
        <is>
          <t>https://ascentialcdn.filespin.io/api/v1/conversion/b5a17a1c03144e94967336e3b40cf303</t>
        </is>
      </c>
      <c r="J56" s="141" t="inlineStr">
        <is>
          <t>z68efvxyj3M</t>
        </is>
      </c>
      <c r="K56" s="127" t="n"/>
      <c r="L56" s="128" t="inlineStr">
        <is>
          <t>https://www.lovethework.com/work/entries/most-likely-to-759006</t>
        </is>
      </c>
      <c r="M56" s="113" t="inlineStr">
        <is>
          <t>Dove turned body confidence from a brand message into school policy by creating accredited 'confidence classes' designed to improve girls' self-esteem and body image. A powerful film, shot in one continuous take with real students, showed the daily pressure girls face and pushed schools to add confidence to the curriculum.</t>
        </is>
      </c>
      <c r="N56" s="113" t="inlineStr">
        <is>
          <t>personal-care, beauty, social-good, film, cinema, entertainment, partnership, education, body-confidence, schools, integrated</t>
        </is>
      </c>
    </row>
    <row r="57" ht="34.5" customHeight="1" s="34">
      <c r="A57" s="141" t="n">
        <v>2025</v>
      </c>
      <c r="B57" s="146" t="inlineStr">
        <is>
          <t>Bronze</t>
        </is>
      </c>
      <c r="C57" s="143" t="inlineStr">
        <is>
          <t>The Final Exam</t>
        </is>
      </c>
      <c r="D57" s="141" t="inlineStr">
        <is>
          <t>Change the Ref</t>
        </is>
      </c>
      <c r="E57" s="141" t="inlineStr">
        <is>
          <t>Pro Bono</t>
        </is>
      </c>
      <c r="F57" s="141" t="inlineStr">
        <is>
          <t>Energy BBDO</t>
        </is>
      </c>
      <c r="G57" s="141" t="inlineStr">
        <is>
          <t>United States</t>
        </is>
      </c>
      <c r="H57" s="80" t="inlineStr">
        <is>
          <t>C01 - Audience Insights</t>
        </is>
      </c>
      <c r="I57" s="128" t="inlineStr">
        <is>
          <t>https://ascentialcdn.filespin.io/api/v1/conversion/615e3a15eabf457d91d317468a12d825</t>
        </is>
      </c>
      <c r="J57" s="141" t="inlineStr">
        <is>
          <t>Ljsstj4eiko</t>
        </is>
      </c>
      <c r="K57" s="127" t="n"/>
      <c r="L57" s="128" t="inlineStr">
        <is>
          <t>https://www.lovethework.com/work/entries/the-final-exam-761059</t>
        </is>
      </c>
      <c r="M57" s="113" t="inlineStr">
        <is>
          <t>A playable PC game in which the player tries to survive a U.S. school shooting. Every level is reconstructed from real architectural layouts and eyewitness accounts from Columbine, Parkland, and Sandy Hook; survival depends on finding five actual U.S. gun-safety bills hidden as in-game items. Premiered at TwitchCon.</t>
        </is>
      </c>
      <c r="N57" s="113" t="inlineStr">
        <is>
          <t>gaming, video-games, entertainment, gun-violence, social-good, not-for-profit, charity, ngo, activism, united-states, twitch, advocacy</t>
        </is>
      </c>
    </row>
    <row r="58" ht="34.5" customHeight="1" s="34">
      <c r="A58" s="141" t="n">
        <v>2025</v>
      </c>
      <c r="B58" s="146" t="inlineStr">
        <is>
          <t>Bronze</t>
        </is>
      </c>
      <c r="C58" s="143" t="inlineStr">
        <is>
          <t>TikTok University</t>
        </is>
      </c>
      <c r="D58" s="141" t="inlineStr">
        <is>
          <t>Haaga-Helia University of Applied Sciences</t>
        </is>
      </c>
      <c r="E58" s="141" t="inlineStr">
        <is>
          <t>University Education</t>
        </is>
      </c>
      <c r="F58" s="141" t="inlineStr">
        <is>
          <t>BOB the Robot</t>
        </is>
      </c>
      <c r="G58" s="141" t="inlineStr">
        <is>
          <t>Finland</t>
        </is>
      </c>
      <c r="H58" s="80" t="inlineStr">
        <is>
          <t>C04 - Use of Branded Content Created for Digital or Social</t>
        </is>
      </c>
      <c r="I58" s="128" t="inlineStr">
        <is>
          <t>https://ascentialcdn.filespin.io/api/v1/conversion/22c3eb49bf1f44e1a33da8051174a97d</t>
        </is>
      </c>
      <c r="J58" s="141" t="inlineStr">
        <is>
          <t>vimeo:1063165538</t>
        </is>
      </c>
      <c r="K58" s="127" t="n"/>
      <c r="L58" s="128" t="inlineStr">
        <is>
          <t>https://www.lovethework.com/work/entries/tiktok-university-745962</t>
        </is>
      </c>
      <c r="M58" s="113" t="inlineStr">
        <is>
          <t>A university course built and delivered entirely on TikTok, created by Haaga-Helia University of Applied Sciences with agency BOB the Robot — lectures, assignments, and student interaction conducted through the platform's native formats. The course made TikTok itself the campus, using its comment sections, duets, and video replies as the infrastructure for teaching and assessment.</t>
        </is>
      </c>
      <c r="N58" s="113" t="inlineStr">
        <is>
          <t>university-education, tiktok, social-media, finland, branded-content, digital, mobile-app</t>
        </is>
      </c>
    </row>
    <row r="59" ht="34.5" customHeight="1" s="34">
      <c r="A59" s="141" t="n">
        <v>2025</v>
      </c>
      <c r="B59" s="146" t="inlineStr">
        <is>
          <t>Bronze</t>
        </is>
      </c>
      <c r="C59" s="143" t="inlineStr">
        <is>
          <t>The Lucky Sponsor</t>
        </is>
      </c>
      <c r="D59" s="141" t="inlineStr">
        <is>
          <t>Schneider</t>
        </is>
      </c>
      <c r="E59" s="141" t="inlineStr">
        <is>
          <t>Schneider</t>
        </is>
      </c>
      <c r="F59" s="141" t="inlineStr">
        <is>
          <t>Mercado McCann</t>
        </is>
      </c>
      <c r="G59" s="141" t="inlineStr">
        <is>
          <t>Argentina</t>
        </is>
      </c>
      <c r="H59" s="80" t="inlineStr">
        <is>
          <t>D02 - Challenger Brand</t>
        </is>
      </c>
      <c r="I59" s="128" t="inlineStr">
        <is>
          <t>https://ascentialcdn.filespin.io/api/v1/conversion/f500d38d39d342dcafa1abd15497ccd1</t>
        </is>
      </c>
      <c r="J59" s="141" t="inlineStr">
        <is>
          <t>A6GYbemcJ5Q</t>
        </is>
      </c>
      <c r="K59" s="127" t="n"/>
      <c r="L59" s="128" t="inlineStr">
        <is>
          <t>https://www.lovethework.com/work/entries/the-lucky-sponsor-746083</t>
        </is>
      </c>
      <c r="M59" s="113" t="inlineStr">
        <is>
          <t>A sponsorship mechanic built around Argentina's amateur and local sports clubs, where Schneider beer entered as a "lucky sponsor" by showing up at games with no prior deal — turning the brand into an unplanned, spontaneous presence at grassroots sporting events across the country. Each appearance was captured and seeded across social media and traditional media, positioning the beer alongside local sport rather than the premium national or international properties typically owned by larger competitors.</t>
        </is>
      </c>
      <c r="N59" s="113" t="inlineStr">
        <is>
          <t>beer, alcohol, sponsorship, social-media, sports, challenger-brand, argentina, grassroots</t>
        </is>
      </c>
    </row>
    <row r="60" ht="34.5" customHeight="1" s="34">
      <c r="A60" s="141" t="n">
        <v>2025</v>
      </c>
      <c r="B60" s="146" t="inlineStr">
        <is>
          <t>Bronze</t>
        </is>
      </c>
      <c r="C60" s="143" t="inlineStr">
        <is>
          <t>McRib Mistakes</t>
        </is>
      </c>
      <c r="D60" s="141" t="inlineStr">
        <is>
          <t>McDonald's</t>
        </is>
      </c>
      <c r="E60" s="141" t="inlineStr">
        <is>
          <t>McRib</t>
        </is>
      </c>
      <c r="F60" s="141" t="inlineStr">
        <is>
          <t>Leo</t>
        </is>
      </c>
      <c r="G60" s="141" t="inlineStr">
        <is>
          <t>United Kingdom</t>
        </is>
      </c>
      <c r="H60" s="80" t="inlineStr">
        <is>
          <t>D03 - Single-Market Campaign</t>
        </is>
      </c>
      <c r="I60" s="128" t="inlineStr">
        <is>
          <t>https://ascentialcdn.filespin.io/api/v1/conversion/8fe9e09227234701bc8fd2eb2a743693</t>
        </is>
      </c>
      <c r="J60" s="141" t="inlineStr">
        <is>
          <t>r4hztxzXO4A</t>
        </is>
      </c>
      <c r="K60" s="127" t="n"/>
      <c r="L60" s="128" t="inlineStr">
        <is>
          <t>https://www.lovethework.com/work/entries/mcrib-mistakes-746027</t>
        </is>
      </c>
      <c r="M60" s="113" t="inlineStr">
        <is>
          <t>A staged series of "accidental" media placements used to announce the McRib's return to McDonald's UK menus after a ten-year absence — a push notification "mistakenly" sent to fans identified by their preference for BBQ sauce, followed by a billboard for the Big Mac with McRib artwork pasted over one panel, a McRib glitching mid-slot inside a McDonald's TV ad, and social posts obscured by BBQ sauce smears. Each planted error built on the last to sustain the appearance of an ongoing slip-up across out-of-home, broadcast, and social channels.</t>
        </is>
      </c>
      <c r="N60" s="113" t="inlineStr">
        <is>
          <t>fast-food, integrated, ooh, social-media, mobile-notification, television, stunt, united-kingdom, product-launch</t>
        </is>
      </c>
    </row>
    <row r="61" ht="34.5" customHeight="1" s="34">
      <c r="A61" s="141" t="n">
        <v>2025</v>
      </c>
      <c r="B61" s="146" t="inlineStr">
        <is>
          <t>Bronze</t>
        </is>
      </c>
      <c r="C61" s="143" t="inlineStr">
        <is>
          <t>Pub Museums</t>
        </is>
      </c>
      <c r="D61" s="141" t="inlineStr">
        <is>
          <t>Heineken</t>
        </is>
      </c>
      <c r="E61" s="141" t="inlineStr">
        <is>
          <t>Heineken</t>
        </is>
      </c>
      <c r="F61" s="141" t="inlineStr">
        <is>
          <t>LePub</t>
        </is>
      </c>
      <c r="G61" s="141" t="inlineStr">
        <is>
          <t>Italy</t>
        </is>
      </c>
      <c r="H61" s="80" t="inlineStr">
        <is>
          <t>D03 - Single-Market Campaign</t>
        </is>
      </c>
      <c r="I61" s="128" t="inlineStr">
        <is>
          <t>https://ascentialcdn.filespin.io/api/v1/conversion/86282110e23b4b43a6d78c517dc757a2</t>
        </is>
      </c>
      <c r="J61" s="141" t="inlineStr">
        <is>
          <t>Qp8Od1eQOt4</t>
        </is>
      </c>
      <c r="K61" s="127" t="n"/>
      <c r="L61" s="128" t="inlineStr">
        <is>
          <t>https://www.lovethework.com/work/entries/pub-museums-746077</t>
        </is>
      </c>
      <c r="M61" s="113" t="inlineStr">
        <is>
          <t>A legal reclassification scheme that registered historic Irish pubs as virtual museums under the Irish Heritage Council's protected-status framework — a designation that unlocks tax support and financial benefits for sites open to the public. By creating navigable online museum experiences for qualifying pubs, Heineken and Publicis Dublin allowed struggling venues to access the same institutional protections given to heritage buildings.</t>
        </is>
      </c>
      <c r="N61" s="113" t="inlineStr">
        <is>
          <t>beer, alcohol, ireland, digital, heritage, single-market-campaign, public-relations, branded-utility, lepub</t>
        </is>
      </c>
    </row>
    <row r="62" ht="34.5" customHeight="1" s="34">
      <c r="A62" s="141" t="n">
        <v>2025</v>
      </c>
      <c r="B62" s="146" t="inlineStr">
        <is>
          <t>Bronze</t>
        </is>
      </c>
      <c r="C62" s="143" t="inlineStr">
        <is>
          <t>Lay's Bar Crawl</t>
        </is>
      </c>
      <c r="D62" s="141" t="inlineStr">
        <is>
          <t>Lay's</t>
        </is>
      </c>
      <c r="E62" s="141" t="inlineStr">
        <is>
          <t>Lay's</t>
        </is>
      </c>
      <c r="F62" s="141" t="inlineStr">
        <is>
          <t>Slap Global</t>
        </is>
      </c>
      <c r="G62" s="141" t="inlineStr">
        <is>
          <t>Argentina</t>
        </is>
      </c>
      <c r="H62" s="80" t="inlineStr">
        <is>
          <t>D05 - Use of Humour</t>
        </is>
      </c>
      <c r="I62" s="128" t="inlineStr">
        <is>
          <t>https://ascentialcdn.filespin.io/api/v1/conversion/cc887f9119c440728c26ede9e95b1ad2</t>
        </is>
      </c>
      <c r="J62" s="141" t="inlineStr">
        <is>
          <t>6_64y1AOhTM</t>
        </is>
      </c>
      <c r="K62" s="127" t="n"/>
      <c r="L62" s="128" t="inlineStr">
        <is>
          <t>https://www.lovethework.com/work/entries/lays-bar-crawl-746180</t>
        </is>
      </c>
      <c r="M62" s="113" t="inlineStr">
        <is>
          <t>To make Lay's the must-have snack for football viewing, the brand took its 'No Lay's, No Game' platform into bars with The Lay's Crawl. During a Champions League broadcast, Guillem Balague, Thierry Henry, and Alexia Putellas left the studio to find a bar serving Lay's, creating an unscripted entertainment moment that later expanded globally with Lionel Messi and Luis Suárez.</t>
        </is>
      </c>
      <c r="N62" s="113" t="inlineStr">
        <is>
          <t>snack, food, packaged-goods, cpg, fmcg, sport, football, soccer, sponsorship, partnership, ooh, global, broadcast, entertainment</t>
        </is>
      </c>
    </row>
    <row r="63" ht="34.5" customHeight="1" s="34">
      <c r="A63" s="141" t="n">
        <v>2025</v>
      </c>
      <c r="B63" s="146" t="inlineStr">
        <is>
          <t>Bronze</t>
        </is>
      </c>
      <c r="C63" s="143" t="inlineStr">
        <is>
          <t>Nature Shapes Britannia</t>
        </is>
      </c>
      <c r="D63" s="141" t="inlineStr">
        <is>
          <t>Britannia Industries Ltd.</t>
        </is>
      </c>
      <c r="E63" s="141" t="inlineStr">
        <is>
          <t>Britannia Sustainability</t>
        </is>
      </c>
      <c r="F63" s="141" t="inlineStr">
        <is>
          <t>Talented</t>
        </is>
      </c>
      <c r="G63" s="141" t="inlineStr">
        <is>
          <t>India</t>
        </is>
      </c>
      <c r="H63" s="80" t="inlineStr">
        <is>
          <t>D06 - Breakthrough on a Budget</t>
        </is>
      </c>
      <c r="I63" s="128" t="inlineStr">
        <is>
          <t>https://ascentialcdn.filespin.io/api/v1/conversion/716b17d07a0d40d2b7b2a29d2ae9e171</t>
        </is>
      </c>
      <c r="J63" s="141" t="inlineStr">
        <is>
          <t>dEC4Wo3ZlXQ</t>
        </is>
      </c>
      <c r="K63" s="127" t="n"/>
      <c r="L63" s="128" t="inlineStr">
        <is>
          <t>https://www.lovethework.com/work/entries/nature-shapes-britannia-746358</t>
        </is>
      </c>
      <c r="M63" s="113" t="inlineStr">
        <is>
          <t>An outdoor advertising format, developed with Coral Media and MOMS Outdoor, that redesigns billboard layouts to work around existing trees rather than removing them — bending, curving, and compressing the Britannia logotype to fit whatever space the tree's canopy and trunk leave available. Britannia and Talented then open-sourced the production manual so other advertisers could apply the same approach to their own OOH buys across India.</t>
        </is>
      </c>
      <c r="N63" s="113" t="inlineStr">
        <is>
          <t>sustainability, ooh, outdoor-advertising, typography, open-source, india, biscuit, food</t>
        </is>
      </c>
    </row>
    <row r="64" ht="34.5" customHeight="1" s="34">
      <c r="A64" s="141" t="n">
        <v>2025</v>
      </c>
      <c r="B64" s="146" t="inlineStr">
        <is>
          <t>Bronze</t>
        </is>
      </c>
      <c r="C64" s="143" t="inlineStr">
        <is>
          <t>Time to Live</t>
        </is>
      </c>
      <c r="D64" s="141" t="inlineStr">
        <is>
          <t>Australian Cancer Research Foundation</t>
        </is>
      </c>
      <c r="E64" s="141" t="inlineStr">
        <is>
          <t>ACRF Awareness Campaign</t>
        </is>
      </c>
      <c r="F64" s="141" t="inlineStr">
        <is>
          <t>The Ministry for Communication &amp; the Arts</t>
        </is>
      </c>
      <c r="G64" s="141" t="inlineStr">
        <is>
          <t>Australia</t>
        </is>
      </c>
      <c r="H64" s="80" t="inlineStr">
        <is>
          <t>D06 - Breakthrough on a Budget</t>
        </is>
      </c>
      <c r="I64" s="128" t="inlineStr">
        <is>
          <t>https://ascentialcdn.filespin.io/api/v1/conversion/a0abdebc363f41448dc18f7a9a9a55bb</t>
        </is>
      </c>
      <c r="J64" s="141" t="inlineStr">
        <is>
          <t>vimeo:1078276871</t>
        </is>
      </c>
      <c r="K64" s="127" t="n"/>
      <c r="L64" s="128" t="inlineStr">
        <is>
          <t>https://www.lovethework.com/work/entries/time-to-live-746240</t>
        </is>
      </c>
      <c r="M64" s="113" t="inlineStr">
        <is>
          <t>An immersive exhibition at Sydney's Carriageworks where visitors sat one-on-one with Emily — a terminally ill woman — for the three minutes a projected countdown clock gave them, before having to leave. The setup forced strangers into the experience of running out of time with someone who is dying, and routed donations to the Australian Cancer Research Foundation.</t>
        </is>
      </c>
      <c r="N64" s="113" t="inlineStr">
        <is>
          <t>not-for-profit, charity, ngo, social-good, exhibition, immersive, cancer, healthcare, medical, fundraising, australia, live-experience</t>
        </is>
      </c>
    </row>
    <row r="65" ht="34.5" customHeight="1" s="34">
      <c r="A65" s="141" t="n">
        <v>2025</v>
      </c>
      <c r="B65" s="146" t="inlineStr">
        <is>
          <t>Bronze</t>
        </is>
      </c>
      <c r="C65" s="143" t="inlineStr">
        <is>
          <t>Missed Birthdays</t>
        </is>
      </c>
      <c r="D65" s="141" t="inlineStr">
        <is>
          <t>Itv X Calm</t>
        </is>
      </c>
      <c r="E65" s="141" t="inlineStr">
        <is>
          <t>Itv X Calm</t>
        </is>
      </c>
      <c r="F65" s="141" t="inlineStr">
        <is>
          <t>adam&amp;eveDDB</t>
        </is>
      </c>
      <c r="G65" s="141" t="inlineStr">
        <is>
          <t>United Kingdom</t>
        </is>
      </c>
      <c r="H65" s="80" t="inlineStr">
        <is>
          <t>D07 - Corporate Purpose &amp; Social Responsibility</t>
        </is>
      </c>
      <c r="I65" s="128" t="inlineStr">
        <is>
          <t>https://ascentialcdn.filespin.io/api/v1/conversion/7349ab32362e4a798f3c0f3e9e70ead3</t>
        </is>
      </c>
      <c r="J65" s="141" t="inlineStr">
        <is>
          <t>ifZVZ4fX4gg</t>
        </is>
      </c>
      <c r="K65" s="127" t="n"/>
      <c r="L65" s="128" t="inlineStr">
        <is>
          <t>https://www.lovethework.com/work/entries/missed-birthdays-746384</t>
        </is>
      </c>
      <c r="M65" s="113" t="inlineStr">
        <is>
          <t>A live television moment built around a birthday cake — on what would have been Evelyn's 18th birthday, ITV broadcast a real-time celebration of a young person who died by suicide, with the candles, the cake, and the empty chair making visible the birthdays that families of suicide victims never get to mark. Created with mental health charity CALM (Campaign Against Living Miserably), the broadcast directed viewers to CALM's tools for supporting young people who may be struggling.</t>
        </is>
      </c>
      <c r="N65" s="113" t="inlineStr">
        <is>
          <t>live-advertising, television, mental-health, healthcare, medical, suicide-prevention, public-service, united-kingdom, charity, broadcast, entertainment</t>
        </is>
      </c>
    </row>
    <row r="66" ht="34.5" customHeight="1" s="34">
      <c r="A66" s="141" t="n">
        <v>2025</v>
      </c>
      <c r="B66" s="146" t="inlineStr">
        <is>
          <t>Bronze</t>
        </is>
      </c>
      <c r="C66" s="143" t="inlineStr">
        <is>
          <t>Safe Sketch</t>
        </is>
      </c>
      <c r="D66" s="141" t="inlineStr">
        <is>
          <t>Save the Children</t>
        </is>
      </c>
      <c r="E66" s="141" t="inlineStr">
        <is>
          <t>Save the Children 'Safe Sketch' Mobile App</t>
        </is>
      </c>
      <c r="F66" s="141" t="inlineStr">
        <is>
          <t>Cheil Hong Kong</t>
        </is>
      </c>
      <c r="G66" s="141" t="inlineStr">
        <is>
          <t>Hong Kong</t>
        </is>
      </c>
      <c r="H66" s="80" t="inlineStr">
        <is>
          <t>D07 - Corporate Purpose &amp; Social Responsibility</t>
        </is>
      </c>
      <c r="I66" s="128" t="inlineStr">
        <is>
          <t>https://ascentialcdn.filespin.io/api/v1/conversion/2b787b52c18a48968b47f3d07c59640d</t>
        </is>
      </c>
      <c r="J66" s="141" t="inlineStr">
        <is>
          <t>uv26WgWSh8g</t>
        </is>
      </c>
      <c r="K66" s="127" t="n"/>
      <c r="L66" s="128" t="inlineStr">
        <is>
          <t>https://www.lovethework.com/work/entries/safe-sketch-759544</t>
        </is>
      </c>
      <c r="M66" s="113" t="inlineStr">
        <is>
          <t>A mobile drawing app built for children to communicate experiences of abuse that they cannot yet put into words — as a child sketches, an AI layer analyzes the drawing in real time and flags visual patterns associated with trauma, domestic violence, or neglect, alerting a trained Save the Children caseworker. Developed by Cheil Hong Kong for Save the Children Hong Kong, the app addresses the gap between what young children witness and what they are able to verbally report to adults.</t>
        </is>
      </c>
      <c r="N66" s="113" t="inlineStr">
        <is>
          <t>save-the-children, mobile-app, child-safety, ai, technology, drawing, hong-kong, public-service, nonprofit, corporate-purpose</t>
        </is>
      </c>
    </row>
    <row r="67" ht="34.5" customHeight="1" s="34">
      <c r="A67" s="141" t="n">
        <v>2025</v>
      </c>
      <c r="B67" s="146" t="inlineStr">
        <is>
          <t>Bronze</t>
        </is>
      </c>
      <c r="C67" s="143" t="inlineStr">
        <is>
          <t>Timeout Against Hate</t>
        </is>
      </c>
      <c r="D67" s="141" t="inlineStr">
        <is>
          <t>Foundation to Combat Antisemitism</t>
        </is>
      </c>
      <c r="E67" s="141" t="inlineStr">
        <is>
          <t>Foundation to Combat Antisemitism</t>
        </is>
      </c>
      <c r="F67" s="141" t="inlineStr">
        <is>
          <t>Mindshare</t>
        </is>
      </c>
      <c r="G67" s="141" t="inlineStr">
        <is>
          <t>United States</t>
        </is>
      </c>
      <c r="H67" s="80" t="inlineStr">
        <is>
          <t>E02 - Media Planning</t>
        </is>
      </c>
      <c r="I67" s="128" t="inlineStr">
        <is>
          <t>https://ascentialcdn.filespin.io/api/v1/conversion/e43c43ae03f240ed8fbaf95002d5d795</t>
        </is>
      </c>
      <c r="J67" s="141" t="inlineStr">
        <is>
          <t>vimeo:1083894799</t>
        </is>
      </c>
      <c r="K67" s="127" t="n"/>
      <c r="L67" s="128" t="inlineStr">
        <is>
          <t>https://www.lovethework.com/work/entries/timeout-against-hate-746540</t>
        </is>
      </c>
      <c r="M67" s="113" t="inlineStr">
        <is>
          <t>A cross-league public service campaign built around the timeout gesture — the two-handed "T" signal — co-opted as a universal call against hate, with commissioners from the MLB, MLS, NBA, WNBA, NFL, NHL, NWSL, and NASCAR appearing together for the first time collectively. The campaign grew out of a closed-door meeting between Foundation to Combat Antisemitism founder Robert Kraft and those commissioners, with Mindshare handling media activation and VML leading creative.</t>
        </is>
      </c>
      <c r="N67" s="113" t="inlineStr">
        <is>
          <t>public-service, sports-sponsorship, television, multi-league, antisemitism, united-states, social-cause, gesture</t>
        </is>
      </c>
    </row>
    <row r="68">
      <c r="A68" s="33" t="n">
        <v>2026</v>
      </c>
      <c r="B68" s="168" t="inlineStr">
        <is>
          <t>Grand Prix</t>
        </is>
      </c>
      <c r="C68" s="107" t="inlineStr">
        <is>
          <t>Build Your Own Super Bowl Commercial</t>
        </is>
      </c>
      <c r="D68" s="33" t="inlineStr">
        <is>
          <t>Uber Eats</t>
        </is>
      </c>
      <c r="E68" s="33" t="inlineStr">
        <is>
          <t>Uber Eats</t>
        </is>
      </c>
      <c r="F68" s="33" t="inlineStr">
        <is>
          <t>Special</t>
        </is>
      </c>
      <c r="G68" s="33" t="inlineStr">
        <is>
          <t>United States</t>
        </is>
      </c>
      <c r="H68" s="33" t="inlineStr">
        <is>
          <t>B13 - Retail Media</t>
        </is>
      </c>
      <c r="I68" s="33" t="inlineStr">
        <is>
          <t>https://ascentialcdn.filespin.io/api/v1/conversion/feb18c5a4ddb409ca6311d452f75c0b6</t>
        </is>
      </c>
      <c r="J68" s="33" t="inlineStr">
        <is>
          <t>vimeo:1204133679</t>
        </is>
      </c>
      <c r="M68" s="33" t="inlineStr">
        <is>
          <t>The Media Grand Prix. For Uber Eats, Special turned the year's biggest one-way broadcast moment into an interactive one inside the app: ahead of the Super Bowl, Uber Eats wrote and produced more than 1,000 bespoke clips and 36 hours of unaired footage with a roster of celebrity cameos, letting users mix and match scenes to assemble their own personalised commercial and unlock deals.</t>
        </is>
      </c>
      <c r="N68" s="33" t="inlineStr">
        <is>
          <t>uber eats, food delivery, delivery, qsr, fast-food, restaurant, food, fast food, app, super bowl, interactive, personalisation, celebrities, retail media, united states, special, grand prix</t>
        </is>
      </c>
    </row>
    <row r="69">
      <c r="A69" s="33" t="n">
        <v>2026</v>
      </c>
      <c r="B69" s="169" t="inlineStr">
        <is>
          <t>Gold</t>
        </is>
      </c>
      <c r="C69" s="107" t="inlineStr">
        <is>
          <t>The KitKat Heist</t>
        </is>
      </c>
      <c r="D69" s="33" t="inlineStr">
        <is>
          <t>KitKat</t>
        </is>
      </c>
      <c r="E69" s="33" t="inlineStr">
        <is>
          <t>KitKat</t>
        </is>
      </c>
      <c r="F69" s="33" t="inlineStr">
        <is>
          <t>VML</t>
        </is>
      </c>
      <c r="G69" s="33" t="inlineStr">
        <is>
          <t>United Kingdom</t>
        </is>
      </c>
      <c r="H69" s="33" t="inlineStr">
        <is>
          <t>A01 - Consumer Goods</t>
        </is>
      </c>
      <c r="I69" s="33" t="inlineStr">
        <is>
          <t>https://ascentialcdn.filespin.io/api/v1/conversion/07975d54341b401c98b0c506f473b39b</t>
        </is>
      </c>
      <c r="J69" s="33" t="inlineStr">
        <is>
          <t>vimeo:1204147459</t>
        </is>
      </c>
      <c r="M69" s="33" t="inlineStr">
        <is>
          <t>A real-time earned-media play for KitKat by VML. A week before Easter the brand revealed that a truck carrying KitKat stock had been stolen and, rather than play it down, pushed the story into public view, then launched a 'Stolen KitKat Tracker' inviting people to become chocolate detectives by checking batch codes to help solve the crime.</t>
        </is>
      </c>
      <c r="N69" s="33" t="inlineStr">
        <is>
          <t>kitkat, chocolate, confectionery, candy, snack, packaged-goods, food, cpg, fmcg, nestle, heist, earned media, pr, real-time, social, gamification, united kingdom, vml, gold</t>
        </is>
      </c>
    </row>
    <row r="70">
      <c r="A70" s="33" t="n">
        <v>2026</v>
      </c>
      <c r="B70" s="169" t="inlineStr">
        <is>
          <t>Gold</t>
        </is>
      </c>
      <c r="C70" s="107" t="inlineStr">
        <is>
          <t>CeraVe - The New Face of Legs</t>
        </is>
      </c>
      <c r="D70" s="33" t="inlineStr">
        <is>
          <t>CeraVe</t>
        </is>
      </c>
      <c r="E70" s="33" t="inlineStr">
        <is>
          <t>Skincare</t>
        </is>
      </c>
      <c r="F70" s="33" t="inlineStr">
        <is>
          <t>Beauty Co-Lab + L'Oréal + Bolded</t>
        </is>
      </c>
      <c r="G70" s="33" t="inlineStr">
        <is>
          <t>United States</t>
        </is>
      </c>
      <c r="H70" s="33" t="inlineStr">
        <is>
          <t>A02 - Healthcare</t>
        </is>
      </c>
      <c r="I70" s="33" t="inlineStr">
        <is>
          <t>https://ascentialcdn.filespin.io/api/v1/conversion/50a088648df74b6f8c56c4b85285964e</t>
        </is>
      </c>
      <c r="J70" s="33" t="inlineStr">
        <is>
          <t>vimeo:1205275541</t>
        </is>
      </c>
      <c r="M70" s="33" t="inlineStr">
        <is>
          <t>A skincare campaign for CeraVe casting NBA star Kevin Durant as 'The New Face of Legs' after his notably unmoisturised ankles went viral, using humour and a transformation story to position CeraVe as the fix and announce Durant as a brand ambassador.</t>
        </is>
      </c>
      <c r="N70" s="33" t="inlineStr">
        <is>
          <t>cerave, skincare, personal-care, beauty, healthcare, personal care, loreal, kevin durant, nba, basketball, sports, celebrity, humour, legs, united states, beauty co-lab, gold</t>
        </is>
      </c>
    </row>
    <row r="71">
      <c r="A71" s="33" t="n">
        <v>2026</v>
      </c>
      <c r="B71" s="169" t="inlineStr">
        <is>
          <t>Gold</t>
        </is>
      </c>
      <c r="C71" s="107" t="inlineStr">
        <is>
          <t>Could Have Been a Heineken</t>
        </is>
      </c>
      <c r="D71" s="33" t="inlineStr">
        <is>
          <t>Heineken</t>
        </is>
      </c>
      <c r="E71" s="33" t="inlineStr">
        <is>
          <t>Heineken Beer</t>
        </is>
      </c>
      <c r="F71" s="33" t="inlineStr">
        <is>
          <t>LePub</t>
        </is>
      </c>
      <c r="G71" s="33" t="inlineStr">
        <is>
          <t>Italy</t>
        </is>
      </c>
      <c r="H71" s="33" t="inlineStr">
        <is>
          <t>B09 - Use of Mobile</t>
        </is>
      </c>
      <c r="I71" s="33" t="inlineStr">
        <is>
          <t>https://ascentialcdn.filespin.io/api/v1/conversion/bef8b8502abf4d76b2f0203705193dd8</t>
        </is>
      </c>
      <c r="J71" s="33" t="inlineStr">
        <is>
          <t>vimeo:1203492482</t>
        </is>
      </c>
      <c r="M71" s="33" t="inlineStr">
        <is>
          <t>For Heineken, LePub built on the idea that people spend hours a year listening to WhatsApp voice notes, turning those recordings into a prompt to put the phone down and reconnect over a beer in person rather than catching up by message.</t>
        </is>
      </c>
      <c r="N71" s="33" t="inlineStr">
        <is>
          <t>heineken, beer, alcohol, drinks, lager, whatsapp, voice notes, social, connection, mobile, moderation, italy, lepub, gold</t>
        </is>
      </c>
    </row>
    <row r="72">
      <c r="A72" s="33" t="n">
        <v>2026</v>
      </c>
      <c r="B72" s="169" t="inlineStr">
        <is>
          <t>Gold</t>
        </is>
      </c>
      <c r="C72" s="107" t="inlineStr">
        <is>
          <t>Defining Help</t>
        </is>
      </c>
      <c r="D72" s="33" t="inlineStr">
        <is>
          <t>Kids Help Phone</t>
        </is>
      </c>
      <c r="E72" s="33" t="inlineStr">
        <is>
          <t>Kids Help Phone</t>
        </is>
      </c>
      <c r="F72" s="33" t="inlineStr">
        <is>
          <t>McCann Canada</t>
        </is>
      </c>
      <c r="G72" s="33" t="inlineStr">
        <is>
          <t>Canada</t>
        </is>
      </c>
      <c r="H72" s="33" t="inlineStr">
        <is>
          <t>C05 - Data Integration</t>
        </is>
      </c>
      <c r="I72" s="33" t="inlineStr">
        <is>
          <t>https://ascentialcdn.filespin.io/api/v1/conversion/bdb4cc3622bf46aca03809acfbe29844</t>
        </is>
      </c>
      <c r="J72" s="33" t="inlineStr">
        <is>
          <t>cj1cc2JMQbA</t>
        </is>
      </c>
      <c r="M72" s="33" t="inlineStr">
        <is>
          <t>For Kids Help Phone, McCann Canada introduced the next chapter of the Feel Out Loud platform, anchored by a cinematic, music-video-style reinterpretation of The Beatles' 'Help!' to redefine what asking for help looks like and surface the mental-health crisis facing Canadian youth.</t>
        </is>
      </c>
      <c r="N72" s="33" t="inlineStr">
        <is>
          <t>kids help phone, mental health, youth, nonprofit, charity, helpline, the beatles, music, entertainment, film, cinema, data, canada, mccann canada, epitaph group, gold</t>
        </is>
      </c>
    </row>
    <row r="73">
      <c r="A73" s="33" t="n">
        <v>2026</v>
      </c>
      <c r="B73" s="169" t="inlineStr">
        <is>
          <t>Gold</t>
        </is>
      </c>
      <c r="C73" s="107" t="inlineStr">
        <is>
          <t>Could Have Been a Heineken</t>
        </is>
      </c>
      <c r="D73" s="33" t="inlineStr">
        <is>
          <t>Heineken</t>
        </is>
      </c>
      <c r="E73" s="33" t="inlineStr">
        <is>
          <t>Heineken Beer</t>
        </is>
      </c>
      <c r="F73" s="33" t="inlineStr">
        <is>
          <t>LePub</t>
        </is>
      </c>
      <c r="G73" s="33" t="inlineStr">
        <is>
          <t>Italy</t>
        </is>
      </c>
      <c r="H73" s="33" t="inlineStr">
        <is>
          <t>D04 - Social Behaviour</t>
        </is>
      </c>
      <c r="I73" s="33" t="inlineStr">
        <is>
          <t>https://ascentialcdn.filespin.io/api/v1/conversion/bef8b8502abf4d76b2f0203705193dd8</t>
        </is>
      </c>
      <c r="J73" s="33" t="inlineStr">
        <is>
          <t>vimeo:1203492482</t>
        </is>
      </c>
      <c r="M73" s="33" t="inlineStr">
        <is>
          <t>For Heineken, LePub built on the idea that people spend hours a year listening to WhatsApp voice notes, turning those recordings into a prompt to put the phone down and reconnect over a beer in person rather than catching up by message.</t>
        </is>
      </c>
      <c r="N73" s="33" t="inlineStr">
        <is>
          <t>heineken, beer, alcohol, drinks, lager, whatsapp, voice notes, social, connection, mobile, moderation, italy, lepub, gold</t>
        </is>
      </c>
    </row>
    <row r="74">
      <c r="A74" s="33" t="n">
        <v>2026</v>
      </c>
      <c r="B74" s="169" t="inlineStr">
        <is>
          <t>Gold</t>
        </is>
      </c>
      <c r="C74" s="107" t="inlineStr">
        <is>
          <t>Dark Mode Ads</t>
        </is>
      </c>
      <c r="D74" s="33" t="inlineStr">
        <is>
          <t>Plenitude</t>
        </is>
      </c>
      <c r="E74" s="33" t="inlineStr">
        <is>
          <t>Energy</t>
        </is>
      </c>
      <c r="F74" s="33" t="inlineStr">
        <is>
          <t>LePub</t>
        </is>
      </c>
      <c r="G74" s="33" t="inlineStr">
        <is>
          <t>Italy</t>
        </is>
      </c>
      <c r="H74" s="33" t="inlineStr">
        <is>
          <t>D08 - Market Disruption</t>
        </is>
      </c>
      <c r="I74" s="33" t="inlineStr">
        <is>
          <t>https://ascentialcdn.filespin.io/api/v1/conversion/3926b12bf30741feae22c0af44937148</t>
        </is>
      </c>
      <c r="J74" s="33" t="inlineStr">
        <is>
          <t>vimeo:1188653060</t>
        </is>
      </c>
      <c r="M74" s="33" t="inlineStr">
        <is>
          <t>For energy company Plenitude, LePub applied 'dark mode' design to advertising itself: switching the LED screens in store windows and digital out-of-home placements to dark backgrounds to cut the energy the screens consume, and inviting other brands to do the same.</t>
        </is>
      </c>
      <c r="N74" s="33" t="inlineStr">
        <is>
          <t>plenitude, eni, energy, utilities, sustainability, environment, dark mode, dooh, digital out of home, ooh, screens, design, italy, lepub, gold</t>
        </is>
      </c>
    </row>
    <row r="75">
      <c r="A75" s="33" t="n">
        <v>2026</v>
      </c>
      <c r="B75" s="169" t="inlineStr">
        <is>
          <t>Gold</t>
        </is>
      </c>
      <c r="C75" s="107" t="inlineStr">
        <is>
          <t>Defining Help</t>
        </is>
      </c>
      <c r="D75" s="33" t="inlineStr">
        <is>
          <t>Kids Help Phone</t>
        </is>
      </c>
      <c r="E75" s="33" t="inlineStr">
        <is>
          <t>Kids Help Phone</t>
        </is>
      </c>
      <c r="F75" s="33" t="inlineStr">
        <is>
          <t>Epitaph Group + McCann Canada</t>
        </is>
      </c>
      <c r="G75" s="33" t="inlineStr">
        <is>
          <t>Canada</t>
        </is>
      </c>
      <c r="H75" s="33" t="inlineStr">
        <is>
          <t>E05 - Use of Data &amp; Analytics</t>
        </is>
      </c>
      <c r="I75" s="33" t="inlineStr">
        <is>
          <t>https://ascentialcdn.filespin.io/api/v1/conversion/bdb4cc3622bf46aca03809acfbe29844</t>
        </is>
      </c>
      <c r="J75" s="33" t="inlineStr">
        <is>
          <t>cj1cc2JMQbA</t>
        </is>
      </c>
      <c r="M75" s="33" t="inlineStr">
        <is>
          <t>For Kids Help Phone, McCann Canada introduced the next chapter of the Feel Out Loud platform, anchored by a cinematic, music-video-style reinterpretation of The Beatles' 'Help!' to redefine what asking for help looks like and surface the mental-health crisis facing Canadian youth.</t>
        </is>
      </c>
      <c r="N75" s="33" t="inlineStr">
        <is>
          <t>kids help phone, mental health, youth, nonprofit, charity, helpline, the beatles, music, entertainment, film, cinema, data, canada, mccann canada, epitaph group, gold</t>
        </is>
      </c>
    </row>
    <row r="76">
      <c r="A76" s="33" t="n">
        <v>2026</v>
      </c>
      <c r="B76" s="170" t="inlineStr">
        <is>
          <t>Silver</t>
        </is>
      </c>
      <c r="C76" s="107" t="inlineStr">
        <is>
          <t>Spots for Shops</t>
        </is>
      </c>
      <c r="D76" s="33" t="inlineStr">
        <is>
          <t>Parkin</t>
        </is>
      </c>
      <c r="E76" s="33" t="inlineStr">
        <is>
          <t>Parking Spots</t>
        </is>
      </c>
      <c r="F76" s="33" t="inlineStr">
        <is>
          <t>FP7 McCann</t>
        </is>
      </c>
      <c r="G76" s="33" t="inlineStr">
        <is>
          <t>United Arab Emirates</t>
        </is>
      </c>
      <c r="H76" s="33" t="inlineStr">
        <is>
          <t>A06 - Consumer Services/Business to Business</t>
        </is>
      </c>
      <c r="I76" s="33" t="inlineStr">
        <is>
          <t>https://ascentialcdn.filespin.io/api/v1/conversion/583e2fde73464c9b8d16757af8ff4a1c</t>
        </is>
      </c>
      <c r="J76" s="33" t="inlineStr">
        <is>
          <t>vimeo:1188408425</t>
        </is>
      </c>
      <c r="M76" s="33" t="inlineStr">
        <is>
          <t>For Parkin, Dubai's largest paid-parking operator, FP7 McCann turned parking into a media and commerce channel: drivers validate their parking fees through the Parkin app by spending at neighbourhood small businesses, converting everyday parking stops into footfall and visibility for local shops.</t>
        </is>
      </c>
      <c r="N76" s="33" t="inlineStr">
        <is>
          <t>parkin, parking, mobility, transport, government, app, small business, local, retail media, commerce, dubai, united arab emirates, fp7 mccann, silver</t>
        </is>
      </c>
    </row>
    <row r="77">
      <c r="A77" s="33" t="n">
        <v>2026</v>
      </c>
      <c r="B77" s="170" t="inlineStr">
        <is>
          <t>Silver</t>
        </is>
      </c>
      <c r="C77" s="107" t="inlineStr">
        <is>
          <t>Prime Time 0.7</t>
        </is>
      </c>
      <c r="D77" s="33" t="inlineStr">
        <is>
          <t>Frecuencia Latina</t>
        </is>
      </c>
      <c r="E77" s="33" t="inlineStr">
        <is>
          <t>Frecuencia Latina</t>
        </is>
      </c>
      <c r="F77" s="33" t="inlineStr">
        <is>
          <t>Fahrenheit DDB</t>
        </is>
      </c>
      <c r="G77" s="33" t="inlineStr">
        <is>
          <t>Peru</t>
        </is>
      </c>
      <c r="H77" s="33" t="inlineStr">
        <is>
          <t>B01 - Use of Screens &amp; Audio Visual Platforms</t>
        </is>
      </c>
      <c r="I77" s="33" t="inlineStr">
        <is>
          <t>https://ascentialcdn.filespin.io/api/v1/conversion/be9865f9888f49d7832f089ce49a7b3f</t>
        </is>
      </c>
      <c r="J77" s="33" t="inlineStr">
        <is>
          <t>vimeo:1188326564</t>
        </is>
      </c>
      <c r="M77" s="33" t="inlineStr">
        <is>
          <t>For Peruvian broadcaster Frecuencia Latina, Fahrenheit DDB sped up prime-time programming by an imperceptible 0.7%, freeing up extra minutes within the schedule, time the channel could devote to additional content and messaging without viewers noticing the difference.</t>
        </is>
      </c>
      <c r="N77" s="33" t="inlineStr">
        <is>
          <t>frecuencia latina, latina, television, broadcast, entertainment, media, peru, prime time, scheduling, innovation, fahrenheit ddb, bronze</t>
        </is>
      </c>
    </row>
    <row r="78">
      <c r="A78" s="33" t="n">
        <v>2026</v>
      </c>
      <c r="B78" s="170" t="inlineStr">
        <is>
          <t>Silver</t>
        </is>
      </c>
      <c r="C78" s="107" t="inlineStr">
        <is>
          <t>Cheetos Thing-ertips</t>
        </is>
      </c>
      <c r="D78" s="33" t="inlineStr">
        <is>
          <t>Cheetos</t>
        </is>
      </c>
      <c r="E78" s="33" t="inlineStr">
        <is>
          <t>Cheetos</t>
        </is>
      </c>
      <c r="F78" s="33" t="inlineStr">
        <is>
          <t>Goodby Silverstein &amp; Partners + Netflix</t>
        </is>
      </c>
      <c r="G78" s="33" t="inlineStr">
        <is>
          <t>United States</t>
        </is>
      </c>
      <c r="H78" s="33" t="inlineStr">
        <is>
          <t>B04 - Use of Outdoor</t>
        </is>
      </c>
      <c r="I78" s="33" t="inlineStr">
        <is>
          <t>https://ascentialcdn.filespin.io/api/v1/conversion/0b0affb0f95343efaa957e21be71d74f</t>
        </is>
      </c>
      <c r="J78" s="33" t="inlineStr">
        <is>
          <t>AQREpnGLU_8</t>
        </is>
      </c>
      <c r="M78" s="33" t="inlineStr">
        <is>
          <t>A partnership tied to the second season of Netflix's 'Wednesday', for Cheetos by Goodby Silverstein &amp; Partners. Thing, the disembodied hand, became the official 'spokeshand', leaving the orange 'Thing-ertips of Cheetos' on shelves and fingers across the US, Brazil, Mexico and Canada alongside a limited-edition product.</t>
        </is>
      </c>
      <c r="N78" s="33" t="inlineStr">
        <is>
          <t>cheetos, snacks, chips, fmcg, food, frito-lay, pepsico, netflix, wednesday, entertainment, partnership, outdoor, united states, goodby silverstein &amp; partners, silver</t>
        </is>
      </c>
    </row>
    <row r="79">
      <c r="A79" s="33" t="n">
        <v>2026</v>
      </c>
      <c r="B79" s="170" t="inlineStr">
        <is>
          <t>Silver</t>
        </is>
      </c>
      <c r="C79" s="107" t="inlineStr">
        <is>
          <t>The Life-Saving Receipt</t>
        </is>
      </c>
      <c r="D79" s="33" t="inlineStr">
        <is>
          <t>Chorogusan for Children</t>
        </is>
      </c>
      <c r="E79" s="33" t="inlineStr">
        <is>
          <t>Chorogusan for Children</t>
        </is>
      </c>
      <c r="F79" s="33" t="inlineStr">
        <is>
          <t>DMinusOne</t>
        </is>
      </c>
      <c r="G79" s="33" t="inlineStr">
        <is>
          <t>South Korea</t>
        </is>
      </c>
      <c r="H79" s="33" t="inlineStr">
        <is>
          <t>B05 - Small-Scale Media</t>
        </is>
      </c>
      <c r="I79" s="33" t="inlineStr">
        <is>
          <t>https://ascentialcdn.filespin.io/api/v1/conversion/9bd3c4872af341d6a7f3946210e0ed84</t>
        </is>
      </c>
      <c r="J79" s="33" t="inlineStr">
        <is>
          <t>FB9AoYWpm6E</t>
        </is>
      </c>
      <c r="M79" s="33" t="inlineStr">
        <is>
          <t>For child-welfare organisation Chorogusan for Children, DMinusOne reached migrant families in South Korea through a special receipt printed only when parents buy childcare items such as diapers, formula or baby lotion; each receipt carries a QR code linking to free vaccinations, medical services and support programmes.</t>
        </is>
      </c>
      <c r="N79" s="33" t="inlineStr">
        <is>
          <t>chorogusan for children, children, nonprofit, charity, healthcare, migrants, receipt, retail, qr code, social good, south korea, dminusone, silver</t>
        </is>
      </c>
    </row>
    <row r="80">
      <c r="A80" s="33" t="n">
        <v>2026</v>
      </c>
      <c r="B80" s="170" t="inlineStr">
        <is>
          <t>Silver</t>
        </is>
      </c>
      <c r="C80" s="107" t="inlineStr">
        <is>
          <t>Field Barcode</t>
        </is>
      </c>
      <c r="D80" s="33" t="inlineStr">
        <is>
          <t>Mercado Livre</t>
        </is>
      </c>
      <c r="E80" s="33" t="inlineStr">
        <is>
          <t>Mercado Livre</t>
        </is>
      </c>
      <c r="F80" s="33" t="inlineStr">
        <is>
          <t>GUT</t>
        </is>
      </c>
      <c r="G80" s="33" t="inlineStr">
        <is>
          <t>Brazil</t>
        </is>
      </c>
      <c r="H80" s="33" t="inlineStr">
        <is>
          <t>B06 - Large-Scale Media</t>
        </is>
      </c>
      <c r="I80" s="33" t="inlineStr">
        <is>
          <t>https://ascentialcdn.filespin.io/api/v1/conversion/e1576add23df4c60823d2708ff070215</t>
        </is>
      </c>
      <c r="J80" s="33" t="inlineStr">
        <is>
          <t>vimeo:1186329990</t>
        </is>
      </c>
      <c r="M80" s="33" t="inlineStr">
        <is>
          <t>For Mercado Livre, GUT transformed the pitch of the Mercado Livre Arena Pacaembu into a giant, scannable barcode visible from the air and in broadcast, turning the football field into a promotional media channel for the marketplace.</t>
        </is>
      </c>
      <c r="N80" s="33" t="inlineStr">
        <is>
          <t>mercado livre, ecommerce, retail, online-shopping, marketplace, technology, football, soccer, sport, sports, stadium, barcode, large-scale media, ooh, brazil, gut, silver</t>
        </is>
      </c>
    </row>
    <row r="81">
      <c r="A81" s="33" t="n">
        <v>2026</v>
      </c>
      <c r="B81" s="170" t="inlineStr">
        <is>
          <t>Silver</t>
        </is>
      </c>
      <c r="C81" s="107" t="inlineStr">
        <is>
          <t>The Most Epic Watch Party Group</t>
        </is>
      </c>
      <c r="D81" s="33" t="inlineStr">
        <is>
          <t>Lay's</t>
        </is>
      </c>
      <c r="E81" s="33" t="inlineStr">
        <is>
          <t>Lay's</t>
        </is>
      </c>
      <c r="F81" s="33" t="inlineStr">
        <is>
          <t>Slap Global</t>
        </is>
      </c>
      <c r="G81" s="33" t="inlineStr">
        <is>
          <t>Argentina</t>
        </is>
      </c>
      <c r="H81" s="33" t="inlineStr">
        <is>
          <t>B08 - Use of Digital Platforms</t>
        </is>
      </c>
      <c r="I81" s="33" t="inlineStr">
        <is>
          <t>https://ascentialcdn.filespin.io/api/v1/conversion/54be476c57844c43a4b49ea795ae2dca</t>
        </is>
      </c>
      <c r="J81" s="33" t="inlineStr">
        <is>
          <t>vimeo:1192014627</t>
        </is>
      </c>
      <c r="M81" s="33" t="inlineStr">
        <is>
          <t>For Lay's, Slap Global turned football fandom into a single shared digital space, building a giant group chat / watch-party community where fans could follow the match together, with the snack brand hosting the conversation.</t>
        </is>
      </c>
      <c r="N81" s="33" t="inlineStr">
        <is>
          <t>lays, snacks, chips, crisps, fmcg, food, pepsico, frito-lay, football, soccer, sport, sports, watch party, group chat, social, digital platforms, argentina, slap global, silver</t>
        </is>
      </c>
    </row>
    <row r="82">
      <c r="A82" s="33" t="n">
        <v>2026</v>
      </c>
      <c r="B82" s="170" t="inlineStr">
        <is>
          <t>Silver</t>
        </is>
      </c>
      <c r="C82" s="107" t="inlineStr">
        <is>
          <t>The KitKat Heist</t>
        </is>
      </c>
      <c r="D82" s="33" t="inlineStr">
        <is>
          <t>KitKat</t>
        </is>
      </c>
      <c r="E82" s="33" t="inlineStr">
        <is>
          <t>KitKat</t>
        </is>
      </c>
      <c r="F82" s="33" t="inlineStr">
        <is>
          <t>VML</t>
        </is>
      </c>
      <c r="G82" s="33" t="inlineStr">
        <is>
          <t>United Kingdom</t>
        </is>
      </c>
      <c r="H82" s="33" t="inlineStr">
        <is>
          <t>B10 - Use of Social Platforms</t>
        </is>
      </c>
      <c r="I82" s="33" t="inlineStr">
        <is>
          <t>https://ascentialcdn.filespin.io/api/v1/conversion/07975d54341b401c98b0c506f473b39b</t>
        </is>
      </c>
      <c r="J82" s="33" t="inlineStr">
        <is>
          <t>vimeo:1204147459</t>
        </is>
      </c>
      <c r="M82" s="33" t="inlineStr">
        <is>
          <t>A real-time earned-media play for KitKat by VML. A week before Easter the brand revealed that a truck carrying KitKat stock had been stolen and, rather than play it down, pushed the story into public view, then launched a 'Stolen KitKat Tracker' inviting people to become chocolate detectives by checking batch codes to help solve the crime.</t>
        </is>
      </c>
      <c r="N82" s="33" t="inlineStr">
        <is>
          <t>kitkat, chocolate, confectionery, candy, snack, packaged-goods, food, cpg, fmcg, nestle, heist, earned media, pr, real-time, social, gamification, united kingdom, vml, gold</t>
        </is>
      </c>
    </row>
    <row r="83">
      <c r="A83" s="33" t="n">
        <v>2026</v>
      </c>
      <c r="B83" s="170" t="inlineStr">
        <is>
          <t>Silver</t>
        </is>
      </c>
      <c r="C83" s="107" t="inlineStr">
        <is>
          <t>Firecatchers</t>
        </is>
      </c>
      <c r="D83" s="33" t="inlineStr">
        <is>
          <t>Sapeurs Pompiers de France</t>
        </is>
      </c>
      <c r="E83" s="33" t="inlineStr">
        <is>
          <t>Sapeurs Pompiers de France</t>
        </is>
      </c>
      <c r="F83" s="33" t="inlineStr">
        <is>
          <t>Havas Play</t>
        </is>
      </c>
      <c r="G83" s="33" t="inlineStr">
        <is>
          <t>France</t>
        </is>
      </c>
      <c r="H83" s="33" t="inlineStr">
        <is>
          <t>B11 - Innovative Use of Influencers/Creators</t>
        </is>
      </c>
      <c r="I83" s="33" t="inlineStr">
        <is>
          <t>https://ascentialcdn.filespin.io/api/v1/conversion/824e93f2fb454ac78510e8a0096fad53</t>
        </is>
      </c>
      <c r="J83" s="33" t="inlineStr">
        <is>
          <t>YFSRJpoZHoU</t>
        </is>
      </c>
      <c r="M83" s="33" t="inlineStr">
        <is>
          <t>For the French firefighters (Sapeurs-Pompiers de France), Havas Play turned Twitch viewers into virtual fire spotters, streaming live cameras overlooking high-risk forest areas so gaming communities could help detect the first signs of smoke, supported by a music-video-style film.</t>
        </is>
      </c>
      <c r="N83" s="33" t="inlineStr">
        <is>
          <t>sapeurs pompiers de france, firefighters, emergency services, government, nonprofit, twitch, streaming, tv, entertainment, gaming, video-games, influencers, creators, wildfire, forest, france, havas play, silver</t>
        </is>
      </c>
    </row>
    <row r="84">
      <c r="A84" s="33" t="n">
        <v>2026</v>
      </c>
      <c r="B84" s="170" t="inlineStr">
        <is>
          <t>Silver</t>
        </is>
      </c>
      <c r="C84" s="107" t="inlineStr">
        <is>
          <t>TikTok Currency</t>
        </is>
      </c>
      <c r="D84" s="33" t="inlineStr">
        <is>
          <t>Verkkokauppa.com</t>
        </is>
      </c>
      <c r="E84" s="33" t="inlineStr">
        <is>
          <t>Electronics</t>
        </is>
      </c>
      <c r="F84" s="33" t="inlineStr">
        <is>
          <t>Bob The Robot</t>
        </is>
      </c>
      <c r="G84" s="33" t="inlineStr">
        <is>
          <t>Finland</t>
        </is>
      </c>
      <c r="H84" s="33" t="inlineStr">
        <is>
          <t>B11 - Innovative Use of Influencers/Creators</t>
        </is>
      </c>
      <c r="I84" s="33" t="inlineStr">
        <is>
          <t>https://ascentialcdn.filespin.io/api/v1/conversion/0a5f694ce4c8495b8b5b52039f937fff</t>
        </is>
      </c>
      <c r="J84" s="33" t="inlineStr">
        <is>
          <t>ixCFzDFLu_8</t>
        </is>
      </c>
      <c r="M84" s="33" t="inlineStr">
        <is>
          <t>For Finnish electronics retailer Verkkokauppa.com, Bob The Robot made TikTok views a form of currency: the view count on the brand's TikTok videos could be spent as discounts toward products, rewarding virality with real purchasing power.</t>
        </is>
      </c>
      <c r="N84" s="33" t="inlineStr">
        <is>
          <t>verkkokauppa.com, electronics, retail, ecommerce, online-shopping, technology, tiktok, social, creators, influencers, currency, discounts, finland, bob the robot, silver</t>
        </is>
      </c>
    </row>
    <row r="85">
      <c r="A85" s="33" t="n">
        <v>2026</v>
      </c>
      <c r="B85" s="170" t="inlineStr">
        <is>
          <t>Silver</t>
        </is>
      </c>
      <c r="C85" s="107" t="inlineStr">
        <is>
          <t>The Life-Saving Receipt</t>
        </is>
      </c>
      <c r="D85" s="33" t="inlineStr">
        <is>
          <t>Chorogusan for Children</t>
        </is>
      </c>
      <c r="E85" s="33" t="inlineStr">
        <is>
          <t>Chorogusan for Children</t>
        </is>
      </c>
      <c r="F85" s="33" t="inlineStr">
        <is>
          <t>DMinusOne</t>
        </is>
      </c>
      <c r="G85" s="33" t="inlineStr">
        <is>
          <t>South Korea</t>
        </is>
      </c>
      <c r="H85" s="33" t="inlineStr">
        <is>
          <t>C01 - Audience Insights</t>
        </is>
      </c>
      <c r="I85" s="33" t="inlineStr">
        <is>
          <t>https://ascentialcdn.filespin.io/api/v1/conversion/9bd3c4872af341d6a7f3946210e0ed84</t>
        </is>
      </c>
      <c r="J85" s="33" t="inlineStr">
        <is>
          <t>FB9AoYWpm6E</t>
        </is>
      </c>
      <c r="M85" s="33" t="inlineStr">
        <is>
          <t>For child-welfare organisation Chorogusan for Children, DMinusOne reached migrant families in South Korea through a special receipt printed only when parents buy childcare items such as diapers, formula or baby lotion; each receipt carries a QR code linking to free vaccinations, medical services and support programmes.</t>
        </is>
      </c>
      <c r="N85" s="33" t="inlineStr">
        <is>
          <t>chorogusan for children, children, nonprofit, charity, healthcare, migrants, receipt, retail, qr code, social good, south korea, dminusone, silver</t>
        </is>
      </c>
    </row>
    <row r="86">
      <c r="A86" s="33" t="n">
        <v>2026</v>
      </c>
      <c r="B86" s="170" t="inlineStr">
        <is>
          <t>Silver</t>
        </is>
      </c>
      <c r="C86" s="107" t="inlineStr">
        <is>
          <t>IKEA Preowned/Second-Hand Marketplace</t>
        </is>
      </c>
      <c r="D86" s="33" t="inlineStr">
        <is>
          <t>IKEA</t>
        </is>
      </c>
      <c r="E86" s="33" t="inlineStr">
        <is>
          <t>IKEA Second Hand Marketplace</t>
        </is>
      </c>
      <c r="F86" s="33" t="inlineStr">
        <is>
          <t>McCann Spain</t>
        </is>
      </c>
      <c r="G86" s="33" t="inlineStr">
        <is>
          <t>Spain</t>
        </is>
      </c>
      <c r="H86" s="33" t="inlineStr">
        <is>
          <t>C01 - Audience Insights</t>
        </is>
      </c>
      <c r="I86" s="33" t="inlineStr">
        <is>
          <t>https://ascentialcdn.filespin.io/api/v1/conversion/c430ec938e234228aa008afc2b75db2b</t>
        </is>
      </c>
      <c r="J86" s="33" t="inlineStr">
        <is>
          <t>cIr4nVS258M</t>
        </is>
      </c>
      <c r="M86" s="33" t="inlineStr">
        <is>
          <t>For IKEA, McCann Spain launched 'Preowned', a commission-free peer-to-peer marketplace for used IKEA furniture, and turned the brand's own advertising channels into classified ads for customers' second-hand pieces, advancing IKEA's circularity goal.</t>
        </is>
      </c>
      <c r="N86" s="33" t="inlineStr">
        <is>
          <t>ikea, furniture, home, retail, ingka, second hand, resale, circular economy, sustainability, marketplace, audience insights, spain, mccann spain, silver</t>
        </is>
      </c>
    </row>
    <row r="87">
      <c r="A87" s="33" t="n">
        <v>2026</v>
      </c>
      <c r="B87" s="170" t="inlineStr">
        <is>
          <t>Silver</t>
        </is>
      </c>
      <c r="C87" s="107" t="inlineStr">
        <is>
          <t>Serving Singles</t>
        </is>
      </c>
      <c r="D87" s="33" t="inlineStr">
        <is>
          <t>Knorr</t>
        </is>
      </c>
      <c r="E87" s="33" t="inlineStr">
        <is>
          <t>Knorr Masterbrand</t>
        </is>
      </c>
      <c r="F87" s="33" t="inlineStr">
        <is>
          <t>Frank</t>
        </is>
      </c>
      <c r="G87" s="33" t="inlineStr">
        <is>
          <t>United Kingdom</t>
        </is>
      </c>
      <c r="H87" s="33" t="inlineStr">
        <is>
          <t>C01 - Audience Insights</t>
        </is>
      </c>
      <c r="I87" s="33" t="inlineStr">
        <is>
          <t>https://ascentialcdn.filespin.io/api/v1/conversion/c6b2eebf269d42d29d08433cfb599ffb</t>
        </is>
      </c>
      <c r="J87" s="33" t="inlineStr">
        <is>
          <t>Pt6ksxmQ4qo</t>
        </is>
      </c>
      <c r="M87" s="33" t="inlineStr">
        <is>
          <t>For Knorr, Frank tapped the 'date my friend' social trend, enlisting friends and influencers to hype up their single friends' cooking skills, and paired it with a cook-together dating show that positions Knorr as a kitchen wingman in modern dating.</t>
        </is>
      </c>
      <c r="N87" s="33" t="inlineStr">
        <is>
          <t>knorr, food, cooking, seasoning, fmcg, unilever, dating, singles, romance, social, influencers, audience insights, united kingdom, frank, silver</t>
        </is>
      </c>
    </row>
    <row r="88">
      <c r="A88" s="33" t="n">
        <v>2026</v>
      </c>
      <c r="B88" s="170" t="inlineStr">
        <is>
          <t>Silver</t>
        </is>
      </c>
      <c r="C88" s="107" t="inlineStr">
        <is>
          <t>Defining Help</t>
        </is>
      </c>
      <c r="D88" s="33" t="inlineStr">
        <is>
          <t>Kids Help Phone</t>
        </is>
      </c>
      <c r="E88" s="33" t="inlineStr">
        <is>
          <t>Kids Help Phone</t>
        </is>
      </c>
      <c r="F88" s="33" t="inlineStr">
        <is>
          <t>McCann Canada</t>
        </is>
      </c>
      <c r="G88" s="33" t="inlineStr">
        <is>
          <t>Canada</t>
        </is>
      </c>
      <c r="H88" s="33" t="inlineStr">
        <is>
          <t>C01 - Audience Insights</t>
        </is>
      </c>
      <c r="I88" s="33" t="inlineStr">
        <is>
          <t>https://ascentialcdn.filespin.io/api/v1/conversion/bdb4cc3622bf46aca03809acfbe29844</t>
        </is>
      </c>
      <c r="J88" s="33" t="inlineStr">
        <is>
          <t>cj1cc2JMQbA</t>
        </is>
      </c>
      <c r="M88" s="33" t="inlineStr">
        <is>
          <t>For Kids Help Phone, McCann Canada introduced the next chapter of the Feel Out Loud platform, anchored by a cinematic, music-video-style reinterpretation of The Beatles' 'Help!' to redefine what asking for help looks like and surface the mental-health crisis facing Canadian youth.</t>
        </is>
      </c>
      <c r="N88" s="33" t="inlineStr">
        <is>
          <t>kids help phone, mental health, youth, nonprofit, charity, helpline, the beatles, music, entertainment, film, cinema, data, canada, mccann canada, epitaph group, gold</t>
        </is>
      </c>
    </row>
    <row r="89">
      <c r="A89" s="33" t="n">
        <v>2026</v>
      </c>
      <c r="B89" s="170" t="inlineStr">
        <is>
          <t>Silver</t>
        </is>
      </c>
      <c r="C89" s="107" t="inlineStr">
        <is>
          <t>Scorecoupons</t>
        </is>
      </c>
      <c r="D89" s="33" t="inlineStr">
        <is>
          <t>Mercado Libre</t>
        </is>
      </c>
      <c r="E89" s="33" t="inlineStr">
        <is>
          <t>Mercado Libre</t>
        </is>
      </c>
      <c r="F89" s="33" t="inlineStr">
        <is>
          <t>GUT</t>
        </is>
      </c>
      <c r="G89" s="33" t="inlineStr">
        <is>
          <t>Mexico</t>
        </is>
      </c>
      <c r="H89" s="33" t="inlineStr">
        <is>
          <t>D02 - Challenger Brand</t>
        </is>
      </c>
      <c r="I89" s="33" t="inlineStr">
        <is>
          <t>https://ascentialcdn.filespin.io/api/v1/conversion/4096d14990b741569f3ca75461b242e2</t>
        </is>
      </c>
      <c r="J89" s="33" t="inlineStr">
        <is>
          <t>vimeo:1203937466</t>
        </is>
      </c>
      <c r="M89" s="33" t="inlineStr">
        <is>
          <t>For Mercado Libre, GUT tied retail discounts to live football, converting goals scored in matches into coupons and deals for shoppers so the action on the pitch directly drove savings on the marketplace.</t>
        </is>
      </c>
      <c r="N89" s="33" t="inlineStr">
        <is>
          <t>mercado libre, ecommerce, retail, online-shopping, marketplace, technology, football, soccer, sport, sports, coupons, discounts, real-time, challenger brand, mexico, gut, silver</t>
        </is>
      </c>
    </row>
    <row r="90">
      <c r="A90" s="33" t="n">
        <v>2026</v>
      </c>
      <c r="B90" s="170" t="inlineStr">
        <is>
          <t>Silver</t>
        </is>
      </c>
      <c r="C90" s="107" t="inlineStr">
        <is>
          <t>Uva Uva Bombón</t>
        </is>
      </c>
      <c r="D90" s="33" t="inlineStr">
        <is>
          <t>Uva App</t>
        </is>
      </c>
      <c r="E90" s="33" t="inlineStr">
        <is>
          <t>Uva App</t>
        </is>
      </c>
      <c r="F90" s="33" t="inlineStr">
        <is>
          <t>De La Cruz Ogilvy</t>
        </is>
      </c>
      <c r="G90" s="33" t="inlineStr">
        <is>
          <t>Puerto Rico</t>
        </is>
      </c>
      <c r="H90" s="33" t="inlineStr">
        <is>
          <t>D04 - Social Behaviour</t>
        </is>
      </c>
      <c r="I90" s="33" t="inlineStr">
        <is>
          <t>https://ascentialcdn.filespin.io/api/v1/conversion/afb7cf6990dc496f9c2b62d97d07c989</t>
        </is>
      </c>
      <c r="J90" s="33" t="inlineStr">
        <is>
          <t>vimeo:1204190443</t>
        </is>
      </c>
      <c r="M90" s="33" t="inlineStr">
        <is>
          <t>For Puerto Rican delivery app Uva, De La Cruz Ogilvy anticipated a key lyric in Bad Bunny's Super Bowl halftime set, 'Uva Uva Bombón', and built a real-time activation that triggered the instant the line was sung, converting a cultural moment into live commerce for the app.</t>
        </is>
      </c>
      <c r="N90" s="33" t="inlineStr">
        <is>
          <t>uva app, delivery, food delivery, app, technology, bad bunny, super bowl, halftime, music, entertainment, culture, real-time, social behaviour, puerto rico, de la cruz ogilvy, silver</t>
        </is>
      </c>
    </row>
    <row r="91">
      <c r="A91" s="33" t="n">
        <v>2026</v>
      </c>
      <c r="B91" s="170" t="inlineStr">
        <is>
          <t>Silver</t>
        </is>
      </c>
      <c r="C91" s="107" t="inlineStr">
        <is>
          <t>Recipe for Change</t>
        </is>
      </c>
      <c r="D91" s="33" t="inlineStr">
        <is>
          <t>Puck</t>
        </is>
      </c>
      <c r="E91" s="33" t="inlineStr">
        <is>
          <t>Spread Cheese</t>
        </is>
      </c>
      <c r="F91" s="33" t="inlineStr">
        <is>
          <t>FP7 McCann</t>
        </is>
      </c>
      <c r="G91" s="33" t="inlineStr">
        <is>
          <t>United Arab Emirates</t>
        </is>
      </c>
      <c r="H91" s="33" t="inlineStr">
        <is>
          <t>D07 - Corporate Purpose &amp; Social Responsibility</t>
        </is>
      </c>
      <c r="I91" s="33" t="inlineStr">
        <is>
          <t>https://ascentialcdn.filespin.io/api/v1/conversion/75a2011a253e487e9b57b4d575a5db74</t>
        </is>
      </c>
      <c r="J91" s="33" t="inlineStr">
        <is>
          <t>dMn7KGnIAYg</t>
        </is>
      </c>
      <c r="M91" s="33" t="inlineStr">
        <is>
          <t>For Puck (Arla Foods), FP7 McCann turned Lebanese family recipes into a sustainable business model, partnering with restaurants and chefs so dishes from displaced women could feature on menus, with proceeds via Dubai Cares supporting families in crisis.</t>
        </is>
      </c>
      <c r="N91" s="33" t="inlineStr">
        <is>
          <t>puck, arla, cheese, dairy, food, fmcg, lebanon, refugees, displaced families, women, recipes, restaurants, social responsibility, dubai cares, united arab emirates, fp7 mccann, silver</t>
        </is>
      </c>
    </row>
    <row r="92">
      <c r="A92" s="33" t="n">
        <v>2026</v>
      </c>
      <c r="B92" s="171" t="inlineStr">
        <is>
          <t>Bronze</t>
        </is>
      </c>
      <c r="C92" s="107" t="inlineStr">
        <is>
          <t>Dove R/eal Reviews</t>
        </is>
      </c>
      <c r="D92" s="33" t="inlineStr">
        <is>
          <t>Dove</t>
        </is>
      </c>
      <c r="E92" s="33" t="inlineStr">
        <is>
          <t>Dove 10-in-1 Serum Mask</t>
        </is>
      </c>
      <c r="F92" s="33" t="inlineStr">
        <is>
          <t>DAVID</t>
        </is>
      </c>
      <c r="G92" s="33" t="inlineStr">
        <is>
          <t>United Kingdom</t>
        </is>
      </c>
      <c r="H92" s="33" t="inlineStr">
        <is>
          <t>A01 - Consumer Goods</t>
        </is>
      </c>
      <c r="I92" s="33" t="inlineStr">
        <is>
          <t>https://ascentialcdn.filespin.io/api/v1/conversion/3e59ad3ef8694b63bc7bfb791b7bd884</t>
        </is>
      </c>
      <c r="J92" s="33" t="inlineStr">
        <is>
          <t>vimeo:1204109832</t>
        </is>
      </c>
      <c r="M92" s="33" t="inlineStr">
        <is>
          <t>For Dove, DAVID published unfiltered Reddit feedback for its hair masks, drawing on the candour of Reddit's 'r/' communities to surface raw, real user commentary and build trust at a time of influencer fatigue and review skepticism.</t>
        </is>
      </c>
      <c r="N92" s="33" t="inlineStr">
        <is>
          <t>dove, haircare, personal-care, beauty, personal care, fmcg, unilever, reddit, reviews, authenticity, ugc, social, consumer goods, united kingdom, david, bronze</t>
        </is>
      </c>
    </row>
    <row r="93">
      <c r="A93" s="33" t="n">
        <v>2026</v>
      </c>
      <c r="B93" s="171" t="inlineStr">
        <is>
          <t>Bronze</t>
        </is>
      </c>
      <c r="C93" s="107" t="inlineStr">
        <is>
          <t>Prime Time 0.7</t>
        </is>
      </c>
      <c r="D93" s="33" t="inlineStr">
        <is>
          <t>Frecuencia Latina</t>
        </is>
      </c>
      <c r="E93" s="33" t="inlineStr">
        <is>
          <t>Frecuencia Latina</t>
        </is>
      </c>
      <c r="F93" s="33" t="inlineStr">
        <is>
          <t>Fahrenheit DDB</t>
        </is>
      </c>
      <c r="G93" s="33" t="inlineStr">
        <is>
          <t>Peru</t>
        </is>
      </c>
      <c r="H93" s="33" t="inlineStr">
        <is>
          <t>A05 - Media/Entertainment</t>
        </is>
      </c>
      <c r="I93" s="33" t="inlineStr">
        <is>
          <t>https://ascentialcdn.filespin.io/api/v1/conversion/be9865f9888f49d7832f089ce49a7b3f</t>
        </is>
      </c>
      <c r="J93" s="33" t="inlineStr">
        <is>
          <t>vimeo:1188326564</t>
        </is>
      </c>
      <c r="M93" s="33" t="inlineStr">
        <is>
          <t>For Peruvian broadcaster Frecuencia Latina, Fahrenheit DDB sped up prime-time programming by an imperceptible 0.7%, freeing up extra minutes within the schedule, time the channel could devote to additional content and messaging without viewers noticing the difference.</t>
        </is>
      </c>
      <c r="N93" s="33" t="inlineStr">
        <is>
          <t>frecuencia latina, latina, television, broadcast, entertainment, media, peru, prime time, scheduling, innovation, fahrenheit ddb, bronze</t>
        </is>
      </c>
    </row>
    <row r="94">
      <c r="A94" s="33" t="n">
        <v>2026</v>
      </c>
      <c r="B94" s="171" t="inlineStr">
        <is>
          <t>Bronze</t>
        </is>
      </c>
      <c r="C94" s="107" t="inlineStr">
        <is>
          <t>Untaught History Edition</t>
        </is>
      </c>
      <c r="D94" s="33" t="inlineStr">
        <is>
          <t>Annahar</t>
        </is>
      </c>
      <c r="E94" s="33" t="inlineStr">
        <is>
          <t>Annahar</t>
        </is>
      </c>
      <c r="F94" s="33" t="inlineStr">
        <is>
          <t>Impact BBDO</t>
        </is>
      </c>
      <c r="G94" s="33" t="inlineStr">
        <is>
          <t>United Arab Emirates</t>
        </is>
      </c>
      <c r="H94" s="33" t="inlineStr">
        <is>
          <t>B03 - Use of Print</t>
        </is>
      </c>
      <c r="I94" s="33" t="inlineStr">
        <is>
          <t>https://ascentialcdn.filespin.io/api/v1/conversion/c5bd5a65a60e40fa8f2a0161b7faf26c</t>
        </is>
      </c>
      <c r="J94" s="33" t="inlineStr">
        <is>
          <t>qqy_jmxyn4Q</t>
        </is>
      </c>
      <c r="M94" s="33" t="inlineStr">
        <is>
          <t>For Lebanese newspaper An-Nahar, IMPACT BBDO marked Independence Day with the 'Untaught History Edition', a documented presentation of pivotal events in modern Lebanese history, chapters that never made it into the country's school textbooks.</t>
        </is>
      </c>
      <c r="N94" s="33" t="inlineStr">
        <is>
          <t>annahar, an-nahar, newspaper, media, publishing, news, lebanon, history, education, independence day, print, impact bbdo, united arab emirates, bronze</t>
        </is>
      </c>
    </row>
    <row r="95">
      <c r="A95" s="33" t="n">
        <v>2026</v>
      </c>
      <c r="B95" s="171" t="inlineStr">
        <is>
          <t>Bronze</t>
        </is>
      </c>
      <c r="C95" s="107" t="inlineStr">
        <is>
          <t>TD Fractional Window Shopping</t>
        </is>
      </c>
      <c r="D95" s="33" t="inlineStr">
        <is>
          <t>TD</t>
        </is>
      </c>
      <c r="E95" s="33" t="inlineStr">
        <is>
          <t>TD Fractional Shares</t>
        </is>
      </c>
      <c r="F95" s="33" t="inlineStr">
        <is>
          <t>Ogilvy</t>
        </is>
      </c>
      <c r="G95" s="33" t="inlineStr">
        <is>
          <t>Canada</t>
        </is>
      </c>
      <c r="H95" s="33" t="inlineStr">
        <is>
          <t>B04 - Use of Outdoor</t>
        </is>
      </c>
      <c r="I95" s="33" t="inlineStr">
        <is>
          <t>https://ascentialcdn.filespin.io/api/v1/conversion/76354bb47ec149f3a1ed5262948633a0</t>
        </is>
      </c>
      <c r="J95" s="33" t="inlineStr">
        <is>
          <t>zfwb3VSq5k4</t>
        </is>
      </c>
      <c r="M95" s="33" t="inlineStr">
        <is>
          <t>For TD, Ogilvy promoted partial shares available through TD Direct Investing with green out-of-home billboards that framed iconic brand logos, McDonald's, Starbucks, Nike, Apple, Google, through square cutouts, showing aspiring investors they could own a fraction of those companies for as little as a dollar.</t>
        </is>
      </c>
      <c r="N95" s="33" t="inlineStr">
        <is>
          <t>td, td bank, banking, financial-services, finance, financial services, investing, fractional shares, ooh, outdoor, billboards, canada, ogilvy, bronze</t>
        </is>
      </c>
    </row>
    <row r="96">
      <c r="A96" s="33" t="n">
        <v>2026</v>
      </c>
      <c r="B96" s="171" t="inlineStr">
        <is>
          <t>Bronze</t>
        </is>
      </c>
      <c r="C96" s="107" t="inlineStr">
        <is>
          <t>The Arepa That Unites</t>
        </is>
      </c>
      <c r="D96" s="33" t="inlineStr">
        <is>
          <t>Warner Music Colombia</t>
        </is>
      </c>
      <c r="E96" s="33" t="inlineStr">
        <is>
          <t>Urban Latin Music</t>
        </is>
      </c>
      <c r="F96" s="33" t="inlineStr">
        <is>
          <t>Buentipo</t>
        </is>
      </c>
      <c r="G96" s="33" t="inlineStr">
        <is>
          <t>Colombia</t>
        </is>
      </c>
      <c r="H96" s="33" t="inlineStr">
        <is>
          <t>B05 - Small-Scale Media</t>
        </is>
      </c>
      <c r="I96" s="33" t="inlineStr">
        <is>
          <t>https://ascentialcdn.filespin.io/api/v1/conversion/d87185ea29ef4785a45a43cb9ea0863f</t>
        </is>
      </c>
      <c r="J96" s="33" t="inlineStr">
        <is>
          <t>vimeo:1178488229</t>
        </is>
      </c>
      <c r="M96" s="33" t="inlineStr">
        <is>
          <t>For Warner Music Colombia, Buentipo used the arepa, the cornmeal staple shared across Colombia and Venezuela, as a small-scale media surface and cultural symbol to bring the two nations' communities together through urban Latin music.</t>
        </is>
      </c>
      <c r="N96" s="33" t="inlineStr">
        <is>
          <t>warner music colombia, music, entertainment, urban latin music, record label, arepa, food, culture, colombia, venezuela, migration, unity, small-scale media, buentipo, bronze</t>
        </is>
      </c>
    </row>
    <row r="97">
      <c r="A97" s="33" t="n">
        <v>2026</v>
      </c>
      <c r="B97" s="171" t="inlineStr">
        <is>
          <t>Bronze</t>
        </is>
      </c>
      <c r="C97" s="107" t="inlineStr">
        <is>
          <t>UV Tattoo to Learn</t>
        </is>
      </c>
      <c r="D97" s="33" t="inlineStr">
        <is>
          <t>ISDIN</t>
        </is>
      </c>
      <c r="E97" s="33" t="inlineStr">
        <is>
          <t>Sunscreen</t>
        </is>
      </c>
      <c r="F97" s="33" t="inlineStr">
        <is>
          <t>Havas Play</t>
        </is>
      </c>
      <c r="G97" s="33" t="inlineStr">
        <is>
          <t>Spain</t>
        </is>
      </c>
      <c r="H97" s="33" t="inlineStr">
        <is>
          <t>B05 - Small-Scale Media</t>
        </is>
      </c>
      <c r="I97" s="33" t="inlineStr">
        <is>
          <t>https://ascentialcdn.filespin.io/api/v1/conversion/4a0576a811ab447b93575190fa1eac37</t>
        </is>
      </c>
      <c r="J97" s="33" t="inlineStr">
        <is>
          <t>kNZ9PQn-Ewk</t>
        </is>
      </c>
      <c r="M97" s="33" t="inlineStr">
        <is>
          <t>For skincare brand ISDIN, Havas Play created a temporary children's tattoo printed in photosensitive ink: retelling 'The Three Little Pigs', the wolf appears on the skin when exposed to the sun and disappears when sunscreen is applied, teaching kids the importance of sun protection.</t>
        </is>
      </c>
      <c r="N97" s="33" t="inlineStr">
        <is>
          <t>isdin, sunscreen, skincare, personal-care, beauty, suncare, healthcare, children, sun protection, uv, education, three little pigs, tattoo, small-scale media, spain, havas play, bronze</t>
        </is>
      </c>
    </row>
    <row r="98">
      <c r="A98" s="33" t="n">
        <v>2026</v>
      </c>
      <c r="B98" s="171" t="inlineStr">
        <is>
          <t>Bronze</t>
        </is>
      </c>
      <c r="C98" s="107" t="inlineStr">
        <is>
          <t>Crosses for Crisis</t>
        </is>
      </c>
      <c r="D98" s="33" t="inlineStr">
        <is>
          <t>Red Cross Flanders</t>
        </is>
      </c>
      <c r="E98" s="33" t="inlineStr">
        <is>
          <t>Blood Donation Awareness</t>
        </is>
      </c>
      <c r="F98" s="33" t="inlineStr">
        <is>
          <t>Mutant</t>
        </is>
      </c>
      <c r="G98" s="33" t="inlineStr">
        <is>
          <t>Belgium</t>
        </is>
      </c>
      <c r="H98" s="33" t="inlineStr">
        <is>
          <t>B06 - Large-Scale Media</t>
        </is>
      </c>
      <c r="I98" s="33" t="inlineStr">
        <is>
          <t>https://ascentialcdn.filespin.io/api/v1/conversion/0599780997d04ba4b79f6c288cc5265f</t>
        </is>
      </c>
      <c r="J98" s="33" t="inlineStr">
        <is>
          <t>vimeo:1200962755</t>
        </is>
      </c>
      <c r="M98" s="33" t="inlineStr">
        <is>
          <t>For Red Cross Flanders, Mutant drove blood-donation awareness, using the organisation's emblematic cross as a large-scale media device to dramatise the need for donors in moments of crisis.</t>
        </is>
      </c>
      <c r="N98" s="33" t="inlineStr">
        <is>
          <t>red cross flanders, red cross, blood donation, healthcare, nonprofit, charity, humanitarian, awareness, large-scale media, belgium, mutant, bronze</t>
        </is>
      </c>
    </row>
    <row r="99">
      <c r="A99" s="33" t="n">
        <v>2026</v>
      </c>
      <c r="B99" s="171" t="inlineStr">
        <is>
          <t>Bronze</t>
        </is>
      </c>
      <c r="C99" s="107" t="inlineStr">
        <is>
          <t>Terms and Conditions of Being a Girl</t>
        </is>
      </c>
      <c r="D99" s="33" t="inlineStr">
        <is>
          <t>Ville de Paris</t>
        </is>
      </c>
      <c r="E99" s="33" t="inlineStr">
        <is>
          <t>Ville de Paris</t>
        </is>
      </c>
      <c r="F99" s="33" t="inlineStr">
        <is>
          <t>BETC</t>
        </is>
      </c>
      <c r="G99" s="33" t="inlineStr">
        <is>
          <t>France</t>
        </is>
      </c>
      <c r="H99" s="33" t="inlineStr">
        <is>
          <t>B06 - Large-Scale Media</t>
        </is>
      </c>
      <c r="I99" s="33" t="inlineStr">
        <is>
          <t>https://ascentialcdn.filespin.io/api/v1/conversion/5e45bca32e064f1ab711d14b4d6a3121</t>
        </is>
      </c>
      <c r="J99" s="33" t="inlineStr">
        <is>
          <t>XcYYt-gVd_k</t>
        </is>
      </c>
      <c r="M99" s="33" t="inlineStr">
        <is>
          <t>For the City of Paris, BETC hacked the French national motto 'Liberté, Égalité, Fraternité' by adding an asterisk to 'equality', exposing the systemic inequalities and everyday conditions women and girls face despite the promise of equal treatment.</t>
        </is>
      </c>
      <c r="N99" s="33" t="inlineStr">
        <is>
          <t>ville de paris, city of paris, government, public sector, gender equality, women, girls, feminism, social good, national motto, france, betc, bronze</t>
        </is>
      </c>
    </row>
    <row r="100">
      <c r="A100" s="33" t="n">
        <v>2026</v>
      </c>
      <c r="B100" s="171" t="inlineStr">
        <is>
          <t>Bronze</t>
        </is>
      </c>
      <c r="C100" s="107" t="inlineStr">
        <is>
          <t>Price Packs</t>
        </is>
      </c>
      <c r="D100" s="33" t="inlineStr">
        <is>
          <t>Penny</t>
        </is>
      </c>
      <c r="E100" s="33" t="inlineStr">
        <is>
          <t>Food/Non-Food</t>
        </is>
      </c>
      <c r="F100" s="33" t="inlineStr">
        <is>
          <t>Serviceplan Germany</t>
        </is>
      </c>
      <c r="G100" s="33" t="inlineStr">
        <is>
          <t>Germany</t>
        </is>
      </c>
      <c r="H100" s="33" t="inlineStr">
        <is>
          <t>B13 - Retail Media</t>
        </is>
      </c>
      <c r="I100" s="33" t="inlineStr">
        <is>
          <t>https://ascentialcdn.filespin.io/api/v1/conversion/20a80e75cb364e62882bfaa8a24b50a6</t>
        </is>
      </c>
      <c r="J100" s="33" t="inlineStr">
        <is>
          <t>wXx6z3mDnVc</t>
        </is>
      </c>
      <c r="M100" s="33" t="inlineStr">
        <is>
          <t>For German discounter PENNY, Serviceplan printed fixed low prices directly onto the packaging of its own-brand staples, bread, oats, salt, chips, mayo, making the price the central design element at a time of inflation so the value is unmissable on shelf.</t>
        </is>
      </c>
      <c r="N100" s="33" t="inlineStr">
        <is>
          <t>penny, supermarket, grocery, retail, discounter, fmcg, packaging, design, price, inflation, retail media, germany, serviceplan germany, bronze</t>
        </is>
      </c>
    </row>
    <row r="101">
      <c r="A101" s="33" t="n">
        <v>2026</v>
      </c>
      <c r="B101" s="171" t="inlineStr">
        <is>
          <t>Bronze</t>
        </is>
      </c>
      <c r="C101" s="107" t="inlineStr">
        <is>
          <t>Firecatchers</t>
        </is>
      </c>
      <c r="D101" s="33" t="inlineStr">
        <is>
          <t>Sapeurs Pompiers de France</t>
        </is>
      </c>
      <c r="E101" s="33" t="inlineStr">
        <is>
          <t>Sapeurs Pompiers de France</t>
        </is>
      </c>
      <c r="F101" s="33" t="inlineStr">
        <is>
          <t>Havas Play</t>
        </is>
      </c>
      <c r="G101" s="33" t="inlineStr">
        <is>
          <t>France</t>
        </is>
      </c>
      <c r="H101" s="33" t="inlineStr">
        <is>
          <t>C01 - Audience Insights</t>
        </is>
      </c>
      <c r="I101" s="33" t="inlineStr">
        <is>
          <t>https://ascentialcdn.filespin.io/api/v1/conversion/824e93f2fb454ac78510e8a0096fad53</t>
        </is>
      </c>
      <c r="J101" s="33" t="inlineStr">
        <is>
          <t>YFSRJpoZHoU</t>
        </is>
      </c>
      <c r="M101" s="33" t="inlineStr">
        <is>
          <t>For the French firefighters (Sapeurs-Pompiers de France), Havas Play turned Twitch viewers into virtual fire spotters, streaming live cameras overlooking high-risk forest areas so gaming communities could help detect the first signs of smoke, supported by a music-video-style film.</t>
        </is>
      </c>
      <c r="N101" s="33" t="inlineStr">
        <is>
          <t>sapeurs pompiers de france, firefighters, emergency services, government, nonprofit, twitch, streaming, tv, entertainment, gaming, video-games, influencers, creators, wildfire, forest, france, havas play, silver</t>
        </is>
      </c>
    </row>
    <row r="102">
      <c r="A102" s="33" t="n">
        <v>2026</v>
      </c>
      <c r="B102" s="171" t="inlineStr">
        <is>
          <t>Bronze</t>
        </is>
      </c>
      <c r="C102" s="107" t="inlineStr">
        <is>
          <t>Stella Locad Guides</t>
        </is>
      </c>
      <c r="D102" s="33" t="inlineStr">
        <is>
          <t>Stella Artois</t>
        </is>
      </c>
      <c r="E102" s="33" t="inlineStr">
        <is>
          <t>Beer</t>
        </is>
      </c>
      <c r="F102" s="33" t="inlineStr">
        <is>
          <t>AB InBev</t>
        </is>
      </c>
      <c r="G102" s="33" t="inlineStr">
        <is>
          <t>Argentina</t>
        </is>
      </c>
      <c r="H102" s="33" t="inlineStr">
        <is>
          <t>C02 - Use of Brand or Product Integration into a Programme or Platform</t>
        </is>
      </c>
      <c r="I102" s="33" t="inlineStr">
        <is>
          <t>https://ascentialcdn.filespin.io/api/v1/conversion/ee4f252d4db94de88313e24231b41877</t>
        </is>
      </c>
      <c r="J102" s="33" t="inlineStr">
        <is>
          <t>eTSgT22ZGb4</t>
        </is>
      </c>
      <c r="M102" s="33" t="inlineStr">
        <is>
          <t>For Stella Artois, AB InBev's in-house team turned Google Maps Local Guides into a marketing channel, generating authentic reviews and content across dozens of restaurants to integrate the beer into the dining-decision moment without traditional media spend.</t>
        </is>
      </c>
      <c r="N102" s="33" t="inlineStr">
        <is>
          <t>stella artois, beer, alcohol, drinks, lager, ab inbev, google maps, local guides, reviews, restaurants, dining, brand integration, argentina, bronze</t>
        </is>
      </c>
    </row>
    <row r="103">
      <c r="A103" s="33" t="n">
        <v>2026</v>
      </c>
      <c r="B103" s="171" t="inlineStr">
        <is>
          <t>Bronze</t>
        </is>
      </c>
      <c r="C103" s="107" t="inlineStr">
        <is>
          <t>The Golden Zone</t>
        </is>
      </c>
      <c r="D103" s="33" t="inlineStr">
        <is>
          <t>McDonald's</t>
        </is>
      </c>
      <c r="E103" s="33" t="inlineStr">
        <is>
          <t>McDonald's App</t>
        </is>
      </c>
      <c r="F103" s="33" t="inlineStr">
        <is>
          <t>TBWA\Colombia</t>
        </is>
      </c>
      <c r="G103" s="33" t="inlineStr">
        <is>
          <t>Colombia</t>
        </is>
      </c>
      <c r="H103" s="33" t="inlineStr">
        <is>
          <t>C02 - Use of Brand or Product Integration into a Programme or Platform</t>
        </is>
      </c>
      <c r="I103" s="33" t="inlineStr">
        <is>
          <t>https://ascentialcdn.filespin.io/api/v1/conversion/fd304d6d4cc44e0aa03e8f001e154734</t>
        </is>
      </c>
      <c r="J103" s="33" t="inlineStr">
        <is>
          <t>joqkwPzQ8VQ</t>
        </is>
      </c>
      <c r="M103" s="33" t="inlineStr">
        <is>
          <t>For McDonald's, regional sponsor of Formula 1 in Latin America, TBWA\Colombia built a visual platform from a discovery: across all 24 F1 circuits, the brand found its Golden Arches hidden in the track layouts, and turned that into a multi-market, multi-race branded experience for racing fans.</t>
        </is>
      </c>
      <c r="N103" s="33" t="inlineStr">
        <is>
          <t>mcdonalds, qsr, fast-food, restaurant, food, fast food, formula 1, f1, motorsport, sport, racing, sports, sponsorship, brand integration, golden arches, colombia, tbwa, bronze</t>
        </is>
      </c>
    </row>
    <row r="104">
      <c r="A104" s="33" t="n">
        <v>2026</v>
      </c>
      <c r="B104" s="171" t="inlineStr">
        <is>
          <t>Bronze</t>
        </is>
      </c>
      <c r="C104" s="107" t="inlineStr">
        <is>
          <t>Recipe for Change</t>
        </is>
      </c>
      <c r="D104" s="33" t="inlineStr">
        <is>
          <t>Puck</t>
        </is>
      </c>
      <c r="E104" s="33" t="inlineStr">
        <is>
          <t>Spread Cheese</t>
        </is>
      </c>
      <c r="F104" s="33" t="inlineStr">
        <is>
          <t>FP7 McCann</t>
        </is>
      </c>
      <c r="G104" s="33" t="inlineStr">
        <is>
          <t>United Arab Emirates</t>
        </is>
      </c>
      <c r="H104" s="33" t="inlineStr">
        <is>
          <t>C06 - Co-Creation of Branded IP</t>
        </is>
      </c>
      <c r="I104" s="33" t="inlineStr">
        <is>
          <t>https://ascentialcdn.filespin.io/api/v1/conversion/75a2011a253e487e9b57b4d575a5db74</t>
        </is>
      </c>
      <c r="J104" s="33" t="inlineStr">
        <is>
          <t>dMn7KGnIAYg</t>
        </is>
      </c>
      <c r="M104" s="33" t="inlineStr">
        <is>
          <t>For Puck (Arla Foods), FP7 McCann turned Lebanese family recipes into a sustainable business model, partnering with restaurants and chefs so dishes from displaced women could feature on menus, with proceeds via Dubai Cares supporting families in crisis.</t>
        </is>
      </c>
      <c r="N104" s="33" t="inlineStr">
        <is>
          <t>puck, arla, cheese, dairy, food, fmcg, lebanon, refugees, displaced families, women, recipes, restaurants, social responsibility, dubai cares, united arab emirates, fp7 mccann, silver</t>
        </is>
      </c>
    </row>
    <row r="105">
      <c r="A105" s="33" t="n">
        <v>2026</v>
      </c>
      <c r="B105" s="171" t="inlineStr">
        <is>
          <t>Bronze</t>
        </is>
      </c>
      <c r="C105" s="107" t="inlineStr">
        <is>
          <t>A.I. Irresponsibly</t>
        </is>
      </c>
      <c r="D105" s="33" t="inlineStr">
        <is>
          <t>Brewlander</t>
        </is>
      </c>
      <c r="E105" s="33" t="inlineStr">
        <is>
          <t>Brewlander Beer</t>
        </is>
      </c>
      <c r="F105" s="33" t="inlineStr">
        <is>
          <t>BLKJ Havas</t>
        </is>
      </c>
      <c r="G105" s="33" t="inlineStr">
        <is>
          <t>Singapore</t>
        </is>
      </c>
      <c r="H105" s="33" t="inlineStr">
        <is>
          <t>D02 - Challenger Brand</t>
        </is>
      </c>
      <c r="I105" s="33" t="inlineStr">
        <is>
          <t>https://ascentialcdn.filespin.io/api/v1/conversion/52e6c6e31c3c41f192b28069fff820be</t>
        </is>
      </c>
      <c r="J105" s="33" t="inlineStr">
        <is>
          <t>LE2tp1wTjhg</t>
        </is>
      </c>
      <c r="M105" s="33" t="inlineStr">
        <is>
          <t>For craft-beer challenger Brewlander, BLKJ Havas printed text-to-image AI prompts on coasters and billboards, inviting drinkers to generate their own epic beer commercials and turning a small budget into a participatory, AI-driven media behaviour that played to craft-beer culture.</t>
        </is>
      </c>
      <c r="N105" s="33" t="inlineStr">
        <is>
          <t>brewlander, beer, alcohol, craft beer, drinks, ai, technology, artificial intelligence, text-to-image, challenger brand, breakthrough on a budget, print, singapore, blkj havas, bronze</t>
        </is>
      </c>
    </row>
    <row r="106">
      <c r="A106" s="33" t="n">
        <v>2026</v>
      </c>
      <c r="B106" s="171" t="inlineStr">
        <is>
          <t>Bronze</t>
        </is>
      </c>
      <c r="C106" s="107" t="inlineStr">
        <is>
          <t>Vaseline and the Real Nigerian Prince</t>
        </is>
      </c>
      <c r="D106" s="33" t="inlineStr">
        <is>
          <t>Vaseline</t>
        </is>
      </c>
      <c r="E106" s="33" t="inlineStr">
        <is>
          <t>Vaseline Body Oil</t>
        </is>
      </c>
      <c r="F106" s="33" t="inlineStr">
        <is>
          <t>Leo</t>
        </is>
      </c>
      <c r="G106" s="33" t="inlineStr">
        <is>
          <t>Singapore</t>
        </is>
      </c>
      <c r="H106" s="33" t="inlineStr">
        <is>
          <t>D03 - Single-Market Campaign</t>
        </is>
      </c>
      <c r="I106" s="33" t="inlineStr">
        <is>
          <t>https://ascentialcdn.filespin.io/api/v1/conversion/d2c5a0e2aa0f40ad9527169be17b08a6</t>
        </is>
      </c>
      <c r="J106" s="33" t="inlineStr">
        <is>
          <t>eNYA89Z97Gs</t>
        </is>
      </c>
      <c r="M106" s="33" t="inlineStr">
        <is>
          <t>For Vaseline, Leo flipped the notorious 'Nigerian Prince' scam trope by enlisting a real one, Prince Chris Okagbue of the Onitsha Kingdom, to front a fightback against counterfeit Vaseline Body Oil in Nigeria, paired with a new product-authentication tool.</t>
        </is>
      </c>
      <c r="N106" s="33" t="inlineStr">
        <is>
          <t>vaseline, skincare, personal-care, beauty, body oil, personal care, fmcg, unilever, nigeria, counterfeit, authentication, scam, nigerian prince, single-market, singapore, leo, bronze</t>
        </is>
      </c>
    </row>
    <row r="107">
      <c r="A107" s="33" t="n">
        <v>2026</v>
      </c>
      <c r="B107" s="171" t="inlineStr">
        <is>
          <t>Bronze</t>
        </is>
      </c>
      <c r="C107" s="107" t="inlineStr">
        <is>
          <t>Expensive Sh*t</t>
        </is>
      </c>
      <c r="D107" s="33" t="inlineStr">
        <is>
          <t>Huggies</t>
        </is>
      </c>
      <c r="E107" s="33" t="inlineStr">
        <is>
          <t>Diaper</t>
        </is>
      </c>
      <c r="F107" s="33" t="inlineStr">
        <is>
          <t>McCann New York + McCann New Zealand</t>
        </is>
      </c>
      <c r="G107" s="33" t="inlineStr">
        <is>
          <t>United States</t>
        </is>
      </c>
      <c r="H107" s="33" t="inlineStr">
        <is>
          <t>D05 - Use of Humour</t>
        </is>
      </c>
      <c r="I107" s="33" t="inlineStr">
        <is>
          <t>https://ascentialcdn.filespin.io/api/v1/conversion/de680f3dd41e42e298373159eb234664</t>
        </is>
      </c>
      <c r="J107" s="33" t="inlineStr">
        <is>
          <t>mp4:videos/huggies-expensive-shit.mp4</t>
        </is>
      </c>
      <c r="M107" s="33" t="inlineStr">
        <is>
          <t>For Huggies, McCann put the diaper's blowout protection to a live-streamed test, letting just-fed babies crawl over $500,000 of luxury goods, leaning into one of parenting's most universal anxieties with humour to prove the product under pressure.</t>
        </is>
      </c>
      <c r="N107" s="33" t="inlineStr">
        <is>
          <t>huggies, diapers, baby care, fmcg, kimberly-clark, parenting, family, babies, humour, stunt, live stream, demo, use of humour, united states, mccann new york, bronze</t>
        </is>
      </c>
    </row>
    <row r="108">
      <c r="A108" s="33" t="n">
        <v>2026</v>
      </c>
      <c r="B108" s="171" t="inlineStr">
        <is>
          <t>Bronze</t>
        </is>
      </c>
      <c r="C108" s="107" t="inlineStr">
        <is>
          <t>A.I. Irresponsibly</t>
        </is>
      </c>
      <c r="D108" s="33" t="inlineStr">
        <is>
          <t>Brewlander</t>
        </is>
      </c>
      <c r="E108" s="33" t="inlineStr">
        <is>
          <t>Brewlander Beer</t>
        </is>
      </c>
      <c r="F108" s="33" t="inlineStr">
        <is>
          <t>BLKJ Havas</t>
        </is>
      </c>
      <c r="G108" s="33" t="inlineStr">
        <is>
          <t>Singapore</t>
        </is>
      </c>
      <c r="H108" s="33" t="inlineStr">
        <is>
          <t>D06 - Breakthrough on a Budget</t>
        </is>
      </c>
      <c r="I108" s="33" t="inlineStr">
        <is>
          <t>https://ascentialcdn.filespin.io/api/v1/conversion/52e6c6e31c3c41f192b28069fff820be</t>
        </is>
      </c>
      <c r="J108" s="33" t="inlineStr">
        <is>
          <t>LE2tp1wTjhg</t>
        </is>
      </c>
      <c r="M108" s="33" t="inlineStr">
        <is>
          <t>For craft-beer challenger Brewlander, BLKJ Havas printed text-to-image AI prompts on coasters and billboards, inviting drinkers to generate their own epic beer commercials and turning a small budget into a participatory, AI-driven media behaviour that played to craft-beer culture.</t>
        </is>
      </c>
      <c r="N108" s="33" t="inlineStr">
        <is>
          <t>brewlander, beer, alcohol, craft beer, drinks, ai, technology, artificial intelligence, text-to-image, challenger brand, breakthrough on a budget, print, singapore, blkj havas, bronze</t>
        </is>
      </c>
    </row>
    <row r="109">
      <c r="A109" s="33" t="n">
        <v>2026</v>
      </c>
      <c r="B109" s="171" t="inlineStr">
        <is>
          <t>Bronze</t>
        </is>
      </c>
      <c r="C109" s="107" t="inlineStr">
        <is>
          <t>Dark Mode Ads</t>
        </is>
      </c>
      <c r="D109" s="33" t="inlineStr">
        <is>
          <t>Plenitude</t>
        </is>
      </c>
      <c r="E109" s="33" t="inlineStr">
        <is>
          <t>Energy</t>
        </is>
      </c>
      <c r="F109" s="33" t="inlineStr">
        <is>
          <t>LePub</t>
        </is>
      </c>
      <c r="G109" s="33" t="inlineStr">
        <is>
          <t>Italy</t>
        </is>
      </c>
      <c r="H109" s="33" t="inlineStr">
        <is>
          <t>D07 - Corporate Purpose &amp; Social Responsibility</t>
        </is>
      </c>
      <c r="I109" s="33" t="inlineStr">
        <is>
          <t>https://ascentialcdn.filespin.io/api/v1/conversion/3926b12bf30741feae22c0af44937148</t>
        </is>
      </c>
      <c r="J109" s="33" t="inlineStr">
        <is>
          <t>vimeo:1188653060</t>
        </is>
      </c>
      <c r="M109" s="33" t="inlineStr">
        <is>
          <t>For energy company Plenitude, LePub applied 'dark mode' design to advertising itself: switching the LED screens in store windows and digital out-of-home placements to dark backgrounds to cut the energy the screens consume, and inviting other brands to do the same.</t>
        </is>
      </c>
      <c r="N109" s="33" t="inlineStr">
        <is>
          <t>plenitude, eni, energy, utilities, sustainability, environment, dark mode, dooh, digital out of home, ooh, screens, design, italy, lepub, gold</t>
        </is>
      </c>
    </row>
    <row r="110">
      <c r="A110" s="33" t="n">
        <v>2026</v>
      </c>
      <c r="B110" s="171" t="inlineStr">
        <is>
          <t>Bronze</t>
        </is>
      </c>
      <c r="C110" s="107" t="inlineStr">
        <is>
          <t>Spots for Shops</t>
        </is>
      </c>
      <c r="D110" s="33" t="inlineStr">
        <is>
          <t>Parkin</t>
        </is>
      </c>
      <c r="E110" s="33" t="inlineStr">
        <is>
          <t>Parking Spots</t>
        </is>
      </c>
      <c r="F110" s="33" t="inlineStr">
        <is>
          <t>FP7 McCann</t>
        </is>
      </c>
      <c r="G110" s="33" t="inlineStr">
        <is>
          <t>United Arab Emirates</t>
        </is>
      </c>
      <c r="H110" s="33" t="inlineStr">
        <is>
          <t>D07 - Corporate Purpose &amp; Social Responsibility</t>
        </is>
      </c>
      <c r="I110" s="33" t="inlineStr">
        <is>
          <t>https://ascentialcdn.filespin.io/api/v1/conversion/583e2fde73464c9b8d16757af8ff4a1c</t>
        </is>
      </c>
      <c r="J110" s="33" t="inlineStr">
        <is>
          <t>vimeo:1188408425</t>
        </is>
      </c>
      <c r="M110" s="33" t="inlineStr">
        <is>
          <t>For Parkin, Dubai's largest paid-parking operator, FP7 McCann turned parking into a media and commerce channel: drivers validate their parking fees through the Parkin app by spending at neighbourhood small businesses, converting everyday parking stops into footfall and visibility for local shops.</t>
        </is>
      </c>
      <c r="N110" s="33" t="inlineStr">
        <is>
          <t>parkin, parking, mobility, transport, government, app, small business, local, retail media, commerce, dubai, united arab emirates, fp7 mccann, silver</t>
        </is>
      </c>
    </row>
    <row r="111">
      <c r="A111" s="33" t="n">
        <v>2026</v>
      </c>
      <c r="B111" s="171" t="inlineStr">
        <is>
          <t>Bronze</t>
        </is>
      </c>
      <c r="C111" s="107" t="inlineStr">
        <is>
          <t>Laws Under Attack</t>
        </is>
      </c>
      <c r="D111" s="33" t="inlineStr">
        <is>
          <t>International Committee of the Red Cross (ICRC)</t>
        </is>
      </c>
      <c r="E111" s="33" t="inlineStr">
        <is>
          <t>International Committee of the Red Cross (ICRC)</t>
        </is>
      </c>
      <c r="F111" s="33" t="inlineStr">
        <is>
          <t>TBWA\Raad</t>
        </is>
      </c>
      <c r="G111" s="33" t="inlineStr">
        <is>
          <t>United Arab Emirates</t>
        </is>
      </c>
      <c r="H111" s="33" t="inlineStr">
        <is>
          <t>D09 - Cultural Engagement</t>
        </is>
      </c>
      <c r="I111" s="33" t="inlineStr">
        <is>
          <t>https://ascentialcdn.filespin.io/api/v1/conversion/6f4b1680f1f44a528988250b2abec2f7</t>
        </is>
      </c>
      <c r="J111" s="33" t="inlineStr">
        <is>
          <t>mp4:videos/media-international-committee-of-the-red-cross-icrc-laws-under-attack.mp4</t>
        </is>
      </c>
      <c r="M111" s="33" t="inlineStr">
        <is>
          <t>For the International Committee of the Red Cross, TBWA\Raad drew global attention to the repeated targeting of hospitals, ambulances and medical personnel in conflict zones, despite the protections promised by the Geneva Conventions.</t>
        </is>
      </c>
      <c r="N111" s="33" t="inlineStr">
        <is>
          <t>icrc, international committee of the red cross, red cross, humanitarian, nonprofit, ngo, not-for-profit, charity, social-good, geneva conventions, conflict, war, hospitals, medical, human rights, cultural engagement, united arab emirates, tbwa, bronze</t>
        </is>
      </c>
    </row>
    <row r="112">
      <c r="A112" s="33" t="n">
        <v>2026</v>
      </c>
      <c r="B112" s="171" t="inlineStr">
        <is>
          <t>Bronze</t>
        </is>
      </c>
      <c r="C112" s="107" t="inlineStr">
        <is>
          <t>Savings Index</t>
        </is>
      </c>
      <c r="D112" s="33" t="inlineStr">
        <is>
          <t>NatWest</t>
        </is>
      </c>
      <c r="E112" s="33" t="inlineStr">
        <is>
          <t>NatWest</t>
        </is>
      </c>
      <c r="F112" s="33" t="inlineStr">
        <is>
          <t>Initiative Media</t>
        </is>
      </c>
      <c r="G112" s="33" t="inlineStr">
        <is>
          <t>United Kingdom</t>
        </is>
      </c>
      <c r="H112" s="33" t="inlineStr">
        <is>
          <t>E01 - Media Insights &amp; Strategy</t>
        </is>
      </c>
      <c r="I112" s="33" t="inlineStr">
        <is>
          <t>https://ascentialcdn.filespin.io/api/v1/conversion/10f3fd47225944778b542da2d5c33712</t>
        </is>
      </c>
      <c r="J112" s="33" t="inlineStr">
        <is>
          <t>yWbSxerwwIc</t>
        </is>
      </c>
      <c r="M112" s="33" t="inlineStr">
        <is>
          <t>For NatWest, Initiative Media built the Savings Index, a data-driven platform charting how the nation saves, average monthly savings, budgeting habits and regional differences, to give the bank an ongoing, insight-led role in the savings conversation.</t>
        </is>
      </c>
      <c r="N112" s="33" t="inlineStr">
        <is>
          <t>natwest, bank, banking, financial-services, finance, financial services, savings, budgeting, data, index, media strategy, united kingdom, initiative media, bronze</t>
        </is>
      </c>
    </row>
  </sheetData>
  <autoFilter ref="A1:N67"/>
  <hyperlinks>
    <hyperlink xmlns:r="http://schemas.openxmlformats.org/officeDocument/2006/relationships" ref="I2" r:id="rId1"/>
    <hyperlink xmlns:r="http://schemas.openxmlformats.org/officeDocument/2006/relationships" ref="L2" r:id="rId2"/>
    <hyperlink xmlns:r="http://schemas.openxmlformats.org/officeDocument/2006/relationships" ref="I3" r:id="rId3"/>
    <hyperlink xmlns:r="http://schemas.openxmlformats.org/officeDocument/2006/relationships" ref="L3" r:id="rId4"/>
    <hyperlink xmlns:r="http://schemas.openxmlformats.org/officeDocument/2006/relationships" ref="I4" r:id="rId5"/>
    <hyperlink xmlns:r="http://schemas.openxmlformats.org/officeDocument/2006/relationships" ref="L4" r:id="rId6"/>
    <hyperlink xmlns:r="http://schemas.openxmlformats.org/officeDocument/2006/relationships" ref="I5" r:id="rId7"/>
    <hyperlink xmlns:r="http://schemas.openxmlformats.org/officeDocument/2006/relationships" ref="L5" r:id="rId8"/>
    <hyperlink xmlns:r="http://schemas.openxmlformats.org/officeDocument/2006/relationships" ref="I6" r:id="rId9"/>
    <hyperlink xmlns:r="http://schemas.openxmlformats.org/officeDocument/2006/relationships" ref="L6" r:id="rId10"/>
    <hyperlink xmlns:r="http://schemas.openxmlformats.org/officeDocument/2006/relationships" ref="I7" r:id="rId11"/>
    <hyperlink xmlns:r="http://schemas.openxmlformats.org/officeDocument/2006/relationships" ref="L7" r:id="rId12"/>
    <hyperlink xmlns:r="http://schemas.openxmlformats.org/officeDocument/2006/relationships" ref="I8" r:id="rId13"/>
    <hyperlink xmlns:r="http://schemas.openxmlformats.org/officeDocument/2006/relationships" ref="L8" r:id="rId14"/>
    <hyperlink xmlns:r="http://schemas.openxmlformats.org/officeDocument/2006/relationships" ref="I9" r:id="rId15"/>
    <hyperlink xmlns:r="http://schemas.openxmlformats.org/officeDocument/2006/relationships" ref="L9" r:id="rId16"/>
    <hyperlink xmlns:r="http://schemas.openxmlformats.org/officeDocument/2006/relationships" ref="I10" r:id="rId17"/>
    <hyperlink xmlns:r="http://schemas.openxmlformats.org/officeDocument/2006/relationships" ref="L10" r:id="rId18"/>
    <hyperlink xmlns:r="http://schemas.openxmlformats.org/officeDocument/2006/relationships" ref="I11" r:id="rId19"/>
    <hyperlink xmlns:r="http://schemas.openxmlformats.org/officeDocument/2006/relationships" ref="L11" r:id="rId20"/>
    <hyperlink xmlns:r="http://schemas.openxmlformats.org/officeDocument/2006/relationships" ref="I12" r:id="rId21"/>
    <hyperlink xmlns:r="http://schemas.openxmlformats.org/officeDocument/2006/relationships" ref="L12" r:id="rId22"/>
    <hyperlink xmlns:r="http://schemas.openxmlformats.org/officeDocument/2006/relationships" ref="I13" r:id="rId23"/>
    <hyperlink xmlns:r="http://schemas.openxmlformats.org/officeDocument/2006/relationships" ref="L13" r:id="rId24"/>
    <hyperlink xmlns:r="http://schemas.openxmlformats.org/officeDocument/2006/relationships" ref="I14" r:id="rId25"/>
    <hyperlink xmlns:r="http://schemas.openxmlformats.org/officeDocument/2006/relationships" ref="L14" r:id="rId26"/>
    <hyperlink xmlns:r="http://schemas.openxmlformats.org/officeDocument/2006/relationships" ref="I15" r:id="rId27"/>
    <hyperlink xmlns:r="http://schemas.openxmlformats.org/officeDocument/2006/relationships" ref="L15" r:id="rId28"/>
    <hyperlink xmlns:r="http://schemas.openxmlformats.org/officeDocument/2006/relationships" ref="I16" r:id="rId29"/>
    <hyperlink xmlns:r="http://schemas.openxmlformats.org/officeDocument/2006/relationships" ref="L16" r:id="rId30"/>
    <hyperlink xmlns:r="http://schemas.openxmlformats.org/officeDocument/2006/relationships" ref="L17" r:id="rId31"/>
    <hyperlink xmlns:r="http://schemas.openxmlformats.org/officeDocument/2006/relationships" ref="I18" r:id="rId32"/>
    <hyperlink xmlns:r="http://schemas.openxmlformats.org/officeDocument/2006/relationships" ref="L18" r:id="rId33"/>
    <hyperlink xmlns:r="http://schemas.openxmlformats.org/officeDocument/2006/relationships" ref="I19" r:id="rId34"/>
    <hyperlink xmlns:r="http://schemas.openxmlformats.org/officeDocument/2006/relationships" ref="L19" r:id="rId35"/>
    <hyperlink xmlns:r="http://schemas.openxmlformats.org/officeDocument/2006/relationships" ref="I20" r:id="rId36"/>
    <hyperlink xmlns:r="http://schemas.openxmlformats.org/officeDocument/2006/relationships" ref="L20" r:id="rId37"/>
    <hyperlink xmlns:r="http://schemas.openxmlformats.org/officeDocument/2006/relationships" ref="I21" r:id="rId38"/>
    <hyperlink xmlns:r="http://schemas.openxmlformats.org/officeDocument/2006/relationships" ref="L21" r:id="rId39"/>
    <hyperlink xmlns:r="http://schemas.openxmlformats.org/officeDocument/2006/relationships" ref="I22" r:id="rId40"/>
    <hyperlink xmlns:r="http://schemas.openxmlformats.org/officeDocument/2006/relationships" ref="L22" r:id="rId41"/>
    <hyperlink xmlns:r="http://schemas.openxmlformats.org/officeDocument/2006/relationships" ref="I23" r:id="rId42"/>
    <hyperlink xmlns:r="http://schemas.openxmlformats.org/officeDocument/2006/relationships" ref="L23" r:id="rId43"/>
    <hyperlink xmlns:r="http://schemas.openxmlformats.org/officeDocument/2006/relationships" ref="I24" r:id="rId44"/>
    <hyperlink xmlns:r="http://schemas.openxmlformats.org/officeDocument/2006/relationships" ref="L24" r:id="rId45"/>
    <hyperlink xmlns:r="http://schemas.openxmlformats.org/officeDocument/2006/relationships" ref="I25" r:id="rId46"/>
    <hyperlink xmlns:r="http://schemas.openxmlformats.org/officeDocument/2006/relationships" ref="L25" r:id="rId47"/>
    <hyperlink xmlns:r="http://schemas.openxmlformats.org/officeDocument/2006/relationships" ref="I26" r:id="rId48"/>
    <hyperlink xmlns:r="http://schemas.openxmlformats.org/officeDocument/2006/relationships" ref="L26" r:id="rId49"/>
    <hyperlink xmlns:r="http://schemas.openxmlformats.org/officeDocument/2006/relationships" ref="I27" r:id="rId50"/>
    <hyperlink xmlns:r="http://schemas.openxmlformats.org/officeDocument/2006/relationships" ref="L27" r:id="rId51"/>
    <hyperlink xmlns:r="http://schemas.openxmlformats.org/officeDocument/2006/relationships" ref="I28" r:id="rId52"/>
    <hyperlink xmlns:r="http://schemas.openxmlformats.org/officeDocument/2006/relationships" ref="L28" r:id="rId53"/>
    <hyperlink xmlns:r="http://schemas.openxmlformats.org/officeDocument/2006/relationships" ref="I29" r:id="rId54"/>
    <hyperlink xmlns:r="http://schemas.openxmlformats.org/officeDocument/2006/relationships" ref="L29" r:id="rId55"/>
    <hyperlink xmlns:r="http://schemas.openxmlformats.org/officeDocument/2006/relationships" ref="I30" r:id="rId56"/>
    <hyperlink xmlns:r="http://schemas.openxmlformats.org/officeDocument/2006/relationships" ref="L30" r:id="rId57"/>
    <hyperlink xmlns:r="http://schemas.openxmlformats.org/officeDocument/2006/relationships" ref="I31" r:id="rId58"/>
    <hyperlink xmlns:r="http://schemas.openxmlformats.org/officeDocument/2006/relationships" ref="L31" r:id="rId59"/>
    <hyperlink xmlns:r="http://schemas.openxmlformats.org/officeDocument/2006/relationships" ref="I32" r:id="rId60"/>
    <hyperlink xmlns:r="http://schemas.openxmlformats.org/officeDocument/2006/relationships" ref="L32" r:id="rId61"/>
    <hyperlink xmlns:r="http://schemas.openxmlformats.org/officeDocument/2006/relationships" ref="I33" r:id="rId62"/>
    <hyperlink xmlns:r="http://schemas.openxmlformats.org/officeDocument/2006/relationships" ref="L33" r:id="rId63"/>
    <hyperlink xmlns:r="http://schemas.openxmlformats.org/officeDocument/2006/relationships" ref="I34" r:id="rId64"/>
    <hyperlink xmlns:r="http://schemas.openxmlformats.org/officeDocument/2006/relationships" ref="L34" r:id="rId65"/>
    <hyperlink xmlns:r="http://schemas.openxmlformats.org/officeDocument/2006/relationships" ref="I35" r:id="rId66"/>
    <hyperlink xmlns:r="http://schemas.openxmlformats.org/officeDocument/2006/relationships" ref="L35" r:id="rId67"/>
    <hyperlink xmlns:r="http://schemas.openxmlformats.org/officeDocument/2006/relationships" ref="I36" r:id="rId68"/>
    <hyperlink xmlns:r="http://schemas.openxmlformats.org/officeDocument/2006/relationships" ref="L36" r:id="rId69"/>
    <hyperlink xmlns:r="http://schemas.openxmlformats.org/officeDocument/2006/relationships" ref="I37" r:id="rId70"/>
    <hyperlink xmlns:r="http://schemas.openxmlformats.org/officeDocument/2006/relationships" ref="L37" r:id="rId71"/>
    <hyperlink xmlns:r="http://schemas.openxmlformats.org/officeDocument/2006/relationships" ref="I38" r:id="rId72"/>
    <hyperlink xmlns:r="http://schemas.openxmlformats.org/officeDocument/2006/relationships" ref="L38" r:id="rId73"/>
    <hyperlink xmlns:r="http://schemas.openxmlformats.org/officeDocument/2006/relationships" ref="I39" r:id="rId74"/>
    <hyperlink xmlns:r="http://schemas.openxmlformats.org/officeDocument/2006/relationships" ref="L39" r:id="rId75"/>
    <hyperlink xmlns:r="http://schemas.openxmlformats.org/officeDocument/2006/relationships" ref="L40" r:id="rId76"/>
    <hyperlink xmlns:r="http://schemas.openxmlformats.org/officeDocument/2006/relationships" ref="I41" r:id="rId77"/>
    <hyperlink xmlns:r="http://schemas.openxmlformats.org/officeDocument/2006/relationships" ref="L41" r:id="rId78"/>
    <hyperlink xmlns:r="http://schemas.openxmlformats.org/officeDocument/2006/relationships" ref="I42" r:id="rId79"/>
    <hyperlink xmlns:r="http://schemas.openxmlformats.org/officeDocument/2006/relationships" ref="L42" r:id="rId80"/>
    <hyperlink xmlns:r="http://schemas.openxmlformats.org/officeDocument/2006/relationships" ref="I43" r:id="rId81"/>
    <hyperlink xmlns:r="http://schemas.openxmlformats.org/officeDocument/2006/relationships" ref="L43" r:id="rId82"/>
    <hyperlink xmlns:r="http://schemas.openxmlformats.org/officeDocument/2006/relationships" ref="I44" r:id="rId83"/>
    <hyperlink xmlns:r="http://schemas.openxmlformats.org/officeDocument/2006/relationships" ref="L44" r:id="rId84"/>
    <hyperlink xmlns:r="http://schemas.openxmlformats.org/officeDocument/2006/relationships" ref="I45" r:id="rId85"/>
    <hyperlink xmlns:r="http://schemas.openxmlformats.org/officeDocument/2006/relationships" ref="L45" r:id="rId86"/>
    <hyperlink xmlns:r="http://schemas.openxmlformats.org/officeDocument/2006/relationships" ref="I46" r:id="rId87"/>
    <hyperlink xmlns:r="http://schemas.openxmlformats.org/officeDocument/2006/relationships" ref="L46" r:id="rId88"/>
    <hyperlink xmlns:r="http://schemas.openxmlformats.org/officeDocument/2006/relationships" ref="I47" r:id="rId89"/>
    <hyperlink xmlns:r="http://schemas.openxmlformats.org/officeDocument/2006/relationships" ref="L47" r:id="rId90"/>
    <hyperlink xmlns:r="http://schemas.openxmlformats.org/officeDocument/2006/relationships" ref="I48" r:id="rId91"/>
    <hyperlink xmlns:r="http://schemas.openxmlformats.org/officeDocument/2006/relationships" ref="L48" r:id="rId92"/>
    <hyperlink xmlns:r="http://schemas.openxmlformats.org/officeDocument/2006/relationships" ref="I49" r:id="rId93"/>
    <hyperlink xmlns:r="http://schemas.openxmlformats.org/officeDocument/2006/relationships" ref="L49" r:id="rId94"/>
    <hyperlink xmlns:r="http://schemas.openxmlformats.org/officeDocument/2006/relationships" ref="I50" r:id="rId95"/>
    <hyperlink xmlns:r="http://schemas.openxmlformats.org/officeDocument/2006/relationships" ref="L50" r:id="rId96"/>
    <hyperlink xmlns:r="http://schemas.openxmlformats.org/officeDocument/2006/relationships" ref="I51" r:id="rId97"/>
    <hyperlink xmlns:r="http://schemas.openxmlformats.org/officeDocument/2006/relationships" ref="L51" r:id="rId98"/>
    <hyperlink xmlns:r="http://schemas.openxmlformats.org/officeDocument/2006/relationships" ref="I52" r:id="rId99"/>
    <hyperlink xmlns:r="http://schemas.openxmlformats.org/officeDocument/2006/relationships" ref="L52" r:id="rId100"/>
    <hyperlink xmlns:r="http://schemas.openxmlformats.org/officeDocument/2006/relationships" ref="I53" r:id="rId101"/>
    <hyperlink xmlns:r="http://schemas.openxmlformats.org/officeDocument/2006/relationships" ref="L53" r:id="rId102"/>
    <hyperlink xmlns:r="http://schemas.openxmlformats.org/officeDocument/2006/relationships" ref="I54" r:id="rId103"/>
    <hyperlink xmlns:r="http://schemas.openxmlformats.org/officeDocument/2006/relationships" ref="L54" r:id="rId104"/>
    <hyperlink xmlns:r="http://schemas.openxmlformats.org/officeDocument/2006/relationships" ref="I55" r:id="rId105"/>
    <hyperlink xmlns:r="http://schemas.openxmlformats.org/officeDocument/2006/relationships" ref="L55" r:id="rId106"/>
    <hyperlink xmlns:r="http://schemas.openxmlformats.org/officeDocument/2006/relationships" ref="I56" r:id="rId107"/>
    <hyperlink xmlns:r="http://schemas.openxmlformats.org/officeDocument/2006/relationships" ref="L56" r:id="rId108"/>
    <hyperlink xmlns:r="http://schemas.openxmlformats.org/officeDocument/2006/relationships" ref="I57" r:id="rId109"/>
    <hyperlink xmlns:r="http://schemas.openxmlformats.org/officeDocument/2006/relationships" ref="L57" r:id="rId110"/>
    <hyperlink xmlns:r="http://schemas.openxmlformats.org/officeDocument/2006/relationships" ref="I58" r:id="rId111"/>
    <hyperlink xmlns:r="http://schemas.openxmlformats.org/officeDocument/2006/relationships" ref="L58" r:id="rId112"/>
    <hyperlink xmlns:r="http://schemas.openxmlformats.org/officeDocument/2006/relationships" ref="I59" r:id="rId113"/>
    <hyperlink xmlns:r="http://schemas.openxmlformats.org/officeDocument/2006/relationships" ref="L59" r:id="rId114"/>
    <hyperlink xmlns:r="http://schemas.openxmlformats.org/officeDocument/2006/relationships" ref="I60" r:id="rId115"/>
    <hyperlink xmlns:r="http://schemas.openxmlformats.org/officeDocument/2006/relationships" ref="L60" r:id="rId116"/>
    <hyperlink xmlns:r="http://schemas.openxmlformats.org/officeDocument/2006/relationships" ref="I61" r:id="rId117"/>
    <hyperlink xmlns:r="http://schemas.openxmlformats.org/officeDocument/2006/relationships" ref="L61" r:id="rId118"/>
    <hyperlink xmlns:r="http://schemas.openxmlformats.org/officeDocument/2006/relationships" ref="I62" r:id="rId119"/>
    <hyperlink xmlns:r="http://schemas.openxmlformats.org/officeDocument/2006/relationships" ref="L62" r:id="rId120"/>
    <hyperlink xmlns:r="http://schemas.openxmlformats.org/officeDocument/2006/relationships" ref="I63" r:id="rId121"/>
    <hyperlink xmlns:r="http://schemas.openxmlformats.org/officeDocument/2006/relationships" ref="L63" r:id="rId122"/>
    <hyperlink xmlns:r="http://schemas.openxmlformats.org/officeDocument/2006/relationships" ref="I64" r:id="rId123"/>
    <hyperlink xmlns:r="http://schemas.openxmlformats.org/officeDocument/2006/relationships" ref="L64" r:id="rId124"/>
    <hyperlink xmlns:r="http://schemas.openxmlformats.org/officeDocument/2006/relationships" ref="I65" r:id="rId125"/>
    <hyperlink xmlns:r="http://schemas.openxmlformats.org/officeDocument/2006/relationships" ref="L65" r:id="rId126"/>
    <hyperlink xmlns:r="http://schemas.openxmlformats.org/officeDocument/2006/relationships" ref="I66" r:id="rId127"/>
    <hyperlink xmlns:r="http://schemas.openxmlformats.org/officeDocument/2006/relationships" ref="L66" r:id="rId128"/>
    <hyperlink xmlns:r="http://schemas.openxmlformats.org/officeDocument/2006/relationships" ref="I67" r:id="rId129"/>
    <hyperlink xmlns:r="http://schemas.openxmlformats.org/officeDocument/2006/relationships" ref="L67" r:id="rId130"/>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82"/>
  <sheetViews>
    <sheetView workbookViewId="0">
      <pane ySplit="1" topLeftCell="A2" activePane="bottomLeft" state="frozen"/>
      <selection pane="bottomLeft" activeCell="A1" sqref="A1"/>
    </sheetView>
  </sheetViews>
  <sheetFormatPr baseColWidth="8" defaultRowHeight="15"/>
  <cols>
    <col width="6" customWidth="1" style="34" min="1" max="1"/>
    <col width="16" customWidth="1" style="34" min="2" max="2"/>
    <col width="34" customWidth="1" style="34" min="3" max="3"/>
    <col width="22" customWidth="1" style="34" min="4" max="4"/>
    <col width="26" customWidth="1" style="34" min="5" max="5"/>
    <col width="28" customWidth="1" style="34" min="6" max="6"/>
    <col width="16" customWidth="1" style="34" min="7" max="7"/>
    <col width="34" customWidth="1" style="34" min="8" max="8"/>
    <col width="18" customWidth="1" style="34" min="9" max="9"/>
    <col width="16" customWidth="1" style="34" min="10" max="10"/>
    <col width="22" customWidth="1" style="34" min="11" max="11"/>
    <col hidden="1" width="20" customWidth="1" style="34" min="12" max="12"/>
    <col width="60" customWidth="1" style="34" min="13" max="13"/>
    <col width="40" customWidth="1" style="34" min="14" max="14"/>
  </cols>
  <sheetData>
    <row r="1" ht="22" customHeight="1" s="34">
      <c r="A1" s="122" t="inlineStr">
        <is>
          <t>Year</t>
        </is>
      </c>
      <c r="B1" s="122" t="inlineStr">
        <is>
          <t>Tier</t>
        </is>
      </c>
      <c r="C1" s="122" t="inlineStr">
        <is>
          <t>Campaign</t>
        </is>
      </c>
      <c r="D1" s="122" t="inlineStr">
        <is>
          <t>Brand</t>
        </is>
      </c>
      <c r="E1" s="122" t="inlineStr">
        <is>
          <t>Product/Service</t>
        </is>
      </c>
      <c r="F1" s="122" t="inlineStr">
        <is>
          <t>Agency</t>
        </is>
      </c>
      <c r="G1" s="122" t="inlineStr">
        <is>
          <t>Country</t>
        </is>
      </c>
      <c r="H1" s="122" t="inlineStr">
        <is>
          <t>Subcategory</t>
        </is>
      </c>
      <c r="I1" s="122" t="inlineStr">
        <is>
          <t>Image URL</t>
        </is>
      </c>
      <c r="J1" s="122" t="inlineStr">
        <is>
          <t>YouTube ID</t>
        </is>
      </c>
      <c r="K1" s="122" t="inlineStr">
        <is>
          <t>Campaign Group</t>
        </is>
      </c>
      <c r="L1" s="122" t="inlineStr">
        <is>
          <t>Entry URL</t>
        </is>
      </c>
      <c r="M1" s="122" t="inlineStr">
        <is>
          <t>Description</t>
        </is>
      </c>
      <c r="N1" s="122" t="inlineStr">
        <is>
          <t>Keywords</t>
        </is>
      </c>
    </row>
    <row r="2">
      <c r="A2" s="127" t="n">
        <v>2025</v>
      </c>
      <c r="B2" s="139" t="inlineStr">
        <is>
          <t>Grand Prix</t>
        </is>
      </c>
      <c r="C2" s="127" t="inlineStr">
        <is>
          <t>Lucky Yatra</t>
        </is>
      </c>
      <c r="D2" s="127" t="inlineStr">
        <is>
          <t>Indian Railways</t>
        </is>
      </c>
      <c r="E2" s="127" t="inlineStr">
        <is>
          <t>Railway Service</t>
        </is>
      </c>
      <c r="F2" s="127" t="inlineStr">
        <is>
          <t>FCB India</t>
        </is>
      </c>
      <c r="G2" s="127" t="inlineStr">
        <is>
          <t>India</t>
        </is>
      </c>
      <c r="H2" s="113" t="inlineStr">
        <is>
          <t>Travel, Leisure, Retail, Restaurants &amp; Fast-Food Chains</t>
        </is>
      </c>
      <c r="I2" s="128" t="inlineStr">
        <is>
          <t>https://ascentialcdn.filespin.io/api/v1/conversion/ef118ab5982a4092aa78da671a82d86d</t>
        </is>
      </c>
      <c r="J2" s="127" t="inlineStr">
        <is>
          <t>19fzAvuFq0I</t>
        </is>
      </c>
      <c r="K2" s="127" t="n"/>
      <c r="L2" s="128" t="inlineStr">
        <is>
          <t>https://www.lovethework.com/work/entries/lucky-yatra-749405</t>
        </is>
      </c>
      <c r="M2" s="113" t="inlineStr">
        <is>
          <t>A loyalty program built into the ticketing system of Indian Railways: every valid ticket carries a unique number that's auto-entered into daily and weekly cash prize draws. Designed to turn ticketless travel — an entrenched habit on one of the world's largest rail networks — into a paid behavior worth doing.</t>
        </is>
      </c>
      <c r="N2" s="113" t="inlineStr">
        <is>
          <t>railway-service, loyalty-program, public-transport, india, mobile-app, gamification, travel, tourism, pr</t>
        </is>
      </c>
    </row>
    <row r="3">
      <c r="A3" s="127" t="n">
        <v>2025</v>
      </c>
      <c r="B3" s="140" t="inlineStr">
        <is>
          <t>Gold</t>
        </is>
      </c>
      <c r="C3" s="127" t="inlineStr">
        <is>
          <t>The Parental Leave Mortgage</t>
        </is>
      </c>
      <c r="D3" s="127" t="inlineStr">
        <is>
          <t>Nordea</t>
        </is>
      </c>
      <c r="E3" s="127" t="inlineStr">
        <is>
          <t>The Parental Leave Mortgage</t>
        </is>
      </c>
      <c r="F3" s="127" t="inlineStr">
        <is>
          <t>Nord DDB</t>
        </is>
      </c>
      <c r="G3" s="127" t="inlineStr">
        <is>
          <t>Sweden</t>
        </is>
      </c>
      <c r="H3" s="113" t="inlineStr">
        <is>
          <t>Consumer Services/Business to Business</t>
        </is>
      </c>
      <c r="I3" s="128" t="inlineStr">
        <is>
          <t>https://ascentialcdn.filespin.io/api/v1/conversion/a8b9edfd44de47b893b950770030cf54</t>
        </is>
      </c>
      <c r="J3" s="127" t="inlineStr">
        <is>
          <t>9xzGRtPDwCU</t>
        </is>
      </c>
      <c r="K3" s="127" t="n"/>
      <c r="L3" s="128" t="inlineStr">
        <is>
          <t>https://www.lovethework.com/work/entries/the-parental-leave-mortgage-749615</t>
        </is>
      </c>
      <c r="M3" s="113" t="inlineStr">
        <is>
          <t>A Nordea mortgage product across Denmark, Norway, Finland, and Sweden that fully pauses payments — interest and principal, with no fees — for the duration of either parent's parental leave. Designed to remove the financial reason fathers in Finland, where 88% of leave days are taken by women, skip their statutory share.</t>
        </is>
      </c>
      <c r="N3" s="113" t="inlineStr">
        <is>
          <t>banking, financial-services, finance, consumer-services, mortgage, parental-leave, sweden, finland, denmark, norway, product-design, gender-equality, social-good</t>
        </is>
      </c>
    </row>
    <row r="4">
      <c r="A4" s="127" t="n">
        <v>2025</v>
      </c>
      <c r="B4" s="140" t="inlineStr">
        <is>
          <t>Gold</t>
        </is>
      </c>
      <c r="C4" s="127" t="inlineStr">
        <is>
          <t>Lucky Yatra</t>
        </is>
      </c>
      <c r="D4" s="127" t="inlineStr">
        <is>
          <t>Indian Railways</t>
        </is>
      </c>
      <c r="E4" s="127" t="inlineStr">
        <is>
          <t>Railway Service</t>
        </is>
      </c>
      <c r="F4" s="127" t="inlineStr">
        <is>
          <t>FCB India</t>
        </is>
      </c>
      <c r="G4" s="127" t="inlineStr">
        <is>
          <t>India</t>
        </is>
      </c>
      <c r="H4" s="113" t="inlineStr">
        <is>
          <t>Local Brand</t>
        </is>
      </c>
      <c r="I4" s="128" t="inlineStr">
        <is>
          <t>https://ascentialcdn.filespin.io/api/v1/conversion/6ce681a1873344eba0bc91e5d14a4997</t>
        </is>
      </c>
      <c r="J4" s="127" t="inlineStr">
        <is>
          <t>19fzAvuFq0I</t>
        </is>
      </c>
      <c r="K4" s="127" t="n"/>
      <c r="L4" s="128" t="inlineStr">
        <is>
          <t>https://www.lovethework.com/work/entries/lucky-yatra-750264</t>
        </is>
      </c>
      <c r="M4" s="113" t="inlineStr">
        <is>
          <t>A loyalty program built into the ticketing system of Indian Railways: every valid ticket carries a unique number that's auto-entered into daily and weekly cash prize draws. Designed to turn ticketless travel — an entrenched habit on one of the world's largest rail networks — into a paid behavior worth doing.</t>
        </is>
      </c>
      <c r="N4" s="113" t="inlineStr">
        <is>
          <t>railway-service, loyalty-program, public-service, mobile-app, india, gamification, ticketing</t>
        </is>
      </c>
    </row>
    <row r="5">
      <c r="A5" s="127" t="n">
        <v>2025</v>
      </c>
      <c r="B5" s="140" t="inlineStr">
        <is>
          <t>Gold</t>
        </is>
      </c>
      <c r="C5" s="127" t="inlineStr">
        <is>
          <t>Haaland Payback Time</t>
        </is>
      </c>
      <c r="D5" s="127" t="inlineStr">
        <is>
          <t>Clash of Clans</t>
        </is>
      </c>
      <c r="E5" s="127" t="inlineStr">
        <is>
          <t>Clash of Clans</t>
        </is>
      </c>
      <c r="F5" s="127" t="inlineStr">
        <is>
          <t>David</t>
        </is>
      </c>
      <c r="G5" s="127" t="inlineStr">
        <is>
          <t>United States</t>
        </is>
      </c>
      <c r="H5" s="113" t="inlineStr">
        <is>
          <t>Innovative Use of Influencers/Creators</t>
        </is>
      </c>
      <c r="I5" s="128" t="inlineStr">
        <is>
          <t>https://ascentialcdn.filespin.io/api/v1/conversion/e56e744cd3594eceb82733246e9035b2</t>
        </is>
      </c>
      <c r="J5" s="127" t="inlineStr">
        <is>
          <t>TcQ--NtSQ9s</t>
        </is>
      </c>
      <c r="K5" s="127" t="n"/>
      <c r="L5" s="128" t="inlineStr">
        <is>
          <t>https://www.lovethework.com/work/entries/haaland-payback-time-749773</t>
        </is>
      </c>
      <c r="M5" s="113" t="inlineStr">
        <is>
          <t>A limited in-game challenge built around Premier League footballer Erling Haaland's actual Clash of Clans village — one he had spent over a decade constructing. The campaign invited rival players and self-declared Haaland "haters" to raid and attack that real village, turning his personal in-game progress into a target. The mechanic used Haaland's existing game history as the creative raw material, with his real account serving as the prize to be plundered.</t>
        </is>
      </c>
      <c r="N5" s="113" t="inlineStr">
        <is>
          <t>mobile-game, gaming, video-games, entertainment, influencer, sport, in-game-activation, football, soccer, celebrity, united-states</t>
        </is>
      </c>
    </row>
    <row r="6">
      <c r="A6" s="127" t="n">
        <v>2025</v>
      </c>
      <c r="B6" s="140" t="inlineStr">
        <is>
          <t>Gold</t>
        </is>
      </c>
      <c r="C6" s="127" t="inlineStr">
        <is>
          <t>Nutter Butter, You Good?</t>
        </is>
      </c>
      <c r="D6" s="127" t="inlineStr">
        <is>
          <t>Nutter Butter</t>
        </is>
      </c>
      <c r="E6" s="127" t="inlineStr">
        <is>
          <t>Nutter Butter Cookie</t>
        </is>
      </c>
      <c r="F6" s="127" t="inlineStr">
        <is>
          <t>Dentsu Creative</t>
        </is>
      </c>
      <c r="G6" s="127" t="inlineStr">
        <is>
          <t>United States</t>
        </is>
      </c>
      <c r="H6" s="113" t="inlineStr">
        <is>
          <t>Content Creation &amp; Production</t>
        </is>
      </c>
      <c r="I6" s="128" t="inlineStr">
        <is>
          <t>https://ascentialcdn.filespin.io/api/v1/conversion/6876d84d5b5142e19c9d97302718d0f2</t>
        </is>
      </c>
      <c r="J6" s="127" t="inlineStr">
        <is>
          <t>AzhCsGOqfyg</t>
        </is>
      </c>
      <c r="K6" s="127" t="n"/>
      <c r="L6" s="128" t="inlineStr">
        <is>
          <t>https://www.lovethework.com/work/entries/nutter-butter-you-good-749742</t>
        </is>
      </c>
      <c r="M6" s="113" t="inlineStr">
        <is>
          <t>An organic TikTok presence built for Nutter Butter by Dentsu Creative New York, constructed around a self-contained fictional universe called the Nutterverse — surreal, lore-heavy content designed to make the 56-year-old peanut butter cookie feel native to the platform rather than advertised on it. The strategy relied entirely on earned attention, with no paid media spend.</t>
        </is>
      </c>
      <c r="N6" s="113" t="inlineStr">
        <is>
          <t>snack, food, packaged-goods, cpg, fmcg, social-media, tiktok, organic-content, content-creation, united-states, earned-media, gen-z</t>
        </is>
      </c>
    </row>
    <row r="7">
      <c r="A7" s="127" t="n">
        <v>2025</v>
      </c>
      <c r="B7" s="140" t="inlineStr">
        <is>
          <t>Gold</t>
        </is>
      </c>
      <c r="C7" s="127" t="inlineStr">
        <is>
          <t>AXA - Three Words</t>
        </is>
      </c>
      <c r="D7" s="127" t="inlineStr">
        <is>
          <t>AXA</t>
        </is>
      </c>
      <c r="E7" s="127" t="inlineStr">
        <is>
          <t>Insurance</t>
        </is>
      </c>
      <c r="F7" s="127" t="inlineStr">
        <is>
          <t>Publicis Conseil</t>
        </is>
      </c>
      <c r="G7" s="127" t="inlineStr">
        <is>
          <t>France</t>
        </is>
      </c>
      <c r="H7" s="113" t="inlineStr">
        <is>
          <t>Consumer Services/Business to Business</t>
        </is>
      </c>
      <c r="I7" s="128" t="inlineStr">
        <is>
          <t>https://ascentialcdn.filespin.io/api/v1/conversion/e1a85ff134e545c7b049791151432028</t>
        </is>
      </c>
      <c r="J7" s="127" t="inlineStr">
        <is>
          <t>pY-03zuV7mE</t>
        </is>
      </c>
      <c r="K7" s="127" t="n"/>
      <c r="L7" s="128" t="inlineStr">
        <is>
          <t>https://www.lovethework.com/work/entries/axa-three-words-749672</t>
        </is>
      </c>
      <c r="M7" s="113" t="inlineStr">
        <is>
          <t>AXA turned home insurance into a tool for escape by adding three words—“and domestic violence”—to its policies, making abuse a covered risk alongside fire and flood. The change gave victims emergency relocation support at no extra cost, updating 2.5 million contracts and helping women leave the most dangerous place they may face: their own home.</t>
        </is>
      </c>
      <c r="N7" s="113" t="inlineStr">
        <is>
          <t>insurance, financial-services, finance, social-good, domestic-violence, public-service, france, policy-change, partnership</t>
        </is>
      </c>
    </row>
    <row r="8">
      <c r="A8" s="127" t="n">
        <v>2025</v>
      </c>
      <c r="B8" s="140" t="inlineStr">
        <is>
          <t>Gold</t>
        </is>
      </c>
      <c r="C8" s="127" t="inlineStr">
        <is>
          <t>Progresso Soup Drops</t>
        </is>
      </c>
      <c r="D8" s="127" t="inlineStr">
        <is>
          <t>Progresso</t>
        </is>
      </c>
      <c r="E8" s="127" t="inlineStr">
        <is>
          <t>Progresso Canned Soups</t>
        </is>
      </c>
      <c r="F8" s="127" t="inlineStr">
        <is>
          <t>Edelman</t>
        </is>
      </c>
      <c r="G8" s="127" t="inlineStr">
        <is>
          <t>United States</t>
        </is>
      </c>
      <c r="H8" s="113" t="inlineStr">
        <is>
          <t>Media Relations</t>
        </is>
      </c>
      <c r="I8" s="128" t="inlineStr">
        <is>
          <t>https://ascentialcdn.filespin.io/api/v1/conversion/8a8d409a0e954a6b8f0df7b07bba8cc9</t>
        </is>
      </c>
      <c r="J8" s="127" t="inlineStr">
        <is>
          <t>vimeo:1153574180</t>
        </is>
      </c>
      <c r="K8" s="127" t="n"/>
      <c r="L8" s="128" t="inlineStr">
        <is>
          <t>https://www.lovethework.com/work/entries/progresso-soup-drops-749792</t>
        </is>
      </c>
      <c r="M8" s="113" t="inlineStr">
        <is>
          <t>A limited-edition hard candy made to taste like Progresso Chicken Noodle Soup, released only during National Soup Month at the peak of cold-and-flu season. Sold direct-to-consumer in a custom 'soup you can suck on' format that moved the brand out of the soup aisle and into the candy and lozenge conversation.</t>
        </is>
      </c>
      <c r="N8" s="113" t="inlineStr">
        <is>
          <t>product-launch, packaged-goods, cpg, fmcg, pr-stunt, limited-edition, food, dtc, ecommerce, retail, online-shopping, united-states, seasonal</t>
        </is>
      </c>
    </row>
    <row r="9">
      <c r="A9" s="127" t="n">
        <v>2025</v>
      </c>
      <c r="B9" s="140" t="inlineStr">
        <is>
          <t>Gold</t>
        </is>
      </c>
      <c r="C9" s="127" t="inlineStr">
        <is>
          <t>Sun Reserve</t>
        </is>
      </c>
      <c r="D9" s="127" t="inlineStr">
        <is>
          <t>Corona</t>
        </is>
      </c>
      <c r="E9" s="127" t="inlineStr">
        <is>
          <t>Corona</t>
        </is>
      </c>
      <c r="F9" s="127" t="inlineStr">
        <is>
          <t>Grey</t>
        </is>
      </c>
      <c r="G9" s="127" t="inlineStr">
        <is>
          <t>Brazil</t>
        </is>
      </c>
      <c r="H9" s="113" t="inlineStr">
        <is>
          <t>Use of Events &amp; Stunts</t>
        </is>
      </c>
      <c r="I9" s="128" t="inlineStr">
        <is>
          <t>https://ascentialcdn.filespin.io/api/v1/conversion/652b705dcecc4cb7a72c76e4e22c80e5</t>
        </is>
      </c>
      <c r="J9" s="127" t="inlineStr">
        <is>
          <t>7i2fC6qJR2o</t>
        </is>
      </c>
      <c r="K9" s="127" t="n"/>
      <c r="L9" s="128" t="inlineStr">
        <is>
          <t>https://www.lovethework.com/work/entries/sun-reserve-749967</t>
        </is>
      </c>
      <c r="M9" s="113" t="inlineStr">
        <is>
          <t>A land lease on Piedade Beach in Pernambuco, Brazil, where Corona acquired beachfront-facing property and capped building heights to prevent future construction from blocking sunlight reaching the sand. Created by Grey São Paulo to mark the brand's 100th birthday, the lease establishes what Corona calls the world's first "Sun Reserve" — a legal mechanism to protect public access to sunlight on a beach.</t>
        </is>
      </c>
      <c r="N9" s="113" t="inlineStr">
        <is>
          <t>beer, alcohol, events-and-stunts, experiential, brazil, ooh, land-use, environmental, branded-space</t>
        </is>
      </c>
    </row>
    <row r="10">
      <c r="A10" s="127" t="n">
        <v>2025</v>
      </c>
      <c r="B10" s="140" t="inlineStr">
        <is>
          <t>Gold</t>
        </is>
      </c>
      <c r="C10" s="127" t="inlineStr">
        <is>
          <t>Daisy vs Scammers</t>
        </is>
      </c>
      <c r="D10" s="127" t="inlineStr">
        <is>
          <t>O2</t>
        </is>
      </c>
      <c r="E10" s="127" t="inlineStr">
        <is>
          <t>Daisy vs Scammers</t>
        </is>
      </c>
      <c r="F10" s="127" t="inlineStr">
        <is>
          <t>VCCP</t>
        </is>
      </c>
      <c r="G10" s="127" t="inlineStr">
        <is>
          <t>United Kingdom</t>
        </is>
      </c>
      <c r="H10" s="113" t="inlineStr">
        <is>
          <t>Use of Technology</t>
        </is>
      </c>
      <c r="I10" s="128" t="inlineStr">
        <is>
          <t>https://ascentialcdn.filespin.io/api/v1/conversion/6f38aa2f9e1c4c1c906cc1fb6b7c7e8b</t>
        </is>
      </c>
      <c r="J10" s="127" t="inlineStr">
        <is>
          <t>tnfhe_XMg7U</t>
        </is>
      </c>
      <c r="K10" s="127" t="n"/>
      <c r="L10" s="128" t="inlineStr">
        <is>
          <t>https://www.lovethework.com/work/entries/daisy-vs-scammers-750173</t>
        </is>
      </c>
      <c r="M10" s="113" t="inlineStr">
        <is>
          <t>An AI-generated elderly woman named Daisy, built by O2 and VCCP to engage phone scammers in extended, rambling conversations — keeping them on the line and away from real potential victims. Daisy is deployed as a live phone persona, realistic enough to hold fraudsters in lengthy calls while collecting intelligence on active scam scripts, at a time when 7 in 10 people in the UK were being targeted by scammers.</t>
        </is>
      </c>
      <c r="N10" s="113" t="inlineStr">
        <is>
          <t>telecommunications, ai, technology, public-safety, conversational-ai, united-kingdom, use-of-technology, consumer-protection, voice</t>
        </is>
      </c>
    </row>
    <row r="11">
      <c r="A11" s="127" t="n">
        <v>2025</v>
      </c>
      <c r="B11" s="132" t="inlineStr">
        <is>
          <t>Silver</t>
        </is>
      </c>
      <c r="C11" s="127" t="inlineStr">
        <is>
          <t>Olympic Curry</t>
        </is>
      </c>
      <c r="D11" s="127" t="inlineStr">
        <is>
          <t>McDonald's</t>
        </is>
      </c>
      <c r="E11" s="127" t="inlineStr">
        <is>
          <t>Curry Sauce</t>
        </is>
      </c>
      <c r="F11" s="127" t="inlineStr">
        <is>
          <t>DDB Paris</t>
        </is>
      </c>
      <c r="G11" s="127" t="inlineStr">
        <is>
          <t>France</t>
        </is>
      </c>
      <c r="H11" s="113" t="inlineStr">
        <is>
          <t>Social Engagement</t>
        </is>
      </c>
      <c r="I11" s="128" t="inlineStr">
        <is>
          <t>https://ascentialcdn.filespin.io/api/v1/conversion/b8993a8a561d47fe9b9f126b8fbb45ce</t>
        </is>
      </c>
      <c r="J11" s="127" t="inlineStr">
        <is>
          <t>tOs7DlcDX0U</t>
        </is>
      </c>
      <c r="K11" s="127" t="n"/>
      <c r="L11" s="128" t="inlineStr">
        <is>
          <t>https://www.lovethework.com/work/entries/olympic-curry-749727</t>
        </is>
      </c>
      <c r="M11" s="113" t="inlineStr">
        <is>
          <t>A social media exchange between McDonald's France and McDonald's USA accounts, sparked by American athletes at the Paris 2024 Olympics publicly craving McDonald's France's curry sauce — a dipping sauce unavailable in U.S. locations. DDB Paris amplified the moment by staging a cross-account dialogue between the two national McDonald's handles, leaning into the menu difference as a point of cultural tension during the Games.</t>
        </is>
      </c>
      <c r="N11" s="113" t="inlineStr">
        <is>
          <t>quick-service-restaurant, social-media, social-engagement, france, united-states, paris-olympics, condiment, real-time-marketing</t>
        </is>
      </c>
    </row>
    <row r="12">
      <c r="A12" s="127" t="n">
        <v>2025</v>
      </c>
      <c r="B12" s="132" t="inlineStr">
        <is>
          <t>Silver</t>
        </is>
      </c>
      <c r="C12" s="127" t="inlineStr">
        <is>
          <t>Sato 2531</t>
        </is>
      </c>
      <c r="D12" s="127" t="inlineStr">
        <is>
          <t>Asuniwa</t>
        </is>
      </c>
      <c r="E12" s="127" t="inlineStr">
        <is>
          <t>Think Name Project</t>
        </is>
      </c>
      <c r="F12" s="127" t="inlineStr">
        <is>
          <t>Dentsu Digital</t>
        </is>
      </c>
      <c r="G12" s="127" t="inlineStr">
        <is>
          <t>Japan</t>
        </is>
      </c>
      <c r="H12" s="113" t="inlineStr">
        <is>
          <t>Research, Data &amp; Analytics</t>
        </is>
      </c>
      <c r="I12" s="128" t="inlineStr">
        <is>
          <t>https://ascentialcdn.filespin.io/api/v1/conversion/32b2b247e87144d9837c4fa1252873da</t>
        </is>
      </c>
      <c r="J12" s="127" t="inlineStr">
        <is>
          <t>BW5T0gC6o3o</t>
        </is>
      </c>
      <c r="K12" s="127" t="n"/>
      <c r="L12" s="128" t="inlineStr">
        <is>
          <t>https://www.lovethework.com/work/entries/sato-2531-749858</t>
        </is>
      </c>
      <c r="M12" s="113" t="inlineStr">
        <is>
          <t>A data projection commissioned by Asuniwa, a Japanese gender equality organization, modeling the long-term impact of Japan's law requiring married couples to share a single surname — a rule that in practice leads most wives to take their husband's name. Working with an academic partner, the project calculated that if the law remains unchanged, "Sato" — currently Japan's most common surname — would mathematically become the only surviving family name in the country by the year 2531. To force the finding into public conversation, 40 organizations renamed their assets, accounts, and properties to "Sato."</t>
        </is>
      </c>
      <c r="N12" s="113" t="inlineStr">
        <is>
          <t>gender-equality, social-good, data-visualization, public-awareness, research, nonprofit, japan, social-issue, naming, activation</t>
        </is>
      </c>
    </row>
    <row r="13">
      <c r="A13" s="127" t="n">
        <v>2025</v>
      </c>
      <c r="B13" s="132" t="inlineStr">
        <is>
          <t>Silver</t>
        </is>
      </c>
      <c r="C13" s="127" t="inlineStr">
        <is>
          <t>36 Months</t>
        </is>
      </c>
      <c r="D13" s="127" t="inlineStr">
        <is>
          <t>36 Months</t>
        </is>
      </c>
      <c r="E13" s="127" t="inlineStr">
        <is>
          <t>36 Months</t>
        </is>
      </c>
      <c r="F13" s="127" t="inlineStr">
        <is>
          <t>Supermassive</t>
        </is>
      </c>
      <c r="G13" s="127" t="inlineStr">
        <is>
          <t>Australia</t>
        </is>
      </c>
      <c r="H13" s="113" t="inlineStr">
        <is>
          <t>PR Effectiveness</t>
        </is>
      </c>
      <c r="I13" s="128" t="inlineStr">
        <is>
          <t>https://ascentialcdn.filespin.io/api/v1/conversion/cdd8c63860a0458e9216b7b4bf571de5</t>
        </is>
      </c>
      <c r="J13" s="127" t="inlineStr">
        <is>
          <t>KXjKyTfgps8</t>
        </is>
      </c>
      <c r="K13" s="127" t="n"/>
      <c r="L13" s="128" t="inlineStr">
        <is>
          <t>https://www.lovethework.com/work/entries/36-months-749925</t>
        </is>
      </c>
      <c r="M13" s="113" t="inlineStr">
        <is>
          <t>A campaign built around a proposed Australian law to raise the minimum age for social media access from 13 to 16 — a shift of exactly 36 months — giving the advocacy effort its name and central argument. Supermassive and FINCH, Sydney positioned the age threshold as an arbitrary, outdated default and produced work designed to pressure legislators, ultimately contributing to world-first legislation that passed in Australia and provided a policy blueprint for other countries.</t>
        </is>
      </c>
      <c r="N13" s="113" t="inlineStr">
        <is>
          <t>public-affairs, pr, social-media, youth-safety, advocacy, australia, legislation, film, cinema, entertainment</t>
        </is>
      </c>
    </row>
    <row r="14">
      <c r="A14" s="127" t="n">
        <v>2025</v>
      </c>
      <c r="B14" s="132" t="inlineStr">
        <is>
          <t>Silver</t>
        </is>
      </c>
      <c r="C14" s="127" t="inlineStr">
        <is>
          <t>Starring Bars</t>
        </is>
      </c>
      <c r="D14" s="127" t="inlineStr">
        <is>
          <t>Heineken®</t>
        </is>
      </c>
      <c r="E14" s="127" t="inlineStr">
        <is>
          <t>Heinekenâ®</t>
        </is>
      </c>
      <c r="F14" s="127" t="inlineStr">
        <is>
          <t>Edelman</t>
        </is>
      </c>
      <c r="G14" s="127" t="inlineStr">
        <is>
          <t>United Kingdom</t>
        </is>
      </c>
      <c r="H14" s="113" t="inlineStr">
        <is>
          <t>Corporate Image, Communication &amp; Reputation Management</t>
        </is>
      </c>
      <c r="I14" s="128" t="inlineStr">
        <is>
          <t>https://ascentialcdn.filespin.io/api/v1/conversion/cb4f0acca9cb478893406007849a23c0</t>
        </is>
      </c>
      <c r="J14" s="127" t="inlineStr">
        <is>
          <t>VNq1oogkrYk</t>
        </is>
      </c>
      <c r="K14" s="127" t="n"/>
      <c r="L14" s="128" t="inlineStr">
        <is>
          <t>https://www.lovethework.com/work/entries/starring-bars-750301</t>
        </is>
      </c>
      <c r="M14" s="113" t="inlineStr">
        <is>
          <t>A production policy Heineken committed to globally: filming all of its commercials inside struggling local bars, which receive rental income, a production-funded makeover, and international visibility from the resulting ad. Developed with Edelman, LePub Milan, and LePub Singapore, the initiative ties Heineken's own ad budget directly to revenue generation for the venues it features.</t>
        </is>
      </c>
      <c r="N14" s="113" t="inlineStr">
        <is>
          <t>beer, alcohol, corporate-image, branded-content, film-production, local-business, global, united-kingdom, netherlands, pr</t>
        </is>
      </c>
    </row>
    <row r="15">
      <c r="A15" s="127" t="n">
        <v>2025</v>
      </c>
      <c r="B15" s="132" t="inlineStr">
        <is>
          <t>Silver</t>
        </is>
      </c>
      <c r="C15" s="127" t="inlineStr">
        <is>
          <t>Vagina Privacy Network</t>
        </is>
      </c>
      <c r="D15" s="127" t="inlineStr">
        <is>
          <t>Msi Reproductive Choices</t>
        </is>
      </c>
      <c r="E15" s="127" t="inlineStr">
        <is>
          <t>Msi Reproductive Choices</t>
        </is>
      </c>
      <c r="F15" s="127" t="inlineStr">
        <is>
          <t>Weber Shandwick</t>
        </is>
      </c>
      <c r="G15" s="127" t="inlineStr">
        <is>
          <t>United States</t>
        </is>
      </c>
      <c r="H15" s="113" t="inlineStr">
        <is>
          <t>Cultural Engagement</t>
        </is>
      </c>
      <c r="I15" s="128" t="inlineStr">
        <is>
          <t>https://ascentialcdn.filespin.io/api/v1/conversion/5c80ce09550145728784bed3f8bb1e31</t>
        </is>
      </c>
      <c r="J15" s="127" t="inlineStr">
        <is>
          <t>iLs_Pjjgevo</t>
        </is>
      </c>
      <c r="K15" s="127" t="n"/>
      <c r="L15" s="128" t="inlineStr">
        <is>
          <t>https://www.lovethework.com/work/entries/vagina-privacy-network-750716</t>
        </is>
      </c>
      <c r="M15" s="113" t="inlineStr">
        <is>
          <t>A branded VPN — a downloadable virtual private network — built to mask the reproductive health searches, clinic visits, and location data of American women following the rollback of federal abortion protections. Created by Weber Shandwick San Francisco for MSI Reproductive Choices, the tool wrapped data-privacy utility around a fundraising mechanic, with downloads driving donations to expand access to reproductive healthcare.</t>
        </is>
      </c>
      <c r="N15" s="113" t="inlineStr">
        <is>
          <t>reproductive-health, mobile-app, data-privacy, cultural-engagement, united-states, nonprofit, pr, digital-tool</t>
        </is>
      </c>
    </row>
    <row r="16">
      <c r="A16" s="127" t="n">
        <v>2025</v>
      </c>
      <c r="B16" s="132" t="inlineStr">
        <is>
          <t>Silver</t>
        </is>
      </c>
      <c r="C16" s="127" t="inlineStr">
        <is>
          <t>The Parental Leave Mortgage</t>
        </is>
      </c>
      <c r="D16" s="127" t="inlineStr">
        <is>
          <t>Nordea</t>
        </is>
      </c>
      <c r="E16" s="127" t="inlineStr">
        <is>
          <t>The Parental Leave Mortgage</t>
        </is>
      </c>
      <c r="F16" s="127" t="inlineStr">
        <is>
          <t>Nord DDB</t>
        </is>
      </c>
      <c r="G16" s="127" t="inlineStr">
        <is>
          <t>Sweden</t>
        </is>
      </c>
      <c r="H16" s="113" t="inlineStr">
        <is>
          <t>Single-Market Campaign</t>
        </is>
      </c>
      <c r="I16" s="128" t="inlineStr">
        <is>
          <t>https://ascentialcdn.filespin.io/api/v1/conversion/a8b9edfd44de47b893b950770030cf54</t>
        </is>
      </c>
      <c r="J16" s="127" t="inlineStr">
        <is>
          <t>9xzGRtPDwCU</t>
        </is>
      </c>
      <c r="K16" s="127" t="n"/>
      <c r="L16" s="128" t="inlineStr">
        <is>
          <t>https://www.lovethework.com/work/entries/the-parental-leave-mortgage-750346</t>
        </is>
      </c>
      <c r="M16" s="113" t="inlineStr">
        <is>
          <t>A Nordea mortgage product across Denmark, Norway, Finland, and Sweden that fully pauses payments — interest and principal, with no fees — for the duration of either parent's parental leave. Designed to remove the financial reason fathers in Finland, where 88% of leave days are taken by women, skip their statutory share.</t>
        </is>
      </c>
      <c r="N16" s="113" t="inlineStr">
        <is>
          <t>banking, financial-services, finance, consumer-services, mortgage, parental-leave, sweden, finland, denmark, norway, product-design, gender-equality, social-good</t>
        </is>
      </c>
    </row>
    <row r="17">
      <c r="A17" s="127" t="n">
        <v>2025</v>
      </c>
      <c r="B17" s="132" t="inlineStr">
        <is>
          <t>Silver</t>
        </is>
      </c>
      <c r="C17" s="127" t="inlineStr">
        <is>
          <t>Daisy vs Scammers</t>
        </is>
      </c>
      <c r="D17" s="127" t="inlineStr">
        <is>
          <t>O2</t>
        </is>
      </c>
      <c r="E17" s="127" t="inlineStr">
        <is>
          <t>Daisy vs Scammers</t>
        </is>
      </c>
      <c r="F17" s="127" t="inlineStr">
        <is>
          <t>VCCP</t>
        </is>
      </c>
      <c r="G17" s="127" t="inlineStr">
        <is>
          <t>United Kingdom</t>
        </is>
      </c>
      <c r="H17" s="113" t="inlineStr">
        <is>
          <t>Corporate Purpose &amp; Social Responsibility</t>
        </is>
      </c>
      <c r="I17" s="128" t="inlineStr">
        <is>
          <t>https://ascentialcdn.filespin.io/api/v1/conversion/007c37a609e847899644d346bd35699c</t>
        </is>
      </c>
      <c r="J17" s="127" t="inlineStr">
        <is>
          <t>tnfhe_XMg7U</t>
        </is>
      </c>
      <c r="K17" s="127" t="n"/>
      <c r="L17" s="128" t="inlineStr">
        <is>
          <t>https://www.lovethework.com/work/entries/daisy-vs-scammers-750543</t>
        </is>
      </c>
      <c r="M17" s="113" t="inlineStr">
        <is>
          <t>An AI-generated elderly woman named Daisy, built by O2 and VCCP to engage phone scammers in extended, rambling conversations — keeping them on the line and away from real potential victims. Daisy is deployed as a live phone persona, realistic enough to hold fraudsters in lengthy calls while collecting intelligence on active scam scripts, at a time when 7 in 10 people in the UK were being targeted by scammers.</t>
        </is>
      </c>
      <c r="N17" s="113" t="inlineStr">
        <is>
          <t>telecommunications, ai, technology, public-safety, conversational-ai, united-kingdom, use-of-technology, consumer-protection, voice</t>
        </is>
      </c>
    </row>
    <row r="18">
      <c r="A18" s="127" t="n">
        <v>2025</v>
      </c>
      <c r="B18" s="132" t="inlineStr">
        <is>
          <t>Silver</t>
        </is>
      </c>
      <c r="C18" s="127" t="inlineStr">
        <is>
          <t>Drops of Hope</t>
        </is>
      </c>
      <c r="D18" s="127" t="inlineStr">
        <is>
          <t>Kimberly-Clark</t>
        </is>
      </c>
      <c r="E18" s="127" t="inlineStr">
        <is>
          <t>Poise</t>
        </is>
      </c>
      <c r="F18" s="127" t="inlineStr">
        <is>
          <t>FCB New York</t>
        </is>
      </c>
      <c r="G18" s="127" t="inlineStr">
        <is>
          <t>United States</t>
        </is>
      </c>
      <c r="H18" s="113" t="inlineStr">
        <is>
          <t>Corporate Purpose &amp; Social Responsibility</t>
        </is>
      </c>
      <c r="I18" s="128" t="inlineStr">
        <is>
          <t>https://ascentialcdn.filespin.io/api/v1/conversion/209b56419a8746b798d912dd8a2484be</t>
        </is>
      </c>
      <c r="J18" s="127" t="inlineStr">
        <is>
          <t>MnF0kip489Y</t>
        </is>
      </c>
      <c r="K18" s="127" t="n"/>
      <c r="L18" s="128" t="inlineStr">
        <is>
          <t>https://www.lovethework.com/work/entries/drops-of-hope-750467</t>
        </is>
      </c>
      <c r="M18" s="113" t="inlineStr">
        <is>
          <t>A mail-back diagnostic service that turns Poise's incontinence pads into a preventive-health tool. Women in U.S. healthcare deserts can send a used pad to a doctor, who extracts urine for screening — extending basic check-ups to people who don't live near a clinic.</t>
        </is>
      </c>
      <c r="N18" s="113" t="inlineStr">
        <is>
          <t>healthcare, diagnostics, medical, womens-health, mail-back, product-innovation, social-good, rural, united-states</t>
        </is>
      </c>
    </row>
    <row r="19">
      <c r="A19" s="127" t="n">
        <v>2025</v>
      </c>
      <c r="B19" s="132" t="inlineStr">
        <is>
          <t>Silver</t>
        </is>
      </c>
      <c r="C19" s="127" t="inlineStr">
        <is>
          <t>Vaseline Verified</t>
        </is>
      </c>
      <c r="D19" s="127" t="inlineStr">
        <is>
          <t>Unilever</t>
        </is>
      </c>
      <c r="E19" s="127" t="inlineStr">
        <is>
          <t>Vaseline</t>
        </is>
      </c>
      <c r="F19" s="127" t="inlineStr">
        <is>
          <t>Ogilvy</t>
        </is>
      </c>
      <c r="G19" s="127" t="inlineStr">
        <is>
          <t>Singapore</t>
        </is>
      </c>
      <c r="H19" s="113" t="inlineStr">
        <is>
          <t>Community Management</t>
        </is>
      </c>
      <c r="I19" s="128" t="inlineStr">
        <is>
          <t>https://ascentialcdn.filespin.io/api/v1/conversion/faf0755b0d4e4594ad93cb75d6288e3d</t>
        </is>
      </c>
      <c r="J19" s="127" t="inlineStr">
        <is>
          <t>vimeo:1082798104</t>
        </is>
      </c>
      <c r="K19" s="127" t="n"/>
      <c r="L19" s="128" t="inlineStr">
        <is>
          <t>https://www.lovethework.com/work/entries/vaseline-verified-749609</t>
        </is>
      </c>
      <c r="M19" s="113" t="inlineStr">
        <is>
          <t>A community management campaign built around the 6,000-plus organic social media posts showing unofficial uses of Vaseline Petroleum Jelly: Ogilvy Singapore had dermatologists review each hack, awarding a "Vaseline Verified" seal to those that held up and publicly debunking those that didn't. The system turned user-generated content into a live, brand-endorsed verification layer — embracing the existing conversation rather than replacing it with controlled messaging.</t>
        </is>
      </c>
      <c r="N19" s="113" t="inlineStr">
        <is>
          <t>skincare, personal-care, beauty, community-management, social-media, user-generated-content, ooh, singapore, health-wellness, dermatology</t>
        </is>
      </c>
    </row>
    <row r="20">
      <c r="A20" s="127" t="n">
        <v>2025</v>
      </c>
      <c r="B20" s="132" t="inlineStr">
        <is>
          <t>Silver</t>
        </is>
      </c>
      <c r="C20" s="127" t="inlineStr">
        <is>
          <t>Back Home</t>
        </is>
      </c>
      <c r="D20" s="127" t="inlineStr">
        <is>
          <t>Imperial, Joystick</t>
        </is>
      </c>
      <c r="E20" s="127" t="inlineStr">
        <is>
          <t>Imperial Beer</t>
        </is>
      </c>
      <c r="F20" s="127" t="inlineStr">
        <is>
          <t>Fifco</t>
        </is>
      </c>
      <c r="G20" s="127" t="inlineStr">
        <is>
          <t>Costa Rica</t>
        </is>
      </c>
      <c r="H20" s="113" t="inlineStr">
        <is>
          <t>Market Disruption</t>
        </is>
      </c>
      <c r="I20" s="128" t="inlineStr">
        <is>
          <t>https://ascentialcdn.filespin.io/api/v1/conversion/91816b59cf3643579a92b833dbfa85d5</t>
        </is>
      </c>
      <c r="J20" s="127" t="inlineStr">
        <is>
          <t>eldXt2qk7Aw</t>
        </is>
      </c>
      <c r="K20" s="127" t="n"/>
      <c r="L20" s="128" t="inlineStr">
        <is>
          <t>https://www.lovethework.com/work/entries/back-home-750655</t>
        </is>
      </c>
      <c r="M20" s="113" t="inlineStr">
        <is>
          <t>A program built around the seashells confiscated by Costa Rican airport authorities — shells that had been removed from beaches and intercepted before leaving the country — that classifies each specimen by species and origin beach, then physically returns it to its exact coastal ecosystem. Developed by Imperial Beer and FIFCO's in-house agency Joystick, the project repurposes an existing government enforcement process as a conservation supply chain.</t>
        </is>
      </c>
      <c r="N20" s="113" t="inlineStr">
        <is>
          <t>beer, alcohol, environmental, public-relations, costa-rica, conservation, experiential, in-house-agency</t>
        </is>
      </c>
    </row>
    <row r="21">
      <c r="A21" s="127" t="n">
        <v>2025</v>
      </c>
      <c r="B21" s="132" t="inlineStr">
        <is>
          <t>Silver</t>
        </is>
      </c>
      <c r="C21" s="127" t="inlineStr">
        <is>
          <t>The Final Copy of Ilon Specht</t>
        </is>
      </c>
      <c r="D21" s="127" t="inlineStr">
        <is>
          <t>L'Oréal</t>
        </is>
      </c>
      <c r="E21" s="127" t="inlineStr">
        <is>
          <t>L'orãal Paris</t>
        </is>
      </c>
      <c r="F21" s="127" t="inlineStr">
        <is>
          <t>McCANN</t>
        </is>
      </c>
      <c r="G21" s="127" t="inlineStr">
        <is>
          <t>France</t>
        </is>
      </c>
      <c r="H21" s="113" t="inlineStr">
        <is>
          <t>Content Creation &amp; Production</t>
        </is>
      </c>
      <c r="I21" s="127" t="inlineStr">
        <is>
          <t>digital-presentation-images/pr-loreal-the-final-copy-of-ilon-specht.webp</t>
        </is>
      </c>
      <c r="J21" s="127" t="inlineStr">
        <is>
          <t>-4o8bCc6-GM</t>
        </is>
      </c>
      <c r="K21" s="127" t="n"/>
      <c r="L21" s="128" t="inlineStr">
        <is>
          <t>https://www.lovethework.com/work/entries/the-final-copy-of-ilon-specht-749945</t>
        </is>
      </c>
      <c r="M21" s="113" t="inlineStr">
        <is>
          <t>An 18-minute documentary released on International Women's Day across Prime Video, AMC+, and YouTube, profiling Ilon Specht — the copywriter who wrote "Because I'm Worth It" for L'Oréal Paris in 1973 — without changing a word of the original line. McCann Paris then extended the film across OOH, interactive installations, screenings, and influencer activity in more than 20 countries.</t>
        </is>
      </c>
      <c r="N21" s="113" t="inlineStr">
        <is>
          <t>cosmetics, personal-care, beauty, documentary, film, entertainment, cinema, branded-content, ooh, interactive-installation, international-womens-day, france, streaming, tv, social</t>
        </is>
      </c>
    </row>
    <row r="22">
      <c r="A22" s="127" t="n">
        <v>2025</v>
      </c>
      <c r="B22" s="132" t="inlineStr">
        <is>
          <t>Silver</t>
        </is>
      </c>
      <c r="C22" s="127" t="inlineStr">
        <is>
          <t>AXA - Three Words</t>
        </is>
      </c>
      <c r="D22" s="127" t="inlineStr">
        <is>
          <t>AXA</t>
        </is>
      </c>
      <c r="E22" s="127" t="inlineStr">
        <is>
          <t>Insurance</t>
        </is>
      </c>
      <c r="F22" s="127" t="inlineStr">
        <is>
          <t>Publicis Conseil</t>
        </is>
      </c>
      <c r="G22" s="127" t="inlineStr">
        <is>
          <t>France</t>
        </is>
      </c>
      <c r="H22" s="113" t="inlineStr">
        <is>
          <t>Brand Voice &amp; Strategic Storytelling</t>
        </is>
      </c>
      <c r="I22" s="128" t="inlineStr">
        <is>
          <t>https://ascentialcdn.filespin.io/api/v1/conversion/e1a85ff134e545c7b049791151432028</t>
        </is>
      </c>
      <c r="J22" s="127" t="inlineStr">
        <is>
          <t>pY-03zuV7mE</t>
        </is>
      </c>
      <c r="K22" s="127" t="n"/>
      <c r="L22" s="128" t="inlineStr">
        <is>
          <t>https://www.lovethework.com/work/entries/axa-three-words-750061</t>
        </is>
      </c>
      <c r="M22" s="113" t="inlineStr">
        <is>
          <t>AXA turned home insurance into a tool for escape by adding three words—“and domestic violence”—to its policies, making abuse a covered risk alongside fire and flood. The change gave victims emergency relocation support at no extra cost, updating 2.5 million contracts and helping women leave the most dangerous place they may face: their own home.</t>
        </is>
      </c>
      <c r="N22" s="113" t="inlineStr">
        <is>
          <t>insurance, financial-services, finance, france, domestic-violence, public-service, digital-platform, consumer-services, housing, publicis-conseil</t>
        </is>
      </c>
    </row>
    <row r="23">
      <c r="A23" s="127" t="n">
        <v>2025</v>
      </c>
      <c r="B23" s="132" t="inlineStr">
        <is>
          <t>Silver</t>
        </is>
      </c>
      <c r="C23" s="127" t="inlineStr">
        <is>
          <t>Lucky Yatra</t>
        </is>
      </c>
      <c r="D23" s="127" t="inlineStr">
        <is>
          <t>Indian Railways</t>
        </is>
      </c>
      <c r="E23" s="127" t="inlineStr">
        <is>
          <t>Railway Service</t>
        </is>
      </c>
      <c r="F23" s="127" t="inlineStr">
        <is>
          <t>FCB India</t>
        </is>
      </c>
      <c r="G23" s="127" t="inlineStr">
        <is>
          <t>India</t>
        </is>
      </c>
      <c r="H23" s="113" t="inlineStr">
        <is>
          <t>Social Behaviour</t>
        </is>
      </c>
      <c r="I23" s="128" t="inlineStr">
        <is>
          <t>https://ascentialcdn.filespin.io/api/v1/conversion/ef118ab5982a4092aa78da671a82d86d</t>
        </is>
      </c>
      <c r="J23" s="127" t="inlineStr">
        <is>
          <t>19fzAvuFq0I</t>
        </is>
      </c>
      <c r="K23" s="127" t="n"/>
      <c r="L23" s="128" t="inlineStr">
        <is>
          <t>https://www.lovethework.com/work/entries/lucky-yatra-750435</t>
        </is>
      </c>
      <c r="M23" s="113" t="inlineStr">
        <is>
          <t>A loyalty program built into the ticketing system of Indian Railways: every valid ticket carries a unique number that's auto-entered into daily and weekly cash prize draws. Designed to turn ticketless travel — an entrenched habit on one of the world's largest rail networks — into a paid behavior worth doing.</t>
        </is>
      </c>
      <c r="N23" s="113" t="inlineStr">
        <is>
          <t>railway-service, loyalty-program, public-service, mobile-app, india, gamification, ticketing</t>
        </is>
      </c>
    </row>
    <row r="24">
      <c r="A24" s="127" t="n">
        <v>2025</v>
      </c>
      <c r="B24" s="132" t="inlineStr">
        <is>
          <t>Silver</t>
        </is>
      </c>
      <c r="C24" s="127" t="inlineStr">
        <is>
          <t>Life Quality Insurance</t>
        </is>
      </c>
      <c r="D24" s="127" t="inlineStr">
        <is>
          <t>Greater Copenhagen Region</t>
        </is>
      </c>
      <c r="E24" s="127" t="inlineStr">
        <is>
          <t>LQI</t>
        </is>
      </c>
      <c r="F24" s="127" t="inlineStr">
        <is>
          <t>Ogilvy</t>
        </is>
      </c>
      <c r="G24" s="127" t="inlineStr">
        <is>
          <t>Denmark</t>
        </is>
      </c>
      <c r="H24" s="113" t="inlineStr">
        <is>
          <t>Challenger Brand</t>
        </is>
      </c>
      <c r="I24" s="128" t="inlineStr">
        <is>
          <t>https://ascentialcdn.filespin.io/api/v1/conversion/b1496fa749f64107b95e694dad4ea642</t>
        </is>
      </c>
      <c r="J24" s="127" t="inlineStr">
        <is>
          <t>vimeo:1072467811</t>
        </is>
      </c>
      <c r="K24" s="127" t="n"/>
      <c r="L24" s="128" t="inlineStr">
        <is>
          <t>https://www.lovethework.com/work/entries/life-quality-insurance-762920</t>
        </is>
      </c>
      <c r="M24" s="113" t="inlineStr">
        <is>
          <t>A simulated insurance product created by the Greater Copenhagen Region and Ogilvy Denmark that lets international professionals "enroll" in a Life Quality Insurance policy before relocating to the area — guaranteeing their happiness after the move. The policy format packages the region's quality-of-life proposition — cycling culture, parental leave, work-life balance — as policy benefits, framing the relocation pitch as contractual coverage rather than civic boosterism.</t>
        </is>
      </c>
      <c r="N24" s="113" t="inlineStr">
        <is>
          <t>place-branding, insurance, financial-services, finance, denmark, challenger-brand, pr, international-talent, ogilvy</t>
        </is>
      </c>
    </row>
    <row r="25">
      <c r="A25" s="127" t="n">
        <v>2025</v>
      </c>
      <c r="B25" s="133" t="inlineStr">
        <is>
          <t>Bronze</t>
        </is>
      </c>
      <c r="C25" s="127" t="inlineStr">
        <is>
          <t>Spreadbeats</t>
        </is>
      </c>
      <c r="D25" s="127" t="inlineStr">
        <is>
          <t>Spotify</t>
        </is>
      </c>
      <c r="E25" s="127" t="inlineStr">
        <is>
          <t>Spotify</t>
        </is>
      </c>
      <c r="F25" s="127" t="inlineStr">
        <is>
          <t>FCB New York</t>
        </is>
      </c>
      <c r="G25" s="127" t="inlineStr">
        <is>
          <t>United States</t>
        </is>
      </c>
      <c r="H25" s="113" t="inlineStr">
        <is>
          <t>Content Creation &amp; Production</t>
        </is>
      </c>
      <c r="I25" s="128" t="inlineStr">
        <is>
          <t>https://ascentialcdn.filespin.io/api/v1/conversion/801d900ea7e54051acb4be6f9e72ee48</t>
        </is>
      </c>
      <c r="J25" s="127" t="inlineStr">
        <is>
          <t>vimeo:1000498095</t>
        </is>
      </c>
      <c r="K25" s="127" t="n"/>
      <c r="L25" s="128" t="inlineStr">
        <is>
          <t>https://www.lovethework.com/work/entries/spreadbeats-749631</t>
        </is>
      </c>
      <c r="M25" s="113" t="inlineStr">
        <is>
          <t>A music video coded entirely inside the Excel sales decks Spotify sends to media planners — a character bouncing around the cells of a working spreadsheet, scored to a John Summit track, built using only formulas and conditional formatting. The recipient opens the file expecting numbers and the spreadsheet itself starts performing.</t>
        </is>
      </c>
      <c r="N25" s="113" t="inlineStr">
        <is>
          <t>b2b, business, sales-enablement, digital-craft, music, entertainment, spreadsheet, united-states, audio-platform, streaming, tv, design</t>
        </is>
      </c>
    </row>
    <row r="26">
      <c r="A26" s="127" t="n">
        <v>2025</v>
      </c>
      <c r="B26" s="133" t="inlineStr">
        <is>
          <t>Bronze</t>
        </is>
      </c>
      <c r="C26" s="127" t="inlineStr">
        <is>
          <t>Returning Creativity</t>
        </is>
      </c>
      <c r="D26" s="127" t="inlineStr">
        <is>
          <t>Crayola</t>
        </is>
      </c>
      <c r="E26" s="127" t="inlineStr">
        <is>
          <t>Crayola Crayons</t>
        </is>
      </c>
      <c r="F26" s="127" t="inlineStr">
        <is>
          <t>Dentsu Creative</t>
        </is>
      </c>
      <c r="G26" s="127" t="inlineStr">
        <is>
          <t>United States</t>
        </is>
      </c>
      <c r="H26" s="113" t="inlineStr">
        <is>
          <t>Consumer Goods</t>
        </is>
      </c>
      <c r="I26" s="128" t="inlineStr">
        <is>
          <t>https://ascentialcdn.filespin.io/api/v1/conversion/4c902db1b7474d62b83e2c58918cb516</t>
        </is>
      </c>
      <c r="J26" s="127" t="inlineStr">
        <is>
          <t>p8IHkizfvVE</t>
        </is>
      </c>
      <c r="K26" s="127" t="n"/>
      <c r="L26" s="128" t="inlineStr">
        <is>
          <t>https://www.lovethework.com/work/entries/returning-creativity-749503</t>
        </is>
      </c>
      <c r="M26" s="113" t="inlineStr">
        <is>
          <t>A documentary project that opened Crayola's archive of decades-old children's drawings and physically returned each piece to its now-adult creator. The film followed reunions across the country — including one staged on a Times Square billboard with the artist's former teacher — to argue that creativity is a habit adults stop practicing.</t>
        </is>
      </c>
      <c r="N26" s="113" t="inlineStr">
        <is>
          <t>consumer-goods, cpg, fmcg, art, integrated, documentary, film, entertainment, cinema, ooh, united-states, partnership, social-engagement</t>
        </is>
      </c>
    </row>
    <row r="27">
      <c r="A27" s="127" t="n">
        <v>2025</v>
      </c>
      <c r="B27" s="133" t="inlineStr">
        <is>
          <t>Bronze</t>
        </is>
      </c>
      <c r="C27" s="127" t="inlineStr">
        <is>
          <t>Baz Box</t>
        </is>
      </c>
      <c r="D27" s="127" t="inlineStr">
        <is>
          <t>Special K</t>
        </is>
      </c>
      <c r="E27" s="127" t="inlineStr">
        <is>
          <t>Special K Cereal</t>
        </is>
      </c>
      <c r="F27" s="127" t="inlineStr">
        <is>
          <t>MSL</t>
        </is>
      </c>
      <c r="G27" s="127" t="inlineStr">
        <is>
          <t>United States</t>
        </is>
      </c>
      <c r="H27" s="113" t="inlineStr">
        <is>
          <t>Real-Time Response</t>
        </is>
      </c>
      <c r="I27" s="128" t="inlineStr">
        <is>
          <t>https://ascentialcdn.filespin.io/api/v1/conversion/cf9b2fe1598741a49e722f6eea3b77a0</t>
        </is>
      </c>
      <c r="J27" s="127" t="inlineStr">
        <is>
          <t>vimeo:1038385052</t>
        </is>
      </c>
      <c r="K27" s="127" t="n"/>
      <c r="L27" s="128" t="inlineStr">
        <is>
          <t>https://www.lovethework.com/work/entries/baz-box-749721</t>
        </is>
      </c>
      <c r="M27" s="113" t="inlineStr">
        <is>
          <t>A limited-edition Special K cereal box featuring a pregnant woman on the front — the first time the brand had put one there — produced and distributed within five days of a cultural moment tied to Hailey Bieber's pregnancy announcement. The packaging directly responded to widespread public commentary about body image and "stomach shrinking" messaging that had circulated around the brand.</t>
        </is>
      </c>
      <c r="N27" s="113" t="inlineStr">
        <is>
          <t>cereal, packaging, real-time-response, pr, united-states, pregnancy, body-image, limited-edition</t>
        </is>
      </c>
    </row>
    <row r="28">
      <c r="A28" s="127" t="n">
        <v>2025</v>
      </c>
      <c r="B28" s="133" t="inlineStr">
        <is>
          <t>Bronze</t>
        </is>
      </c>
      <c r="C28" s="127" t="inlineStr">
        <is>
          <t>Zip Code Exam</t>
        </is>
      </c>
      <c r="D28" s="127" t="inlineStr">
        <is>
          <t>Zip Code Exam , Area 23</t>
        </is>
      </c>
      <c r="E28" s="127" t="inlineStr">
        <is>
          <t>Zip Code Exam</t>
        </is>
      </c>
      <c r="F28" s="127" t="inlineStr">
        <is>
          <t>An IPG Health Company</t>
        </is>
      </c>
      <c r="G28" s="127" t="inlineStr">
        <is>
          <t>United States</t>
        </is>
      </c>
      <c r="H28" s="113" t="inlineStr">
        <is>
          <t>Research, Data &amp; Analytics</t>
        </is>
      </c>
      <c r="I28" s="128" t="inlineStr">
        <is>
          <t>https://ascentialcdn.filespin.io/api/v1/conversion/fcac93d33c3d4b1c93da6b13d3e32b5e</t>
        </is>
      </c>
      <c r="J28" s="127" t="inlineStr">
        <is>
          <t>2f0k9hGHLuA</t>
        </is>
      </c>
      <c r="K28" s="127" t="n"/>
      <c r="L28" s="128" t="inlineStr">
        <is>
          <t>https://www.lovethework.com/work/entries/zip-code-exam-763599</t>
        </is>
      </c>
      <c r="M28" s="113" t="inlineStr">
        <is>
          <t>A data platform built by Area 23 for Equality Health Foundation that generates a personalized health risk report based solely on a person's U.S. zip code — drawing on community-level data to surface the specific diseases, environmental hazards, and social determinants most likely to affect people in that area. The platform reframes standard preventive health screening around geography rather than individual symptoms, making systemic health inequalities visible at a hyperlocal level.</t>
        </is>
      </c>
      <c r="N28" s="113" t="inlineStr">
        <is>
          <t>health-foundation, data-platform, public-health, health-equity, research-and-analytics, digital, united-states, social-determinants, community-health</t>
        </is>
      </c>
    </row>
    <row r="29">
      <c r="A29" s="127" t="n">
        <v>2025</v>
      </c>
      <c r="B29" s="133" t="inlineStr">
        <is>
          <t>Bronze</t>
        </is>
      </c>
      <c r="C29" s="127" t="inlineStr">
        <is>
          <t>You Already Vote, So Vote</t>
        </is>
      </c>
      <c r="D29" s="127" t="inlineStr">
        <is>
          <t>My Life My Say</t>
        </is>
      </c>
      <c r="E29" s="127" t="inlineStr">
        <is>
          <t>My Life My Say</t>
        </is>
      </c>
      <c r="F29" s="127" t="inlineStr">
        <is>
          <t>Ogilvy UK</t>
        </is>
      </c>
      <c r="G29" s="127" t="inlineStr">
        <is>
          <t>United Kingdom</t>
        </is>
      </c>
      <c r="H29" s="113" t="inlineStr">
        <is>
          <t>Innovative Use of Influencers/Creators</t>
        </is>
      </c>
      <c r="I29" s="128" t="inlineStr">
        <is>
          <t>https://ascentialcdn.filespin.io/api/v1/conversion/2e5a7229e93f47729bb533fe3facf0ce</t>
        </is>
      </c>
      <c r="J29" s="127" t="inlineStr">
        <is>
          <t>1xK0G1NUDCY</t>
        </is>
      </c>
      <c r="K29" s="127" t="n"/>
      <c r="L29" s="128" t="inlineStr">
        <is>
          <t>https://www.lovethework.com/work/entries/you-already-vote-so-vote-749869</t>
        </is>
      </c>
      <c r="M29" s="113" t="inlineStr">
        <is>
          <t>A voter registration campaign built around influencers and creators that 18–24-year-olds already vote for — on talent shows, reality TV, and social platforms — who then asked their audiences to vote in the 2024 UK general election. The mechanic used the existing habit of fan voting as a bridge to political participation, with talent-led content driving registration among young people who routinely engage in public voting but historically skip the ballot box.</t>
        </is>
      </c>
      <c r="N29" s="113" t="inlineStr">
        <is>
          <t>civic-engagement, influencer, youth-audience, social-media, united-kingdom, public-service, voter-registration, earned-media</t>
        </is>
      </c>
    </row>
    <row r="30">
      <c r="A30" s="127" t="n">
        <v>2025</v>
      </c>
      <c r="B30" s="133" t="inlineStr">
        <is>
          <t>Bronze</t>
        </is>
      </c>
      <c r="C30" s="127" t="inlineStr">
        <is>
          <t>Vaseline Verified</t>
        </is>
      </c>
      <c r="D30" s="127" t="inlineStr">
        <is>
          <t>Unilever</t>
        </is>
      </c>
      <c r="E30" s="127" t="inlineStr">
        <is>
          <t>Vaseline</t>
        </is>
      </c>
      <c r="F30" s="127" t="inlineStr">
        <is>
          <t>Ogilvy</t>
        </is>
      </c>
      <c r="G30" s="127" t="inlineStr">
        <is>
          <t>Singapore</t>
        </is>
      </c>
      <c r="H30" s="113" t="inlineStr">
        <is>
          <t>Social Engagement</t>
        </is>
      </c>
      <c r="I30" s="128" t="inlineStr">
        <is>
          <t>https://ascentialcdn.filespin.io/api/v1/conversion/faf0755b0d4e4594ad93cb75d6288e3d</t>
        </is>
      </c>
      <c r="J30" s="127" t="inlineStr">
        <is>
          <t>vimeo:1082798104</t>
        </is>
      </c>
      <c r="K30" s="127" t="n"/>
      <c r="L30" s="128" t="inlineStr">
        <is>
          <t>https://www.lovethework.com/work/entries/vaseline-verified-749628</t>
        </is>
      </c>
      <c r="M30" s="113" t="inlineStr">
        <is>
          <t>A community management campaign built around the 6,000-plus organic social media posts showing unofficial uses of Vaseline Petroleum Jelly: Ogilvy Singapore had dermatologists review each hack, awarding a "Vaseline Verified" seal to those that held up and publicly debunking those that didn't. The system turned user-generated content into a live, brand-endorsed verification layer — embracing the existing conversation rather than replacing it with controlled messaging.</t>
        </is>
      </c>
      <c r="N30" s="113" t="inlineStr">
        <is>
          <t>skincare, personal-care, beauty, community-management, social-media, user-generated-content, ooh, singapore, health-wellness, dermatology</t>
        </is>
      </c>
    </row>
    <row r="31">
      <c r="A31" s="127" t="n">
        <v>2025</v>
      </c>
      <c r="B31" s="133" t="inlineStr">
        <is>
          <t>Bronze</t>
        </is>
      </c>
      <c r="C31" s="127" t="inlineStr">
        <is>
          <t>Gulf of Mexico (bar)</t>
        </is>
      </c>
      <c r="D31" s="127" t="inlineStr">
        <is>
          <t>Tecate</t>
        </is>
      </c>
      <c r="E31" s="127" t="inlineStr">
        <is>
          <t>Tecate Light</t>
        </is>
      </c>
      <c r="F31" s="127" t="inlineStr">
        <is>
          <t>LePub</t>
        </is>
      </c>
      <c r="G31" s="127" t="inlineStr">
        <is>
          <t>Mexico</t>
        </is>
      </c>
      <c r="H31" s="113" t="inlineStr">
        <is>
          <t>Use of Events &amp; Stunts</t>
        </is>
      </c>
      <c r="I31" s="128" t="inlineStr">
        <is>
          <t>https://ascentialcdn.filespin.io/api/v1/conversion/afa88aa8421b41a18c68b9863bb6926c</t>
        </is>
      </c>
      <c r="J31" s="127" t="inlineStr">
        <is>
          <t>vimeo:1092263623</t>
        </is>
      </c>
      <c r="K31" s="127" t="n"/>
      <c r="L31" s="128" t="inlineStr">
        <is>
          <t>https://www.lovethework.com/work/entries/gulf-of-mexico-bar-750080</t>
        </is>
      </c>
      <c r="M31" s="113" t="inlineStr">
        <is>
          <t>A floating bar built on a boat in the Gulf of Mexico, accessible only by sea and named 'Golfo de México' — a response to a U.S. proposal to rename the gulf the 'Gulf of America.' To pair, Tecate launched a special-edition Tecate Light brewed with salt harvested from the disputed waters.</t>
        </is>
      </c>
      <c r="N31" s="113" t="inlineStr">
        <is>
          <t>ooh, brand-stunt, political-commentary, beer, alcohol, packaging, mexico, branded-venue, special-edition</t>
        </is>
      </c>
    </row>
    <row r="32">
      <c r="A32" s="127" t="n">
        <v>2025</v>
      </c>
      <c r="B32" s="133" t="inlineStr">
        <is>
          <t>Bronze</t>
        </is>
      </c>
      <c r="C32" s="127" t="inlineStr">
        <is>
          <t>The Cheeky Controller</t>
        </is>
      </c>
      <c r="D32" s="127" t="inlineStr">
        <is>
          <t>Xbox</t>
        </is>
      </c>
      <c r="E32" s="127" t="inlineStr">
        <is>
          <t>Xbox Controller</t>
        </is>
      </c>
      <c r="F32" s="127" t="inlineStr">
        <is>
          <t>McCANN</t>
        </is>
      </c>
      <c r="G32" s="127" t="inlineStr">
        <is>
          <t>United Kingdom</t>
        </is>
      </c>
      <c r="H32" s="113" t="inlineStr">
        <is>
          <t>Use of Humour</t>
        </is>
      </c>
      <c r="I32" s="128" t="inlineStr">
        <is>
          <t>https://ascentialcdn.filespin.io/api/v1/conversion/f1c6e266081d4161b8e3ecc7ecb15a78</t>
        </is>
      </c>
      <c r="J32" s="127" t="inlineStr">
        <is>
          <t>vimeo:1034892837</t>
        </is>
      </c>
      <c r="K32" s="127" t="n"/>
      <c r="L32" s="128" t="inlineStr">
        <is>
          <t>https://www.lovethework.com/work/entries/the-cheeky-controller-761423</t>
        </is>
      </c>
      <c r="M32" s="113" t="inlineStr">
        <is>
          <t>A limited-edition Xbox controller shaped like Deadpool's buttocks, created as the exclusive prize in a global sweepstakes timed to the release of Deadpool &amp; Wolverine. Rather than using standard character artwork or licensing assets, McCann London built the promotion around a single collectible object designed to provoke conversation among the film's fanbase.</t>
        </is>
      </c>
      <c r="N32" s="113" t="inlineStr">
        <is>
          <t>xbox-controller, gaming, video-games, entertainment, collectible, sweepstakes, use-of-talent, united-kingdom, united-states, humour, retail-promotion</t>
        </is>
      </c>
    </row>
    <row r="33">
      <c r="A33" s="127" t="n">
        <v>2025</v>
      </c>
      <c r="B33" s="133" t="inlineStr">
        <is>
          <t>Bronze</t>
        </is>
      </c>
      <c r="C33" s="127" t="inlineStr">
        <is>
          <t>Bark Air: 100% Real Airline for Dogs</t>
        </is>
      </c>
      <c r="D33" s="127" t="inlineStr">
        <is>
          <t>Bark Air</t>
        </is>
      </c>
      <c r="E33" s="127" t="inlineStr">
        <is>
          <t>Bark Air</t>
        </is>
      </c>
      <c r="F33" s="127" t="inlineStr">
        <is>
          <t>Tombras</t>
        </is>
      </c>
      <c r="G33" s="127" t="inlineStr">
        <is>
          <t>United States</t>
        </is>
      </c>
      <c r="H33" s="113" t="inlineStr">
        <is>
          <t>Launch/Relaunch</t>
        </is>
      </c>
      <c r="I33" s="128" t="inlineStr">
        <is>
          <t>https://ascentialcdn.filespin.io/api/v1/conversion/e8c3f17a1d22438baf55afccbfc8e939</t>
        </is>
      </c>
      <c r="J33" s="127" t="inlineStr">
        <is>
          <t>mp4:https://resized-media.entries.clios.com/companies/3852/media/a285f696-814b-493b-b79c-08dd4de0928e.mp4</t>
        </is>
      </c>
      <c r="K33" s="127" t="n"/>
      <c r="L33" s="128" t="inlineStr">
        <is>
          <t>https://www.lovethework.com/work/entries/bark-air-100-real-airline-for-dogs-750098</t>
        </is>
      </c>
      <c r="M33" s="113" t="inlineStr">
        <is>
          <t>A launch campaign for BARK Air, a commercial airline built entirely around the comfort of dogs — where pets fly as the primary passengers and their owners are the plus-ones. Created by Tombras, the campaign's central claim, "100% Real Airline for Dogs," positioned every seat, service, and amenity as designed for the dog first.</t>
        </is>
      </c>
      <c r="N33" s="113" t="inlineStr">
        <is>
          <t>bark-air, airline, pet-travel, launch, united-states, film, cinema, entertainment, tombras</t>
        </is>
      </c>
    </row>
    <row r="34">
      <c r="A34" s="127" t="n">
        <v>2025</v>
      </c>
      <c r="B34" s="133" t="inlineStr">
        <is>
          <t>Bronze</t>
        </is>
      </c>
      <c r="C34" s="127" t="inlineStr">
        <is>
          <t>Don't Sleep on Saquon</t>
        </is>
      </c>
      <c r="D34" s="127" t="inlineStr">
        <is>
          <t>Unisom</t>
        </is>
      </c>
      <c r="E34" s="127" t="inlineStr">
        <is>
          <t>Unisom</t>
        </is>
      </c>
      <c r="F34" s="127" t="inlineStr">
        <is>
          <t>The Martin Agency</t>
        </is>
      </c>
      <c r="G34" s="127" t="inlineStr">
        <is>
          <t>United States</t>
        </is>
      </c>
      <c r="H34" s="113" t="inlineStr">
        <is>
          <t>Healthcare</t>
        </is>
      </c>
      <c r="I34" s="128" t="inlineStr">
        <is>
          <t>https://ascentialcdn.filespin.io/api/v1/conversion/ac0ba2cefb2d4319a2897836bac8e95b</t>
        </is>
      </c>
      <c r="J34" s="127" t="inlineStr">
        <is>
          <t>ozI9PGCR_Fw</t>
        </is>
      </c>
      <c r="K34" s="127" t="n"/>
      <c r="L34" s="128" t="inlineStr">
        <is>
          <t>https://www.lovethework.com/work/entries/dont-sleep-on-saquon-749425</t>
        </is>
      </c>
      <c r="M34" s="113" t="inlineStr">
        <is>
          <t>A targeted media placement directed at New York Giants owner John Mara after he publicly said he'd "have trouble sleeping" if star running back Saquon Barkley left the team — and Barkley promptly signed with the rival Philadelphia Eagles. Unisom ran the campaign at the moment Mara's nightmare peaked: the January 5, 2025 Giants vs. Eagles matchup, positioning the sleep aid as a remedy for the intrusive thoughts keeping him up at night.</t>
        </is>
      </c>
      <c r="N34" s="113" t="inlineStr">
        <is>
          <t>sleep-aid, healthcare, real-time-marketing, sports, ooh, united-states, nfl, social-media</t>
        </is>
      </c>
    </row>
    <row r="35">
      <c r="A35" s="127" t="n">
        <v>2025</v>
      </c>
      <c r="B35" s="133" t="inlineStr">
        <is>
          <t>Bronze</t>
        </is>
      </c>
      <c r="C35" s="127" t="inlineStr">
        <is>
          <t>Share the First</t>
        </is>
      </c>
      <c r="D35" s="127" t="inlineStr">
        <is>
          <t>Dove</t>
        </is>
      </c>
      <c r="E35" s="127" t="inlineStr">
        <is>
          <t>Dove</t>
        </is>
      </c>
      <c r="F35" s="127" t="inlineStr">
        <is>
          <t>Edelman</t>
        </is>
      </c>
      <c r="G35" s="127" t="inlineStr">
        <is>
          <t>United Kingdom</t>
        </is>
      </c>
      <c r="H35" s="113" t="inlineStr">
        <is>
          <t>Social Behaviour</t>
        </is>
      </c>
      <c r="I35" s="128" t="inlineStr">
        <is>
          <t>https://ascentialcdn.filespin.io/api/v1/conversion/646d07b2f9d44d25a9c40938cb00263d</t>
        </is>
      </c>
      <c r="J35" s="127" t="inlineStr">
        <is>
          <t>V68MSwIkKM0</t>
        </is>
      </c>
      <c r="K35" s="127" t="n"/>
      <c r="L35" s="128" t="inlineStr">
        <is>
          <t>https://www.lovethework.com/work/entries/share-the-first-750505</t>
        </is>
      </c>
      <c r="M35" s="113" t="inlineStr">
        <is>
          <t>A social campaign by Dove and Edelman London built around the moment a parent first shares a photo of their child online — before the child can consent. The work addresses the role that early parental posting plays in shaping a child's digital footprint and self-image, encouraging parents to pause and reflect before that first share.</t>
        </is>
      </c>
      <c r="N35" s="113" t="inlineStr">
        <is>
          <t>personal-care, social-media, parenting, family, public-service, united-kingdom, social-behaviour, digital-wellbeing</t>
        </is>
      </c>
    </row>
    <row r="36">
      <c r="A36" s="127" t="n">
        <v>2025</v>
      </c>
      <c r="B36" s="133" t="inlineStr">
        <is>
          <t>Bronze</t>
        </is>
      </c>
      <c r="C36" s="127" t="inlineStr">
        <is>
          <t>Unfreeze My Rights</t>
        </is>
      </c>
      <c r="D36" s="127" t="inlineStr">
        <is>
          <t>Awakening Foundation</t>
        </is>
      </c>
      <c r="E36" s="127" t="inlineStr">
        <is>
          <t>WOMENâS EGG AUTONOMY AND REPRODUCTIVE RIGHT</t>
        </is>
      </c>
      <c r="F36" s="127" t="inlineStr">
        <is>
          <t>Dentsu Creative Taiwan</t>
        </is>
      </c>
      <c r="G36" s="127" t="inlineStr">
        <is>
          <t>Chinese Taipei</t>
        </is>
      </c>
      <c r="H36" s="113" t="inlineStr">
        <is>
          <t>Single-Market Campaign</t>
        </is>
      </c>
      <c r="I36" s="128" t="inlineStr">
        <is>
          <t>https://ascentialcdn.filespin.io/api/v1/conversion/a218a039090842639ec9571a03e108c2</t>
        </is>
      </c>
      <c r="J36" s="127" t="inlineStr">
        <is>
          <t>hylpKEPpuJU</t>
        </is>
      </c>
      <c r="K36" s="127" t="n"/>
      <c r="L36" s="128" t="inlineStr">
        <is>
          <t>https://www.lovethework.com/work/entries/unfreeze-my-rights-750272</t>
        </is>
      </c>
      <c r="M36" s="113" t="inlineStr">
        <is>
          <t>An advocacy campaign in Taiwan built around a legal contradiction: women could freeze their eggs, but unmarried women and those in same-sex marriages were legally barred from accessing them without first getting married. Dentsu Creative Taiwan and the Awakening Foundation used the campaign to expose that gap publicly, turning the law's internal logic into the central creative argument.</t>
        </is>
      </c>
      <c r="N36" s="113" t="inlineStr">
        <is>
          <t>womens-rights, advocacy, reproductive-health, pr, single-market-campaign, taiwan, lgbtq, public-affairs, dentsu-creative</t>
        </is>
      </c>
    </row>
    <row r="37">
      <c r="A37" s="127" t="n">
        <v>2025</v>
      </c>
      <c r="B37" s="133" t="inlineStr">
        <is>
          <t>Bronze</t>
        </is>
      </c>
      <c r="C37" s="127" t="inlineStr">
        <is>
          <t>Dirty Mouth Sponsorship</t>
        </is>
      </c>
      <c r="D37" s="127" t="inlineStr">
        <is>
          <t>Cif, Droga5</t>
        </is>
      </c>
      <c r="E37" s="127" t="inlineStr">
        <is>
          <t>Cif</t>
        </is>
      </c>
      <c r="F37" s="127" t="inlineStr">
        <is>
          <t>Part of Accenture Song</t>
        </is>
      </c>
      <c r="G37" s="127" t="inlineStr">
        <is>
          <t>Brazil</t>
        </is>
      </c>
      <c r="H37" s="113" t="inlineStr">
        <is>
          <t>Innovative Use of Influencers/Creators</t>
        </is>
      </c>
      <c r="I37" s="127" t="inlineStr">
        <is>
          <t>digital-presentation-images/pr-cif-dirty-mouth-sponsorship.webp</t>
        </is>
      </c>
      <c r="J37" s="127" t="inlineStr">
        <is>
          <t>DlylpwndJuU</t>
        </is>
      </c>
      <c r="K37" s="127" t="n"/>
      <c r="L37" s="128" t="inlineStr">
        <is>
          <t>https://www.lovethework.com/work/entries/dirty-mouth-sponsorship-749823</t>
        </is>
      </c>
      <c r="M37" s="113" t="inlineStr">
        <is>
          <t>A podcast sponsorship format built by Droga5 São Paulo in which Cif replaced the audio bleep on Brazilian creators' swear words with a branded sound — a stretched, distorted version of the Cif name — so that every expletive became a brand mention. Brazil is the world's second-largest podcast market, where swearing triggers algorithm penalties that demonetize content and deter sponsorship, making the uncensorable moments the only inventory no one else had claimed.</t>
        </is>
      </c>
      <c r="N37" s="113" t="inlineStr">
        <is>
          <t>household-cleaner, podcast, audio, influencer-marketing, branded-content, brazil, creator-economy, censorship, sponsorship-format</t>
        </is>
      </c>
    </row>
    <row r="38">
      <c r="A38" s="127" t="n">
        <v>2025</v>
      </c>
      <c r="B38" s="133" t="inlineStr">
        <is>
          <t>Bronze</t>
        </is>
      </c>
      <c r="C38" s="127" t="inlineStr">
        <is>
          <t>Filter Caps</t>
        </is>
      </c>
      <c r="D38" s="127" t="inlineStr">
        <is>
          <t>Filsa</t>
        </is>
      </c>
      <c r="E38" s="127" t="inlineStr">
        <is>
          <t>Water Filter</t>
        </is>
      </c>
      <c r="F38" s="127" t="inlineStr">
        <is>
          <t>Ogilvy Colombia</t>
        </is>
      </c>
      <c r="G38" s="127" t="inlineStr">
        <is>
          <t>Colombia</t>
        </is>
      </c>
      <c r="H38" s="113" t="inlineStr">
        <is>
          <t>Corporate Purpose &amp; Social Responsibility</t>
        </is>
      </c>
      <c r="I38" s="128" t="inlineStr">
        <is>
          <t>https://ascentialcdn.filespin.io/api/v1/conversion/1ab5088d7e8045be97ee60dda6493938</t>
        </is>
      </c>
      <c r="J38" s="127" t="inlineStr">
        <is>
          <t>I60bNRM2UhM</t>
        </is>
      </c>
      <c r="K38" s="127" t="n"/>
      <c r="L38" s="128" t="inlineStr">
        <is>
          <t>https://www.lovethework.com/work/entries/filter-caps-750736</t>
        </is>
      </c>
      <c r="M38" s="113" t="inlineStr">
        <is>
          <t>A biodegradable bottle cap, developed with Baylor International, that screws onto any standard plastic bottle and mineralizes non-potable water, making it safe to drink. Ogilvy Colombia produced 1,000 units for FILSA, designed for distribution in remote communities where conventional filtration infrastructure is absent.</t>
        </is>
      </c>
      <c r="N38" s="113" t="inlineStr">
        <is>
          <t>water-filter, product-design, ooh, social-good, colombia, biodegradable, packaging, corporate-purpose</t>
        </is>
      </c>
    </row>
    <row r="39">
      <c r="A39" s="127" t="n">
        <v>2025</v>
      </c>
      <c r="B39" s="133" t="inlineStr">
        <is>
          <t>Bronze</t>
        </is>
      </c>
      <c r="C39" s="127" t="inlineStr">
        <is>
          <t>Airbnb Icons</t>
        </is>
      </c>
      <c r="D39" s="127" t="inlineStr">
        <is>
          <t>Airbnb</t>
        </is>
      </c>
      <c r="E39" s="127" t="inlineStr">
        <is>
          <t>Airbnb Icons</t>
        </is>
      </c>
      <c r="F39" s="127" t="inlineStr">
        <is>
          <t>Weber Shandwick</t>
        </is>
      </c>
      <c r="G39" s="127" t="inlineStr">
        <is>
          <t>United States</t>
        </is>
      </c>
      <c r="H39" s="113" t="inlineStr">
        <is>
          <t>Sponsorship &amp; Brand Partnership</t>
        </is>
      </c>
      <c r="I39" s="128" t="inlineStr">
        <is>
          <t>https://ascentialcdn.filespin.io/api/v1/conversion/db51bea9a01d40108f74e1fa9bd7ad3f</t>
        </is>
      </c>
      <c r="J39" s="127" t="inlineStr">
        <is>
          <t>Rz2FWiJq4Mw</t>
        </is>
      </c>
      <c r="K39" s="127" t="n"/>
      <c r="L39" s="128" t="inlineStr">
        <is>
          <t>https://www.lovethework.com/work/entries/airbnb-icons-750344</t>
        </is>
      </c>
      <c r="M39" s="113" t="inlineStr">
        <is>
          <t>A permanent Airbnb category of pop-culture stays built with film studios and celebrities — Pixar's Up house lifted by balloons, the X-Men mansion, a serenade from Doja Cat. The 11 launch experiences were either free or priced under $100, recasting media partnerships as bookable places to spend the night.</t>
        </is>
      </c>
      <c r="N39" s="113" t="inlineStr">
        <is>
          <t>travel, tourism, sponsorship, partnership, ip, celebrity, branded-experience, united-states, platform</t>
        </is>
      </c>
    </row>
    <row r="40">
      <c r="A40" s="127" t="n">
        <v>2025</v>
      </c>
      <c r="B40" s="133" t="inlineStr">
        <is>
          <t>Bronze</t>
        </is>
      </c>
      <c r="C40" s="127" t="inlineStr">
        <is>
          <t>Box to Beds</t>
        </is>
      </c>
      <c r="D40" s="127" t="inlineStr">
        <is>
          <t>Amazon</t>
        </is>
      </c>
      <c r="E40" s="127" t="inlineStr">
        <is>
          <t>Amazon</t>
        </is>
      </c>
      <c r="F40" s="127" t="inlineStr">
        <is>
          <t>Ogilvy</t>
        </is>
      </c>
      <c r="G40" s="127" t="inlineStr">
        <is>
          <t>India</t>
        </is>
      </c>
      <c r="H40" s="113" t="inlineStr">
        <is>
          <t>Cultural Engagement</t>
        </is>
      </c>
      <c r="I40" s="128" t="inlineStr">
        <is>
          <t>https://ascentialcdn.filespin.io/api/v1/conversion/b5f895adbf4c4511b092d3d1cf94a294</t>
        </is>
      </c>
      <c r="J40" s="127" t="inlineStr">
        <is>
          <t>-Fu5oT3qYjo</t>
        </is>
      </c>
      <c r="K40" s="127" t="n"/>
      <c r="L40" s="128" t="inlineStr">
        <is>
          <t>https://www.lovethework.com/work/entries/box-to-beds-750639</t>
        </is>
      </c>
      <c r="M40" s="113" t="inlineStr">
        <is>
          <t>During a severe cold wave at the 2025 Maha Kumbh, Amazon upcycled its delivery boxes into insulated cardboard beds to protect elderly devotees sleeping outdoors. Placed at medical camps, police posts, senior areas and other key locations, the beds turned potential packaging waste into a sustainable comfort solution that was later donated to NGOs after the festival.</t>
        </is>
      </c>
      <c r="N40" s="113" t="inlineStr">
        <is>
          <t>ecommerce, retail, online-shopping, packaging, sustainability, social-good, india, partnership, upcycling, religious-engagement</t>
        </is>
      </c>
    </row>
    <row r="41">
      <c r="A41" s="127" t="n">
        <v>2025</v>
      </c>
      <c r="B41" s="133" t="inlineStr">
        <is>
          <t>Bronze</t>
        </is>
      </c>
      <c r="C41" s="127" t="inlineStr">
        <is>
          <t>Renault - Un.patent</t>
        </is>
      </c>
      <c r="D41" s="127" t="inlineStr">
        <is>
          <t>Renault</t>
        </is>
      </c>
      <c r="E41" s="127" t="inlineStr">
        <is>
          <t>Innovating Tools</t>
        </is>
      </c>
      <c r="F41" s="127" t="inlineStr">
        <is>
          <t>Publicis Conseil</t>
        </is>
      </c>
      <c r="G41" s="127" t="inlineStr">
        <is>
          <t>France</t>
        </is>
      </c>
      <c r="H41" s="113" t="inlineStr">
        <is>
          <t>Brand Voice &amp; Strategic Storytelling</t>
        </is>
      </c>
      <c r="I41" s="128" t="inlineStr">
        <is>
          <t>https://ascentialcdn.filespin.io/api/v1/conversion/f8592ba04ed4495d8a51757d790e8679</t>
        </is>
      </c>
      <c r="J41" s="127" t="inlineStr">
        <is>
          <t>yuaAtV_VnC0</t>
        </is>
      </c>
      <c r="K41" s="127" t="n"/>
      <c r="L41" s="128" t="inlineStr">
        <is>
          <t>https://www.lovethework.com/work/entries/renault-unpatent-750048</t>
        </is>
      </c>
      <c r="M41" s="113" t="inlineStr">
        <is>
          <t>A decision by Renault to file patents under the name "UN.Patent" — attributing inventions to the United Nations rather than to Renault — so that the intellectual property enters the public domain and can be freely used by any automaker worldwide. The move targets safety and sustainability technologies, removing the competitive lock-in that typically slows the industry-wide adoption of life-saving innovations.</t>
        </is>
      </c>
      <c r="N41" s="113" t="inlineStr">
        <is>
          <t>automotive, cars, transport, brand-voice, public-domain, intellectual-property, france, b2b, business, sustainability, strategic-storytelling</t>
        </is>
      </c>
    </row>
    <row r="42">
      <c r="A42" s="127" t="n">
        <v>2025</v>
      </c>
      <c r="B42" s="133" t="inlineStr">
        <is>
          <t>Bronze</t>
        </is>
      </c>
      <c r="C42" s="127" t="inlineStr">
        <is>
          <t>Export Ultra Cold Call Back Service</t>
        </is>
      </c>
      <c r="D42" s="127" t="inlineStr">
        <is>
          <t>Export Ultra</t>
        </is>
      </c>
      <c r="E42" s="127" t="inlineStr">
        <is>
          <t>Export Ultra Beer</t>
        </is>
      </c>
      <c r="F42" s="127" t="inlineStr">
        <is>
          <t>Special</t>
        </is>
      </c>
      <c r="G42" s="127" t="inlineStr">
        <is>
          <t>New Zealand</t>
        </is>
      </c>
      <c r="H42" s="113" t="inlineStr">
        <is>
          <t>Use of Humour</t>
        </is>
      </c>
      <c r="I42" s="127" t="inlineStr">
        <is>
          <t>digital-presentation-images/pr-export-ultra-export-ultra-cold-call-back-service.webp</t>
        </is>
      </c>
      <c r="J42" s="127" t="inlineStr">
        <is>
          <t>EMZYDpxI_KI</t>
        </is>
      </c>
      <c r="K42" s="127" t="n"/>
      <c r="L42" s="128" t="inlineStr">
        <is>
          <t>https://www.lovethework.com/work/entries/export-ultra-cold-call-back-service-750536</t>
        </is>
      </c>
      <c r="M42" s="113" t="inlineStr">
        <is>
          <t>A call-back service for New Zealand beer drinkers who put their cans in the freezer and forget them — users text "ICE ICE" to 423, and 34 minutes later Vanilla Ice calls them back with a personalised reminder delivered as a rhyming one-liner. Built around the recurring summer problem of frozen, exploding beers, the campaign ran from December 2024 through February 2025 with a rotating series of bespoke recorded messages voiced by the rapper, developed with agency Special and media partner Carat Auckland.</t>
        </is>
      </c>
      <c r="N42" s="113" t="inlineStr">
        <is>
          <t>beer, alcohol, new-zealand, sms, direct-response, celebrity-partnership, humor, mobile, seasonal, audio</t>
        </is>
      </c>
    </row>
    <row r="43">
      <c r="A43" s="127" t="n">
        <v>2025</v>
      </c>
      <c r="B43" s="133" t="inlineStr">
        <is>
          <t>Bronze</t>
        </is>
      </c>
      <c r="C43" s="127" t="inlineStr">
        <is>
          <t>The Meal</t>
        </is>
      </c>
      <c r="D43" s="127" t="inlineStr">
        <is>
          <t>McDonald's</t>
        </is>
      </c>
      <c r="E43" s="127" t="inlineStr">
        <is>
          <t>Happy Meal</t>
        </is>
      </c>
      <c r="F43" s="127" t="inlineStr">
        <is>
          <t>Ready10</t>
        </is>
      </c>
      <c r="G43" s="127" t="inlineStr">
        <is>
          <t>United Kingdom</t>
        </is>
      </c>
      <c r="H43" s="113" t="inlineStr">
        <is>
          <t>Corporate Purpose &amp; Social Responsibility</t>
        </is>
      </c>
      <c r="I43" s="128" t="inlineStr">
        <is>
          <t>https://ascentialcdn.filespin.io/api/v1/conversion/5e2b835a636345e0a9110a3076d31dca</t>
        </is>
      </c>
      <c r="J43" s="127" t="inlineStr">
        <is>
          <t>YEPttzbn0Z0</t>
        </is>
      </c>
      <c r="K43" s="127" t="n"/>
      <c r="L43" s="128" t="inlineStr">
        <is>
          <t>https://www.lovethework.com/work/entries/the-meal-750472</t>
        </is>
      </c>
      <c r="M43" s="113" t="inlineStr">
        <is>
          <t>For UK Mental Health Awareness Week, McDonald's stripped the smile off the Happy Meal box — and renamed it simply 'The Meal' — to acknowledge it's normal for kids not to feel happy. Each box came with a strip of emotion stickers for children to express how they actually felt, with footballer Rio Ferdinand fronting the campaign in partnership with BBC Children in Need.</t>
        </is>
      </c>
      <c r="N43" s="113" t="inlineStr">
        <is>
          <t>qsr, fast-food, restaurant, food, mental-health, healthcare, medical, packaging, kids, partnership, united-kingdom, corporate-purpose, integrated</t>
        </is>
      </c>
    </row>
    <row r="44">
      <c r="A44" s="127" t="n">
        <v>2025</v>
      </c>
      <c r="B44" s="133" t="inlineStr">
        <is>
          <t>Bronze</t>
        </is>
      </c>
      <c r="C44" s="127" t="inlineStr">
        <is>
          <t>Sponsored Balls</t>
        </is>
      </c>
      <c r="D44" s="127" t="inlineStr">
        <is>
          <t>Testicular Cancer Society</t>
        </is>
      </c>
      <c r="E44" s="127" t="inlineStr">
        <is>
          <t>Shorts</t>
        </is>
      </c>
      <c r="F44" s="127" t="inlineStr">
        <is>
          <t>FP7 McCann</t>
        </is>
      </c>
      <c r="G44" s="127" t="inlineStr">
        <is>
          <t>United Arab Emirates</t>
        </is>
      </c>
      <c r="H44" s="113" t="inlineStr">
        <is>
          <t>Use of Events &amp; Stunts</t>
        </is>
      </c>
      <c r="I44" s="127" t="inlineStr">
        <is>
          <t>digital-presentation-images/pr-testicular-cancer-society-sponsored-balls.webp</t>
        </is>
      </c>
      <c r="J44" s="127" t="inlineStr">
        <is>
          <t>vimeo:1083510969</t>
        </is>
      </c>
      <c r="K44" s="127" t="n"/>
      <c r="L44" s="128" t="inlineStr">
        <is>
          <t>https://www.lovethework.com/work/entries/sponsored-balls-750118</t>
        </is>
      </c>
      <c r="M44" s="113" t="inlineStr">
        <is>
          <t>A logo placement on the testicular area of CD Leganés' match shorts — the one spot on a football kit that sponsors never occupy — carrying the Testicular Cancer Society's branding during a sold-out La Liga fixture against Barcelona, broadcast across 180+ countries. The brief, developed by FP7 McCann Dubai, used the anatomical logic of the placement to prompt men to self-examine, at a moment when millions of eyes were already fixed on that part of the kit.</t>
        </is>
      </c>
      <c r="N44" s="113" t="inlineStr">
        <is>
          <t>testicular-cancer-awareness, sports-sponsorship, football, soccer, sport, public-health, kit-placement, events-and-stunts, spain, united-arab-emirates</t>
        </is>
      </c>
    </row>
    <row r="45">
      <c r="A45" s="127" t="n">
        <v>2025</v>
      </c>
      <c r="B45" s="133" t="inlineStr">
        <is>
          <t>Bronze</t>
        </is>
      </c>
      <c r="C45" s="127" t="inlineStr">
        <is>
          <t>Sato 2531</t>
        </is>
      </c>
      <c r="D45" s="127" t="inlineStr">
        <is>
          <t>Asuniwa</t>
        </is>
      </c>
      <c r="E45" s="127" t="inlineStr">
        <is>
          <t>Think Name Project</t>
        </is>
      </c>
      <c r="F45" s="127" t="inlineStr">
        <is>
          <t>Dentsu Digital</t>
        </is>
      </c>
      <c r="G45" s="127" t="inlineStr">
        <is>
          <t>Japan</t>
        </is>
      </c>
      <c r="H45" s="113" t="inlineStr">
        <is>
          <t>Single-Market Campaign</t>
        </is>
      </c>
      <c r="I45" s="128" t="inlineStr">
        <is>
          <t>https://ascentialcdn.filespin.io/api/v1/conversion/fe9e00109f57461bb9f36f9c845a8be1</t>
        </is>
      </c>
      <c r="J45" s="127" t="inlineStr">
        <is>
          <t>BW5T0gC6o3o</t>
        </is>
      </c>
      <c r="K45" s="127" t="n"/>
      <c r="L45" s="128" t="inlineStr">
        <is>
          <t>https://www.lovethework.com/work/entries/sato-2531-750198</t>
        </is>
      </c>
      <c r="M45" s="113" t="inlineStr">
        <is>
          <t>A data projection commissioned by Asuniwa, a Japanese gender equality organization, modeling the long-term impact of Japan's law requiring married couples to share a single surname — a rule that in practice leads most wives to take their husband's name. Working with an academic partner, the project calculated that if the law remains unchanged, "Sato" — currently Japan's most common surname — would mathematically become the only surviving family name in the country by the year 2531. To force the finding into public conversation, 40 organizations renamed their assets, accounts, and properties to "Sato."</t>
        </is>
      </c>
      <c r="N45" s="113" t="inlineStr">
        <is>
          <t>gender-equality, social-good, data-visualization, public-awareness, research, nonprofit, japan, social-issue, naming, activation</t>
        </is>
      </c>
    </row>
    <row r="46">
      <c r="A46" s="33" t="n">
        <v>2026</v>
      </c>
      <c r="B46" s="167" t="inlineStr">
        <is>
          <t>Grand Prix</t>
        </is>
      </c>
      <c r="C46" s="107" t="inlineStr">
        <is>
          <t>The KitKat Heist</t>
        </is>
      </c>
      <c r="D46" s="33" t="inlineStr">
        <is>
          <t>KitKat</t>
        </is>
      </c>
      <c r="E46" s="33" t="inlineStr">
        <is>
          <t>KitKat</t>
        </is>
      </c>
      <c r="F46" s="33" t="inlineStr">
        <is>
          <t>Burson + VML</t>
        </is>
      </c>
      <c r="G46" s="33" t="inlineStr">
        <is>
          <t>United Kingdom</t>
        </is>
      </c>
      <c r="H46" s="33" t="inlineStr">
        <is>
          <t>Crisis Communications &amp; Issue Management</t>
        </is>
      </c>
      <c r="I46" s="33" t="inlineStr">
        <is>
          <t>https://ascentialcdn.filespin.io/api/v1/conversion/26e5c323d289414d9fc6c6e3fd6c3b23</t>
        </is>
      </c>
      <c r="J46" s="33" t="inlineStr">
        <is>
          <t>vimeo:1204147459</t>
        </is>
      </c>
      <c r="L46" s="33" t="inlineStr">
        <is>
          <t>https://www.lovethework.com/work/entries/the-kitkat-heist-788418</t>
        </is>
      </c>
      <c r="M46" s="33" t="inlineStr">
        <is>
          <t>The PR Lions Grand Prix. KitKat faced a genuine crisis when roughly 12 tonnes of chocolate — more than 400,000 bars — were stolen in transit between Italy and Poland. Rather than bury the incident, Burson and VML turned the theft into a public 'heist' story, leaning on the brand's 'Have a break' identity to rally the public to look out for the missing chocolate and turning a supply-chain crisis into a national talking point.</t>
        </is>
      </c>
      <c r="N46" s="33" t="inlineStr">
        <is>
          <t>kitkat, nestle, chocolate, confectionery, candy, snack, packaged-goods, food, cpg, fmcg, united kingdom, crisis communications, issue management, real-time response, social engagement, heist, theft, earned media, public relations, pr, burson, vml, grand prix</t>
        </is>
      </c>
    </row>
    <row r="47">
      <c r="A47" s="33" t="n">
        <v>2026</v>
      </c>
      <c r="B47" s="164" t="inlineStr">
        <is>
          <t>Gold</t>
        </is>
      </c>
      <c r="C47" s="107" t="inlineStr">
        <is>
          <t>Expedition Impossible</t>
        </is>
      </c>
      <c r="D47" s="33" t="inlineStr">
        <is>
          <t>Columbia Sportswear</t>
        </is>
      </c>
      <c r="E47" s="33" t="inlineStr">
        <is>
          <t>Sportswear</t>
        </is>
      </c>
      <c r="F47" s="33" t="inlineStr">
        <is>
          <t>adam&amp;eve\TBWA</t>
        </is>
      </c>
      <c r="G47" s="33" t="inlineStr">
        <is>
          <t>United Kingdom</t>
        </is>
      </c>
      <c r="H47" s="33" t="inlineStr">
        <is>
          <t>Consumer Goods</t>
        </is>
      </c>
      <c r="I47" s="33" t="inlineStr">
        <is>
          <t>https://ascentialcdn.filespin.io/api/v1/conversion/bf27011e79f94826a41c286a1bbd22d5</t>
        </is>
      </c>
      <c r="J47" s="33" t="inlineStr">
        <is>
          <t>N0WxAUkBuQA</t>
        </is>
      </c>
      <c r="L47" s="33" t="inlineStr">
        <is>
          <t>https://www.lovethework.com/work/entries/expedition-impossible-788466</t>
        </is>
      </c>
      <c r="M47" s="33" t="inlineStr">
        <is>
          <t>For Columbia Sportswear, adam&amp;eve\TBWA challenged flat-earth believers to find the edge of the world. An open letter from CEO Tim Boyle — published in The New York Times and across social — dared them to reach the planet's edge in Columbia gear, with the company promising to hand over everything it owns if they succeeded, a tongue-in-cheek provocation built to spotlight the brand's rugged outdoor equipment.</t>
        </is>
      </c>
      <c r="N47" s="33" t="inlineStr">
        <is>
          <t>columbia sportswear, sportswear, outdoor, apparel, clothing, consumer goods, retail, united states, united kingdom, flat earth, expedition, stunt, open letter, social engagement, earned media, public relations, pr, adam and eve, tbwa, gold</t>
        </is>
      </c>
    </row>
    <row r="48">
      <c r="A48" s="33" t="n">
        <v>2026</v>
      </c>
      <c r="B48" s="164" t="inlineStr">
        <is>
          <t>Gold</t>
        </is>
      </c>
      <c r="C48" s="107" t="inlineStr">
        <is>
          <t>The Relationship Aid</t>
        </is>
      </c>
      <c r="D48" s="33" t="inlineStr">
        <is>
          <t>Specsavers</t>
        </is>
      </c>
      <c r="E48" s="33" t="inlineStr">
        <is>
          <t>Hearing Aids</t>
        </is>
      </c>
      <c r="F48" s="33" t="inlineStr">
        <is>
          <t>Golin</t>
        </is>
      </c>
      <c r="G48" s="33" t="inlineStr">
        <is>
          <t>United Kingdom</t>
        </is>
      </c>
      <c r="H48" s="33" t="inlineStr">
        <is>
          <t>Healthcare</t>
        </is>
      </c>
      <c r="I48" s="33" t="inlineStr">
        <is>
          <t>https://ascentialcdn.filespin.io/api/v1/conversion/ce09cee232ba4d6b9c93435289716b7a</t>
        </is>
      </c>
      <c r="J48" s="33" t="inlineStr">
        <is>
          <t>7MXNZv1fT8w</t>
        </is>
      </c>
      <c r="L48" s="33" t="inlineStr">
        <is>
          <t>https://www.lovethework.com/work/entries/the-relationship-aid-787448</t>
        </is>
      </c>
      <c r="M48" s="33" t="inlineStr">
        <is>
          <t>For Specsavers, Golin reframed the hearing aid from a marker of old age into 'the most exciting couple's device.' By positioning the hearing aid as a relationship tool first and a medical device second, the campaign set out to disrupt the stigma around hearing loss and spark a conversation about hearing health rooted in love rather than ageing.</t>
        </is>
      </c>
      <c r="N48" s="33" t="inlineStr">
        <is>
          <t>specsavers, hearing aids, hearing health, healthcare, health, optician, retail, united kingdom, stigma, relationships, content creation, production, public relations, pr, golin, gold</t>
        </is>
      </c>
    </row>
    <row r="49">
      <c r="A49" s="33" t="n">
        <v>2026</v>
      </c>
      <c r="B49" s="164" t="inlineStr">
        <is>
          <t>Gold</t>
        </is>
      </c>
      <c r="C49" s="107" t="inlineStr">
        <is>
          <t>T-Rex Leather</t>
        </is>
      </c>
      <c r="D49" s="33" t="inlineStr">
        <is>
          <t>Lab-Grown Leather</t>
        </is>
      </c>
      <c r="E49" s="33" t="inlineStr">
        <is>
          <t>Leather</t>
        </is>
      </c>
      <c r="F49" s="33" t="inlineStr">
        <is>
          <t>VML</t>
        </is>
      </c>
      <c r="G49" s="33" t="inlineStr">
        <is>
          <t>France</t>
        </is>
      </c>
      <c r="H49" s="33" t="inlineStr">
        <is>
          <t>Consumer Services/Business to Business</t>
        </is>
      </c>
      <c r="I49" s="33" t="inlineStr">
        <is>
          <t>https://ascentialcdn.filespin.io/api/v1/conversion/5b3424e59ecb4db7ad7747fbf7f232d7</t>
        </is>
      </c>
      <c r="J49" s="33" t="inlineStr">
        <is>
          <t>I2sHOyoL0J4</t>
        </is>
      </c>
      <c r="L49" s="33" t="inlineStr">
        <is>
          <t>https://www.lovethework.com/work/entries/t-rex-leather-775851</t>
        </is>
      </c>
      <c r="M49" s="33" t="inlineStr">
        <is>
          <t>VML created the world's first product made from lab-grown T-Rex leather. Starting from fossilised T. rex collagen, the team used computational biology and AI to reconstruct the dinosaur's collagen blueprint, then engineered cells with synthetic DNA to grow leather without any animal, debuting the material as a luxury handbag with techwear label Enfin Levé.</t>
        </is>
      </c>
      <c r="N49" s="33" t="inlineStr">
        <is>
          <t>lab-grown leather, biotech, biotechnology, materials, sustainability, fashion, luxury, handbag, leather, france, dinosaur, t-rex, collagen, synthetic biology, ai, technology, innovation, b2b, business, business to business, pr effectiveness, public relations, pr, vml, gold</t>
        </is>
      </c>
    </row>
    <row r="50">
      <c r="A50" s="33" t="n">
        <v>2026</v>
      </c>
      <c r="B50" s="164" t="inlineStr">
        <is>
          <t>Gold</t>
        </is>
      </c>
      <c r="C50" s="107" t="inlineStr">
        <is>
          <t>The KitKat Heist</t>
        </is>
      </c>
      <c r="D50" s="33" t="inlineStr">
        <is>
          <t>KitKat</t>
        </is>
      </c>
      <c r="E50" s="33" t="inlineStr">
        <is>
          <t>KitKat</t>
        </is>
      </c>
      <c r="F50" s="33" t="inlineStr">
        <is>
          <t>VML</t>
        </is>
      </c>
      <c r="G50" s="33" t="inlineStr">
        <is>
          <t>United Kingdom</t>
        </is>
      </c>
      <c r="H50" s="33" t="inlineStr">
        <is>
          <t>Social Engagement</t>
        </is>
      </c>
      <c r="I50" s="33" t="inlineStr">
        <is>
          <t>https://ascentialcdn.filespin.io/api/v1/conversion/2ce47817eca04812a08c4f5282cb7b90</t>
        </is>
      </c>
      <c r="J50" s="33" t="inlineStr">
        <is>
          <t>vimeo:1204147459</t>
        </is>
      </c>
      <c r="L50" s="33" t="inlineStr">
        <is>
          <t>https://www.lovethework.com/work/entries/the-kitkat-heist-787865</t>
        </is>
      </c>
      <c r="M50" s="33" t="inlineStr">
        <is>
          <t>The PR Lions Grand Prix. KitKat faced a genuine crisis when roughly 12 tonnes of chocolate — more than 400,000 bars — were stolen in transit between Italy and Poland. Rather than bury the incident, Burson and VML turned the theft into a public 'heist' story, leaning on the brand's 'Have a break' identity to rally the public to look out for the missing chocolate and turning a supply-chain crisis into a national talking point.</t>
        </is>
      </c>
      <c r="N50" s="33" t="inlineStr">
        <is>
          <t>kitkat, nestle, chocolate, confectionery, candy, snack, packaged-goods, food, cpg, fmcg, united kingdom, crisis communications, issue management, real-time response, social engagement, heist, theft, earned media, public relations, pr, burson, vml, grand prix</t>
        </is>
      </c>
    </row>
    <row r="51">
      <c r="A51" s="33" t="n">
        <v>2026</v>
      </c>
      <c r="B51" s="164" t="inlineStr">
        <is>
          <t>Gold</t>
        </is>
      </c>
      <c r="C51" s="107" t="inlineStr">
        <is>
          <t>The KitKat Heist</t>
        </is>
      </c>
      <c r="D51" s="33" t="inlineStr">
        <is>
          <t>KitKat</t>
        </is>
      </c>
      <c r="E51" s="33" t="inlineStr">
        <is>
          <t>KitKat</t>
        </is>
      </c>
      <c r="F51" s="33" t="inlineStr">
        <is>
          <t>VML</t>
        </is>
      </c>
      <c r="G51" s="33" t="inlineStr">
        <is>
          <t>United Kingdom</t>
        </is>
      </c>
      <c r="H51" s="33" t="inlineStr">
        <is>
          <t>Real-Time Response</t>
        </is>
      </c>
      <c r="I51" s="33" t="inlineStr">
        <is>
          <t>https://ascentialcdn.filespin.io/api/v1/conversion/2ce47817eca04812a08c4f5282cb7b90</t>
        </is>
      </c>
      <c r="J51" s="33" t="inlineStr">
        <is>
          <t>vimeo:1204147459</t>
        </is>
      </c>
      <c r="L51" s="33" t="inlineStr">
        <is>
          <t>https://www.lovethework.com/work/entries/the-kitkat-heist-787875</t>
        </is>
      </c>
      <c r="M51" s="33" t="inlineStr">
        <is>
          <t>The PR Lions Grand Prix. KitKat faced a genuine crisis when roughly 12 tonnes of chocolate — more than 400,000 bars — were stolen in transit between Italy and Poland. Rather than bury the incident, Burson and VML turned the theft into a public 'heist' story, leaning on the brand's 'Have a break' identity to rally the public to look out for the missing chocolate and turning a supply-chain crisis into a national talking point.</t>
        </is>
      </c>
      <c r="N51" s="33" t="inlineStr">
        <is>
          <t>kitkat, nestle, chocolate, confectionery, candy, snack, packaged-goods, food, cpg, fmcg, united kingdom, crisis communications, issue management, real-time response, social engagement, heist, theft, earned media, public relations, pr, burson, vml, grand prix</t>
        </is>
      </c>
    </row>
    <row r="52">
      <c r="A52" s="33" t="n">
        <v>2026</v>
      </c>
      <c r="B52" s="164" t="inlineStr">
        <is>
          <t>Gold</t>
        </is>
      </c>
      <c r="C52" s="107" t="inlineStr">
        <is>
          <t>One More Question</t>
        </is>
      </c>
      <c r="D52" s="33" t="inlineStr">
        <is>
          <t>LALCEC</t>
        </is>
      </c>
      <c r="E52" s="33" t="inlineStr">
        <is>
          <t>LALCEC</t>
        </is>
      </c>
      <c r="F52" s="33" t="inlineStr">
        <is>
          <t>Grey Argentina</t>
        </is>
      </c>
      <c r="G52" s="33" t="inlineStr">
        <is>
          <t>Argentina</t>
        </is>
      </c>
      <c r="H52" s="33" t="inlineStr">
        <is>
          <t>Media Relations</t>
        </is>
      </c>
      <c r="I52" s="33" t="inlineStr">
        <is>
          <t>https://ascentialcdn.filespin.io/api/v1/conversion/8e389b9962ab40f28ab224f99a4a97f5</t>
        </is>
      </c>
      <c r="J52" s="33" t="inlineStr">
        <is>
          <t>SCS8CJGqSDo</t>
        </is>
      </c>
      <c r="L52" s="33" t="inlineStr">
        <is>
          <t>https://www.lovethework.com/work/entries/one-more-question-786335</t>
        </is>
      </c>
      <c r="M52" s="33" t="inlineStr">
        <is>
          <t>For Argentine cancer-prevention NGO LALCEC, Grey Argentina ran a prostate-cancer awareness effort in which journalists ambushed public figures with a single unexpected question during interviews, igniting national dialogue about men's health and pointing audiences toward free early-detection screenings.</t>
        </is>
      </c>
      <c r="N52" s="33" t="inlineStr">
        <is>
          <t>lalcec, cancer, healthcare, medical, prostate cancer, health, mens health, ngo, not-for-profit, charity, social-good, nonprofit, argentina, awareness, early detection, screening, media relations, public relations, pr, grey, gold</t>
        </is>
      </c>
    </row>
    <row r="53">
      <c r="A53" s="33" t="n">
        <v>2026</v>
      </c>
      <c r="B53" s="164" t="inlineStr">
        <is>
          <t>Gold</t>
        </is>
      </c>
      <c r="C53" s="107" t="inlineStr">
        <is>
          <t>600K Network</t>
        </is>
      </c>
      <c r="D53" s="33" t="inlineStr">
        <is>
          <t>Comando Con Venezuela</t>
        </is>
      </c>
      <c r="E53" s="33" t="inlineStr">
        <is>
          <t>Comando Con Venezuela</t>
        </is>
      </c>
      <c r="F53" s="33" t="inlineStr">
        <is>
          <t>Rainbow Lobster</t>
        </is>
      </c>
      <c r="G53" s="33" t="inlineStr">
        <is>
          <t>Mexico</t>
        </is>
      </c>
      <c r="H53" s="33" t="inlineStr">
        <is>
          <t>Breakthrough on a Budget</t>
        </is>
      </c>
      <c r="I53" s="33" t="inlineStr">
        <is>
          <t>https://ascentialcdn.filespin.io/api/v1/conversion/8aae998f8c2d4240beb6408290ef3435</t>
        </is>
      </c>
      <c r="J53" s="33" t="inlineStr">
        <is>
          <t>k2U1G8xCYus</t>
        </is>
      </c>
      <c r="L53" s="33" t="inlineStr">
        <is>
          <t>https://www.lovethework.com/work/entries/600k-network-778693</t>
        </is>
      </c>
      <c r="M53" s="33" t="inlineStr">
        <is>
          <t>For the Venezuelan citizen movement Comando con Venezuela, Rainbow Lobster built a real-time network that captured, digitised and verified electoral tally sheets (actas) as votes came in, turning a distributed civic effort into a transparent, public record of the result.</t>
        </is>
      </c>
      <c r="N53" s="33" t="inlineStr">
        <is>
          <t>comando con venezuela, venezuela, civic, activism, social-good, elections, voting, democracy, electoral records, transparency, real-time data, crowdsourcing, network, data, rainbow lobster, mexico, gold</t>
        </is>
      </c>
    </row>
    <row r="54">
      <c r="A54" s="33" t="n">
        <v>2026</v>
      </c>
      <c r="B54" s="165" t="inlineStr">
        <is>
          <t>Silver</t>
        </is>
      </c>
      <c r="C54" s="107" t="inlineStr">
        <is>
          <t>Expedition Impossible</t>
        </is>
      </c>
      <c r="D54" s="33" t="inlineStr">
        <is>
          <t>Columbia Sportswear</t>
        </is>
      </c>
      <c r="E54" s="33" t="inlineStr">
        <is>
          <t>Sportswear</t>
        </is>
      </c>
      <c r="F54" s="33" t="inlineStr">
        <is>
          <t>adam&amp;eve\TBWA</t>
        </is>
      </c>
      <c r="G54" s="33" t="inlineStr">
        <is>
          <t>United Kingdom</t>
        </is>
      </c>
      <c r="H54" s="33" t="inlineStr">
        <is>
          <t>Social Engagement</t>
        </is>
      </c>
      <c r="I54" s="33" t="inlineStr">
        <is>
          <t>https://ascentialcdn.filespin.io/api/v1/conversion/bf27011e79f94826a41c286a1bbd22d5</t>
        </is>
      </c>
      <c r="J54" s="33" t="inlineStr">
        <is>
          <t>N0WxAUkBuQA</t>
        </is>
      </c>
      <c r="L54" s="33" t="inlineStr">
        <is>
          <t>https://www.lovethework.com/work/entries/expedition-impossible-776228</t>
        </is>
      </c>
      <c r="M54" s="33" t="inlineStr">
        <is>
          <t>For Columbia Sportswear, adam&amp;eve\TBWA challenged flat-earth believers to find the edge of the world. An open letter from CEO Tim Boyle — published in The New York Times and across social — dared them to reach the planet's edge in Columbia gear, with the company promising to hand over everything it owns if they succeeded, a tongue-in-cheek provocation built to spotlight the brand's rugged outdoor equipment.</t>
        </is>
      </c>
      <c r="N54" s="33" t="inlineStr">
        <is>
          <t>columbia sportswear, sportswear, outdoor, apparel, clothing, consumer goods, retail, united states, united kingdom, flat earth, expedition, stunt, open letter, social engagement, earned media, public relations, pr, adam and eve, tbwa, gold</t>
        </is>
      </c>
    </row>
    <row r="55">
      <c r="A55" s="33" t="n">
        <v>2026</v>
      </c>
      <c r="B55" s="165" t="inlineStr">
        <is>
          <t>Silver</t>
        </is>
      </c>
      <c r="C55" s="107" t="inlineStr">
        <is>
          <t>The Bite</t>
        </is>
      </c>
      <c r="D55" s="33" t="inlineStr">
        <is>
          <t>Burger King</t>
        </is>
      </c>
      <c r="E55" s="33" t="inlineStr">
        <is>
          <t>The Whopper</t>
        </is>
      </c>
      <c r="F55" s="33" t="inlineStr">
        <is>
          <t>Mojo Supermarket + BarkleyOKRP</t>
        </is>
      </c>
      <c r="G55" s="33" t="inlineStr">
        <is>
          <t>United States</t>
        </is>
      </c>
      <c r="H55" s="33" t="inlineStr">
        <is>
          <t>Social Engagement</t>
        </is>
      </c>
      <c r="I55" s="33" t="inlineStr">
        <is>
          <t>https://ascentialcdn.filespin.io/api/v1/conversion/53a9de7f532e4eb58f702cf235e29fd1</t>
        </is>
      </c>
      <c r="J55" s="33" t="inlineStr">
        <is>
          <t>mp4:videos/burger-king-the-bite.mp4</t>
        </is>
      </c>
      <c r="L55" s="33" t="inlineStr">
        <is>
          <t>https://www.lovethework.com/work/entries/the-bite-793304</t>
        </is>
      </c>
      <c r="M55" s="33" t="inlineStr">
        <is>
          <t>For Burger King, Mojo Supermarket and BarkleyOKRP seized a real-time cultural moment: after McDonald's CEO drew online mockery for an awkward product video, Burger King's president filmed himself on TikTok unwrapping a Whopper and taking a big, confident bite — an implied competitive jab that let social audiences draw the comparison themselves.</t>
        </is>
      </c>
      <c r="N55" s="33" t="inlineStr">
        <is>
          <t>burger king, whopper, qsr, fast-food, restaurant, food, fast food, burger, united states, real-time response, social engagement, tiktok, rival, mcdonalds, earned media, public relations, pr, mojo supermarket, barkleyokrp, silver</t>
        </is>
      </c>
    </row>
    <row r="56">
      <c r="A56" s="33" t="n">
        <v>2026</v>
      </c>
      <c r="B56" s="165" t="inlineStr">
        <is>
          <t>Silver</t>
        </is>
      </c>
      <c r="C56" s="107" t="inlineStr">
        <is>
          <t>Vaseline Originals</t>
        </is>
      </c>
      <c r="D56" s="33" t="inlineStr">
        <is>
          <t>Vaseline</t>
        </is>
      </c>
      <c r="E56" s="33" t="inlineStr">
        <is>
          <t>Vaseline</t>
        </is>
      </c>
      <c r="F56" s="33" t="inlineStr">
        <is>
          <t>Ogilvy Singapore</t>
        </is>
      </c>
      <c r="G56" s="33" t="inlineStr">
        <is>
          <t>Singapore</t>
        </is>
      </c>
      <c r="H56" s="33" t="inlineStr">
        <is>
          <t>Community Management</t>
        </is>
      </c>
      <c r="I56" s="33" t="inlineStr">
        <is>
          <t>https://ascentialcdn.filespin.io/api/v1/conversion/a51e4b12607a4d19abcc64bca7c099f5</t>
        </is>
      </c>
      <c r="J56" s="33" t="inlineStr">
        <is>
          <t>hzq9lR5SsNo</t>
        </is>
      </c>
      <c r="L56" s="33" t="inlineStr">
        <is>
          <t>https://www.lovethework.com/work/entries/vaseline-originals-779654</t>
        </is>
      </c>
      <c r="M56" s="33" t="inlineStr">
        <is>
          <t>For Vaseline, Ogilvy Singapore moved the brand from verifying community beauty hacks to making them. Building on 'Vaseline Verified,' the platform shifted from validating what creators post to actively co-developing products inspired by them, putting the brand's original creators at the centre of its innovation roadmap.</t>
        </is>
      </c>
      <c r="N56" s="33" t="inlineStr">
        <is>
          <t>vaseline, unilever, skincare, personal-care, beauty, personal care, fmcg, singapore, creators, influencers, community management, co-creation, user generated content, public relations, pr, ogilvy, silver</t>
        </is>
      </c>
    </row>
    <row r="57">
      <c r="A57" s="33" t="n">
        <v>2026</v>
      </c>
      <c r="B57" s="165" t="inlineStr">
        <is>
          <t>Silver</t>
        </is>
      </c>
      <c r="C57" s="107" t="inlineStr">
        <is>
          <t>The Relationship Aid</t>
        </is>
      </c>
      <c r="D57" s="33" t="inlineStr">
        <is>
          <t>Specsavers</t>
        </is>
      </c>
      <c r="E57" s="33" t="inlineStr">
        <is>
          <t>Hearing Aids</t>
        </is>
      </c>
      <c r="F57" s="33" t="inlineStr">
        <is>
          <t>Golin</t>
        </is>
      </c>
      <c r="G57" s="33" t="inlineStr">
        <is>
          <t>United Kingdom</t>
        </is>
      </c>
      <c r="H57" s="33" t="inlineStr">
        <is>
          <t>Content Creation &amp; Production</t>
        </is>
      </c>
      <c r="I57" s="33" t="inlineStr">
        <is>
          <t>https://ascentialcdn.filespin.io/api/v1/conversion/ce09cee232ba4d6b9c93435289716b7a</t>
        </is>
      </c>
      <c r="J57" s="33" t="inlineStr">
        <is>
          <t>7MXNZv1fT8w</t>
        </is>
      </c>
      <c r="L57" s="33" t="inlineStr">
        <is>
          <t>https://www.lovethework.com/work/entries/the-relationship-aid-775702</t>
        </is>
      </c>
      <c r="M57" s="33" t="inlineStr">
        <is>
          <t>For Specsavers, Golin reframed the hearing aid from a marker of old age into 'the most exciting couple's device.' By positioning the hearing aid as a relationship tool first and a medical device second, the campaign set out to disrupt the stigma around hearing loss and spark a conversation about hearing health rooted in love rather than ageing.</t>
        </is>
      </c>
      <c r="N57" s="33" t="inlineStr">
        <is>
          <t>specsavers, hearing aids, hearing health, healthcare, health, optician, retail, united kingdom, stigma, relationships, content creation, production, public relations, pr, golin, gold</t>
        </is>
      </c>
    </row>
    <row r="58">
      <c r="A58" s="33" t="n">
        <v>2026</v>
      </c>
      <c r="B58" s="165" t="inlineStr">
        <is>
          <t>Silver</t>
        </is>
      </c>
      <c r="C58" s="107" t="inlineStr">
        <is>
          <t>Vaseline Originals</t>
        </is>
      </c>
      <c r="D58" s="33" t="inlineStr">
        <is>
          <t>Vaseline</t>
        </is>
      </c>
      <c r="E58" s="33" t="inlineStr">
        <is>
          <t>Vaseline</t>
        </is>
      </c>
      <c r="F58" s="33" t="inlineStr">
        <is>
          <t>Ogilvy Singapore</t>
        </is>
      </c>
      <c r="G58" s="33" t="inlineStr">
        <is>
          <t>Singapore</t>
        </is>
      </c>
      <c r="H58" s="33" t="inlineStr">
        <is>
          <t>Innovative Use of Influencers/Creators</t>
        </is>
      </c>
      <c r="I58" s="33" t="inlineStr">
        <is>
          <t>https://ascentialcdn.filespin.io/api/v1/conversion/a51e4b12607a4d19abcc64bca7c099f5</t>
        </is>
      </c>
      <c r="J58" s="33" t="inlineStr">
        <is>
          <t>hzq9lR5SsNo</t>
        </is>
      </c>
      <c r="L58" s="33" t="inlineStr">
        <is>
          <t>https://www.lovethework.com/work/entries/vaseline-originals-779663</t>
        </is>
      </c>
      <c r="M58" s="33" t="inlineStr">
        <is>
          <t>For Vaseline, Ogilvy Singapore moved the brand from verifying community beauty hacks to making them. Building on 'Vaseline Verified,' the platform shifted from validating what creators post to actively co-developing products inspired by them, putting the brand's original creators at the centre of its innovation roadmap.</t>
        </is>
      </c>
      <c r="N58" s="33" t="inlineStr">
        <is>
          <t>vaseline, unilever, skincare, personal-care, beauty, personal care, fmcg, singapore, creators, influencers, community management, co-creation, user generated content, public relations, pr, ogilvy, silver</t>
        </is>
      </c>
    </row>
    <row r="59">
      <c r="A59" s="33" t="n">
        <v>2026</v>
      </c>
      <c r="B59" s="165" t="inlineStr">
        <is>
          <t>Silver</t>
        </is>
      </c>
      <c r="C59" s="107" t="inlineStr">
        <is>
          <t>T-Rex Leather</t>
        </is>
      </c>
      <c r="D59" s="33" t="inlineStr">
        <is>
          <t>Lab-Grown Leather</t>
        </is>
      </c>
      <c r="E59" s="33" t="inlineStr">
        <is>
          <t>Leather</t>
        </is>
      </c>
      <c r="F59" s="33" t="inlineStr">
        <is>
          <t>VML</t>
        </is>
      </c>
      <c r="G59" s="33" t="inlineStr">
        <is>
          <t>France</t>
        </is>
      </c>
      <c r="H59" s="33" t="inlineStr">
        <is>
          <t>PR Effectiveness</t>
        </is>
      </c>
      <c r="I59" s="33" t="inlineStr">
        <is>
          <t>https://ascentialcdn.filespin.io/api/v1/conversion/5b3424e59ecb4db7ad7747fbf7f232d7</t>
        </is>
      </c>
      <c r="J59" s="33" t="inlineStr">
        <is>
          <t>I2sHOyoL0J4</t>
        </is>
      </c>
      <c r="L59" s="33" t="inlineStr">
        <is>
          <t>https://www.lovethework.com/work/entries/t-rex-leather-775893</t>
        </is>
      </c>
      <c r="M59" s="33" t="inlineStr">
        <is>
          <t>VML created the world's first product made from lab-grown T-Rex leather. Starting from fossilised T. rex collagen, the team used computational biology and AI to reconstruct the dinosaur's collagen blueprint, then engineered cells with synthetic DNA to grow leather without any animal, debuting the material as a luxury handbag with techwear label Enfin Levé.</t>
        </is>
      </c>
      <c r="N59" s="33" t="inlineStr">
        <is>
          <t>lab-grown leather, biotech, biotechnology, materials, sustainability, fashion, luxury, handbag, leather, france, dinosaur, t-rex, collagen, synthetic biology, ai, technology, innovation, b2b, business, business to business, pr effectiveness, public relations, pr, vml, gold</t>
        </is>
      </c>
    </row>
    <row r="60">
      <c r="A60" s="33" t="n">
        <v>2026</v>
      </c>
      <c r="B60" s="165" t="inlineStr">
        <is>
          <t>Silver</t>
        </is>
      </c>
      <c r="C60" s="107" t="inlineStr">
        <is>
          <t>The Kidney Pass</t>
        </is>
      </c>
      <c r="D60" s="33" t="inlineStr">
        <is>
          <t>Way Out West</t>
        </is>
      </c>
      <c r="E60" s="33" t="inlineStr">
        <is>
          <t>Music Festival</t>
        </is>
      </c>
      <c r="F60" s="33" t="inlineStr">
        <is>
          <t>NORD</t>
        </is>
      </c>
      <c r="G60" s="33" t="inlineStr">
        <is>
          <t>Sweden</t>
        </is>
      </c>
      <c r="H60" s="33" t="inlineStr">
        <is>
          <t>Local Brand</t>
        </is>
      </c>
      <c r="I60" s="33" t="inlineStr">
        <is>
          <t>https://ascentialcdn.filespin.io/api/v1/conversion/1170a2c62e5d47b38cb8696e0a311928</t>
        </is>
      </c>
      <c r="J60" s="33" t="inlineStr">
        <is>
          <t>YAcnwoPbKmk</t>
        </is>
      </c>
      <c r="L60" s="33" t="inlineStr">
        <is>
          <t>https://www.lovethework.com/work/entries/the-kidney-pass-786440</t>
        </is>
      </c>
      <c r="M60" s="33" t="inlineStr">
        <is>
          <t>For sold-out Swedish music festival Way Out West, NORD created 'The Kidney Pass': a limited reserve of tickets fans could win not by paying scalpers but by registering with Sweden's national organ-donor registry, redirecting ticket demand into postmortem organ-donation pledges.</t>
        </is>
      </c>
      <c r="N60" s="33" t="inlineStr">
        <is>
          <t>way out west, music festival, festival, music, entertainment, events, sweden, organ donation, kidney, donor registry, health, local brand, public relations, pr, nord, silver</t>
        </is>
      </c>
    </row>
    <row r="61">
      <c r="A61" s="33" t="n">
        <v>2026</v>
      </c>
      <c r="B61" s="165" t="inlineStr">
        <is>
          <t>Silver</t>
        </is>
      </c>
      <c r="C61" s="107" t="inlineStr">
        <is>
          <t>The Swedish Prescription</t>
        </is>
      </c>
      <c r="D61" s="33" t="inlineStr">
        <is>
          <t>Visit Sweden</t>
        </is>
      </c>
      <c r="E61" s="33" t="inlineStr">
        <is>
          <t>Visit Sweden</t>
        </is>
      </c>
      <c r="F61" s="33" t="inlineStr">
        <is>
          <t>Prime Weber Shandwick</t>
        </is>
      </c>
      <c r="G61" s="33" t="inlineStr">
        <is>
          <t>Sweden</t>
        </is>
      </c>
      <c r="H61" s="33" t="inlineStr">
        <is>
          <t>Challenger Brand</t>
        </is>
      </c>
      <c r="I61" s="33" t="inlineStr">
        <is>
          <t>https://ascentialcdn.filespin.io/api/v1/conversion/0a091e19f5b24275be9e1ace70d87d4a</t>
        </is>
      </c>
      <c r="J61" s="33" t="inlineStr">
        <is>
          <t>vimeo:1157558881</t>
        </is>
      </c>
      <c r="L61" s="33" t="inlineStr">
        <is>
          <t>https://www.lovethework.com/work/entries/the-swedish-prescription-786443</t>
        </is>
      </c>
      <c r="M61" s="33" t="inlineStr">
        <is>
          <t>For Visit Sweden, Prime Weber Shandwick made Sweden the first country to be prescribed by doctors. Drawing on research into nature-based 'social prescribing' and verified by a Karolinska Institute professor, the campaign packaged Swedish habits — forest bathing, wild swimming, sauna-and-plunge, fika — as a doctor-backed prescription for wellbeing that travellers could download.</t>
        </is>
      </c>
      <c r="N61" s="33" t="inlineStr">
        <is>
          <t>visit sweden, tourism, travel, destination, wellbeing, wellness, health, nature, sweden, prescription, forest bathing, doctors, challenger brand, public relations, pr, prime weber shandwick, silver</t>
        </is>
      </c>
    </row>
    <row r="62">
      <c r="A62" s="33" t="n">
        <v>2026</v>
      </c>
      <c r="B62" s="165" t="inlineStr">
        <is>
          <t>Silver</t>
        </is>
      </c>
      <c r="C62" s="107" t="inlineStr">
        <is>
          <t>Kyle F*cking Connor</t>
        </is>
      </c>
      <c r="D62" s="33" t="inlineStr">
        <is>
          <t>KFC Canada</t>
        </is>
      </c>
      <c r="E62" s="33" t="inlineStr">
        <is>
          <t>KFC Brand</t>
        </is>
      </c>
      <c r="F62" s="33" t="inlineStr">
        <is>
          <t>Courage</t>
        </is>
      </c>
      <c r="G62" s="33" t="inlineStr">
        <is>
          <t>Canada</t>
        </is>
      </c>
      <c r="H62" s="33" t="inlineStr">
        <is>
          <t>Single-Market Campaign</t>
        </is>
      </c>
      <c r="I62" s="33" t="inlineStr">
        <is>
          <t>https://ascentialcdn.filespin.io/api/v1/conversion/4be82aa0a3cf460fbb7f0872b0609115</t>
        </is>
      </c>
      <c r="J62" s="33" t="inlineStr">
        <is>
          <t>bSL1iz37-Gg</t>
        </is>
      </c>
      <c r="L62" s="33" t="inlineStr">
        <is>
          <t>https://www.lovethework.com/work/entries/kyle-fcking-connor-779583</t>
        </is>
      </c>
      <c r="M62" s="33" t="inlineStr">
        <is>
          <t>For KFC Canada, Courage turned the shared initials of Winnipeg Jets star Kyle Connor — K.F.C. — into a playoff-hockey ownership play. Tied to the brand's team sponsorship, the campaign claimed the player's 'KFC' nickname and built a limited menu around him, giving the chain an entry point into crowded NHL playoff season that no rival could replicate.</t>
        </is>
      </c>
      <c r="N62" s="33" t="inlineStr">
        <is>
          <t>kfc, kentucky fried chicken, qsr, fast-food, restaurant, food, fast food, chicken, canada, hockey, nhl, kyle connor, winnipeg jets, sports sponsorship, single market, public relations, pr, courage, silver</t>
        </is>
      </c>
    </row>
    <row r="63">
      <c r="A63" s="33" t="n">
        <v>2026</v>
      </c>
      <c r="B63" s="165" t="inlineStr">
        <is>
          <t>Silver</t>
        </is>
      </c>
      <c r="C63" s="107" t="inlineStr">
        <is>
          <t>CeraVe - The New Face of Legs</t>
        </is>
      </c>
      <c r="D63" s="33" t="inlineStr">
        <is>
          <t>CeraVe</t>
        </is>
      </c>
      <c r="E63" s="33" t="inlineStr">
        <is>
          <t>CeraVe</t>
        </is>
      </c>
      <c r="F63" s="33" t="inlineStr">
        <is>
          <t>L'Oreal + Bolded</t>
        </is>
      </c>
      <c r="G63" s="33" t="inlineStr">
        <is>
          <t>United States</t>
        </is>
      </c>
      <c r="H63" s="33" t="inlineStr">
        <is>
          <t>Social Behaviour</t>
        </is>
      </c>
      <c r="I63" s="33" t="inlineStr">
        <is>
          <t>https://ascentialcdn.filespin.io/api/v1/conversion/65f596aa9b584ef18846f7952595fa9b</t>
        </is>
      </c>
      <c r="J63" s="33" t="inlineStr">
        <is>
          <t>vimeo:1205275541</t>
        </is>
      </c>
      <c r="L63" s="33" t="inlineStr">
        <is>
          <t>https://www.lovethework.com/work/entries/cerave-the-new-face-of-legs-787954</t>
        </is>
      </c>
      <c r="M63" s="33" t="inlineStr">
        <is>
          <t>For CeraVe, L'Oreal and Bolded made NBA star Kevin Durant 'the new face of legs.' Built on the insight that body skin is often neglected despite being far drier than facial skin, the campaign cast Durant's freshly moisturised legs as an unexpected celebrity spokesperson, using humour to push the brand's 'moisturise like a derm' message beyond the face.</t>
        </is>
      </c>
      <c r="N63" s="33" t="inlineStr">
        <is>
          <t>cerave, loreal, skincare, personal-care, beauty, moisturiser, personal care, dermatology, fmcg, united states, kevin durant, legs, humour, social behaviour, brand voice, storytelling, public relations, pr, bolded, silver</t>
        </is>
      </c>
    </row>
    <row r="64">
      <c r="A64" s="33" t="n">
        <v>2026</v>
      </c>
      <c r="B64" s="165" t="inlineStr">
        <is>
          <t>Silver</t>
        </is>
      </c>
      <c r="C64" s="107" t="inlineStr">
        <is>
          <t>Welcome Back, Paisano</t>
        </is>
      </c>
      <c r="D64" s="33" t="inlineStr">
        <is>
          <t>Tecate</t>
        </is>
      </c>
      <c r="E64" s="33" t="inlineStr">
        <is>
          <t>Tecate</t>
        </is>
      </c>
      <c r="F64" s="33" t="inlineStr">
        <is>
          <t>LePub</t>
        </is>
      </c>
      <c r="G64" s="33" t="inlineStr">
        <is>
          <t>Mexico</t>
        </is>
      </c>
      <c r="H64" s="33" t="inlineStr">
        <is>
          <t>Corporate Purpose &amp; Social Responsibility</t>
        </is>
      </c>
      <c r="I64" s="33" t="inlineStr">
        <is>
          <t>https://ascentialcdn.filespin.io/api/v1/conversion/bbd54e3aeb9a442188d16599a29d25a5</t>
        </is>
      </c>
      <c r="J64" s="33" t="inlineStr">
        <is>
          <t>sFLMnLf2HeI</t>
        </is>
      </c>
      <c r="L64" s="33" t="inlineStr">
        <is>
          <t>https://www.lovethework.com/work/entries/welcome-back-paisano-787326</t>
        </is>
      </c>
      <c r="M64" s="33" t="inlineStr">
        <is>
          <t>For Heineken-owned beer brand Tecate, LePub Mexico responded to the wave of Mexicans repatriating from the United States with an employability platform. 'Welcome Back, Paisano' positioned returning workers as one of the world's best workforces and, partnering with employability NGO FUNDES, offered concrete support — jobs, training and reintegration — while taking a cheeky jab at the bias that undervalued them.</t>
        </is>
      </c>
      <c r="N64" s="33" t="inlineStr">
        <is>
          <t>tecate, heineken, beer, alcohol, drinks, beverage, fmcg, mexico, migration, repatriation, employment, jobs, paisano, corporate purpose, social responsibility, public relations, pr, lepub, silver</t>
        </is>
      </c>
    </row>
    <row r="65">
      <c r="A65" s="33" t="n">
        <v>2026</v>
      </c>
      <c r="B65" s="165" t="inlineStr">
        <is>
          <t>Silver</t>
        </is>
      </c>
      <c r="C65" s="107" t="inlineStr">
        <is>
          <t>Tocayos</t>
        </is>
      </c>
      <c r="D65" s="33" t="inlineStr">
        <is>
          <t>Heineken</t>
        </is>
      </c>
      <c r="E65" s="33" t="inlineStr">
        <is>
          <t>Heineken Beer</t>
        </is>
      </c>
      <c r="F65" s="33" t="inlineStr">
        <is>
          <t>LePub</t>
        </is>
      </c>
      <c r="G65" s="33" t="inlineStr">
        <is>
          <t>Italy</t>
        </is>
      </c>
      <c r="H65" s="33" t="inlineStr">
        <is>
          <t>Market Disruption</t>
        </is>
      </c>
      <c r="I65" s="33" t="inlineStr">
        <is>
          <t>https://ascentialcdn.filespin.io/api/v1/conversion/f94212ccbc4f4a5bb5d68cee89cab74d</t>
        </is>
      </c>
      <c r="J65" s="33" t="inlineStr">
        <is>
          <t>r5M5spNm-fI</t>
        </is>
      </c>
      <c r="L65" s="33" t="inlineStr">
        <is>
          <t>https://www.lovethework.com/work/entries/tocayos-775401</t>
        </is>
      </c>
      <c r="M65" s="33" t="inlineStr">
        <is>
          <t>For Heineken in Spain, LePub connected independent neighbourhood bars that already share one thing: their name. Drawing on the many bars called Pepe, Manolo, Paco or Luna, 'Tocayos' (namesakes) banded these traditional bars into a single community offering training and visibility, helping them stay competitive against rising costs and chains while preserving local bar culture.</t>
        </is>
      </c>
      <c r="N65" s="33" t="inlineStr">
        <is>
          <t>heineken, beer, alcohol, drinks, beverage, fmcg, spain, italy, bars, hospitality, neighbourhood, namesakes, community, market disruption, public relations, pr, lepub, silver</t>
        </is>
      </c>
    </row>
    <row r="66">
      <c r="A66" s="33" t="n">
        <v>2026</v>
      </c>
      <c r="B66" s="166" t="inlineStr">
        <is>
          <t>Bronze</t>
        </is>
      </c>
      <c r="C66" s="107" t="inlineStr">
        <is>
          <t>The Thousand Sponsors of Muni</t>
        </is>
      </c>
      <c r="D66" s="33" t="inlineStr">
        <is>
          <t>Club Deportivo Municipal</t>
        </is>
      </c>
      <c r="E66" s="33" t="inlineStr">
        <is>
          <t>Club Deportivo Municipal</t>
        </is>
      </c>
      <c r="F66" s="33" t="inlineStr">
        <is>
          <t>McCann Lima</t>
        </is>
      </c>
      <c r="G66" s="33" t="inlineStr">
        <is>
          <t>Peru</t>
        </is>
      </c>
      <c r="H66" s="33" t="inlineStr">
        <is>
          <t>Travel, Leisure, Retail, Restaurants &amp; Fast-Food Chains</t>
        </is>
      </c>
      <c r="I66" s="33" t="inlineStr">
        <is>
          <t>https://ascentialcdn.filespin.io/api/v1/conversion/c005d18904b045c5afc0e53b7ef84c2c</t>
        </is>
      </c>
      <c r="J66" s="33" t="inlineStr">
        <is>
          <t>tq775MZGE48</t>
        </is>
      </c>
      <c r="L66" s="33" t="inlineStr">
        <is>
          <t>https://www.lovethework.com/work/entries/the-thousand-sponsors-of-muni-786211</t>
        </is>
      </c>
      <c r="M66" s="33" t="inlineStr">
        <is>
          <t>After Peruvian football club Deportivo Municipal was relegated and lost its main sponsor, McCann Lima turned its supporters into its sponsors. Thousands of fans contributed financially and had their individual names woven into the grid of the team's jersey, replacing a corporate sponsorship deal with a community-funded shirt.</t>
        </is>
      </c>
      <c r="N66" s="33" t="inlineStr">
        <is>
          <t>club deportivo municipal, football, soccer, sport, sports, sports club, peru, fans, supporters, sponsorship, jersey, community funding, travel leisure retail, restaurants, public relations, pr, mccann, bronze</t>
        </is>
      </c>
    </row>
    <row r="67">
      <c r="A67" s="33" t="n">
        <v>2026</v>
      </c>
      <c r="B67" s="166" t="inlineStr">
        <is>
          <t>Bronze</t>
        </is>
      </c>
      <c r="C67" s="107" t="inlineStr">
        <is>
          <t>Sleep Talk Reviews</t>
        </is>
      </c>
      <c r="D67" s="33" t="inlineStr">
        <is>
          <t>IKEA</t>
        </is>
      </c>
      <c r="E67" s="33" t="inlineStr">
        <is>
          <t>IKEA</t>
        </is>
      </c>
      <c r="F67" s="33" t="inlineStr">
        <is>
          <t>Rethink</t>
        </is>
      </c>
      <c r="G67" s="33" t="inlineStr">
        <is>
          <t>Canada</t>
        </is>
      </c>
      <c r="H67" s="33" t="inlineStr">
        <is>
          <t>Travel, Leisure, Retail, Restaurants &amp; Fast-Food Chains</t>
        </is>
      </c>
      <c r="I67" s="33" t="inlineStr">
        <is>
          <t>https://ascentialcdn.filespin.io/api/v1/conversion/29d5e6beff5343f4a75840aacad3165f</t>
        </is>
      </c>
      <c r="J67" s="33" t="inlineStr">
        <is>
          <t>BNAfX0lKSjg</t>
        </is>
      </c>
      <c r="L67" s="33" t="inlineStr">
        <is>
          <t>https://www.lovethework.com/work/entries/sleep-talk-reviews-787220</t>
        </is>
      </c>
      <c r="M67" s="33" t="inlineStr">
        <is>
          <t>For IKEA Canada, Rethink invited real customers to sleep two nights in a fully operational store, capturing their snores, mumbles and half-formed sentences with hidden cameras and microphones. The unfiltered sleep-talk became genuine product 'reviews,' demonstrating how soundly people sleep on an IKEA mattress.</t>
        </is>
      </c>
      <c r="N67" s="33" t="inlineStr">
        <is>
          <t>ikea, furniture, home, retail, mattress, sleep, bedding, canada, sleep talking, product reviews, in-store, travel leisure retail, restaurants, public relations, pr, rethink, bronze</t>
        </is>
      </c>
    </row>
    <row r="68">
      <c r="A68" s="33" t="n">
        <v>2026</v>
      </c>
      <c r="B68" s="166" t="inlineStr">
        <is>
          <t>Bronze</t>
        </is>
      </c>
      <c r="C68" s="107" t="inlineStr">
        <is>
          <t>A Mother's Commentary</t>
        </is>
      </c>
      <c r="D68" s="33" t="inlineStr">
        <is>
          <t>Reporters Without Borders (RSF)</t>
        </is>
      </c>
      <c r="E68" s="33" t="inlineStr">
        <is>
          <t>Press Freedom Advocacy</t>
        </is>
      </c>
      <c r="F68" s="33" t="inlineStr">
        <is>
          <t>The Good Company</t>
        </is>
      </c>
      <c r="G68" s="33" t="inlineStr">
        <is>
          <t>France</t>
        </is>
      </c>
      <c r="H68" s="33" t="inlineStr">
        <is>
          <t>Not-For-Profit / Charity / Government</t>
        </is>
      </c>
      <c r="I68" s="33" t="inlineStr">
        <is>
          <t>https://ascentialcdn.filespin.io/api/v1/conversion/e5b4c80d95974dff83d0dba8bc80f740</t>
        </is>
      </c>
      <c r="J68" s="33" t="inlineStr">
        <is>
          <t>a4ZCQDgxW0U</t>
        </is>
      </c>
      <c r="L68" s="33" t="inlineStr">
        <is>
          <t>https://www.lovethework.com/work/entries/a-mothers-commentary-787227</t>
        </is>
      </c>
      <c r="M68" s="33" t="inlineStr">
        <is>
          <t>For Reporters Without Borders, The Good Company hijacked the live broadcast of a French football match. At the seventh minute — marking the seven-year sentence handed to imprisoned French sports journalist Christophe Gleizes — the commentators' microphones fell silent and his mother spoke instead, addressing viewers and her son watching from his Algerian prison cell, to spotlight the plight of jailed journalists.</t>
        </is>
      </c>
      <c r="N68" s="33" t="inlineStr">
        <is>
          <t>reporters without borders, rsf, press freedom, journalism, human rights, nonprofit, charity, ngo, not-for-profit, social-good, france, football broadcast, christophe gleizes, advocacy, not for profit, government, public relations, pr, the good company, bronze</t>
        </is>
      </c>
    </row>
    <row r="69">
      <c r="A69" s="33" t="n">
        <v>2026</v>
      </c>
      <c r="B69" s="166" t="inlineStr">
        <is>
          <t>Bronze</t>
        </is>
      </c>
      <c r="C69" s="107" t="inlineStr">
        <is>
          <t>Uncovering Racism</t>
        </is>
      </c>
      <c r="D69" s="33" t="inlineStr">
        <is>
          <t>Sport Club Corinthians Paulista</t>
        </is>
      </c>
      <c r="E69" s="33" t="inlineStr">
        <is>
          <t>Jersey - Special Edition</t>
        </is>
      </c>
      <c r="F69" s="33" t="inlineStr">
        <is>
          <t>AlmapBBDO</t>
        </is>
      </c>
      <c r="G69" s="33" t="inlineStr">
        <is>
          <t>Brazil</t>
        </is>
      </c>
      <c r="H69" s="33" t="inlineStr">
        <is>
          <t>Real-Time Response</t>
        </is>
      </c>
      <c r="I69" s="33" t="inlineStr">
        <is>
          <t>https://ascentialcdn.filespin.io/api/v1/conversion/e57584c0748244bbaac3b2fcf92427cd</t>
        </is>
      </c>
      <c r="J69" s="33" t="inlineStr">
        <is>
          <t>aVAw0goCyE0</t>
        </is>
      </c>
      <c r="L69" s="33" t="inlineStr">
        <is>
          <t>https://www.lovethework.com/work/entries/uncovering-racism-786278</t>
        </is>
      </c>
      <c r="M69" s="33" t="inlineStr">
        <is>
          <t>For Brazilian football club Corinthians, AlmapBBDO turned the team jersey into an anti-racism manifesto. The phrase 'Racism is a crime. Report it' was printed inside the collar, and as players walked onto the pitch they raised their collars to mouth height — a gesture evoking the silence imposed on victims of racism — with a QR code linking to educational content.</t>
        </is>
      </c>
      <c r="N69" s="33" t="inlineStr">
        <is>
          <t>corinthians, football, soccer, sport, sports, sports club, brazil, racism, anti-racism, equity, diversity, inclusion, jersey, protest, real-time response, public relations, pr, almapbbdo, bronze</t>
        </is>
      </c>
    </row>
    <row r="70">
      <c r="A70" s="33" t="n">
        <v>2026</v>
      </c>
      <c r="B70" s="166" t="inlineStr">
        <is>
          <t>Bronze</t>
        </is>
      </c>
      <c r="C70" s="107" t="inlineStr">
        <is>
          <t>Protest March of the Penguins</t>
        </is>
      </c>
      <c r="D70" s="33" t="inlineStr">
        <is>
          <t>Penguins International</t>
        </is>
      </c>
      <c r="E70" s="33" t="inlineStr">
        <is>
          <t>Penguins International</t>
        </is>
      </c>
      <c r="F70" s="33" t="inlineStr">
        <is>
          <t>Rethink</t>
        </is>
      </c>
      <c r="G70" s="33" t="inlineStr">
        <is>
          <t>Canada</t>
        </is>
      </c>
      <c r="H70" s="33" t="inlineStr">
        <is>
          <t>Real-Time Response</t>
        </is>
      </c>
      <c r="I70" s="33" t="inlineStr">
        <is>
          <t>https://ascentialcdn.filespin.io/api/v1/conversion/7561c930ebf14dc0bac91788c0286390</t>
        </is>
      </c>
      <c r="J70" s="33" t="inlineStr">
        <is>
          <t>vimeo:1134895971</t>
        </is>
      </c>
      <c r="L70" s="33" t="inlineStr">
        <is>
          <t>https://www.lovethework.com/work/entries/protest-march-of-the-penguins-787241</t>
        </is>
      </c>
      <c r="M70" s="33" t="inlineStr">
        <is>
          <t>For conservation nonprofit Penguins International, Rethink responded to news that uninhabited, penguin-populated islands had been hit with trade tariffs. The work staged a 'protest march of the penguins,' juxtaposing the absurdity of taxing penguin habitats with a heartfelt call for conservation.</t>
        </is>
      </c>
      <c r="N70" s="33" t="inlineStr">
        <is>
          <t>penguins international, conservation, wildlife, environment, sustainability, nonprofit, charity, ngo, not-for-profit, social-good, animals, penguins, tariffs, real-time response, advocacy, public relations, pr, rethink, bronze</t>
        </is>
      </c>
    </row>
    <row r="71">
      <c r="A71" s="33" t="n">
        <v>2026</v>
      </c>
      <c r="B71" s="166" t="inlineStr">
        <is>
          <t>Bronze</t>
        </is>
      </c>
      <c r="C71" s="107" t="inlineStr">
        <is>
          <t>The Bite</t>
        </is>
      </c>
      <c r="D71" s="33" t="inlineStr">
        <is>
          <t>Burger King</t>
        </is>
      </c>
      <c r="E71" s="33" t="inlineStr">
        <is>
          <t>The Whopper</t>
        </is>
      </c>
      <c r="F71" s="33" t="inlineStr">
        <is>
          <t>Mojo Supermarket + BarkleyOKRP</t>
        </is>
      </c>
      <c r="G71" s="33" t="inlineStr">
        <is>
          <t>United States</t>
        </is>
      </c>
      <c r="H71" s="33" t="inlineStr">
        <is>
          <t>Real-Time Response</t>
        </is>
      </c>
      <c r="I71" s="33" t="inlineStr">
        <is>
          <t>https://ascentialcdn.filespin.io/api/v1/conversion/5a5470f061524e258dc5d415c3286697</t>
        </is>
      </c>
      <c r="J71" s="33" t="inlineStr">
        <is>
          <t>mp4:videos/burger-king-the-bite.mp4</t>
        </is>
      </c>
      <c r="L71" s="33" t="inlineStr">
        <is>
          <t>https://www.lovethework.com/work/entries/the-bite-793223</t>
        </is>
      </c>
      <c r="M71" s="33" t="inlineStr">
        <is>
          <t>For Burger King, Mojo Supermarket and BarkleyOKRP seized a real-time cultural moment: after McDonald's CEO drew online mockery for an awkward product video, Burger King's president filmed himself on TikTok unwrapping a Whopper and taking a big, confident bite — an implied competitive jab that let social audiences draw the comparison themselves.</t>
        </is>
      </c>
      <c r="N71" s="33" t="inlineStr">
        <is>
          <t>burger king, whopper, qsr, fast-food, restaurant, food, fast food, burger, united states, real-time response, social engagement, tiktok, rival, mcdonalds, earned media, public relations, pr, mojo supermarket, barkleyokrp, silver</t>
        </is>
      </c>
    </row>
    <row r="72">
      <c r="A72" s="33" t="n">
        <v>2026</v>
      </c>
      <c r="B72" s="166" t="inlineStr">
        <is>
          <t>Bronze</t>
        </is>
      </c>
      <c r="C72" s="107" t="inlineStr">
        <is>
          <t>#MainFlavourEnergy</t>
        </is>
      </c>
      <c r="D72" s="33" t="inlineStr">
        <is>
          <t>Hellmann's</t>
        </is>
      </c>
      <c r="E72" s="33" t="inlineStr">
        <is>
          <t>Hellmann's Mayonnaise</t>
        </is>
      </c>
      <c r="F72" s="33" t="inlineStr">
        <is>
          <t>Edelman</t>
        </is>
      </c>
      <c r="G72" s="33" t="inlineStr">
        <is>
          <t>Canada</t>
        </is>
      </c>
      <c r="H72" s="33" t="inlineStr">
        <is>
          <t>Innovative Use of Influencers/Creators</t>
        </is>
      </c>
      <c r="I72" s="33" t="inlineStr">
        <is>
          <t>https://ascentialcdn.filespin.io/api/v1/conversion/a204361d469c42b996b85adc642a821f</t>
        </is>
      </c>
      <c r="J72" s="33" t="inlineStr">
        <is>
          <t>vimeo:1194609088</t>
        </is>
      </c>
      <c r="L72" s="33" t="inlineStr">
        <is>
          <t>https://www.lovethework.com/work/entries/mainflavourenergy-787255</t>
        </is>
      </c>
      <c r="M72" s="33" t="inlineStr">
        <is>
          <t>For Hellmann's Canada, Edelman finally gave mayonnaise the spotlight by casting Hollywood's most recognisable background actor, Jesse Heiman, as its star. '#MainFlavourEnergy' promoted the brand's flavoured-mayo line, including Dijonnaise, by turning a perennial bit-player into the main character.</t>
        </is>
      </c>
      <c r="N72" s="33" t="inlineStr">
        <is>
          <t>hellmanns, mayonnaise, condiment, food, fmcg, unilever, canada, jesse heiman, background actor, flavoured mayo, influencers, creators, public relations, pr, edelman, bronze</t>
        </is>
      </c>
    </row>
    <row r="73">
      <c r="A73" s="33" t="n">
        <v>2026</v>
      </c>
      <c r="B73" s="166" t="inlineStr">
        <is>
          <t>Bronze</t>
        </is>
      </c>
      <c r="C73" s="107" t="inlineStr">
        <is>
          <t>The Legacy of Virginia Giuffre</t>
        </is>
      </c>
      <c r="D73" s="33" t="inlineStr">
        <is>
          <t>Virginia Giuffre</t>
        </is>
      </c>
      <c r="E73" s="33" t="inlineStr">
        <is>
          <t>Virginia Giuffre</t>
        </is>
      </c>
      <c r="F73" s="33" t="inlineStr">
        <is>
          <t>Dini von Mueffling Communications</t>
        </is>
      </c>
      <c r="G73" s="33" t="inlineStr">
        <is>
          <t>United States</t>
        </is>
      </c>
      <c r="H73" s="33" t="inlineStr">
        <is>
          <t>Media Relations</t>
        </is>
      </c>
      <c r="I73" s="33" t="inlineStr">
        <is>
          <t>https://ascentialcdn.filespin.io/api/v1/conversion/2dd18c8da8ce4ce2b169587c6309a015</t>
        </is>
      </c>
      <c r="J73" s="33" t="inlineStr">
        <is>
          <t>J_45sFUTkhw</t>
        </is>
      </c>
      <c r="L73" s="33" t="inlineStr">
        <is>
          <t>https://www.lovethework.com/work/entries/the-legacy-of-virginia-giuffre-786336</t>
        </is>
      </c>
      <c r="M73" s="33" t="inlineStr">
        <is>
          <t>A media-relations effort by Dini von Mueffling Communications to steward the public legacy of Virginia Giuffre, the survivor and advocate whose testimony helped expose sexual abuse by powerful figures, working to ensure her advocacy and story continued to be represented accurately in the press.</t>
        </is>
      </c>
      <c r="N73" s="33" t="inlineStr">
        <is>
          <t>virginia giuffre, advocacy, survivor, human rights, justice, awareness, united states, legacy, media relations, public relations, pr, dini von mueffling communications, bronze</t>
        </is>
      </c>
    </row>
    <row r="74">
      <c r="A74" s="33" t="n">
        <v>2026</v>
      </c>
      <c r="B74" s="166" t="inlineStr">
        <is>
          <t>Bronze</t>
        </is>
      </c>
      <c r="C74" s="107" t="inlineStr">
        <is>
          <t>The Unburied Casket</t>
        </is>
      </c>
      <c r="D74" s="33" t="inlineStr">
        <is>
          <t>Women For Change</t>
        </is>
      </c>
      <c r="E74" s="33" t="inlineStr">
        <is>
          <t>Women For Change</t>
        </is>
      </c>
      <c r="F74" s="33" t="inlineStr">
        <is>
          <t>Edelman</t>
        </is>
      </c>
      <c r="G74" s="33" t="inlineStr">
        <is>
          <t>South Africa</t>
        </is>
      </c>
      <c r="H74" s="33" t="inlineStr">
        <is>
          <t>Use of Events &amp; Stunts</t>
        </is>
      </c>
      <c r="I74" s="33" t="inlineStr">
        <is>
          <t>https://ascentialcdn.filespin.io/api/v1/conversion/15c7130dd969473bb2b5a1ed668e9c30</t>
        </is>
      </c>
      <c r="J74" s="33" t="inlineStr">
        <is>
          <t>_5C2dHOJrbQ</t>
        </is>
      </c>
      <c r="L74" s="33" t="inlineStr">
        <is>
          <t>https://www.lovethework.com/work/entries/the-unburied-casket-786361</t>
        </is>
      </c>
      <c r="M74" s="33" t="inlineStr">
        <is>
          <t>For South African nonprofit Women For Change, Edelman staged 'The Unburied Casket' to protest gender-based violence. A casket was carried through a public funeral procession by bead artists and victims' families as a symbol of national grief, paired with a purple-avatar social campaign to build solidarity and demand action.</t>
        </is>
      </c>
      <c r="N74" s="33" t="inlineStr">
        <is>
          <t>women for change, gender-based violence, gbv, womens rights, human rights, nonprofit, charity, ngo, not-for-profit, social-good, south africa, protest, funeral procession, casket, events, stunts, public relations, pr, edelman, bronze</t>
        </is>
      </c>
    </row>
    <row r="75">
      <c r="A75" s="33" t="n">
        <v>2026</v>
      </c>
      <c r="B75" s="166" t="inlineStr">
        <is>
          <t>Bronze</t>
        </is>
      </c>
      <c r="C75" s="107" t="inlineStr">
        <is>
          <t>(Save a) Life Insurance</t>
        </is>
      </c>
      <c r="D75" s="33" t="inlineStr">
        <is>
          <t>Generali</t>
        </is>
      </c>
      <c r="E75" s="33" t="inlineStr">
        <is>
          <t>Generali</t>
        </is>
      </c>
      <c r="F75" s="33" t="inlineStr">
        <is>
          <t>VML</t>
        </is>
      </c>
      <c r="G75" s="33" t="inlineStr">
        <is>
          <t>Romania</t>
        </is>
      </c>
      <c r="H75" s="33" t="inlineStr">
        <is>
          <t>Launch/Relaunch</t>
        </is>
      </c>
      <c r="I75" s="33" t="inlineStr">
        <is>
          <t>https://ascentialcdn.filespin.io/api/v1/conversion/f0fc25b1048f4123a08ffda6a2415dc5</t>
        </is>
      </c>
      <c r="J75" s="33" t="inlineStr">
        <is>
          <t>agwwvJrXLhs</t>
        </is>
      </c>
      <c r="L75" s="33" t="inlineStr">
        <is>
          <t>https://www.lovethework.com/work/entries/save-a-life-insurance-786394</t>
        </is>
      </c>
      <c r="M75" s="33" t="inlineStr">
        <is>
          <t>For Generali Romania, VML reinvented life insurance by building certified first-aid training into the product. Through interactive online modules and hands-on sessions with health NGO EDIT, customers earn first-aid certification — and a discount on their policy — recasting the insurer from a reactive payout into an active tool for survival and prevention.</t>
        </is>
      </c>
      <c r="N75" s="33" t="inlineStr">
        <is>
          <t>generali, life insurance, insurance, financial-services, finance, financial services, romania, first aid, training, prevention, health, launch, relaunch, public relations, pr, vml, bronze</t>
        </is>
      </c>
    </row>
    <row r="76">
      <c r="A76" s="33" t="n">
        <v>2026</v>
      </c>
      <c r="B76" s="166" t="inlineStr">
        <is>
          <t>Bronze</t>
        </is>
      </c>
      <c r="C76" s="107" t="inlineStr">
        <is>
          <t>CeraVe - The New Face of Legs</t>
        </is>
      </c>
      <c r="D76" s="33" t="inlineStr">
        <is>
          <t>CeraVe</t>
        </is>
      </c>
      <c r="E76" s="33" t="inlineStr">
        <is>
          <t>CeraVe</t>
        </is>
      </c>
      <c r="F76" s="33" t="inlineStr">
        <is>
          <t>L'Oreal + Bolded</t>
        </is>
      </c>
      <c r="G76" s="33" t="inlineStr">
        <is>
          <t>United States</t>
        </is>
      </c>
      <c r="H76" s="33" t="inlineStr">
        <is>
          <t>Brand Voice &amp; Strategic Storytelling</t>
        </is>
      </c>
      <c r="I76" s="33" t="inlineStr">
        <is>
          <t>https://ascentialcdn.filespin.io/api/v1/conversion/65f596aa9b584ef18846f7952595fa9b</t>
        </is>
      </c>
      <c r="J76" s="33" t="inlineStr">
        <is>
          <t>vimeo:1205275541</t>
        </is>
      </c>
      <c r="L76" s="33" t="inlineStr">
        <is>
          <t>https://www.lovethework.com/work/entries/cerave-the-new-face-of-legs-787922</t>
        </is>
      </c>
      <c r="M76" s="33" t="inlineStr">
        <is>
          <t>For CeraVe, L'Oreal and Bolded made NBA star Kevin Durant 'the new face of legs.' Built on the insight that body skin is often neglected despite being far drier than facial skin, the campaign cast Durant's freshly moisturised legs as an unexpected celebrity spokesperson, using humour to push the brand's 'moisturise like a derm' message beyond the face.</t>
        </is>
      </c>
      <c r="N76" s="33" t="inlineStr">
        <is>
          <t>cerave, loreal, skincare, personal-care, beauty, moisturiser, personal care, dermatology, fmcg, united states, kevin durant, legs, humour, social behaviour, brand voice, storytelling, public relations, pr, bolded, silver</t>
        </is>
      </c>
    </row>
    <row r="77">
      <c r="A77" s="33" t="n">
        <v>2026</v>
      </c>
      <c r="B77" s="166" t="inlineStr">
        <is>
          <t>Bronze</t>
        </is>
      </c>
      <c r="C77" s="107" t="inlineStr">
        <is>
          <t>Viagra Blue Brands</t>
        </is>
      </c>
      <c r="D77" s="33" t="inlineStr">
        <is>
          <t>Viatris</t>
        </is>
      </c>
      <c r="E77" s="33" t="inlineStr">
        <is>
          <t>Viagra</t>
        </is>
      </c>
      <c r="F77" s="33" t="inlineStr">
        <is>
          <t>Ogilvy</t>
        </is>
      </c>
      <c r="G77" s="33" t="inlineStr">
        <is>
          <t>China</t>
        </is>
      </c>
      <c r="H77" s="33" t="inlineStr">
        <is>
          <t>Single-Market Campaign</t>
        </is>
      </c>
      <c r="I77" s="33" t="inlineStr">
        <is>
          <t>https://ascentialcdn.filespin.io/api/v1/conversion/ad04eccabe394a7d81f69e6aa652f12a</t>
        </is>
      </c>
      <c r="J77" s="33" t="inlineStr">
        <is>
          <t>vimeo:1203387960</t>
        </is>
      </c>
      <c r="L77" s="33" t="inlineStr">
        <is>
          <t>https://www.lovethework.com/work/entries/viagra-blue-brands-788314</t>
        </is>
      </c>
      <c r="M77" s="33" t="inlineStr">
        <is>
          <t>For Viatris in China — where direct-to-consumer drug advertising is banned — Ogilvy Shanghai found a workaround for Viagra. 'Blue Brands' built a network of unrelated 'blue' products and brands that could carry the conversation about erectile dysfunction and Viagra into the open without breaching China's DTC pharma rules.</t>
        </is>
      </c>
      <c r="N77" s="33" t="inlineStr">
        <is>
          <t>viatris, viagra, pharma, pharmaceutical, healthcare, mens health, erectile dysfunction, china, dtc restrictions, blue brands, single market, public relations, pr, ogilvy, bronze</t>
        </is>
      </c>
    </row>
    <row r="78">
      <c r="A78" s="33" t="n">
        <v>2026</v>
      </c>
      <c r="B78" s="166" t="inlineStr">
        <is>
          <t>Bronze</t>
        </is>
      </c>
      <c r="C78" s="107" t="inlineStr">
        <is>
          <t>Missing Managers</t>
        </is>
      </c>
      <c r="D78" s="33" t="inlineStr">
        <is>
          <t>Xbox</t>
        </is>
      </c>
      <c r="E78" s="33" t="inlineStr">
        <is>
          <t>Football Manager 2026 Launch</t>
        </is>
      </c>
      <c r="F78" s="33" t="inlineStr">
        <is>
          <t>McCann London</t>
        </is>
      </c>
      <c r="G78" s="33" t="inlineStr">
        <is>
          <t>United Kingdom</t>
        </is>
      </c>
      <c r="H78" s="33" t="inlineStr">
        <is>
          <t>Corporate Purpose &amp; Social Responsibility</t>
        </is>
      </c>
      <c r="I78" s="33" t="inlineStr">
        <is>
          <t>https://ascentialcdn.filespin.io/api/v1/conversion/691209fb670740e48ca793f769b50fc5</t>
        </is>
      </c>
      <c r="J78" s="33" t="inlineStr">
        <is>
          <t>Z7zomJ1eVSw</t>
        </is>
      </c>
      <c r="L78" s="33" t="inlineStr">
        <is>
          <t>https://www.lovethework.com/work/entries/missing-managers-786538</t>
        </is>
      </c>
      <c r="M78" s="33" t="inlineStr">
        <is>
          <t>To launch Football Manager 2026, McCann London and Xbox confronted the absence of women in football coaching. 'Missing Managers' used the game to back real women aspiring to manage, pairing the launch with a multi-year programme leading to genuine coaching certification and supported by Sky Sports, to show gaming can open doors in the real sport.</t>
        </is>
      </c>
      <c r="N78" s="33" t="inlineStr">
        <is>
          <t>xbox, microsoft, football manager, gaming, video-games, entertainment, video games, games, united kingdom, women, football, soccer, sport, coaching, gender gap, corporate purpose, social responsibility, public relations, pr, mccann, bronze</t>
        </is>
      </c>
    </row>
    <row r="79">
      <c r="A79" s="33" t="n">
        <v>2026</v>
      </c>
      <c r="B79" s="166" t="inlineStr">
        <is>
          <t>Bronze</t>
        </is>
      </c>
      <c r="C79" s="107" t="inlineStr">
        <is>
          <t>The Coolest Ihram</t>
        </is>
      </c>
      <c r="D79" s="33" t="inlineStr">
        <is>
          <t>Saudia</t>
        </is>
      </c>
      <c r="E79" s="33" t="inlineStr">
        <is>
          <t>The Coolest Ihram</t>
        </is>
      </c>
      <c r="F79" s="33" t="inlineStr">
        <is>
          <t>Landor</t>
        </is>
      </c>
      <c r="G79" s="33" t="inlineStr">
        <is>
          <t>United Arab Emirates</t>
        </is>
      </c>
      <c r="H79" s="33" t="inlineStr">
        <is>
          <t>Corporate Purpose &amp; Social Responsibility</t>
        </is>
      </c>
      <c r="I79" s="33" t="inlineStr">
        <is>
          <t>https://ascentialcdn.filespin.io/api/v1/conversion/80bf207ce49f46b38d0f8591e953ef2d</t>
        </is>
      </c>
      <c r="J79" s="33" t="inlineStr">
        <is>
          <t>nM9gGTCLpr8</t>
        </is>
      </c>
      <c r="L79" s="33" t="inlineStr">
        <is>
          <t>https://www.lovethework.com/work/entries/the-coolest-ihram-787655</t>
        </is>
      </c>
      <c r="M79" s="33" t="inlineStr">
        <is>
          <t>For Saudia, Landor created the world's first cooling ihram — the seamless white garment worn by Hajj and Umrah pilgrims. Using a fabric that combines cooling minerals, active wicking and rapid drying, the garment draws heat and moisture from the skin to protect pilgrims from extreme heat during the rituals.</t>
        </is>
      </c>
      <c r="N79" s="33" t="inlineStr">
        <is>
          <t>saudia, airline, aviation, travel, tourism, saudi arabia, united arab emirates, hajj, umrah, pilgrimage, ihram, cooling fabric, heat, product innovation, corporate purpose, social responsibility, public relations, pr, landor, bronze</t>
        </is>
      </c>
    </row>
    <row r="80">
      <c r="A80" s="33" t="n">
        <v>2026</v>
      </c>
      <c r="B80" s="166" t="inlineStr">
        <is>
          <t>Bronze</t>
        </is>
      </c>
      <c r="C80" s="107" t="inlineStr">
        <is>
          <t>The Pub That Refused to Die</t>
        </is>
      </c>
      <c r="D80" s="33" t="inlineStr">
        <is>
          <t>Heineken</t>
        </is>
      </c>
      <c r="E80" s="33" t="inlineStr">
        <is>
          <t>Heineken Green</t>
        </is>
      </c>
      <c r="F80" s="33" t="inlineStr">
        <is>
          <t>LePub + Publicis</t>
        </is>
      </c>
      <c r="G80" s="33" t="inlineStr">
        <is>
          <t>Italy</t>
        </is>
      </c>
      <c r="H80" s="33" t="inlineStr">
        <is>
          <t>Corporate Purpose &amp; Social Responsibility</t>
        </is>
      </c>
      <c r="I80" s="33" t="inlineStr">
        <is>
          <t>https://i.ytimg.com/vi/fbfxwHTi2S4/maxresdefault.jpg</t>
        </is>
      </c>
      <c r="J80" s="33" t="inlineStr">
        <is>
          <t>vimeo:1190924385</t>
        </is>
      </c>
      <c r="L80" s="33" t="inlineStr">
        <is>
          <t>https://www.lovethework.com/work/entries/the-pub-that-refused-to-die-787972</t>
        </is>
      </c>
      <c r="M80" s="33" t="inlineStr">
        <is>
          <t>For Heineken, LePub Milan and Publicis Dublin documented the fight to save a community's last local pub. Premiered as a documentary, the film dramatised how a neighbourhood rallied to keep its pub alive, championing the traditional local as a vital social institution worth protecting.</t>
        </is>
      </c>
      <c r="N80" s="33" t="inlineStr">
        <is>
          <t>heineken, beer, alcohol, drinks, beverage, fmcg, ireland, united kingdom, italy, pub, local, community, documentary, film, entertainment, cinema, corporate purpose, social responsibility, public relations, pr, lepub, publicis, bronze</t>
        </is>
      </c>
    </row>
    <row r="81">
      <c r="A81" s="33" t="n">
        <v>2026</v>
      </c>
      <c r="B81" s="166" t="inlineStr">
        <is>
          <t>Bronze</t>
        </is>
      </c>
      <c r="C81" s="107" t="inlineStr">
        <is>
          <t>Missing Letters of Worth</t>
        </is>
      </c>
      <c r="D81" s="33" t="inlineStr">
        <is>
          <t>L'Oreal Paris</t>
        </is>
      </c>
      <c r="E81" s="33" t="inlineStr">
        <is>
          <t>Beauty</t>
        </is>
      </c>
      <c r="F81" s="33" t="inlineStr">
        <is>
          <t>FP7 McCann</t>
        </is>
      </c>
      <c r="G81" s="33" t="inlineStr">
        <is>
          <t>United Arab Emirates</t>
        </is>
      </c>
      <c r="H81" s="33" t="inlineStr">
        <is>
          <t>Cultural Engagement</t>
        </is>
      </c>
      <c r="I81" s="33" t="inlineStr">
        <is>
          <t>https://ascentialcdn.filespin.io/api/v1/conversion/ab02d7f4993a44069e126242ec8678d0</t>
        </is>
      </c>
      <c r="J81" s="33" t="inlineStr">
        <is>
          <t>vimeo:1185826420</t>
        </is>
      </c>
      <c r="L81" s="33" t="inlineStr">
        <is>
          <t>https://www.lovethework.com/work/entries/missing-letters-of-worth-786557</t>
        </is>
      </c>
      <c r="M81" s="33" t="inlineStr">
        <is>
          <t>For L'Oreal Paris in the Middle East, FP7 McCann reframed a single Arabic phrase. By adding two letters, 'Sit Bait' (housewife) became 'Sit Al Bait' (woman of the house) — turning a label of limitation into a title of leadership — and the brand worked with Arabic-language institutions to carry the redefined phrase into classrooms and dictionaries.</t>
        </is>
      </c>
      <c r="N81" s="33" t="inlineStr">
        <is>
          <t>loreal paris, loreal, beauty, cosmetics, personal-care, personal care, fmcg, united arab emirates, middle east, arabic, language, women, empowerment, worth, cultural engagement, public relations, pr, fp7 mccann, bronze</t>
        </is>
      </c>
    </row>
    <row r="82">
      <c r="A82" s="33" t="n">
        <v>2026</v>
      </c>
      <c r="B82" s="166" t="inlineStr">
        <is>
          <t>Bronze</t>
        </is>
      </c>
      <c r="C82" s="107" t="inlineStr">
        <is>
          <t>§hoplefting</t>
        </is>
      </c>
      <c r="D82" s="33" t="inlineStr">
        <is>
          <t>Laut Gegen Nazis e.V.</t>
        </is>
      </c>
      <c r="E82" s="33" t="inlineStr">
        <is>
          <t>Druck18.com</t>
        </is>
      </c>
      <c r="F82" s="33" t="inlineStr">
        <is>
          <t>Jung von Matt</t>
        </is>
      </c>
      <c r="G82" s="33" t="inlineStr">
        <is>
          <t>Germany</t>
        </is>
      </c>
      <c r="H82" s="33" t="inlineStr">
        <is>
          <t>Cultural Engagement</t>
        </is>
      </c>
      <c r="I82" s="33" t="inlineStr">
        <is>
          <t>https://ascentialcdn.filespin.io/api/v1/conversion/f50a1b4f9c1f45eb8fef1d8f9909e2bf</t>
        </is>
      </c>
      <c r="J82" s="33" t="inlineStr">
        <is>
          <t>vimeo:1204140713</t>
        </is>
      </c>
      <c r="L82" s="33" t="inlineStr">
        <is>
          <t>https://www.lovethework.com/work/entries/hoplefting-786558</t>
        </is>
      </c>
      <c r="M82" s="33" t="inlineStr">
        <is>
          <t>For German anti-fascist association Laut gegen Nazis, Jung von Matt attacked the finances of the far right rather than its morality. By registering the trademark of Druck18 — Germany's largest neo-Nazi online shop — the work legally stripped the shop of the right to sell under its own name, cutting off a central revenue channel for extremist merchandise.</t>
        </is>
      </c>
      <c r="N82" s="33" t="inlineStr">
        <is>
          <t>laut gegen nazis, anti-fascism, activism, social-good, human rights, nonprofit, ngo, not-for-profit, charity, germany, neo-nazi, far right, trademark, druck18, legal, cultural engagement, public relations, pr, jung von matt, bronze</t>
        </is>
      </c>
    </row>
  </sheetData>
  <autoFilter ref="A1:N45"/>
  <hyperlinks>
    <hyperlink xmlns:r="http://schemas.openxmlformats.org/officeDocument/2006/relationships" ref="I2" r:id="rId1"/>
    <hyperlink xmlns:r="http://schemas.openxmlformats.org/officeDocument/2006/relationships" ref="L2" r:id="rId2"/>
    <hyperlink xmlns:r="http://schemas.openxmlformats.org/officeDocument/2006/relationships" ref="I3" r:id="rId3"/>
    <hyperlink xmlns:r="http://schemas.openxmlformats.org/officeDocument/2006/relationships" ref="L3" r:id="rId4"/>
    <hyperlink xmlns:r="http://schemas.openxmlformats.org/officeDocument/2006/relationships" ref="I4" r:id="rId5"/>
    <hyperlink xmlns:r="http://schemas.openxmlformats.org/officeDocument/2006/relationships" ref="L4" r:id="rId6"/>
    <hyperlink xmlns:r="http://schemas.openxmlformats.org/officeDocument/2006/relationships" ref="I5" r:id="rId7"/>
    <hyperlink xmlns:r="http://schemas.openxmlformats.org/officeDocument/2006/relationships" ref="L5" r:id="rId8"/>
    <hyperlink xmlns:r="http://schemas.openxmlformats.org/officeDocument/2006/relationships" ref="I6" r:id="rId9"/>
    <hyperlink xmlns:r="http://schemas.openxmlformats.org/officeDocument/2006/relationships" ref="L6" r:id="rId10"/>
    <hyperlink xmlns:r="http://schemas.openxmlformats.org/officeDocument/2006/relationships" ref="I7" r:id="rId11"/>
    <hyperlink xmlns:r="http://schemas.openxmlformats.org/officeDocument/2006/relationships" ref="L7" r:id="rId12"/>
    <hyperlink xmlns:r="http://schemas.openxmlformats.org/officeDocument/2006/relationships" ref="I8" r:id="rId13"/>
    <hyperlink xmlns:r="http://schemas.openxmlformats.org/officeDocument/2006/relationships" ref="L8" r:id="rId14"/>
    <hyperlink xmlns:r="http://schemas.openxmlformats.org/officeDocument/2006/relationships" ref="I9" r:id="rId15"/>
    <hyperlink xmlns:r="http://schemas.openxmlformats.org/officeDocument/2006/relationships" ref="L9" r:id="rId16"/>
    <hyperlink xmlns:r="http://schemas.openxmlformats.org/officeDocument/2006/relationships" ref="I10" r:id="rId17"/>
    <hyperlink xmlns:r="http://schemas.openxmlformats.org/officeDocument/2006/relationships" ref="L10" r:id="rId18"/>
    <hyperlink xmlns:r="http://schemas.openxmlformats.org/officeDocument/2006/relationships" ref="I11" r:id="rId19"/>
    <hyperlink xmlns:r="http://schemas.openxmlformats.org/officeDocument/2006/relationships" ref="L11" r:id="rId20"/>
    <hyperlink xmlns:r="http://schemas.openxmlformats.org/officeDocument/2006/relationships" ref="I12" r:id="rId21"/>
    <hyperlink xmlns:r="http://schemas.openxmlformats.org/officeDocument/2006/relationships" ref="L12" r:id="rId22"/>
    <hyperlink xmlns:r="http://schemas.openxmlformats.org/officeDocument/2006/relationships" ref="I13" r:id="rId23"/>
    <hyperlink xmlns:r="http://schemas.openxmlformats.org/officeDocument/2006/relationships" ref="L13" r:id="rId24"/>
    <hyperlink xmlns:r="http://schemas.openxmlformats.org/officeDocument/2006/relationships" ref="I14" r:id="rId25"/>
    <hyperlink xmlns:r="http://schemas.openxmlformats.org/officeDocument/2006/relationships" ref="L14" r:id="rId26"/>
    <hyperlink xmlns:r="http://schemas.openxmlformats.org/officeDocument/2006/relationships" ref="I15" r:id="rId27"/>
    <hyperlink xmlns:r="http://schemas.openxmlformats.org/officeDocument/2006/relationships" ref="L15" r:id="rId28"/>
    <hyperlink xmlns:r="http://schemas.openxmlformats.org/officeDocument/2006/relationships" ref="I16" r:id="rId29"/>
    <hyperlink xmlns:r="http://schemas.openxmlformats.org/officeDocument/2006/relationships" ref="L16" r:id="rId30"/>
    <hyperlink xmlns:r="http://schemas.openxmlformats.org/officeDocument/2006/relationships" ref="I17" r:id="rId31"/>
    <hyperlink xmlns:r="http://schemas.openxmlformats.org/officeDocument/2006/relationships" ref="L17" r:id="rId32"/>
    <hyperlink xmlns:r="http://schemas.openxmlformats.org/officeDocument/2006/relationships" ref="I18" r:id="rId33"/>
    <hyperlink xmlns:r="http://schemas.openxmlformats.org/officeDocument/2006/relationships" ref="L18" r:id="rId34"/>
    <hyperlink xmlns:r="http://schemas.openxmlformats.org/officeDocument/2006/relationships" ref="I19" r:id="rId35"/>
    <hyperlink xmlns:r="http://schemas.openxmlformats.org/officeDocument/2006/relationships" ref="L19" r:id="rId36"/>
    <hyperlink xmlns:r="http://schemas.openxmlformats.org/officeDocument/2006/relationships" ref="I20" r:id="rId37"/>
    <hyperlink xmlns:r="http://schemas.openxmlformats.org/officeDocument/2006/relationships" ref="L20" r:id="rId38"/>
    <hyperlink xmlns:r="http://schemas.openxmlformats.org/officeDocument/2006/relationships" ref="L21" r:id="rId39"/>
    <hyperlink xmlns:r="http://schemas.openxmlformats.org/officeDocument/2006/relationships" ref="I22" r:id="rId40"/>
    <hyperlink xmlns:r="http://schemas.openxmlformats.org/officeDocument/2006/relationships" ref="L22" r:id="rId41"/>
    <hyperlink xmlns:r="http://schemas.openxmlformats.org/officeDocument/2006/relationships" ref="I23" r:id="rId42"/>
    <hyperlink xmlns:r="http://schemas.openxmlformats.org/officeDocument/2006/relationships" ref="L23" r:id="rId43"/>
    <hyperlink xmlns:r="http://schemas.openxmlformats.org/officeDocument/2006/relationships" ref="I24" r:id="rId44"/>
    <hyperlink xmlns:r="http://schemas.openxmlformats.org/officeDocument/2006/relationships" ref="L24" r:id="rId45"/>
    <hyperlink xmlns:r="http://schemas.openxmlformats.org/officeDocument/2006/relationships" ref="I25" r:id="rId46"/>
    <hyperlink xmlns:r="http://schemas.openxmlformats.org/officeDocument/2006/relationships" ref="L25" r:id="rId47"/>
    <hyperlink xmlns:r="http://schemas.openxmlformats.org/officeDocument/2006/relationships" ref="I26" r:id="rId48"/>
    <hyperlink xmlns:r="http://schemas.openxmlformats.org/officeDocument/2006/relationships" ref="L26" r:id="rId49"/>
    <hyperlink xmlns:r="http://schemas.openxmlformats.org/officeDocument/2006/relationships" ref="I27" r:id="rId50"/>
    <hyperlink xmlns:r="http://schemas.openxmlformats.org/officeDocument/2006/relationships" ref="L27" r:id="rId51"/>
    <hyperlink xmlns:r="http://schemas.openxmlformats.org/officeDocument/2006/relationships" ref="I28" r:id="rId52"/>
    <hyperlink xmlns:r="http://schemas.openxmlformats.org/officeDocument/2006/relationships" ref="L28" r:id="rId53"/>
    <hyperlink xmlns:r="http://schemas.openxmlformats.org/officeDocument/2006/relationships" ref="I29" r:id="rId54"/>
    <hyperlink xmlns:r="http://schemas.openxmlformats.org/officeDocument/2006/relationships" ref="L29" r:id="rId55"/>
    <hyperlink xmlns:r="http://schemas.openxmlformats.org/officeDocument/2006/relationships" ref="I30" r:id="rId56"/>
    <hyperlink xmlns:r="http://schemas.openxmlformats.org/officeDocument/2006/relationships" ref="L30" r:id="rId57"/>
    <hyperlink xmlns:r="http://schemas.openxmlformats.org/officeDocument/2006/relationships" ref="I31" r:id="rId58"/>
    <hyperlink xmlns:r="http://schemas.openxmlformats.org/officeDocument/2006/relationships" ref="L31" r:id="rId59"/>
    <hyperlink xmlns:r="http://schemas.openxmlformats.org/officeDocument/2006/relationships" ref="I32" r:id="rId60"/>
    <hyperlink xmlns:r="http://schemas.openxmlformats.org/officeDocument/2006/relationships" ref="L32" r:id="rId61"/>
    <hyperlink xmlns:r="http://schemas.openxmlformats.org/officeDocument/2006/relationships" ref="I33" r:id="rId62"/>
    <hyperlink xmlns:r="http://schemas.openxmlformats.org/officeDocument/2006/relationships" ref="L33" r:id="rId63"/>
    <hyperlink xmlns:r="http://schemas.openxmlformats.org/officeDocument/2006/relationships" ref="I34" r:id="rId64"/>
    <hyperlink xmlns:r="http://schemas.openxmlformats.org/officeDocument/2006/relationships" ref="L34" r:id="rId65"/>
    <hyperlink xmlns:r="http://schemas.openxmlformats.org/officeDocument/2006/relationships" ref="I35" r:id="rId66"/>
    <hyperlink xmlns:r="http://schemas.openxmlformats.org/officeDocument/2006/relationships" ref="L35" r:id="rId67"/>
    <hyperlink xmlns:r="http://schemas.openxmlformats.org/officeDocument/2006/relationships" ref="I36" r:id="rId68"/>
    <hyperlink xmlns:r="http://schemas.openxmlformats.org/officeDocument/2006/relationships" ref="L36" r:id="rId69"/>
    <hyperlink xmlns:r="http://schemas.openxmlformats.org/officeDocument/2006/relationships" ref="L37" r:id="rId70"/>
    <hyperlink xmlns:r="http://schemas.openxmlformats.org/officeDocument/2006/relationships" ref="I38" r:id="rId71"/>
    <hyperlink xmlns:r="http://schemas.openxmlformats.org/officeDocument/2006/relationships" ref="L38" r:id="rId72"/>
    <hyperlink xmlns:r="http://schemas.openxmlformats.org/officeDocument/2006/relationships" ref="I39" r:id="rId73"/>
    <hyperlink xmlns:r="http://schemas.openxmlformats.org/officeDocument/2006/relationships" ref="L39" r:id="rId74"/>
    <hyperlink xmlns:r="http://schemas.openxmlformats.org/officeDocument/2006/relationships" ref="I40" r:id="rId75"/>
    <hyperlink xmlns:r="http://schemas.openxmlformats.org/officeDocument/2006/relationships" ref="L40" r:id="rId76"/>
    <hyperlink xmlns:r="http://schemas.openxmlformats.org/officeDocument/2006/relationships" ref="I41" r:id="rId77"/>
    <hyperlink xmlns:r="http://schemas.openxmlformats.org/officeDocument/2006/relationships" ref="L41" r:id="rId78"/>
    <hyperlink xmlns:r="http://schemas.openxmlformats.org/officeDocument/2006/relationships" ref="L42" r:id="rId79"/>
    <hyperlink xmlns:r="http://schemas.openxmlformats.org/officeDocument/2006/relationships" ref="I43" r:id="rId80"/>
    <hyperlink xmlns:r="http://schemas.openxmlformats.org/officeDocument/2006/relationships" ref="L43" r:id="rId81"/>
    <hyperlink xmlns:r="http://schemas.openxmlformats.org/officeDocument/2006/relationships" ref="L44" r:id="rId82"/>
    <hyperlink xmlns:r="http://schemas.openxmlformats.org/officeDocument/2006/relationships" ref="I45" r:id="rId83"/>
    <hyperlink xmlns:r="http://schemas.openxmlformats.org/officeDocument/2006/relationships" ref="L45" r:id="rId84"/>
    <hyperlink xmlns:r="http://schemas.openxmlformats.org/officeDocument/2006/relationships" ref="I46" r:id="rId85"/>
    <hyperlink xmlns:r="http://schemas.openxmlformats.org/officeDocument/2006/relationships" ref="L46" r:id="rId86"/>
    <hyperlink xmlns:r="http://schemas.openxmlformats.org/officeDocument/2006/relationships" ref="I47" r:id="rId87"/>
    <hyperlink xmlns:r="http://schemas.openxmlformats.org/officeDocument/2006/relationships" ref="L47" r:id="rId88"/>
    <hyperlink xmlns:r="http://schemas.openxmlformats.org/officeDocument/2006/relationships" ref="I48" r:id="rId89"/>
    <hyperlink xmlns:r="http://schemas.openxmlformats.org/officeDocument/2006/relationships" ref="L48" r:id="rId90"/>
    <hyperlink xmlns:r="http://schemas.openxmlformats.org/officeDocument/2006/relationships" ref="I49" r:id="rId91"/>
    <hyperlink xmlns:r="http://schemas.openxmlformats.org/officeDocument/2006/relationships" ref="L49" r:id="rId92"/>
    <hyperlink xmlns:r="http://schemas.openxmlformats.org/officeDocument/2006/relationships" ref="I50" r:id="rId93"/>
    <hyperlink xmlns:r="http://schemas.openxmlformats.org/officeDocument/2006/relationships" ref="L50" r:id="rId94"/>
    <hyperlink xmlns:r="http://schemas.openxmlformats.org/officeDocument/2006/relationships" ref="I51" r:id="rId95"/>
    <hyperlink xmlns:r="http://schemas.openxmlformats.org/officeDocument/2006/relationships" ref="L51" r:id="rId96"/>
    <hyperlink xmlns:r="http://schemas.openxmlformats.org/officeDocument/2006/relationships" ref="I52" r:id="rId97"/>
    <hyperlink xmlns:r="http://schemas.openxmlformats.org/officeDocument/2006/relationships" ref="L52" r:id="rId98"/>
    <hyperlink xmlns:r="http://schemas.openxmlformats.org/officeDocument/2006/relationships" ref="I53" r:id="rId99"/>
    <hyperlink xmlns:r="http://schemas.openxmlformats.org/officeDocument/2006/relationships" ref="L53" r:id="rId100"/>
    <hyperlink xmlns:r="http://schemas.openxmlformats.org/officeDocument/2006/relationships" ref="I54" r:id="rId101"/>
    <hyperlink xmlns:r="http://schemas.openxmlformats.org/officeDocument/2006/relationships" ref="L54" r:id="rId102"/>
    <hyperlink xmlns:r="http://schemas.openxmlformats.org/officeDocument/2006/relationships" ref="I55" r:id="rId103"/>
    <hyperlink xmlns:r="http://schemas.openxmlformats.org/officeDocument/2006/relationships" ref="L55" r:id="rId104"/>
    <hyperlink xmlns:r="http://schemas.openxmlformats.org/officeDocument/2006/relationships" ref="I56" r:id="rId105"/>
    <hyperlink xmlns:r="http://schemas.openxmlformats.org/officeDocument/2006/relationships" ref="L56" r:id="rId106"/>
    <hyperlink xmlns:r="http://schemas.openxmlformats.org/officeDocument/2006/relationships" ref="I57" r:id="rId107"/>
    <hyperlink xmlns:r="http://schemas.openxmlformats.org/officeDocument/2006/relationships" ref="L57" r:id="rId108"/>
    <hyperlink xmlns:r="http://schemas.openxmlformats.org/officeDocument/2006/relationships" ref="I58" r:id="rId109"/>
    <hyperlink xmlns:r="http://schemas.openxmlformats.org/officeDocument/2006/relationships" ref="L58" r:id="rId110"/>
    <hyperlink xmlns:r="http://schemas.openxmlformats.org/officeDocument/2006/relationships" ref="I59" r:id="rId111"/>
    <hyperlink xmlns:r="http://schemas.openxmlformats.org/officeDocument/2006/relationships" ref="L59" r:id="rId112"/>
    <hyperlink xmlns:r="http://schemas.openxmlformats.org/officeDocument/2006/relationships" ref="I60" r:id="rId113"/>
    <hyperlink xmlns:r="http://schemas.openxmlformats.org/officeDocument/2006/relationships" ref="L60" r:id="rId114"/>
    <hyperlink xmlns:r="http://schemas.openxmlformats.org/officeDocument/2006/relationships" ref="I61" r:id="rId115"/>
    <hyperlink xmlns:r="http://schemas.openxmlformats.org/officeDocument/2006/relationships" ref="L61" r:id="rId116"/>
    <hyperlink xmlns:r="http://schemas.openxmlformats.org/officeDocument/2006/relationships" ref="I62" r:id="rId117"/>
    <hyperlink xmlns:r="http://schemas.openxmlformats.org/officeDocument/2006/relationships" ref="L62" r:id="rId118"/>
    <hyperlink xmlns:r="http://schemas.openxmlformats.org/officeDocument/2006/relationships" ref="I63" r:id="rId119"/>
    <hyperlink xmlns:r="http://schemas.openxmlformats.org/officeDocument/2006/relationships" ref="L63" r:id="rId120"/>
    <hyperlink xmlns:r="http://schemas.openxmlformats.org/officeDocument/2006/relationships" ref="I64" r:id="rId121"/>
    <hyperlink xmlns:r="http://schemas.openxmlformats.org/officeDocument/2006/relationships" ref="L64" r:id="rId122"/>
    <hyperlink xmlns:r="http://schemas.openxmlformats.org/officeDocument/2006/relationships" ref="I65" r:id="rId123"/>
    <hyperlink xmlns:r="http://schemas.openxmlformats.org/officeDocument/2006/relationships" ref="L65" r:id="rId124"/>
    <hyperlink xmlns:r="http://schemas.openxmlformats.org/officeDocument/2006/relationships" ref="I66" r:id="rId125"/>
    <hyperlink xmlns:r="http://schemas.openxmlformats.org/officeDocument/2006/relationships" ref="L66" r:id="rId126"/>
    <hyperlink xmlns:r="http://schemas.openxmlformats.org/officeDocument/2006/relationships" ref="I67" r:id="rId127"/>
    <hyperlink xmlns:r="http://schemas.openxmlformats.org/officeDocument/2006/relationships" ref="L67" r:id="rId128"/>
    <hyperlink xmlns:r="http://schemas.openxmlformats.org/officeDocument/2006/relationships" ref="I68" r:id="rId129"/>
    <hyperlink xmlns:r="http://schemas.openxmlformats.org/officeDocument/2006/relationships" ref="L68" r:id="rId130"/>
    <hyperlink xmlns:r="http://schemas.openxmlformats.org/officeDocument/2006/relationships" ref="I69" r:id="rId131"/>
    <hyperlink xmlns:r="http://schemas.openxmlformats.org/officeDocument/2006/relationships" ref="L69" r:id="rId132"/>
    <hyperlink xmlns:r="http://schemas.openxmlformats.org/officeDocument/2006/relationships" ref="I70" r:id="rId133"/>
    <hyperlink xmlns:r="http://schemas.openxmlformats.org/officeDocument/2006/relationships" ref="L70" r:id="rId134"/>
    <hyperlink xmlns:r="http://schemas.openxmlformats.org/officeDocument/2006/relationships" ref="I71" r:id="rId135"/>
    <hyperlink xmlns:r="http://schemas.openxmlformats.org/officeDocument/2006/relationships" ref="L71" r:id="rId136"/>
    <hyperlink xmlns:r="http://schemas.openxmlformats.org/officeDocument/2006/relationships" ref="I72" r:id="rId137"/>
    <hyperlink xmlns:r="http://schemas.openxmlformats.org/officeDocument/2006/relationships" ref="L72" r:id="rId138"/>
    <hyperlink xmlns:r="http://schemas.openxmlformats.org/officeDocument/2006/relationships" ref="I73" r:id="rId139"/>
    <hyperlink xmlns:r="http://schemas.openxmlformats.org/officeDocument/2006/relationships" ref="L73" r:id="rId140"/>
    <hyperlink xmlns:r="http://schemas.openxmlformats.org/officeDocument/2006/relationships" ref="I74" r:id="rId141"/>
    <hyperlink xmlns:r="http://schemas.openxmlformats.org/officeDocument/2006/relationships" ref="L74" r:id="rId142"/>
    <hyperlink xmlns:r="http://schemas.openxmlformats.org/officeDocument/2006/relationships" ref="I75" r:id="rId143"/>
    <hyperlink xmlns:r="http://schemas.openxmlformats.org/officeDocument/2006/relationships" ref="L75" r:id="rId144"/>
    <hyperlink xmlns:r="http://schemas.openxmlformats.org/officeDocument/2006/relationships" ref="I76" r:id="rId145"/>
    <hyperlink xmlns:r="http://schemas.openxmlformats.org/officeDocument/2006/relationships" ref="L76" r:id="rId146"/>
    <hyperlink xmlns:r="http://schemas.openxmlformats.org/officeDocument/2006/relationships" ref="I77" r:id="rId147"/>
    <hyperlink xmlns:r="http://schemas.openxmlformats.org/officeDocument/2006/relationships" ref="L77" r:id="rId148"/>
    <hyperlink xmlns:r="http://schemas.openxmlformats.org/officeDocument/2006/relationships" ref="I78" r:id="rId149"/>
    <hyperlink xmlns:r="http://schemas.openxmlformats.org/officeDocument/2006/relationships" ref="L78" r:id="rId150"/>
    <hyperlink xmlns:r="http://schemas.openxmlformats.org/officeDocument/2006/relationships" ref="I79" r:id="rId151"/>
    <hyperlink xmlns:r="http://schemas.openxmlformats.org/officeDocument/2006/relationships" ref="L79" r:id="rId152"/>
    <hyperlink xmlns:r="http://schemas.openxmlformats.org/officeDocument/2006/relationships" ref="I80" r:id="rId153"/>
    <hyperlink xmlns:r="http://schemas.openxmlformats.org/officeDocument/2006/relationships" ref="L80" r:id="rId154"/>
    <hyperlink xmlns:r="http://schemas.openxmlformats.org/officeDocument/2006/relationships" ref="I81" r:id="rId155"/>
    <hyperlink xmlns:r="http://schemas.openxmlformats.org/officeDocument/2006/relationships" ref="L81" r:id="rId156"/>
    <hyperlink xmlns:r="http://schemas.openxmlformats.org/officeDocument/2006/relationships" ref="I82" r:id="rId157"/>
    <hyperlink xmlns:r="http://schemas.openxmlformats.org/officeDocument/2006/relationships" ref="L82" r:id="rId158"/>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95"/>
  <sheetViews>
    <sheetView workbookViewId="0">
      <pane ySplit="1" topLeftCell="A2" activePane="bottomLeft" state="frozen"/>
      <selection pane="bottomLeft" activeCell="A1" sqref="A1"/>
    </sheetView>
  </sheetViews>
  <sheetFormatPr baseColWidth="8" defaultRowHeight="15"/>
  <cols>
    <col width="6" customWidth="1" style="34" min="1" max="1"/>
    <col width="16" customWidth="1" style="34" min="2" max="2"/>
    <col width="34" customWidth="1" style="34" min="3" max="3"/>
    <col width="22" customWidth="1" style="34" min="4" max="4"/>
    <col width="26" customWidth="1" style="34" min="5" max="5"/>
    <col width="28" customWidth="1" style="34" min="6" max="6"/>
    <col width="16" customWidth="1" style="34" min="7" max="7"/>
    <col width="34" customWidth="1" style="34" min="8" max="8"/>
    <col width="18" customWidth="1" style="34" min="9" max="9"/>
    <col width="16" customWidth="1" style="34" min="10" max="10"/>
    <col width="22" customWidth="1" style="34" min="11" max="11"/>
    <col hidden="1" width="20" customWidth="1" style="34" min="12" max="12"/>
    <col width="60" customWidth="1" style="34" min="13" max="13"/>
    <col width="40" customWidth="1" style="34" min="14" max="14"/>
  </cols>
  <sheetData>
    <row r="1" ht="22" customHeight="1" s="34">
      <c r="A1" s="122" t="inlineStr">
        <is>
          <t>Year</t>
        </is>
      </c>
      <c r="B1" s="122" t="inlineStr">
        <is>
          <t>Tier</t>
        </is>
      </c>
      <c r="C1" s="122" t="inlineStr">
        <is>
          <t>Campaign</t>
        </is>
      </c>
      <c r="D1" s="122" t="inlineStr">
        <is>
          <t>Brand</t>
        </is>
      </c>
      <c r="E1" s="122" t="inlineStr">
        <is>
          <t>Product/Service</t>
        </is>
      </c>
      <c r="F1" s="122" t="inlineStr">
        <is>
          <t>Agency</t>
        </is>
      </c>
      <c r="G1" s="122" t="inlineStr">
        <is>
          <t>Country</t>
        </is>
      </c>
      <c r="H1" s="122" t="inlineStr">
        <is>
          <t>Subcategory</t>
        </is>
      </c>
      <c r="I1" s="122" t="inlineStr">
        <is>
          <t>Image URL</t>
        </is>
      </c>
      <c r="J1" s="122" t="inlineStr">
        <is>
          <t>YouTube ID</t>
        </is>
      </c>
      <c r="K1" s="122" t="inlineStr">
        <is>
          <t>Campaign Group</t>
        </is>
      </c>
      <c r="L1" s="122" t="inlineStr">
        <is>
          <t>Entry URL</t>
        </is>
      </c>
      <c r="M1" s="122" t="inlineStr">
        <is>
          <t>Description</t>
        </is>
      </c>
      <c r="N1" s="122" t="inlineStr">
        <is>
          <t>Keywords</t>
        </is>
      </c>
    </row>
    <row r="2">
      <c r="A2" s="127" t="n">
        <v>2025</v>
      </c>
      <c r="B2" s="139" t="inlineStr">
        <is>
          <t>Grand Prix</t>
        </is>
      </c>
      <c r="C2" s="127" t="inlineStr">
        <is>
          <t>Vaseline Verified</t>
        </is>
      </c>
      <c r="D2" s="127" t="inlineStr">
        <is>
          <t>Unilever</t>
        </is>
      </c>
      <c r="E2" s="127" t="inlineStr">
        <is>
          <t>Vaseline</t>
        </is>
      </c>
      <c r="F2" s="127" t="inlineStr">
        <is>
          <t>Ogilvy</t>
        </is>
      </c>
      <c r="G2" s="127" t="inlineStr">
        <is>
          <t>Singapore</t>
        </is>
      </c>
      <c r="H2" s="113" t="inlineStr">
        <is>
          <t>Community Building</t>
        </is>
      </c>
      <c r="I2" s="128" t="inlineStr">
        <is>
          <t>https://ascentialcdn.filespin.io/api/v1/conversion/faf0755b0d4e4594ad93cb75d6288e3d</t>
        </is>
      </c>
      <c r="J2" s="127" t="inlineStr">
        <is>
          <t>vimeo:1082798104</t>
        </is>
      </c>
      <c r="K2" s="127" t="n"/>
      <c r="L2" s="128" t="inlineStr">
        <is>
          <t>https://www.lovethework.com/work/entries/vaseline-verified-742887</t>
        </is>
      </c>
      <c r="M2" s="113" t="inlineStr">
        <is>
          <t>A community management campaign built around the 6,000-plus organic social media posts showing unofficial uses of Vaseline Petroleum Jelly: Ogilvy Singapore had dermatologists review each hack, awarding a "Vaseline Verified" seal to those that held up and publicly debunking those that didn't. The system turned user-generated content into a live, brand-endorsed verification layer — embracing the existing conversation rather than replacing it with controlled messaging.</t>
        </is>
      </c>
      <c r="N2" s="113" t="inlineStr">
        <is>
          <t>skincare, personal-care, beauty, community-management, social-media, user-generated-content, ooh, singapore, health-wellness, dermatology</t>
        </is>
      </c>
    </row>
    <row r="3">
      <c r="A3" s="127" t="n">
        <v>2025</v>
      </c>
      <c r="B3" s="140" t="inlineStr">
        <is>
          <t>Gold</t>
        </is>
      </c>
      <c r="C3" s="127" t="inlineStr">
        <is>
          <t>Navy Subreddit Hunt</t>
        </is>
      </c>
      <c r="D3" s="127" t="inlineStr">
        <is>
          <t>U.S. Navy</t>
        </is>
      </c>
      <c r="E3" s="127" t="inlineStr">
        <is>
          <t>U.s. Navy Recruitment Initiative</t>
        </is>
      </c>
      <c r="F3" s="127" t="inlineStr">
        <is>
          <t>VML</t>
        </is>
      </c>
      <c r="G3" s="127" t="inlineStr">
        <is>
          <t>United States</t>
        </is>
      </c>
      <c r="H3" s="113" t="inlineStr">
        <is>
          <t>Audience Targeting/Engagement Strategies</t>
        </is>
      </c>
      <c r="I3" s="128" t="inlineStr">
        <is>
          <t>https://ascentialcdn.filespin.io/api/v1/conversion/acedbde3eb964175b899c5e90a584d7a</t>
        </is>
      </c>
      <c r="J3" s="127" t="inlineStr">
        <is>
          <t>1qkvD-Vpqp4</t>
        </is>
      </c>
      <c r="K3" s="127" t="n"/>
      <c r="L3" s="128" t="inlineStr">
        <is>
          <t>https://www.lovethework.com/work/entries/navy-subreddit-hunt-742520</t>
        </is>
      </c>
      <c r="M3" s="113" t="inlineStr">
        <is>
          <t>A recruitment campaign built across Reddit in which the U.S. Navy hid enlistment calls-to-action inside niche subreddits relevant to Navy career fields — diving communities, engineering forums, aviation threads — so that users already deep in those interests encountered recruiting messages in the spaces where they were most engaged. Created by VML Dallas, the effort treated Reddit's community architecture as a targeting layer rather than a media buy.</t>
        </is>
      </c>
      <c r="N3" s="113" t="inlineStr">
        <is>
          <t>military-recruitment, social-media, reddit, united-states, community-targeting, direct-response, vml</t>
        </is>
      </c>
    </row>
    <row r="4">
      <c r="A4" s="127" t="n">
        <v>2025</v>
      </c>
      <c r="B4" s="140" t="inlineStr">
        <is>
          <t>Gold</t>
        </is>
      </c>
      <c r="C4" s="127" t="inlineStr">
        <is>
          <t>Resale</t>
        </is>
      </c>
      <c r="D4" s="127" t="inlineStr">
        <is>
          <t>Budweiser</t>
        </is>
      </c>
      <c r="E4" s="127" t="inlineStr">
        <is>
          <t>Beer</t>
        </is>
      </c>
      <c r="F4" s="127" t="inlineStr">
        <is>
          <t>Africa Creative DDB</t>
        </is>
      </c>
      <c r="G4" s="127" t="inlineStr">
        <is>
          <t>Brazil</t>
        </is>
      </c>
      <c r="H4" s="113" t="inlineStr">
        <is>
          <t>Innovative Engagement of Community</t>
        </is>
      </c>
      <c r="I4" s="128" t="inlineStr">
        <is>
          <t>https://ascentialcdn.filespin.io/api/v1/conversion/abd9a65dba9c44ab8abe0ea46a3db71c</t>
        </is>
      </c>
      <c r="J4" s="127" t="inlineStr">
        <is>
          <t>vimeo:1079571158</t>
        </is>
      </c>
      <c r="K4" s="127" t="n"/>
      <c r="L4" s="128" t="inlineStr">
        <is>
          <t>https://www.lovethework.com/work/entries/resale-742723</t>
        </is>
      </c>
      <c r="M4" s="113" t="inlineStr">
        <is>
          <t>A resale platform built around Budweiser's archive of historical music memorabilia — items tied to concerts, artists, and cultural moments the brand sponsored over its history in Brazil. Fans could browse and purchase pieces of that shared history directly through the platform, with Budweiser framing its own back catalog as a record of music's past.</t>
        </is>
      </c>
      <c r="N4" s="113" t="inlineStr">
        <is>
          <t>beer, alcohol, e-commerce, music, entertainment, community-engagement, social, brazil, branded-platform, resale</t>
        </is>
      </c>
    </row>
    <row r="5">
      <c r="A5" s="127" t="n">
        <v>2025</v>
      </c>
      <c r="B5" s="140" t="inlineStr">
        <is>
          <t>Gold</t>
        </is>
      </c>
      <c r="C5" s="127" t="inlineStr">
        <is>
          <t>U Up?</t>
        </is>
      </c>
      <c r="D5" s="127" t="inlineStr">
        <is>
          <t>IKEA</t>
        </is>
      </c>
      <c r="E5" s="127" t="inlineStr">
        <is>
          <t>IKEA</t>
        </is>
      </c>
      <c r="F5" s="127" t="inlineStr">
        <is>
          <t>Rethink</t>
        </is>
      </c>
      <c r="G5" s="127" t="inlineStr">
        <is>
          <t>Canada</t>
        </is>
      </c>
      <c r="H5" s="113" t="inlineStr">
        <is>
          <t>Use of Humour</t>
        </is>
      </c>
      <c r="I5" s="128" t="inlineStr">
        <is>
          <t>https://ascentialcdn.filespin.io/api/v1/conversion/1d6f8cfcad1b47c9beaa5f403844ec8a</t>
        </is>
      </c>
      <c r="J5" s="127" t="inlineStr">
        <is>
          <t>VT02JDQuMxM</t>
        </is>
      </c>
      <c r="K5" s="127" t="n"/>
      <c r="L5" s="128" t="inlineStr">
        <is>
          <t>https://www.lovethework.com/work/entries/u-up-743199</t>
        </is>
      </c>
      <c r="M5" s="113" t="inlineStr">
        <is>
          <t>A late-night Instagram DM campaign that sent the message "u up?" to Canadians detected to be awake between 10 p.m. and 5 a.m., then offered anyone who replied a discounted or free mattress. The mechanic mimicked a late-night booty-call text to position IKEA as the reason you're still scrolling — and the solution to it.</t>
        </is>
      </c>
      <c r="N5" s="113" t="inlineStr">
        <is>
          <t>ikea, home-furnishings, social-media, instagram, direct-message, ooh, canada, use-of-humour, late-night</t>
        </is>
      </c>
    </row>
    <row r="6">
      <c r="A6" s="127" t="n">
        <v>2025</v>
      </c>
      <c r="B6" s="140" t="inlineStr">
        <is>
          <t>Gold</t>
        </is>
      </c>
      <c r="C6" s="127" t="inlineStr">
        <is>
          <t>Redditor Edit</t>
        </is>
      </c>
      <c r="D6" s="127" t="inlineStr">
        <is>
          <t>Skoda</t>
        </is>
      </c>
      <c r="E6" s="127" t="inlineStr">
        <is>
          <t>Å Koda Octavia</t>
        </is>
      </c>
      <c r="F6" s="127" t="inlineStr">
        <is>
          <t>Leo</t>
        </is>
      </c>
      <c r="G6" s="127" t="inlineStr">
        <is>
          <t>United Kingdom</t>
        </is>
      </c>
      <c r="H6" s="113" t="inlineStr">
        <is>
          <t>Co-Creation &amp; User Generated Content</t>
        </is>
      </c>
      <c r="I6" s="128" t="inlineStr">
        <is>
          <t>https://ascentialcdn.filespin.io/api/v1/conversion/7581a597717542d6b5b354f2ffcb56a5</t>
        </is>
      </c>
      <c r="J6" s="127" t="inlineStr">
        <is>
          <t>KmLMtKsmwqA</t>
        </is>
      </c>
      <c r="K6" s="127" t="n"/>
      <c r="L6" s="128" t="inlineStr">
        <is>
          <t>https://www.lovethework.com/work/entries/redditor-edit-743155</t>
        </is>
      </c>
      <c r="M6" s="113" t="inlineStr">
        <is>
          <t>A car reveal built entirely around the organic opinions of r/CarTalkUK — a Reddit community of over 350,000 members — where Škoda identified dedicated followers who had publicly discussed what they wanted in a next-generation car, then used those real comments to shape the presentation of the fourth-generation Octavia. PHD London structured the campaign so that the audience's own words, posted before any brand involvement, became the editorial voice of the launch.</t>
        </is>
      </c>
      <c r="N6" s="113" t="inlineStr">
        <is>
          <t>automotive, cars, transport, social-media, reddit, community, user-generated-content, united-kingdom, launch, skoda-octavia</t>
        </is>
      </c>
    </row>
    <row r="7">
      <c r="A7" s="127" t="n">
        <v>2025</v>
      </c>
      <c r="B7" s="140" t="inlineStr">
        <is>
          <t>Gold</t>
        </is>
      </c>
      <c r="C7" s="127" t="inlineStr">
        <is>
          <t>Erase Valentine's Day</t>
        </is>
      </c>
      <c r="D7" s="127" t="inlineStr">
        <is>
          <t>Mondelez International</t>
        </is>
      </c>
      <c r="E7" s="127" t="inlineStr">
        <is>
          <t>Cadbury 5 Star Chocolate</t>
        </is>
      </c>
      <c r="F7" s="127" t="inlineStr">
        <is>
          <t>Ogilvy</t>
        </is>
      </c>
      <c r="G7" s="127" t="inlineStr">
        <is>
          <t>India</t>
        </is>
      </c>
      <c r="H7" s="113" t="inlineStr">
        <is>
          <t>Use of Humour</t>
        </is>
      </c>
      <c r="I7" s="128" t="inlineStr">
        <is>
          <t>https://ascentialcdn.filespin.io/api/v1/conversion/a64caaaecf144955a62b435827fff0e3</t>
        </is>
      </c>
      <c r="J7" s="127" t="inlineStr">
        <is>
          <t>_9bU3wT71Ac</t>
        </is>
      </c>
      <c r="K7" s="127" t="n"/>
      <c r="L7" s="128" t="inlineStr">
        <is>
          <t>https://www.lovethework.com/work/entries/erase-valentines-day-743287</t>
        </is>
      </c>
      <c r="M7" s="113" t="inlineStr">
        <is>
          <t>A social campaign built around Cadbury 5 Star's long-running brand persona of celebrating doing nothing — applied to Valentine's Day by urging people to opt out of the holiday entirely. Ogilvy India created content and creator activations that positioned skipping Valentine's Day as the 5 Star move, leaning into the brand's anti-effort identity rather than the gift-giving conventions the day is built on.</t>
        </is>
      </c>
      <c r="N7" s="113" t="inlineStr">
        <is>
          <t>chocolate, social-media, creator-marketing, use-of-humour, india, confectionery, candy, snack, packaged-goods, food, cpg, fmcg, valentines-day</t>
        </is>
      </c>
    </row>
    <row r="8">
      <c r="A8" s="127" t="n">
        <v>2025</v>
      </c>
      <c r="B8" s="140" t="inlineStr">
        <is>
          <t>Gold</t>
        </is>
      </c>
      <c r="C8" s="127" t="inlineStr">
        <is>
          <t>Olympic Curry</t>
        </is>
      </c>
      <c r="D8" s="127" t="inlineStr">
        <is>
          <t>McDonald's</t>
        </is>
      </c>
      <c r="E8" s="127" t="inlineStr">
        <is>
          <t>Curry Sauce</t>
        </is>
      </c>
      <c r="F8" s="127" t="inlineStr">
        <is>
          <t>DDB Paris</t>
        </is>
      </c>
      <c r="G8" s="127" t="inlineStr">
        <is>
          <t>France</t>
        </is>
      </c>
      <c r="H8" s="113" t="inlineStr">
        <is>
          <t>Real-Time Response</t>
        </is>
      </c>
      <c r="I8" s="128" t="inlineStr">
        <is>
          <t>https://ascentialcdn.filespin.io/api/v1/conversion/b8993a8a561d47fe9b9f126b8fbb45ce</t>
        </is>
      </c>
      <c r="J8" s="127" t="inlineStr">
        <is>
          <t>tOs7DlcDX0U</t>
        </is>
      </c>
      <c r="K8" s="127" t="n"/>
      <c r="L8" s="128" t="inlineStr">
        <is>
          <t>https://www.lovethework.com/work/entries/olympic-curry-742518</t>
        </is>
      </c>
      <c r="M8" s="113" t="inlineStr">
        <is>
          <t>A social media exchange between McDonald's France and McDonald's USA accounts, sparked by American athletes at the Paris 2024 Olympics publicly craving McDonald's France's curry sauce — a dipping sauce unavailable in U.S. locations. DDB Paris amplified the moment by staging a cross-account dialogue between the two national McDonald's handles, leaning into the menu difference as a point of cultural tension during the Games.</t>
        </is>
      </c>
      <c r="N8" s="113" t="inlineStr">
        <is>
          <t>quick-service-restaurant, social-media, social-engagement, france, united-states, paris-olympics, condiment, real-time-marketing</t>
        </is>
      </c>
    </row>
    <row r="9">
      <c r="A9" s="127" t="n">
        <v>2025</v>
      </c>
      <c r="B9" s="140" t="inlineStr">
        <is>
          <t>Gold</t>
        </is>
      </c>
      <c r="C9" s="127" t="inlineStr">
        <is>
          <t>Nutter Butter, You Good?</t>
        </is>
      </c>
      <c r="D9" s="127" t="inlineStr">
        <is>
          <t>Nutter Butter</t>
        </is>
      </c>
      <c r="E9" s="127" t="inlineStr">
        <is>
          <t>Nutter Butter Cookie</t>
        </is>
      </c>
      <c r="F9" s="127" t="inlineStr">
        <is>
          <t>Dentsu Creative</t>
        </is>
      </c>
      <c r="G9" s="127" t="inlineStr">
        <is>
          <t>United States</t>
        </is>
      </c>
      <c r="H9" s="113" t="inlineStr">
        <is>
          <t>Breakthrough on a Budget</t>
        </is>
      </c>
      <c r="I9" s="128" t="inlineStr">
        <is>
          <t>https://ascentialcdn.filespin.io/api/v1/conversion/6876d84d5b5142e19c9d97302718d0f2</t>
        </is>
      </c>
      <c r="J9" s="127" t="inlineStr">
        <is>
          <t>AzhCsGOqfyg</t>
        </is>
      </c>
      <c r="K9" s="127" t="n"/>
      <c r="L9" s="128" t="inlineStr">
        <is>
          <t>https://www.lovethework.com/work/entries/nutter-butter-you-good-743552</t>
        </is>
      </c>
      <c r="M9" s="113" t="inlineStr">
        <is>
          <t>An organic TikTok presence built for Nutter Butter by Dentsu Creative New York, constructed around a self-contained fictional universe called the Nutterverse — surreal, lore-heavy content designed to make the 56-year-old peanut butter cookie feel native to the platform rather than advertised on it. The strategy relied entirely on earned attention, with no paid media spend.</t>
        </is>
      </c>
      <c r="N9" s="113" t="inlineStr">
        <is>
          <t>snack, food, packaged-goods, cpg, fmcg, social-media, tiktok, organic-content, content-creation, united-states, earned-media, gen-z</t>
        </is>
      </c>
    </row>
    <row r="10">
      <c r="A10" s="127" t="n">
        <v>2025</v>
      </c>
      <c r="B10" s="132" t="inlineStr">
        <is>
          <t>Silver</t>
        </is>
      </c>
      <c r="C10" s="127" t="inlineStr">
        <is>
          <t>One Second Ads</t>
        </is>
      </c>
      <c r="D10" s="127" t="inlineStr">
        <is>
          <t>Budweiser</t>
        </is>
      </c>
      <c r="E10" s="127" t="inlineStr">
        <is>
          <t>Beer</t>
        </is>
      </c>
      <c r="F10" s="127" t="inlineStr">
        <is>
          <t>Africa Creative DDB</t>
        </is>
      </c>
      <c r="G10" s="127" t="inlineStr">
        <is>
          <t>Brazil</t>
        </is>
      </c>
      <c r="H10" s="113" t="inlineStr">
        <is>
          <t>Content Placement</t>
        </is>
      </c>
      <c r="I10" s="127" t="inlineStr">
        <is>
          <t>digital-presentation-images/social-and-creator-budweiser-one-second-ads.webp</t>
        </is>
      </c>
      <c r="J10" s="127" t="inlineStr">
        <is>
          <t>RpvlshoKIrE</t>
        </is>
      </c>
      <c r="K10" s="127" t="n"/>
      <c r="L10" s="128" t="inlineStr">
        <is>
          <t>https://www.lovethework.com/work/entries/one-second-ads-759513</t>
        </is>
      </c>
      <c r="M10" s="113" t="inlineStr">
        <is>
          <t>A series of one-second social media ads built around the opening note or two of globally recognized songs — from Beyoncé and Taylor Swift to The Beatles and Foo Fighters — short enough that true fans could identify the track but too brief to trigger music licensing fees. Budweiser challenged viewers on social media to name the song, rewarding correct guessers with a beer coupon sent via DM, which turned the comment sections into active guessing threads and kept viewers replaying the ads voluntarily.</t>
        </is>
      </c>
      <c r="N10" s="113" t="inlineStr">
        <is>
          <t>beer, alcohol, social-media, audio, music, entertainment, short-form-video, brazil, user-participation, mobile</t>
        </is>
      </c>
    </row>
    <row r="11">
      <c r="A11" s="127" t="n">
        <v>2025</v>
      </c>
      <c r="B11" s="132" t="inlineStr">
        <is>
          <t>Silver</t>
        </is>
      </c>
      <c r="C11" s="127" t="inlineStr">
        <is>
          <t>The Death of Duo</t>
        </is>
      </c>
      <c r="D11" s="127" t="inlineStr">
        <is>
          <t>Duolingo</t>
        </is>
      </c>
      <c r="E11" s="127" t="inlineStr">
        <is>
          <t>Duolingo</t>
        </is>
      </c>
      <c r="F11" s="127" t="inlineStr">
        <is>
          <t>Duolingo</t>
        </is>
      </c>
      <c r="G11" s="127" t="inlineStr">
        <is>
          <t>United States</t>
        </is>
      </c>
      <c r="H11" s="113" t="inlineStr">
        <is>
          <t>Community Management</t>
        </is>
      </c>
      <c r="I11" s="128" t="inlineStr">
        <is>
          <t>https://ascentialcdn.filespin.io/api/v1/conversion/f4109c89080c4d6b8170e479b78d5160</t>
        </is>
      </c>
      <c r="J11" s="127" t="inlineStr">
        <is>
          <t>vimeo:1094581252/8afcb39440</t>
        </is>
      </c>
      <c r="K11" s="127" t="n"/>
      <c r="L11" s="128" t="inlineStr">
        <is>
          <t>https://www.lovethework.com/work/entries/the-death-of-duo-742331</t>
        </is>
      </c>
      <c r="M11" s="113" t="inlineStr">
        <is>
          <t>A coordinated social media stunt in which Duolingo announced the death of Duo, its green owl mascot, across its channels — posting that the bird had mysteriously passed and that authorities were investigating. The campaign sustained the fiction across platforms, pulling in organic celebrity reactions including a post from Dua Lipa, and used the manufactured grief to prompt users to resume or start language streaks in Duo's memory.</t>
        </is>
      </c>
      <c r="N11" s="113" t="inlineStr">
        <is>
          <t>language-learning, social-media, community-management, mascot, stunt, united-states, organic-content</t>
        </is>
      </c>
    </row>
    <row r="12">
      <c r="A12" s="127" t="n">
        <v>2025</v>
      </c>
      <c r="B12" s="132" t="inlineStr">
        <is>
          <t>Silver</t>
        </is>
      </c>
      <c r="C12" s="127" t="inlineStr">
        <is>
          <t>Gulf of Mexico (bar)</t>
        </is>
      </c>
      <c r="D12" s="127" t="inlineStr">
        <is>
          <t>Tecate</t>
        </is>
      </c>
      <c r="E12" s="127" t="inlineStr">
        <is>
          <t>Tecate Light</t>
        </is>
      </c>
      <c r="F12" s="127" t="inlineStr">
        <is>
          <t>LePub</t>
        </is>
      </c>
      <c r="G12" s="127" t="inlineStr">
        <is>
          <t>Mexico</t>
        </is>
      </c>
      <c r="H12" s="113" t="inlineStr">
        <is>
          <t>Market Disruption</t>
        </is>
      </c>
      <c r="I12" s="128" t="inlineStr">
        <is>
          <t>https://ascentialcdn.filespin.io/api/v1/conversion/afa88aa8421b41a18c68b9863bb6926c</t>
        </is>
      </c>
      <c r="J12" s="127" t="inlineStr">
        <is>
          <t>vimeo:1092263623</t>
        </is>
      </c>
      <c r="K12" s="127" t="n"/>
      <c r="L12" s="128" t="inlineStr">
        <is>
          <t>https://www.lovethework.com/work/entries/gulf-of-mexico-bar-743548</t>
        </is>
      </c>
      <c r="M12" s="113" t="inlineStr">
        <is>
          <t>A floating bar built on a boat in the Gulf of Mexico, accessible only by sea and named 'Golfo de México' — a response to a U.S. proposal to rename the gulf the 'Gulf of America.' To pair, Tecate launched a special-edition Tecate Light brewed with salt harvested from the disputed waters.</t>
        </is>
      </c>
      <c r="N12" s="113" t="inlineStr">
        <is>
          <t>ooh, brand-stunt, political-commentary, beer, alcohol, packaging, mexico, branded-venue, special-edition</t>
        </is>
      </c>
    </row>
    <row r="13">
      <c r="A13" s="127" t="n">
        <v>2025</v>
      </c>
      <c r="B13" s="132" t="inlineStr">
        <is>
          <t>Silver</t>
        </is>
      </c>
      <c r="C13" s="127" t="inlineStr">
        <is>
          <t>Redditor Edit</t>
        </is>
      </c>
      <c r="D13" s="127" t="inlineStr">
        <is>
          <t>Skoda</t>
        </is>
      </c>
      <c r="E13" s="127" t="inlineStr">
        <is>
          <t>Å Koda Octavia</t>
        </is>
      </c>
      <c r="F13" s="127" t="inlineStr">
        <is>
          <t>Leo</t>
        </is>
      </c>
      <c r="G13" s="127" t="inlineStr">
        <is>
          <t>United Kingdom</t>
        </is>
      </c>
      <c r="H13" s="113" t="inlineStr">
        <is>
          <t>Audience Targeting/Engagement Strategies</t>
        </is>
      </c>
      <c r="I13" s="128" t="inlineStr">
        <is>
          <t>https://ascentialcdn.filespin.io/api/v1/conversion/7581a597717542d6b5b354f2ffcb56a5</t>
        </is>
      </c>
      <c r="J13" s="127" t="inlineStr">
        <is>
          <t>KmLMtKsmwqA</t>
        </is>
      </c>
      <c r="K13" s="127" t="n"/>
      <c r="L13" s="128" t="inlineStr">
        <is>
          <t>https://www.lovethework.com/work/entries/redditor-edit-742379</t>
        </is>
      </c>
      <c r="M13" s="113" t="inlineStr">
        <is>
          <t>A car reveal built entirely around the organic opinions of r/CarTalkUK — a Reddit community of over 350,000 members — where Škoda identified dedicated followers who had publicly discussed what they wanted in a next-generation car, then used those real comments to shape the presentation of the fourth-generation Octavia. PHD London structured the campaign so that the audience's own words, posted before any brand involvement, became the editorial voice of the launch.</t>
        </is>
      </c>
      <c r="N13" s="113" t="inlineStr">
        <is>
          <t>automotive, cars, transport, social-media, reddit, community, user-generated-content, united-kingdom, launch, skoda-octavia</t>
        </is>
      </c>
    </row>
    <row r="14">
      <c r="A14" s="127" t="n">
        <v>2025</v>
      </c>
      <c r="B14" s="132" t="inlineStr">
        <is>
          <t>Silver</t>
        </is>
      </c>
      <c r="C14" s="127" t="inlineStr">
        <is>
          <t>Fizzooka</t>
        </is>
      </c>
      <c r="D14" s="127" t="inlineStr">
        <is>
          <t>Perfetti Van Melle</t>
        </is>
      </c>
      <c r="E14" s="127" t="inlineStr">
        <is>
          <t>Mentos</t>
        </is>
      </c>
      <c r="F14" s="127" t="inlineStr">
        <is>
          <t>BBH</t>
        </is>
      </c>
      <c r="G14" s="127" t="inlineStr">
        <is>
          <t>United Kingdom</t>
        </is>
      </c>
      <c r="H14" s="113" t="inlineStr">
        <is>
          <t>Creator Collaboration</t>
        </is>
      </c>
      <c r="I14" s="128" t="inlineStr">
        <is>
          <t>https://ascentialcdn.filespin.io/api/v1/conversion/f5ffbe1532054f85b7f9f9b7fba1f1ee</t>
        </is>
      </c>
      <c r="J14" s="127" t="inlineStr">
        <is>
          <t>TgjfKovV888</t>
        </is>
      </c>
      <c r="K14" s="127" t="n"/>
      <c r="L14" s="128" t="inlineStr">
        <is>
          <t>https://www.lovethework.com/work/entries/fizzooka-742654</t>
        </is>
      </c>
      <c r="M14" s="113" t="inlineStr">
        <is>
          <t>A custom rocket launcher built inside Fortnite Creative that uses the Mentos and cola fizz reaction as its mechanic — firing at opponents blasts them across the map and destroys their builds. Delivered by BBH London, the Fizzooka carried the longstanding internet experiment into a playable weapon within Fortnite's anti-build game mode.</t>
        </is>
      </c>
      <c r="N14" s="113" t="inlineStr">
        <is>
          <t>confectionery, candy, snack, packaged-goods, food, cpg, fmcg, gaming, video-games, entertainment, fortnite, brand-partnership, interactive, united-kingdom, virtual-item, user-participation</t>
        </is>
      </c>
    </row>
    <row r="15">
      <c r="A15" s="127" t="n">
        <v>2025</v>
      </c>
      <c r="B15" s="132" t="inlineStr">
        <is>
          <t>Silver</t>
        </is>
      </c>
      <c r="C15" s="127" t="inlineStr">
        <is>
          <t>Severance S2 - Integrated Campaign</t>
        </is>
      </c>
      <c r="D15" s="127" t="inlineStr">
        <is>
          <t>Apple</t>
        </is>
      </c>
      <c r="E15" s="127" t="inlineStr">
        <is>
          <t>Original Series on Apple TV+</t>
        </is>
      </c>
      <c r="F15" s="127" t="inlineStr">
        <is>
          <t>Apple</t>
        </is>
      </c>
      <c r="G15" s="127" t="inlineStr">
        <is>
          <t>United States</t>
        </is>
      </c>
      <c r="H15" s="113" t="inlineStr">
        <is>
          <t>Multi-Platform Social Campaign</t>
        </is>
      </c>
      <c r="I15" s="128" t="inlineStr">
        <is>
          <t>https://ascentialcdn.filespin.io/api/v1/conversion/c0034932e80d4cb1aa654cc85c066b7e</t>
        </is>
      </c>
      <c r="J15" s="127" t="inlineStr">
        <is>
          <t>QPJtgjoqtdw</t>
        </is>
      </c>
      <c r="K15" s="127" t="n"/>
      <c r="L15" s="128" t="inlineStr">
        <is>
          <t>https://www.lovethework.com/work/entries/severance-s2-integrated-campaign-743040</t>
        </is>
      </c>
      <c r="M15" s="113" t="inlineStr">
        <is>
          <t>For Severance Season 2, Apple brought Lumon Industries out of the show and into the real world through workplace memes, creator content, cryptic teasers, pop-ups, partnerships and unexpected media moments. The campaign made the show's strange corporate dystopia feel culturally unavoidable, helping turn Severance into Apple TV+'s most-watched series ever.</t>
        </is>
      </c>
      <c r="N15" s="113" t="inlineStr">
        <is>
          <t>streaming, tv, entertainment, integrated, partnership, social, ooh, ip, united-states</t>
        </is>
      </c>
    </row>
    <row r="16">
      <c r="A16" s="127" t="n">
        <v>2025</v>
      </c>
      <c r="B16" s="132" t="inlineStr">
        <is>
          <t>Silver</t>
        </is>
      </c>
      <c r="C16" s="127" t="inlineStr">
        <is>
          <t>Tide Collateral Stain Stories</t>
        </is>
      </c>
      <c r="D16" s="127" t="inlineStr">
        <is>
          <t>Tide</t>
        </is>
      </c>
      <c r="E16" s="127" t="inlineStr">
        <is>
          <t>Tide Oxi Boost</t>
        </is>
      </c>
      <c r="F16" s="127" t="inlineStr">
        <is>
          <t>Saatchi &amp; Saatchi</t>
        </is>
      </c>
      <c r="G16" s="127" t="inlineStr">
        <is>
          <t>United States</t>
        </is>
      </c>
      <c r="H16" s="113" t="inlineStr">
        <is>
          <t>Brand Storytelling</t>
        </is>
      </c>
      <c r="I16" s="128" t="inlineStr">
        <is>
          <t>https://ascentialcdn.filespin.io/api/v1/conversion/2e880efa163040b884c55c34c5aa79f9</t>
        </is>
      </c>
      <c r="J16" s="127" t="inlineStr">
        <is>
          <t>vimeo:1078053795</t>
        </is>
      </c>
      <c r="K16" s="127" t="n"/>
      <c r="L16" s="128" t="inlineStr">
        <is>
          <t>https://www.lovethework.com/work/entries/tide-collateral-stain-stories-742510</t>
        </is>
      </c>
      <c r="M16" s="113" t="inlineStr">
        <is>
          <t>A branded content series built around the stains that appear as collateral damage in other brands' advertising — the coffee splatter in a car commercial, the mustard smear in a fast-food spot — reframed as proof points for Tide Oxi Boost. Each film presents a real stain caught on camera in a partner brand's footage, then demonstrates what Tide Oxi Boost does to it.</t>
        </is>
      </c>
      <c r="N16" s="113" t="inlineStr">
        <is>
          <t>laundry, branded-content, brand-partnership, film, cinema, entertainment, united-states, sponsorship, saatchi-and-saatchi</t>
        </is>
      </c>
    </row>
    <row r="17">
      <c r="A17" s="127" t="n">
        <v>2025</v>
      </c>
      <c r="B17" s="132" t="inlineStr">
        <is>
          <t>Silver</t>
        </is>
      </c>
      <c r="C17" s="127" t="inlineStr">
        <is>
          <t>Retro Influencers</t>
        </is>
      </c>
      <c r="D17" s="127" t="inlineStr">
        <is>
          <t>Skol</t>
        </is>
      </c>
      <c r="E17" s="127" t="inlineStr">
        <is>
          <t>Skol</t>
        </is>
      </c>
      <c r="F17" s="127" t="inlineStr">
        <is>
          <t>Gut</t>
        </is>
      </c>
      <c r="G17" s="127" t="inlineStr">
        <is>
          <t>Brazil</t>
        </is>
      </c>
      <c r="H17" s="113" t="inlineStr">
        <is>
          <t>Co-Creation &amp; User Generated Content</t>
        </is>
      </c>
      <c r="I17" s="128" t="inlineStr">
        <is>
          <t>https://ascentialcdn.filespin.io/api/v1/conversion/16704911a39145c09f1ae466143b410d</t>
        </is>
      </c>
      <c r="J17" s="127" t="inlineStr">
        <is>
          <t>FKLnmbWukt0</t>
        </is>
      </c>
      <c r="K17" s="127" t="n"/>
      <c r="L17" s="128" t="inlineStr">
        <is>
          <t>https://www.lovethework.com/work/entries/retro-influencers-743091</t>
        </is>
      </c>
      <c r="M17" s="113" t="inlineStr">
        <is>
          <t>A social media mechanic built around Skol's dormant archive of tagged content — years of organic posts in which consumers had already photographed themselves with the beer. Skol asked those original posters to retag the old content, and in exchange paid them in beer, effectively converting an untapped back-catalogue of authentic user content into a compensated influencer network.</t>
        </is>
      </c>
      <c r="N17" s="113" t="inlineStr">
        <is>
          <t>beer, alcohol, social-media, user-generated-content, influencer-marketing, brazil, organic-content, community</t>
        </is>
      </c>
    </row>
    <row r="18">
      <c r="A18" s="127" t="n">
        <v>2025</v>
      </c>
      <c r="B18" s="132" t="inlineStr">
        <is>
          <t>Silver</t>
        </is>
      </c>
      <c r="C18" s="127" t="inlineStr">
        <is>
          <t>Lay's Bar Crawl</t>
        </is>
      </c>
      <c r="D18" s="127" t="inlineStr">
        <is>
          <t>Lay's</t>
        </is>
      </c>
      <c r="E18" s="127" t="inlineStr">
        <is>
          <t>Lay's</t>
        </is>
      </c>
      <c r="F18" s="127" t="inlineStr">
        <is>
          <t>Slap Global</t>
        </is>
      </c>
      <c r="G18" s="127" t="inlineStr">
        <is>
          <t>Argentina</t>
        </is>
      </c>
      <c r="H18" s="113" t="inlineStr">
        <is>
          <t>Multi-Platform Social Campaign</t>
        </is>
      </c>
      <c r="I18" s="128" t="inlineStr">
        <is>
          <t>https://ascentialcdn.filespin.io/api/v1/conversion/cc887f9119c440728c26ede9e95b1ad2</t>
        </is>
      </c>
      <c r="J18" s="127" t="inlineStr">
        <is>
          <t>HHZjLH4UCS0</t>
        </is>
      </c>
      <c r="K18" s="127" t="n"/>
      <c r="L18" s="128" t="inlineStr">
        <is>
          <t>https://www.lovethework.com/work/entries/lays-bar-crawl-743116</t>
        </is>
      </c>
      <c r="M18" s="113" t="inlineStr">
        <is>
          <t>A bar crawl campaign built around Lay's chip flavors in Argentina, pairing each flavor with a specific bar or drink stop along a mapped nightlife route. Created by Slap Global, the mechanic used the humor of matching snack taste profiles — smoky, tangy, spicy — to the personality of each venue on the crawl.</t>
        </is>
      </c>
      <c r="N18" s="113" t="inlineStr">
        <is>
          <t>snack, food, packaged-goods, cpg, fmcg, experiential, out-of-home, humour, argentina, nightlife, latin-america</t>
        </is>
      </c>
    </row>
    <row r="19">
      <c r="A19" s="127" t="n">
        <v>2025</v>
      </c>
      <c r="B19" s="132" t="inlineStr">
        <is>
          <t>Silver</t>
        </is>
      </c>
      <c r="C19" s="127" t="inlineStr">
        <is>
          <t>Name This Oreo</t>
        </is>
      </c>
      <c r="D19" s="127" t="inlineStr">
        <is>
          <t>Oreo</t>
        </is>
      </c>
      <c r="E19" s="127" t="inlineStr">
        <is>
          <t>Oreo</t>
        </is>
      </c>
      <c r="F19" s="127" t="inlineStr">
        <is>
          <t>VML</t>
        </is>
      </c>
      <c r="G19" s="127" t="inlineStr">
        <is>
          <t>United States</t>
        </is>
      </c>
      <c r="H19" s="113" t="inlineStr">
        <is>
          <t>Creator Collaboration</t>
        </is>
      </c>
      <c r="I19" s="127" t="inlineStr">
        <is>
          <t>digital-presentation-images/social-and-creator-oreo-name-this-oreo.webp</t>
        </is>
      </c>
      <c r="J19" s="127" t="inlineStr">
        <is>
          <t>vimeo:1078732737</t>
        </is>
      </c>
      <c r="K19" s="127" t="n"/>
      <c r="L19" s="128" t="inlineStr">
        <is>
          <t>https://www.lovethework.com/work/entries/name-this-oreo-765219</t>
        </is>
      </c>
      <c r="M19" s="113" t="inlineStr">
        <is>
          <t>A voice-activated web game at namethisoreo.com that turns "OREO Grammar" — a viral internet meme in which cookie-and-creme combinations are read aloud as sequences of "O" (cookie) and "RE" (creme) — into a timed naming challenge. Players speak the correct O-RE sequence for each stacked OREO combination shown on screen, build streaks, and unlock cookie offers. The campaign launched in partnership with TikTok's 2024 Creator of the Year, @OHIOSATOYUBOSS, whose existing OREO Grammar content made him the natural host.</t>
        </is>
      </c>
      <c r="N19" s="113" t="inlineStr">
        <is>
          <t>snack, food, packaged-goods, cpg, fmcg, voice-activation, mobile-app, social-influencer, gamification, united-states, tiktok, audio</t>
        </is>
      </c>
    </row>
    <row r="20">
      <c r="A20" s="127" t="n">
        <v>2025</v>
      </c>
      <c r="B20" s="132" t="inlineStr">
        <is>
          <t>Silver</t>
        </is>
      </c>
      <c r="C20" s="127" t="inlineStr">
        <is>
          <t>Name This Oreo</t>
        </is>
      </c>
      <c r="D20" s="127" t="inlineStr">
        <is>
          <t>Oreo</t>
        </is>
      </c>
      <c r="E20" s="127" t="inlineStr">
        <is>
          <t>Oreo</t>
        </is>
      </c>
      <c r="F20" s="127" t="inlineStr">
        <is>
          <t>VML</t>
        </is>
      </c>
      <c r="G20" s="127" t="inlineStr">
        <is>
          <t>United States</t>
        </is>
      </c>
      <c r="H20" s="113" t="inlineStr">
        <is>
          <t>Social Listening &amp; Insight</t>
        </is>
      </c>
      <c r="I20" s="127" t="inlineStr">
        <is>
          <t>digital-presentation-images/social-and-creator-oreo-name-this-oreo.webp</t>
        </is>
      </c>
      <c r="J20" s="127" t="inlineStr">
        <is>
          <t>vimeo:1078732737</t>
        </is>
      </c>
      <c r="K20" s="127" t="n"/>
      <c r="L20" s="128" t="inlineStr">
        <is>
          <t>https://www.lovethework.com/work/entries/name-this-oreo-765219</t>
        </is>
      </c>
      <c r="M20" s="113" t="inlineStr">
        <is>
          <t>A voice-activated web game at namethisoreo.com that turns "OREO Grammar" — a viral internet meme in which cookie-and-creme combinations are read aloud as sequences of "O" (cookie) and "RE" (creme) — into a timed naming challenge. Players speak the correct O-RE sequence for each stacked OREO combination shown on screen, build streaks, and unlock cookie offers. The campaign launched in partnership with TikTok's 2024 Creator of the Year, @OHIOSATOYUBOSS, whose existing OREO Grammar content made him the natural host.</t>
        </is>
      </c>
      <c r="N20" s="113" t="inlineStr">
        <is>
          <t>snack, food, packaged-goods, cpg, fmcg, voice-activation, mobile-app, social-influencer, gamification, united-states, tiktok, audio</t>
        </is>
      </c>
    </row>
    <row r="21">
      <c r="A21" s="127" t="n">
        <v>2025</v>
      </c>
      <c r="B21" s="132" t="inlineStr">
        <is>
          <t>Silver</t>
        </is>
      </c>
      <c r="C21" s="127" t="inlineStr">
        <is>
          <t>Call of Discounts</t>
        </is>
      </c>
      <c r="D21" s="127" t="inlineStr">
        <is>
          <t>Mercado Livre</t>
        </is>
      </c>
      <c r="E21" s="127" t="inlineStr">
        <is>
          <t>Mercado Livre</t>
        </is>
      </c>
      <c r="F21" s="127" t="inlineStr">
        <is>
          <t>Gut</t>
        </is>
      </c>
      <c r="G21" s="127" t="inlineStr">
        <is>
          <t>Brazil</t>
        </is>
      </c>
      <c r="H21" s="113" t="inlineStr">
        <is>
          <t>Content Placement</t>
        </is>
      </c>
      <c r="I21" s="128" t="inlineStr">
        <is>
          <t>https://ascentialcdn.filespin.io/api/v1/conversion/fffcddb9a87d448bbc386fd70d215d5e</t>
        </is>
      </c>
      <c r="J21" s="127" t="inlineStr">
        <is>
          <t>vimeo:1093409251</t>
        </is>
      </c>
      <c r="K21" s="127" t="n"/>
      <c r="L21" s="128" t="inlineStr">
        <is>
          <t>https://www.lovethework.com/work/entries/call-of-discounts-742896</t>
        </is>
      </c>
      <c r="M21" s="113" t="inlineStr">
        <is>
          <t>A promotion built inside Call of Duty's "Disguise" mini-game — a mode where players hide by blending into everyday objects — in which Mercado Livre listed those in-game objects as actual purchasable products on its marketplace, with Neymar appearing in-game as a playable character tied to the campaign. Shoppers could buy real-world versions of the items their opponents were literally hiding as, collapsing the boundary between the game environment and the e-commerce storefront.</t>
        </is>
      </c>
      <c r="N21" s="113" t="inlineStr">
        <is>
          <t>e-commerce, gaming, video-games, entertainment, mobile-app, call-of-duty, in-game, brazil, celebrity, gut-sao-paulo</t>
        </is>
      </c>
    </row>
    <row r="22">
      <c r="A22" s="127" t="n">
        <v>2025</v>
      </c>
      <c r="B22" s="132" t="inlineStr">
        <is>
          <t>Silver</t>
        </is>
      </c>
      <c r="C22" s="127" t="inlineStr">
        <is>
          <t>Vaseline Verified</t>
        </is>
      </c>
      <c r="D22" s="127" t="inlineStr">
        <is>
          <t>Unilever</t>
        </is>
      </c>
      <c r="E22" s="127" t="inlineStr">
        <is>
          <t>Vaseline</t>
        </is>
      </c>
      <c r="F22" s="127" t="inlineStr">
        <is>
          <t>Ogilvy</t>
        </is>
      </c>
      <c r="G22" s="127" t="inlineStr">
        <is>
          <t>Singapore</t>
        </is>
      </c>
      <c r="H22" s="113" t="inlineStr">
        <is>
          <t>Healthcare</t>
        </is>
      </c>
      <c r="I22" s="128" t="inlineStr">
        <is>
          <t>https://ascentialcdn.filespin.io/api/v1/conversion/faf0755b0d4e4594ad93cb75d6288e3d</t>
        </is>
      </c>
      <c r="J22" s="127" t="inlineStr">
        <is>
          <t>vimeo:1082798104</t>
        </is>
      </c>
      <c r="K22" s="127" t="n"/>
      <c r="L22" s="128" t="inlineStr">
        <is>
          <t>https://www.lovethework.com/work/entries/vaseline-verified-742181</t>
        </is>
      </c>
      <c r="M22" s="113" t="inlineStr">
        <is>
          <t>A community management campaign built around the 6,000-plus organic social media posts showing unofficial uses of Vaseline Petroleum Jelly: Ogilvy Singapore had dermatologists review each hack, awarding a "Vaseline Verified" seal to those that held up and publicly debunking those that didn't. The system turned user-generated content into a live, brand-endorsed verification layer — embracing the existing conversation rather than replacing it with controlled messaging.</t>
        </is>
      </c>
      <c r="N22" s="113" t="inlineStr">
        <is>
          <t>skincare, personal-care, beauty, community-management, social-media, user-generated-content, ooh, singapore, health-wellness, dermatology</t>
        </is>
      </c>
    </row>
    <row r="23">
      <c r="A23" s="127" t="n">
        <v>2025</v>
      </c>
      <c r="B23" s="132" t="inlineStr">
        <is>
          <t>Silver</t>
        </is>
      </c>
      <c r="C23" s="127" t="inlineStr">
        <is>
          <t>The Ordinary Life Hearing Test</t>
        </is>
      </c>
      <c r="D23" s="127" t="inlineStr">
        <is>
          <t>The Foundation for the Deaf</t>
        </is>
      </c>
      <c r="E23" s="127" t="inlineStr">
        <is>
          <t>The Foundation for the Deaf</t>
        </is>
      </c>
      <c r="F23" s="127" t="inlineStr">
        <is>
          <t>CJ Worx</t>
        </is>
      </c>
      <c r="G23" s="127" t="inlineStr">
        <is>
          <t>Thailand</t>
        </is>
      </c>
      <c r="H23" s="113" t="inlineStr">
        <is>
          <t>Content Placement</t>
        </is>
      </c>
      <c r="I23" s="127" t="inlineStr">
        <is>
          <t>digital-presentation-images/social-and-creator-the-foundation-for-the-deaf-the-ordinary-life-hearing-test.webp</t>
        </is>
      </c>
      <c r="J23" s="127" t="inlineStr">
        <is>
          <t>-FHyIakCLE4</t>
        </is>
      </c>
      <c r="K23" s="127" t="n"/>
      <c r="L23" s="128" t="inlineStr">
        <is>
          <t>https://www.lovethework.com/work/entries/the-ordinary-life-hearing-test-742956</t>
        </is>
      </c>
      <c r="M23" s="113" t="inlineStr">
        <is>
          <t>A hearing test embedded inside everyday Thai content — lifestyle videos, cooking clips, news segments — by embedding 2,000–4,000 Hz tones into the audio tracks of videos made by over 30 Thai content creators, including TNN, Parinnam Music, and MixSajay. Viewers watching normally through headphones are asked whether they can hear specific high-frequency sounds in the footage; struggle to detect them is flagged as a potential early sign of hearing loss, targeting the frequency range most responsible for consonant recognition in speech.</t>
        </is>
      </c>
      <c r="N23" s="113" t="inlineStr">
        <is>
          <t>public-health, content-placement, hearing-loss, thailand, audio, digital-video, creator-partnership, social-media, awareness</t>
        </is>
      </c>
    </row>
    <row r="24">
      <c r="A24" s="127" t="n">
        <v>2025</v>
      </c>
      <c r="B24" s="132" t="inlineStr">
        <is>
          <t>Silver</t>
        </is>
      </c>
      <c r="C24" s="127" t="inlineStr">
        <is>
          <t>Learn Korean or Else</t>
        </is>
      </c>
      <c r="D24" s="127" t="inlineStr">
        <is>
          <t>Duolingo</t>
        </is>
      </c>
      <c r="E24" s="127" t="inlineStr">
        <is>
          <t>Duolingo | Netflix</t>
        </is>
      </c>
      <c r="F24" s="127" t="inlineStr">
        <is>
          <t>Duolingo</t>
        </is>
      </c>
      <c r="G24" s="127" t="inlineStr">
        <is>
          <t>United States</t>
        </is>
      </c>
      <c r="H24" s="113" t="inlineStr">
        <is>
          <t>Sponsorship &amp; Brand Partnership</t>
        </is>
      </c>
      <c r="I24" s="128" t="inlineStr">
        <is>
          <t>https://ascentialcdn.filespin.io/api/v1/conversion/e3dd4e261f53452d8b3606a823b3c38e</t>
        </is>
      </c>
      <c r="J24" s="127" t="inlineStr">
        <is>
          <t>vimeo:1043774871</t>
        </is>
      </c>
      <c r="K24" s="127" t="n"/>
      <c r="L24" s="128" t="inlineStr">
        <is>
          <t>https://www.lovethework.com/work/entries/learn-korean-or-else-743038</t>
        </is>
      </c>
      <c r="M24" s="113" t="inlineStr">
        <is>
          <t>A brand partnership between Duolingo and Netflix timed to the December 26, 2024 premiere of Squid Game Season 2, in which Duo the Owl is costumed as one of the show's Pink Guards and threatens users to complete their Korean lessons. The campaign added over 40 Squid Game-specific phrases to Duolingo's Korean course, folding the show's high-stakes premise directly into the app's existing streak-pressure mechanic.</t>
        </is>
      </c>
      <c r="N24" s="113" t="inlineStr">
        <is>
          <t>language-learning, streaming, tv, entertainment, brand-partnership, mobile-app, united-states, social-media, mascot</t>
        </is>
      </c>
    </row>
    <row r="25">
      <c r="A25" s="127" t="n">
        <v>2025</v>
      </c>
      <c r="B25" s="132" t="inlineStr">
        <is>
          <t>Silver</t>
        </is>
      </c>
      <c r="C25" s="127" t="inlineStr">
        <is>
          <t>Diss-Mas</t>
        </is>
      </c>
      <c r="D25" s="127" t="inlineStr">
        <is>
          <t>Mga Entertainment</t>
        </is>
      </c>
      <c r="E25" s="127" t="inlineStr">
        <is>
          <t>Bratz, Little Tikes, Miniverse, L.o.l. Surprise!, Rainbow High, Yummiland, Baby Born, Pixel Petz, Grossmos, Cartuned, Finders Creepers</t>
        </is>
      </c>
      <c r="F25" s="127" t="inlineStr">
        <is>
          <t>Virtue Worldwide</t>
        </is>
      </c>
      <c r="G25" s="127" t="inlineStr">
        <is>
          <t>United States</t>
        </is>
      </c>
      <c r="H25" s="113" t="inlineStr">
        <is>
          <t>Creator Collaboration</t>
        </is>
      </c>
      <c r="I25" s="128" t="inlineStr">
        <is>
          <t>https://ascentialcdn.filespin.io/api/v1/conversion/86defc97414f43e0a94ca2bff0946f93</t>
        </is>
      </c>
      <c r="J25" s="127" t="inlineStr">
        <is>
          <t>eGNI9Rlv65s</t>
        </is>
      </c>
      <c r="K25" s="127" t="n"/>
      <c r="L25" s="128" t="inlineStr">
        <is>
          <t>https://www.lovethework.com/work/entries/diss-mas-742726</t>
        </is>
      </c>
      <c r="M25" s="113" t="inlineStr">
        <is>
          <t>A holiday diss track music video featuring TikTok-viral creator The Rizzler, produced with Pulse Films, in which the rapper "schools" adult gift-givers on the specific MGA Entertainment toys kids actually want — calling out gift cards and off-brand choices across MGA's lineup of Bratz, L.O.L. Surprise!, Rainbow High, Little Tikes, and eight other toy properties. The video was distributed as a piece of shoppable content, routing viewers directly to the products being dissed-for.</t>
        </is>
      </c>
      <c r="N25" s="113" t="inlineStr">
        <is>
          <t>toy, music-video, creator-collaboration, tiktok, shoppable-content, holiday, united-states, kids, entertainment</t>
        </is>
      </c>
    </row>
    <row r="26">
      <c r="A26" s="127" t="n">
        <v>2025</v>
      </c>
      <c r="B26" s="133" t="inlineStr">
        <is>
          <t>Bronze</t>
        </is>
      </c>
      <c r="C26" s="127" t="inlineStr">
        <is>
          <t>Pedigree Caramelo</t>
        </is>
      </c>
      <c r="D26" s="127" t="inlineStr">
        <is>
          <t>Pedigree</t>
        </is>
      </c>
      <c r="E26" s="127" t="inlineStr">
        <is>
          <t>Pedigree</t>
        </is>
      </c>
      <c r="F26" s="127" t="inlineStr">
        <is>
          <t>AlmapBBDO</t>
        </is>
      </c>
      <c r="G26" s="127" t="inlineStr">
        <is>
          <t>Brazil</t>
        </is>
      </c>
      <c r="H26" s="113" t="inlineStr">
        <is>
          <t>Corporate Purpose &amp; Social Responsibility</t>
        </is>
      </c>
      <c r="I26" s="128" t="inlineStr">
        <is>
          <t>https://ascentialcdn.filespin.io/api/v1/conversion/9a3e971b881d4a4ca39d80b57dd71382</t>
        </is>
      </c>
      <c r="J26" s="127" t="inlineStr">
        <is>
          <t>prMM0H9psRs</t>
        </is>
      </c>
      <c r="K26" s="127" t="n"/>
      <c r="L26" s="128" t="inlineStr">
        <is>
          <t>https://www.lovethework.com/work/entries/pedigree-caramelo-760896</t>
        </is>
      </c>
      <c r="M26" s="113" t="inlineStr">
        <is>
          <t>A campaign by AlmapBBDO São Paulo that officially registered Brazil's most common shelter dog — the caramelo, a generic tan mixed-breed found across the country — as a recognized breed, complete with a formal Pedigree certificate, DNA testing, a Kennel Club, and its own Pedigree branded packaging. The premise was that the caramelo was already everywhere in Brazilian culture — in memes, jokes, and everyday affection — but had never received the official status that purebred dogs carry, which Pedigree used as a reason to give it one.</t>
        </is>
      </c>
      <c r="N26" s="113" t="inlineStr">
        <is>
          <t>dog-food, brazil, shelter-adoption, branded-experience, packaging, public-service, mixed-breed, brand-strategy, pet-care</t>
        </is>
      </c>
    </row>
    <row r="27">
      <c r="A27" s="127" t="n">
        <v>2025</v>
      </c>
      <c r="B27" s="133" t="inlineStr">
        <is>
          <t>Bronze</t>
        </is>
      </c>
      <c r="C27" s="127" t="inlineStr">
        <is>
          <t>Undeleted</t>
        </is>
      </c>
      <c r="D27" s="127" t="inlineStr">
        <is>
          <t>Dove</t>
        </is>
      </c>
      <c r="E27" s="127" t="inlineStr">
        <is>
          <t>Deodorant</t>
        </is>
      </c>
      <c r="F27" s="127" t="inlineStr">
        <is>
          <t>VML</t>
        </is>
      </c>
      <c r="G27" s="127" t="inlineStr">
        <is>
          <t>Argentina</t>
        </is>
      </c>
      <c r="H27" s="113" t="inlineStr">
        <is>
          <t>Corporate Purpose &amp; Social Responsibility</t>
        </is>
      </c>
      <c r="I27" s="128" t="inlineStr">
        <is>
          <t>https://ascentialcdn.filespin.io/api/v1/conversion/70f6c404ba5843648150004783102991</t>
        </is>
      </c>
      <c r="J27" s="127" t="inlineStr">
        <is>
          <t>2V3ZDb5kow0</t>
        </is>
      </c>
      <c r="K27" s="127" t="n"/>
      <c r="L27" s="128" t="inlineStr">
        <is>
          <t>https://www.lovethework.com/work/entries/undeleted-743391</t>
        </is>
      </c>
      <c r="M27" s="113" t="inlineStr">
        <is>
          <t>A photo exhibition in Argentina displaying images that women had deleted from social media after receiving hateful comments — recovering and displaying the erased self-portraits as the subject of the show. The work responds to the reality that 8 in 10 women receive hate online, and that the reflex response is to remove the photo rather than the abuse.</t>
        </is>
      </c>
      <c r="N27" s="113" t="inlineStr">
        <is>
          <t>deodorant, personal-care, beauty, exhibition, social-media, corporate-purpose, argentina, ooh, female-audience, online-hate</t>
        </is>
      </c>
    </row>
    <row r="28">
      <c r="A28" s="127" t="n">
        <v>2025</v>
      </c>
      <c r="B28" s="133" t="inlineStr">
        <is>
          <t>Bronze</t>
        </is>
      </c>
      <c r="C28" s="127" t="inlineStr">
        <is>
          <t>Someday</t>
        </is>
      </c>
      <c r="D28" s="127" t="inlineStr">
        <is>
          <t>Apple</t>
        </is>
      </c>
      <c r="E28" s="127" t="inlineStr">
        <is>
          <t>Airpods</t>
        </is>
      </c>
      <c r="F28" s="127" t="inlineStr">
        <is>
          <t>TBWA\Media Arts Lab</t>
        </is>
      </c>
      <c r="G28" s="127" t="inlineStr">
        <is>
          <t>United States</t>
        </is>
      </c>
      <c r="H28" s="113" t="inlineStr">
        <is>
          <t>Social Film</t>
        </is>
      </c>
      <c r="I28" s="128" t="inlineStr">
        <is>
          <t>https://ascentialcdn.filespin.io/api/v1/conversion/475e966b12d5487d962412c02cc3eba4</t>
        </is>
      </c>
      <c r="J28" s="127" t="inlineStr">
        <is>
          <t>vimeo:1067749538</t>
        </is>
      </c>
      <c r="K28" s="127" t="n"/>
      <c r="L28" s="128" t="inlineStr">
        <is>
          <t>https://www.lovethework.com/work/entries/someday-743009</t>
        </is>
      </c>
      <c r="M28" s="113" t="inlineStr">
        <is>
          <t>A short film directed by Spike Jonze in which Pedro Pascal, isolated in a frozen winter landscape after a breakup, taps Active Noise Cancellation on his AirPods 4 and is pulled into a warm, choreographed world in full color. Made with TBWA\Media Arts Lab Los Angeles, it marks Jonze's second collaboration with Apple after his 2018 HomePod film featuring FKA Twigs.</t>
        </is>
      </c>
      <c r="N28" s="113" t="inlineStr">
        <is>
          <t>airpods, consumer-electronics, online-film, viral-film, celebrity, choreography, united-states, spike-jonze, tbwa-media-arts-lab</t>
        </is>
      </c>
    </row>
    <row r="29">
      <c r="A29" s="127" t="n">
        <v>2025</v>
      </c>
      <c r="B29" s="133" t="inlineStr">
        <is>
          <t>Bronze</t>
        </is>
      </c>
      <c r="C29" s="127" t="inlineStr">
        <is>
          <t>Four Seasons Baby</t>
        </is>
      </c>
      <c r="D29" s="127" t="inlineStr">
        <is>
          <t>Four Seasons Hotels &amp; Resorts</t>
        </is>
      </c>
      <c r="E29" s="127" t="inlineStr">
        <is>
          <t>Social Campaign</t>
        </is>
      </c>
      <c r="F29" s="127" t="inlineStr">
        <is>
          <t>We Are Social</t>
        </is>
      </c>
      <c r="G29" s="127" t="inlineStr">
        <is>
          <t>Canada</t>
        </is>
      </c>
      <c r="H29" s="113" t="inlineStr">
        <is>
          <t>Real-Time Response</t>
        </is>
      </c>
      <c r="I29" s="128" t="inlineStr">
        <is>
          <t>https://ascentialcdn.filespin.io/api/v1/conversion/b5a740dfdc0d4568a12c4e6ce327e1a1</t>
        </is>
      </c>
      <c r="J29" s="127" t="inlineStr">
        <is>
          <t>vimeo:1058771553</t>
        </is>
      </c>
      <c r="K29" s="127" t="n"/>
      <c r="L29" s="128" t="inlineStr">
        <is>
          <t>https://www.lovethework.com/work/entries/four-seasons-baby-742458</t>
        </is>
      </c>
      <c r="M29" s="113" t="inlineStr">
        <is>
          <t>A stitched TikTok video Four Seasons Hotels &amp; Resorts posted in response to a viral "fully conscious baby" meme, splicing the trending audio and format into footage of Four Seasons Orlando and its hotel staff. We Are Social Toronto turned the real-time response around rapidly enough to ride the meme's peak circulation window.</t>
        </is>
      </c>
      <c r="N29" s="113" t="inlineStr">
        <is>
          <t>hospitality, social-media, tiktok, real-time-response, user-generated-content, canada, organic-social</t>
        </is>
      </c>
    </row>
    <row r="30">
      <c r="A30" s="127" t="n">
        <v>2025</v>
      </c>
      <c r="B30" s="133" t="inlineStr">
        <is>
          <t>Bronze</t>
        </is>
      </c>
      <c r="C30" s="127" t="inlineStr">
        <is>
          <t>Abracadabra: from Fan to Featured</t>
        </is>
      </c>
      <c r="D30" s="127" t="inlineStr">
        <is>
          <t>Mastercard</t>
        </is>
      </c>
      <c r="E30" s="127" t="inlineStr">
        <is>
          <t>Mastercard</t>
        </is>
      </c>
      <c r="F30" s="127" t="inlineStr">
        <is>
          <t>McCANN XBC</t>
        </is>
      </c>
      <c r="G30" s="127" t="inlineStr">
        <is>
          <t>United States</t>
        </is>
      </c>
      <c r="H30" s="113" t="inlineStr">
        <is>
          <t>Sponsorship &amp; Brand Partnership</t>
        </is>
      </c>
      <c r="I30" s="128" t="inlineStr">
        <is>
          <t>https://ascentialcdn.filespin.io/api/v1/conversion/2c42f51097e14b1c9252656b853fc08f</t>
        </is>
      </c>
      <c r="J30" s="127" t="inlineStr">
        <is>
          <t>vimeo:1093143827</t>
        </is>
      </c>
      <c r="K30" s="127" t="n"/>
      <c r="L30" s="128" t="inlineStr">
        <is>
          <t>https://www.lovethework.com/work/entries/abracadabra-from-fan-to-featured-759424</t>
        </is>
      </c>
      <c r="M30" s="113" t="inlineStr">
        <is>
          <t>A music video for Lady Gaga's "Abracadabra" that replaced background dancers with Mastercard-selected fans, sourced through an open casting call and integrated into the official release. The project was produced in partnership with Merman U.S. and McCann XBC New York, turning a commercial sponsorship into a fan-to-screen pipeline with a mainstream music video as the delivery vehicle.</t>
        </is>
      </c>
      <c r="N30" s="113" t="inlineStr">
        <is>
          <t>credit-card, credit, payments, fintech, financial-services, finance, music-video, fan-engagement, entertainment, social-media, united-states, community-building</t>
        </is>
      </c>
    </row>
    <row r="31">
      <c r="A31" s="127" t="n">
        <v>2025</v>
      </c>
      <c r="B31" s="133" t="inlineStr">
        <is>
          <t>Bronze</t>
        </is>
      </c>
      <c r="C31" s="127" t="inlineStr">
        <is>
          <t>The Death of Duo</t>
        </is>
      </c>
      <c r="D31" s="127" t="inlineStr">
        <is>
          <t>Duolingo</t>
        </is>
      </c>
      <c r="E31" s="127" t="inlineStr">
        <is>
          <t>Duolingo</t>
        </is>
      </c>
      <c r="F31" s="127" t="inlineStr">
        <is>
          <t>Duolingo</t>
        </is>
      </c>
      <c r="G31" s="127" t="inlineStr">
        <is>
          <t>United States</t>
        </is>
      </c>
      <c r="H31" s="113" t="inlineStr">
        <is>
          <t>Brand Storytelling</t>
        </is>
      </c>
      <c r="I31" s="128" t="inlineStr">
        <is>
          <t>https://ascentialcdn.filespin.io/api/v1/conversion/f4109c89080c4d6b8170e479b78d5160</t>
        </is>
      </c>
      <c r="J31" s="127" t="inlineStr">
        <is>
          <t>vimeo:1094581252/8afcb39440</t>
        </is>
      </c>
      <c r="K31" s="127" t="n"/>
      <c r="L31" s="128" t="inlineStr">
        <is>
          <t>https://www.lovethework.com/work/entries/the-death-of-duo-742370</t>
        </is>
      </c>
      <c r="M31" s="113" t="inlineStr">
        <is>
          <t>A coordinated social media stunt in which Duolingo announced the death of Duo, its green owl mascot, across its channels — posting that the bird had mysteriously passed and that authorities were investigating. The campaign sustained the fiction across platforms, pulling in organic celebrity reactions including a post from Dua Lipa, and used the manufactured grief to prompt users to resume or start language streaks in Duo's memory.</t>
        </is>
      </c>
      <c r="N31" s="113" t="inlineStr">
        <is>
          <t>language-learning, social-media, community-management, mascot, stunt, united-states, organic-content</t>
        </is>
      </c>
    </row>
    <row r="32">
      <c r="A32" s="127" t="n">
        <v>2025</v>
      </c>
      <c r="B32" s="133" t="inlineStr">
        <is>
          <t>Bronze</t>
        </is>
      </c>
      <c r="C32" s="127" t="inlineStr">
        <is>
          <t>5-Star Theater with Adam Driver</t>
        </is>
      </c>
      <c r="D32" s="127" t="inlineStr">
        <is>
          <t>Amazon</t>
        </is>
      </c>
      <c r="E32" s="127" t="inlineStr">
        <is>
          <t>Amazon</t>
        </is>
      </c>
      <c r="F32" s="127" t="inlineStr">
        <is>
          <t>Amazon XCM</t>
        </is>
      </c>
      <c r="G32" s="127" t="inlineStr">
        <is>
          <t>United States</t>
        </is>
      </c>
      <c r="H32" s="113" t="inlineStr">
        <is>
          <t>Social Film Series</t>
        </is>
      </c>
      <c r="I32" s="128" t="inlineStr">
        <is>
          <t>https://ascentialcdn.filespin.io/api/v1/conversion/63359301abaf4173a6021398ff077c93</t>
        </is>
      </c>
      <c r="J32" s="127" t="inlineStr">
        <is>
          <t>mp4:https://d2z00kf51ll94q.cloudfront.net//archive/2025/media/OS25_BS029M_0.mp4</t>
        </is>
      </c>
      <c r="K32" s="127" t="n"/>
      <c r="L32" s="128" t="inlineStr">
        <is>
          <t>https://www.lovethework.com/work/entries/5-star-theater-with-adam-driver-743003</t>
        </is>
      </c>
      <c r="M32" s="113" t="inlineStr">
        <is>
          <t>A social film series in which actor Adam Driver reads aloud five-star customer reviews of everyday Amazon products — mundane items like dish soap and batteries — performed with the same dramatic intensity he brings to prestige cinema. Each short episode pairs the deadpan mismatch of theatrical gravitas with banal retail copy, produced by Amazon XCM with production company Caviar.</t>
        </is>
      </c>
      <c r="N32" s="113" t="inlineStr">
        <is>
          <t>e-commerce, social-film-series, comedy, celebrity, united-states, online-video, retail</t>
        </is>
      </c>
    </row>
    <row r="33">
      <c r="A33" s="127" t="n">
        <v>2025</v>
      </c>
      <c r="B33" s="133" t="inlineStr">
        <is>
          <t>Bronze</t>
        </is>
      </c>
      <c r="C33" s="127" t="inlineStr">
        <is>
          <t>Oreo Empire</t>
        </is>
      </c>
      <c r="D33" s="127" t="inlineStr">
        <is>
          <t>Oreo</t>
        </is>
      </c>
      <c r="E33" s="127" t="inlineStr">
        <is>
          <t>Oreo Cookies</t>
        </is>
      </c>
      <c r="F33" s="127" t="inlineStr">
        <is>
          <t>Dentsu Creative</t>
        </is>
      </c>
      <c r="G33" s="127" t="inlineStr">
        <is>
          <t>United States</t>
        </is>
      </c>
      <c r="H33" s="113" t="inlineStr">
        <is>
          <t>Brand Storytelling</t>
        </is>
      </c>
      <c r="I33" s="128" t="inlineStr">
        <is>
          <t>https://ascentialcdn.filespin.io/api/v1/conversion/f2978f9255da42889e454a19c0f9f5ea</t>
        </is>
      </c>
      <c r="J33" s="127" t="inlineStr">
        <is>
          <t>JxtVzPFRTGw</t>
        </is>
      </c>
      <c r="K33" s="127" t="n"/>
      <c r="L33" s="128" t="inlineStr">
        <is>
          <t>https://www.lovethework.com/work/entries/oreo-empire-742460</t>
        </is>
      </c>
      <c r="M33" s="113" t="inlineStr">
        <is>
          <t>A brand integration built around the visual language of the Star Wars universe: OREO released a limited-edition cookie line featuring embossed designs tied to the Star Wars franchise, with packaging and creative extending the galaxy-spanning empire metaphor across retail and social. Dentsu Creative Chicago developed the campaign to position the cookie's iconic twist-lick-dunk ritual as a loyalty test between the light and dark sides of the Force.</t>
        </is>
      </c>
      <c r="N33" s="113" t="inlineStr">
        <is>
          <t>oreo, cookie, snack, food, packaged-goods, cpg, fmcg, brand-integration, entertainment-partnership, limited-edition, packaging, star-wars, united-states</t>
        </is>
      </c>
    </row>
    <row r="34">
      <c r="A34" s="127" t="n">
        <v>2025</v>
      </c>
      <c r="B34" s="133" t="inlineStr">
        <is>
          <t>Bronze</t>
        </is>
      </c>
      <c r="C34" s="127" t="inlineStr">
        <is>
          <t>Trash Talk Codes</t>
        </is>
      </c>
      <c r="D34" s="127" t="inlineStr">
        <is>
          <t>Brahma</t>
        </is>
      </c>
      <c r="E34" s="127" t="inlineStr">
        <is>
          <t>Beer</t>
        </is>
      </c>
      <c r="F34" s="127" t="inlineStr">
        <is>
          <t>Africa Creative DDB</t>
        </is>
      </c>
      <c r="G34" s="127" t="inlineStr">
        <is>
          <t>Brazil</t>
        </is>
      </c>
      <c r="H34" s="113" t="inlineStr">
        <is>
          <t>Innovative Engagement of Community</t>
        </is>
      </c>
      <c r="I34" s="128" t="inlineStr">
        <is>
          <t>https://ascentialcdn.filespin.io/api/v1/conversion/bcf3f7bdfec54845a73773b5e7abc7db</t>
        </is>
      </c>
      <c r="J34" s="127" t="inlineStr">
        <is>
          <t>vimeo:1090489924</t>
        </is>
      </c>
      <c r="K34" s="127" t="n"/>
      <c r="L34" s="128" t="inlineStr">
        <is>
          <t>https://www.lovethework.com/work/entries/trash-talk-codes-742731</t>
        </is>
      </c>
      <c r="M34" s="113" t="inlineStr">
        <is>
          <t>QR codes printed on Brahma beer packaging that, when scanned, unlock exclusive content or commerce rewards triggered by trash talk — insults exchanged between rival football fans in Brazil. The codes activate only in response to specific taunting language, turning the ritual of football banter into a purchase mechanic tied directly to the product.</t>
        </is>
      </c>
      <c r="N34" s="113" t="inlineStr">
        <is>
          <t>beer, alcohol, packaging, qr-code, football, soccer, sport, commerce, brazil, mobile, sports-culture</t>
        </is>
      </c>
    </row>
    <row r="35">
      <c r="A35" s="127" t="n">
        <v>2025</v>
      </c>
      <c r="B35" s="133" t="inlineStr">
        <is>
          <t>Bronze</t>
        </is>
      </c>
      <c r="C35" s="127" t="inlineStr">
        <is>
          <t>Tide Collateral Stain Stories</t>
        </is>
      </c>
      <c r="D35" s="127" t="inlineStr">
        <is>
          <t>Tide</t>
        </is>
      </c>
      <c r="E35" s="127" t="inlineStr">
        <is>
          <t>Tide Oxi Boost</t>
        </is>
      </c>
      <c r="F35" s="127" t="inlineStr">
        <is>
          <t>Saatchi &amp; Saatchi</t>
        </is>
      </c>
      <c r="G35" s="127" t="inlineStr">
        <is>
          <t>United States</t>
        </is>
      </c>
      <c r="H35" s="113" t="inlineStr">
        <is>
          <t>Content Placement</t>
        </is>
      </c>
      <c r="I35" s="128" t="inlineStr">
        <is>
          <t>https://ascentialcdn.filespin.io/api/v1/conversion/510865a52f65499f83e95097f9458b0c</t>
        </is>
      </c>
      <c r="J35" s="127" t="inlineStr">
        <is>
          <t>vimeo:1078053795</t>
        </is>
      </c>
      <c r="K35" s="127" t="n"/>
      <c r="L35" s="128" t="inlineStr">
        <is>
          <t>https://www.lovethework.com/work/entries/tide-collateral-stain-stories-742796</t>
        </is>
      </c>
      <c r="M35" s="113" t="inlineStr">
        <is>
          <t>A branded content series built around the stains that appear as collateral damage in other brands' advertising — the coffee splatter in a car commercial, the mustard smear in a fast-food spot — reframed as proof points for Tide Oxi Boost. Each film presents a real stain caught on camera in a partner brand's footage, then demonstrates what Tide Oxi Boost does to it.</t>
        </is>
      </c>
      <c r="N35" s="113" t="inlineStr">
        <is>
          <t>laundry, branded-content, brand-partnership, film, cinema, entertainment, united-states, sponsorship, saatchi-and-saatchi</t>
        </is>
      </c>
    </row>
    <row r="36">
      <c r="A36" s="127" t="n">
        <v>2025</v>
      </c>
      <c r="B36" s="133" t="inlineStr">
        <is>
          <t>Bronze</t>
        </is>
      </c>
      <c r="C36" s="127" t="inlineStr">
        <is>
          <t>Lidlize</t>
        </is>
      </c>
      <c r="D36" s="127" t="inlineStr">
        <is>
          <t>Lidl</t>
        </is>
      </c>
      <c r="E36" s="127" t="inlineStr">
        <is>
          <t>Retail</t>
        </is>
      </c>
      <c r="F36" s="127" t="inlineStr">
        <is>
          <t>Marcel</t>
        </is>
      </c>
      <c r="G36" s="127" t="inlineStr">
        <is>
          <t>France</t>
        </is>
      </c>
      <c r="H36" s="113" t="inlineStr">
        <is>
          <t>Co-Creation &amp; User Generated Content</t>
        </is>
      </c>
      <c r="I36" s="128" t="inlineStr">
        <is>
          <t>https://ascentialcdn.filespin.io/api/v1/conversion/f979928ea0a14ad7a4df5b301de95a0e</t>
        </is>
      </c>
      <c r="J36" s="127" t="inlineStr">
        <is>
          <t>mba6sPCSX_8</t>
        </is>
      </c>
      <c r="K36" s="127" t="n"/>
      <c r="L36" s="128" t="inlineStr">
        <is>
          <t>https://www.lovethework.com/work/entries/lidlize-760659</t>
        </is>
      </c>
      <c r="M36" s="113" t="inlineStr">
        <is>
          <t>An AI platform built by Lidl and Marcel Paris that let customers design their own products — apparel, accessories, objects — rendered in Lidl's signature yellow-and-blue branding. The most popular community-voted creation was then manufactured and sold in Lidl stores.</t>
        </is>
      </c>
      <c r="N36" s="113" t="inlineStr">
        <is>
          <t>retail, influencer-co-creation, ai, technology, mobile-app, user-generated-content, france, community-voting, product-design</t>
        </is>
      </c>
    </row>
    <row r="37">
      <c r="A37" s="127" t="n">
        <v>2025</v>
      </c>
      <c r="B37" s="133" t="inlineStr">
        <is>
          <t>Bronze</t>
        </is>
      </c>
      <c r="C37" s="127" t="inlineStr">
        <is>
          <t>Harmoniser</t>
        </is>
      </c>
      <c r="D37" s="127" t="inlineStr">
        <is>
          <t>Twix</t>
        </is>
      </c>
      <c r="E37" s="127" t="inlineStr">
        <is>
          <t>Twix</t>
        </is>
      </c>
      <c r="F37" s="127" t="inlineStr">
        <is>
          <t>adam&amp;eveDDB</t>
        </is>
      </c>
      <c r="G37" s="127" t="inlineStr">
        <is>
          <t>United Kingdom</t>
        </is>
      </c>
      <c r="H37" s="113" t="inlineStr">
        <is>
          <t>Co-Creation &amp; User Generated Content</t>
        </is>
      </c>
      <c r="I37" s="128" t="inlineStr">
        <is>
          <t>https://ascentialcdn.filespin.io/api/v1/conversion/bd69a0303076425391bbc54c35136f07</t>
        </is>
      </c>
      <c r="J37" s="127" t="inlineStr">
        <is>
          <t>OFY3DkMtpEk</t>
        </is>
      </c>
      <c r="K37" s="127" t="n"/>
      <c r="L37" s="128" t="inlineStr">
        <is>
          <t>https://www.lovethework.com/work/entries/harmoniser-743035</t>
        </is>
      </c>
      <c r="M37" s="113" t="inlineStr">
        <is>
          <t>A WhatsApp feature, built with Meta, that detects when a voicenote is being recorded and harmonises the speaker's voice with itself — turning ordinary 18-to-34 voice messaging into impromptu duets. Launched across Europe as part of Twix's 'Two is more than One' platform.</t>
        </is>
      </c>
      <c r="N37" s="113" t="inlineStr">
        <is>
          <t>social, mobile, audio, ai, technology, voice, partnership, confectionery, candy, snack, packaged-goods, food, cpg, fmcg, europe</t>
        </is>
      </c>
    </row>
    <row r="38">
      <c r="A38" s="127" t="n">
        <v>2025</v>
      </c>
      <c r="B38" s="133" t="inlineStr">
        <is>
          <t>Bronze</t>
        </is>
      </c>
      <c r="C38" s="127" t="inlineStr">
        <is>
          <t>Tantrum Girl</t>
        </is>
      </c>
      <c r="D38" s="127" t="inlineStr">
        <is>
          <t>Toblerone</t>
        </is>
      </c>
      <c r="E38" s="127" t="inlineStr">
        <is>
          <t>Toblerone Chocolate</t>
        </is>
      </c>
      <c r="F38" s="127" t="inlineStr">
        <is>
          <t>LePub</t>
        </is>
      </c>
      <c r="G38" s="127" t="inlineStr">
        <is>
          <t>Italy</t>
        </is>
      </c>
      <c r="H38" s="113" t="inlineStr">
        <is>
          <t>Brand Storytelling</t>
        </is>
      </c>
      <c r="I38" s="127" t="inlineStr">
        <is>
          <t>digital-presentation-images/social-and-creator-toblerone-tantrum-girl.webp</t>
        </is>
      </c>
      <c r="J38" s="127" t="inlineStr">
        <is>
          <t>vimeo:1182426776</t>
        </is>
      </c>
      <c r="K38" s="127" t="n"/>
      <c r="L38" s="128" t="inlineStr">
        <is>
          <t>https://www.lovethework.com/work/entries/tantrum-girl-742550</t>
        </is>
      </c>
      <c r="M38" s="113" t="inlineStr">
        <is>
          <t>A live stunt staged at London Stansted Airport's arrivals gate in which a young girl throws a full tantrum when her mother returns from a trip without a Toblerone. The scene was filmed and shared by unsuspecting bystanders, seeding the footage organically across social media as if it were a real family meltdown.</t>
        </is>
      </c>
      <c r="N38" s="113" t="inlineStr">
        <is>
          <t>chocolate, social-media, stunt, airport, brand-storytelling, user-generated-content, united-kingdom, italy</t>
        </is>
      </c>
    </row>
    <row r="39">
      <c r="A39" s="127" t="n">
        <v>2025</v>
      </c>
      <c r="B39" s="133" t="inlineStr">
        <is>
          <t>Bronze</t>
        </is>
      </c>
      <c r="C39" s="127" t="inlineStr">
        <is>
          <t>Olympic Curry</t>
        </is>
      </c>
      <c r="D39" s="127" t="inlineStr">
        <is>
          <t>McDonald's</t>
        </is>
      </c>
      <c r="E39" s="127" t="inlineStr">
        <is>
          <t>Curry Sauce</t>
        </is>
      </c>
      <c r="F39" s="127" t="inlineStr">
        <is>
          <t>DDB Paris</t>
        </is>
      </c>
      <c r="G39" s="127" t="inlineStr">
        <is>
          <t>France</t>
        </is>
      </c>
      <c r="H39" s="113" t="inlineStr">
        <is>
          <t>Organic Reach &amp; Influence</t>
        </is>
      </c>
      <c r="I39" s="128" t="inlineStr">
        <is>
          <t>https://ascentialcdn.filespin.io/api/v1/conversion/b8993a8a561d47fe9b9f126b8fbb45ce</t>
        </is>
      </c>
      <c r="J39" s="127" t="inlineStr">
        <is>
          <t>tOs7DlcDX0U</t>
        </is>
      </c>
      <c r="K39" s="127" t="n"/>
      <c r="L39" s="128" t="inlineStr">
        <is>
          <t>https://www.lovethework.com/work/entries/olympic-curry-742643</t>
        </is>
      </c>
      <c r="M39" s="113" t="inlineStr">
        <is>
          <t>A social media exchange between McDonald's France and McDonald's USA accounts, sparked by American athletes at the Paris 2024 Olympics publicly craving McDonald's France's curry sauce — a dipping sauce unavailable in U.S. locations. DDB Paris amplified the moment by staging a cross-account dialogue between the two national McDonald's handles, leaning into the menu difference as a point of cultural tension during the Games.</t>
        </is>
      </c>
      <c r="N39" s="113" t="inlineStr">
        <is>
          <t>quick-service-restaurant, social-media, social-engagement, france, united-states, paris-olympics, condiment, real-time-marketing</t>
        </is>
      </c>
    </row>
    <row r="40">
      <c r="A40" s="127" t="n">
        <v>2025</v>
      </c>
      <c r="B40" s="133" t="inlineStr">
        <is>
          <t>Bronze</t>
        </is>
      </c>
      <c r="C40" s="127" t="inlineStr">
        <is>
          <t>Feelin Planty Good</t>
        </is>
      </c>
      <c r="D40" s="127" t="inlineStr">
        <is>
          <t>Silk</t>
        </is>
      </c>
      <c r="E40" s="127" t="inlineStr">
        <is>
          <t>Silk Vanilla Almond Milk</t>
        </is>
      </c>
      <c r="F40" s="127" t="inlineStr">
        <is>
          <t>Havas</t>
        </is>
      </c>
      <c r="G40" s="127" t="inlineStr">
        <is>
          <t>United States</t>
        </is>
      </c>
      <c r="H40" s="113" t="inlineStr">
        <is>
          <t>Excellence in Craft</t>
        </is>
      </c>
      <c r="I40" s="128" t="inlineStr">
        <is>
          <t>https://ascentialcdn.filespin.io/api/v1/conversion/6a5dda0a534843feb5db80efbb5a5b2c</t>
        </is>
      </c>
      <c r="J40" s="127" t="inlineStr">
        <is>
          <t>vimeo:1176491607</t>
        </is>
      </c>
      <c r="K40" s="127" t="n"/>
      <c r="L40" s="128" t="inlineStr">
        <is>
          <t>https://www.lovethework.com/work/entries/feelin-planty-good-742838</t>
        </is>
      </c>
      <c r="M40" s="113" t="inlineStr">
        <is>
          <t>Silk reached Gen Z and millennials by swapping traditional food advertising for creator-led content that felt native to their feeds. Partnering with delightfully random musician Carter Vail, the brand turned its 'Switch to Silk' message into nine original, funny songs that made the product benefits feel entertaining, shareable and weird enough to stop the scroll.</t>
        </is>
      </c>
      <c r="N40" s="113" t="inlineStr">
        <is>
          <t>plant-milk, drinks, beverage, social-media, music, entertainment, creator-led, partnership, gen-z, united-states</t>
        </is>
      </c>
    </row>
    <row r="41">
      <c r="A41" s="127" t="n">
        <v>2025</v>
      </c>
      <c r="B41" s="133" t="inlineStr">
        <is>
          <t>Bronze</t>
        </is>
      </c>
      <c r="C41" s="127" t="inlineStr">
        <is>
          <t>Letting Our Gen-Z Staff Write the Marketing Script</t>
        </is>
      </c>
      <c r="D41" s="127" t="inlineStr">
        <is>
          <t>Currys</t>
        </is>
      </c>
      <c r="E41" s="127" t="inlineStr">
        <is>
          <t>Ninja, Henry Hoover</t>
        </is>
      </c>
      <c r="F41" s="127" t="inlineStr">
        <is>
          <t>Fabric Social</t>
        </is>
      </c>
      <c r="G41" s="127" t="inlineStr">
        <is>
          <t>United Kingdom</t>
        </is>
      </c>
      <c r="H41" s="113" t="inlineStr">
        <is>
          <t>Organic Reach &amp; Influence</t>
        </is>
      </c>
      <c r="I41" s="128" t="inlineStr">
        <is>
          <t>https://ascentialcdn.filespin.io/api/v1/conversion/1c6ea8a8d83c40ee81aad876ed744e8a</t>
        </is>
      </c>
      <c r="J41" s="127" t="inlineStr">
        <is>
          <t>vimeo:1094578702/cba6cf513a</t>
        </is>
      </c>
      <c r="K41" s="127" t="n"/>
      <c r="L41" s="128" t="inlineStr">
        <is>
          <t>https://www.lovethework.com/work/entries/letting-our-gen-z-staff-write-the-marketing-script-742712</t>
        </is>
      </c>
      <c r="M41" s="113" t="inlineStr">
        <is>
          <t>Currys reconnected with Gen Z by literally letting its younger staff write the marketing script. Starring real employee George and his offbeat deadpan delivery, the video traded polished retail advertising for authentic, trend-aware humor that promoted products while feeling native to social.</t>
        </is>
      </c>
      <c r="N41" s="113" t="inlineStr">
        <is>
          <t>retail, electronics, social-media, video, creator-led, humor, gen-z, united-kingdom</t>
        </is>
      </c>
    </row>
    <row r="42">
      <c r="A42" s="127" t="n">
        <v>2025</v>
      </c>
      <c r="B42" s="133" t="inlineStr">
        <is>
          <t>Bronze</t>
        </is>
      </c>
      <c r="C42" s="127" t="inlineStr">
        <is>
          <t>250 Reasons Not to Buy the Mercedes-Amg Purespeed</t>
        </is>
      </c>
      <c r="D42" s="127" t="inlineStr">
        <is>
          <t>Mercedes Benz</t>
        </is>
      </c>
      <c r="E42" s="127" t="inlineStr">
        <is>
          <t>Mercedes-Amg</t>
        </is>
      </c>
      <c r="F42" s="127" t="inlineStr">
        <is>
          <t>Team X</t>
        </is>
      </c>
      <c r="G42" s="127" t="inlineStr">
        <is>
          <t>Germany</t>
        </is>
      </c>
      <c r="H42" s="113" t="inlineStr">
        <is>
          <t>Multi-Platform Social Campaign</t>
        </is>
      </c>
      <c r="I42" s="128" t="inlineStr">
        <is>
          <t>https://ascentialcdn.filespin.io/api/v1/conversion/f757f3845e604e6482123c99fa943337</t>
        </is>
      </c>
      <c r="J42" s="127" t="inlineStr">
        <is>
          <t>vimeo:1094331871</t>
        </is>
      </c>
      <c r="K42" s="127" t="n"/>
      <c r="L42" s="128" t="inlineStr">
        <is>
          <t>https://www.lovethework.com/work/entries/250-reasons-not-to-buy-the-mercedes-amg-purespeed-743080</t>
        </is>
      </c>
      <c r="M42" s="113" t="inlineStr">
        <is>
          <t>A social campaign for the Mercedes-AMG PureSpeed that leads with the car's 250-unit production limit — framing scarcity as a deliberate barrier by listing 250 reasons the car is not for most people. Produced by LeBerg Berlin and directed by Tom Emmerson, the work ran across multiple social platforms and leaned into exclusivity as the central creative argument.</t>
        </is>
      </c>
      <c r="N42" s="113" t="inlineStr">
        <is>
          <t>automotive, cars, transport, multi-platform-social, social-media, limited-edition, germany, luxury</t>
        </is>
      </c>
    </row>
    <row r="43">
      <c r="A43" s="127" t="n">
        <v>2025</v>
      </c>
      <c r="B43" s="133" t="inlineStr">
        <is>
          <t>Bronze</t>
        </is>
      </c>
      <c r="C43" s="127" t="inlineStr">
        <is>
          <t>Snickers AI</t>
        </is>
      </c>
      <c r="D43" s="127" t="inlineStr">
        <is>
          <t>Snickers</t>
        </is>
      </c>
      <c r="E43" s="127" t="inlineStr">
        <is>
          <t>Snickers</t>
        </is>
      </c>
      <c r="F43" s="127" t="inlineStr">
        <is>
          <t>T&amp;Pm</t>
        </is>
      </c>
      <c r="G43" s="127" t="inlineStr">
        <is>
          <t>United Kingdom</t>
        </is>
      </c>
      <c r="H43" s="113" t="inlineStr">
        <is>
          <t>Co-Creation &amp; User Generated Content</t>
        </is>
      </c>
      <c r="I43" s="128" t="inlineStr">
        <is>
          <t>https://ascentialcdn.filespin.io/api/v1/conversion/86bcac60e3f648c7881b028c2d9d2273</t>
        </is>
      </c>
      <c r="J43" s="127" t="inlineStr">
        <is>
          <t>VlRy84v2mXw</t>
        </is>
      </c>
      <c r="K43" s="127" t="n"/>
      <c r="L43" s="128" t="inlineStr">
        <is>
          <t>https://www.lovethework.com/work/entries/snickers-ai-743048</t>
        </is>
      </c>
      <c r="M43" s="113" t="inlineStr">
        <is>
          <t>An authorized AI clone of football manager José Mourinho, built for Snickers, that generated personalized video roasts of fans' "own goal" moments — embarrassing real-life mistakes submitted by users and their friends. The roast videos were shared primarily through WhatsApp, timed to a major football tournament.</t>
        </is>
      </c>
      <c r="N43" s="113" t="inlineStr">
        <is>
          <t>snack, food, packaged-goods, cpg, fmcg, ai, technology, user-generated-content, football, soccer, sport, whatsapp, mobile, united-kingdom, co-creation, deepfake, sports</t>
        </is>
      </c>
    </row>
    <row r="44">
      <c r="A44" s="127" t="n">
        <v>2025</v>
      </c>
      <c r="B44" s="133" t="inlineStr">
        <is>
          <t>Bronze</t>
        </is>
      </c>
      <c r="C44" s="127" t="inlineStr">
        <is>
          <t>One Second Ads</t>
        </is>
      </c>
      <c r="D44" s="127" t="inlineStr">
        <is>
          <t>Budweiser</t>
        </is>
      </c>
      <c r="E44" s="127" t="inlineStr">
        <is>
          <t>Beer</t>
        </is>
      </c>
      <c r="F44" s="127" t="inlineStr">
        <is>
          <t>Africa Creative DDB</t>
        </is>
      </c>
      <c r="G44" s="127" t="inlineStr">
        <is>
          <t>Brazil</t>
        </is>
      </c>
      <c r="H44" s="113" t="inlineStr">
        <is>
          <t>Innovative Engagement of Community</t>
        </is>
      </c>
      <c r="I44" s="127" t="inlineStr">
        <is>
          <t>digital-presentation-images/social-and-creator-budweiser-one-second-ads.webp</t>
        </is>
      </c>
      <c r="J44" s="127" t="inlineStr">
        <is>
          <t>RpvlshoKIrE</t>
        </is>
      </c>
      <c r="K44" s="127" t="n"/>
      <c r="L44" s="128" t="inlineStr">
        <is>
          <t>https://www.lovethework.com/work/entries/one-second-ads-759545</t>
        </is>
      </c>
      <c r="M44" s="113" t="inlineStr">
        <is>
          <t>A series of one-second social media ads built around the opening note or two of globally recognized songs — from Beyoncé and Taylor Swift to The Beatles and Foo Fighters — short enough that true fans could identify the track but too brief to trigger music licensing fees. Budweiser challenged viewers on social media to name the song, rewarding correct guessers with a beer coupon sent via DM, which turned the comment sections into active guessing threads and kept viewers replaying the ads voluntarily.</t>
        </is>
      </c>
      <c r="N44" s="113" t="inlineStr">
        <is>
          <t>beer, alcohol, social-media, audio, music, entertainment, short-form-video, brazil, user-participation, mobile</t>
        </is>
      </c>
    </row>
    <row r="45">
      <c r="A45" s="127" t="n">
        <v>2025</v>
      </c>
      <c r="B45" s="133" t="inlineStr">
        <is>
          <t>Bronze</t>
        </is>
      </c>
      <c r="C45" s="127" t="inlineStr">
        <is>
          <t>Camden Stout - Honest Reviews</t>
        </is>
      </c>
      <c r="D45" s="127" t="inlineStr">
        <is>
          <t>Camden Town Brewery</t>
        </is>
      </c>
      <c r="E45" s="127" t="inlineStr">
        <is>
          <t>Camden Stout</t>
        </is>
      </c>
      <c r="F45" s="127" t="inlineStr">
        <is>
          <t>AB InBev</t>
        </is>
      </c>
      <c r="G45" s="127" t="inlineStr">
        <is>
          <t>Belgium</t>
        </is>
      </c>
      <c r="H45" s="113" t="inlineStr">
        <is>
          <t>Audience Targeting/Engagement Strategies</t>
        </is>
      </c>
      <c r="I45" s="128" t="inlineStr">
        <is>
          <t>https://ascentialcdn.filespin.io/api/v1/conversion/02e1b78a1ce94d84bee44bf8a707550e</t>
        </is>
      </c>
      <c r="J45" s="127" t="inlineStr">
        <is>
          <t>vimeo:1077904091</t>
        </is>
      </c>
      <c r="K45" s="127" t="n"/>
      <c r="L45" s="128" t="inlineStr">
        <is>
          <t>https://www.lovethework.com/work/entries/camden-stout-honest-reviews-742275</t>
        </is>
      </c>
      <c r="M45" s="113" t="inlineStr">
        <is>
          <t>An audience targeting campaign built around real, unfiltered consumer reviews of Camden Stout, using honest customer language as the creative content rather than brand-authored copy. The work positions the stout's actual drinker feedback — including its less flattering characterizations — as the primary media message.</t>
        </is>
      </c>
      <c r="N45" s="113" t="inlineStr">
        <is>
          <t>beer, alcohol, audience-targeting, user-generated-content, social-media, belgium, camden-town-brewery</t>
        </is>
      </c>
    </row>
    <row r="46">
      <c r="A46" s="127" t="n">
        <v>2025</v>
      </c>
      <c r="B46" s="133" t="inlineStr">
        <is>
          <t>Bronze</t>
        </is>
      </c>
      <c r="C46" s="127" t="inlineStr">
        <is>
          <t>U Up?</t>
        </is>
      </c>
      <c r="D46" s="127" t="inlineStr">
        <is>
          <t>IKEA</t>
        </is>
      </c>
      <c r="E46" s="127" t="inlineStr">
        <is>
          <t>IKEA</t>
        </is>
      </c>
      <c r="F46" s="127" t="inlineStr">
        <is>
          <t>Rethink</t>
        </is>
      </c>
      <c r="G46" s="127" t="inlineStr">
        <is>
          <t>Canada</t>
        </is>
      </c>
      <c r="H46" s="113" t="inlineStr">
        <is>
          <t>Breakthrough on a Budget</t>
        </is>
      </c>
      <c r="I46" s="128" t="inlineStr">
        <is>
          <t>https://ascentialcdn.filespin.io/api/v1/conversion/1d6f8cfcad1b47c9beaa5f403844ec8a</t>
        </is>
      </c>
      <c r="J46" s="127" t="inlineStr">
        <is>
          <t>VT02JDQuMxM</t>
        </is>
      </c>
      <c r="K46" s="127" t="n"/>
      <c r="L46" s="128" t="inlineStr">
        <is>
          <t>https://www.lovethework.com/work/entries/u-up-743427</t>
        </is>
      </c>
      <c r="M46" s="113" t="inlineStr">
        <is>
          <t>A late-night Instagram DM campaign that sent the message "u up?" to Canadians detected to be awake between 10 p.m. and 5 a.m., then offered anyone who replied a discounted or free mattress. The mechanic mimicked a late-night booty-call text to position IKEA as the reason you're still scrolling — and the solution to it.</t>
        </is>
      </c>
      <c r="N46" s="113" t="inlineStr">
        <is>
          <t>ikea, home-furnishings, social-media, instagram, direct-message, ooh, canada, use-of-humour, late-night</t>
        </is>
      </c>
    </row>
    <row r="47">
      <c r="A47" s="127" t="n">
        <v>2025</v>
      </c>
      <c r="B47" s="133" t="inlineStr">
        <is>
          <t>Bronze</t>
        </is>
      </c>
      <c r="C47" s="127" t="inlineStr">
        <is>
          <t>Burger to King</t>
        </is>
      </c>
      <c r="D47" s="127" t="inlineStr">
        <is>
          <t>Burger King, Happiness</t>
        </is>
      </c>
      <c r="E47" s="127" t="inlineStr">
        <is>
          <t>Burger King</t>
        </is>
      </c>
      <c r="F47" s="127" t="inlineStr">
        <is>
          <t>An FCB Alliance</t>
        </is>
      </c>
      <c r="G47" s="127" t="inlineStr">
        <is>
          <t>Belgium</t>
        </is>
      </c>
      <c r="H47" s="113" t="inlineStr">
        <is>
          <t>Innovative Engagement of Community</t>
        </is>
      </c>
      <c r="I47" s="128" t="inlineStr">
        <is>
          <t>https://ascentialcdn.filespin.io/api/v1/conversion/9c71f6e2352b428784f91e8247db714e</t>
        </is>
      </c>
      <c r="J47" s="127" t="inlineStr">
        <is>
          <t>RQVaoU4CGRk</t>
        </is>
      </c>
      <c r="K47" s="127" t="n"/>
      <c r="L47" s="128" t="inlineStr">
        <is>
          <t>https://www.lovethework.com/work/entries/burger-to-king-760741</t>
        </is>
      </c>
      <c r="M47" s="113" t="inlineStr">
        <is>
          <t>A loophole in EA Sports FC 25's in-game commentary audio update that allowed Burger King to inject its own brand mentions into the game's live commentary track — repositioning Burger King inside a media channel its competitor had paid heavily to dominate. The exploit was executed by Happiness, an FCB Alliance in Brussels, using the game's own audio-update system to route around the official sponsorship.</t>
        </is>
      </c>
      <c r="N47" s="113" t="inlineStr">
        <is>
          <t>burger-king, gaming, video-games, entertainment, qsr, fast-food, restaurant, food, in-game-audio, belgium, challenger-brand, ambient-media, sports-game</t>
        </is>
      </c>
    </row>
    <row r="48">
      <c r="A48" s="127" t="n">
        <v>2025</v>
      </c>
      <c r="B48" s="133" t="inlineStr">
        <is>
          <t>Bronze</t>
        </is>
      </c>
      <c r="C48" s="127" t="inlineStr">
        <is>
          <t>The Flipper</t>
        </is>
      </c>
      <c r="D48" s="127" t="inlineStr">
        <is>
          <t>Heineken</t>
        </is>
      </c>
      <c r="E48" s="127" t="inlineStr">
        <is>
          <t>Heineken</t>
        </is>
      </c>
      <c r="F48" s="127" t="inlineStr">
        <is>
          <t>LePub</t>
        </is>
      </c>
      <c r="G48" s="127" t="inlineStr">
        <is>
          <t>Netherlands</t>
        </is>
      </c>
      <c r="H48" s="113" t="inlineStr">
        <is>
          <t>Creator Collaboration</t>
        </is>
      </c>
      <c r="I48" s="128" t="inlineStr">
        <is>
          <t>https://ascentialcdn.filespin.io/api/v1/conversion/5e630b6d1a8d43d494544038884723b7</t>
        </is>
      </c>
      <c r="J48" s="127" t="inlineStr">
        <is>
          <t>vimeo:1083152151</t>
        </is>
      </c>
      <c r="K48" s="127" t="n"/>
      <c r="L48" s="128" t="inlineStr">
        <is>
          <t>https://www.lovethework.com/work/entries/the-flipper-760602</t>
        </is>
      </c>
      <c r="M48" s="113" t="inlineStr">
        <is>
          <t>A phone case prototype built by LePub Milan and LePub Amsterdam that detects the word "cheers" via onboard voice-recognition AI and physically flips the phone face-down, cutting off notifications and work applications at the moment a drink is raised. Anyone without the physical device is invited to flip their phone face-down the old-fashioned way — by hand.</t>
        </is>
      </c>
      <c r="N48" s="113" t="inlineStr">
        <is>
          <t>beer, alcohol, product-design, ai, technology, social-media, creator-collaboration, netherlands, irl-connection, mobile</t>
        </is>
      </c>
    </row>
    <row r="49">
      <c r="A49" s="127" t="n">
        <v>2025</v>
      </c>
      <c r="B49" s="133" t="inlineStr">
        <is>
          <t>Bronze</t>
        </is>
      </c>
      <c r="C49" s="127" t="inlineStr">
        <is>
          <t>Tracking Bad Bunny</t>
        </is>
      </c>
      <c r="D49" s="127" t="inlineStr">
        <is>
          <t>Rimas Music</t>
        </is>
      </c>
      <c r="E49" s="127" t="inlineStr">
        <is>
          <t>Bad Bunny</t>
        </is>
      </c>
      <c r="F49" s="127" t="inlineStr">
        <is>
          <t>DDB Latina Puerto Rico</t>
        </is>
      </c>
      <c r="G49" s="127" t="inlineStr">
        <is>
          <t>Puerto Rico</t>
        </is>
      </c>
      <c r="H49" s="113" t="inlineStr">
        <is>
          <t>Cultural Engagement</t>
        </is>
      </c>
      <c r="I49" s="128" t="inlineStr">
        <is>
          <t>https://ascentialcdn.filespin.io/api/v1/conversion/12a3c9e0c6e948eeaa5543a2fedda2c2</t>
        </is>
      </c>
      <c r="J49" s="127" t="inlineStr">
        <is>
          <t>hPLaT_JT9Zw</t>
        </is>
      </c>
      <c r="K49" s="127" t="n"/>
      <c r="L49" s="128" t="inlineStr">
        <is>
          <t>https://www.lovethework.com/work/entries/tracking-bad-bunny-759002</t>
        </is>
      </c>
      <c r="M49" s="113" t="inlineStr">
        <is>
          <t>A GPS-based scavenger hunt built around Bad Bunny's album release that sent fans to physical locations across Puerto Rico, using the artist's real-time movements as waypoints in a digital tracking experience. Created by DDB Latina Puerto Rico for Rimas Music, the mechanic turned the island itself into the stage for the launch.</t>
        </is>
      </c>
      <c r="N49" s="113" t="inlineStr">
        <is>
          <t>music, entertainment, interactive-experience, gps, scavenger-hunt, mobile, puerto-rico, album-launch, fan-engagement</t>
        </is>
      </c>
    </row>
    <row r="50">
      <c r="A50" s="127" t="n">
        <v>2025</v>
      </c>
      <c r="B50" s="133" t="inlineStr">
        <is>
          <t>Bronze</t>
        </is>
      </c>
      <c r="C50" s="127" t="inlineStr">
        <is>
          <t>The Black Dog(s)</t>
        </is>
      </c>
      <c r="D50" s="127" t="inlineStr">
        <is>
          <t>Seconde Chance</t>
        </is>
      </c>
      <c r="E50" s="127" t="inlineStr">
        <is>
          <t>Seconde Chance</t>
        </is>
      </c>
      <c r="F50" s="127" t="inlineStr">
        <is>
          <t>BETC</t>
        </is>
      </c>
      <c r="G50" s="127" t="inlineStr">
        <is>
          <t>France</t>
        </is>
      </c>
      <c r="H50" s="113" t="inlineStr">
        <is>
          <t>Breakthrough on a Budget</t>
        </is>
      </c>
      <c r="I50" s="128" t="inlineStr">
        <is>
          <t>https://ascentialcdn.filespin.io/api/v1/conversion/30aec1c3378c43f3845d46d7e83d4bf5</t>
        </is>
      </c>
      <c r="J50" s="127" t="inlineStr">
        <is>
          <t>eh7nvB91vaM</t>
        </is>
      </c>
      <c r="K50" s="127" t="n"/>
      <c r="L50" s="128" t="inlineStr">
        <is>
          <t>https://www.lovethework.com/work/entries/the-black-dogs-743512</t>
        </is>
      </c>
      <c r="M50" s="113" t="inlineStr">
        <is>
          <t>Second Chance used the release of Taylor Swift's 'The Black Dog' to spotlight the real black dogs overlooked in shelters. By renaming 843 adoptable black dogs 'Taylor Swift' and sharing their profiles with Swiftie hashtags, the platform intercepted fan searches and turned a viral song into visibility for dogs in need of homes.</t>
        </is>
      </c>
      <c r="N50" s="113" t="inlineStr">
        <is>
          <t>pets, animal-shelter, social-good, social-media, taylor-swift, ngo, not-for-profit, charity, partnership, dog-adoption, france</t>
        </is>
      </c>
    </row>
    <row r="51">
      <c r="A51" s="127" t="n">
        <v>2025</v>
      </c>
      <c r="B51" s="133" t="inlineStr">
        <is>
          <t>Bronze</t>
        </is>
      </c>
      <c r="C51" s="127" t="inlineStr">
        <is>
          <t>Bassi vs Men's Facewash</t>
        </is>
      </c>
      <c r="D51" s="127" t="inlineStr">
        <is>
          <t>Garnier L'Oréal</t>
        </is>
      </c>
      <c r="E51" s="127" t="inlineStr">
        <is>
          <t>Facewash</t>
        </is>
      </c>
      <c r="F51" s="127" t="inlineStr">
        <is>
          <t>BBH India</t>
        </is>
      </c>
      <c r="G51" s="127" t="inlineStr">
        <is>
          <t>India</t>
        </is>
      </c>
      <c r="H51" s="113" t="inlineStr">
        <is>
          <t>Use of Humour</t>
        </is>
      </c>
      <c r="I51" s="128" t="inlineStr">
        <is>
          <t>https://ascentialcdn.filespin.io/api/v1/conversion/f324b2259303465985c6298914501fea</t>
        </is>
      </c>
      <c r="J51" s="127" t="inlineStr">
        <is>
          <t>mp4:videos/bassi-vs-mens-facewash.mp4</t>
        </is>
      </c>
      <c r="K51" s="127" t="n"/>
      <c r="L51" s="128" t="inlineStr">
        <is>
          <t>https://www.lovethework.com/work/entries/bassi-vs-mens-facewash-743479</t>
        </is>
      </c>
      <c r="M51" s="113" t="inlineStr">
        <is>
          <t>Garnier Men turned comedian Anubhav Singh Bassi's public roast of men's facewash into a campaign to convert its loudest skeptic. The brand recruited Bassi's comedian friends, fans and even John Abraham to troll, chase and ultimately wash him into trying the product—turning one man's resistance into a national facewash debate.</t>
        </is>
      </c>
      <c r="N51" s="113" t="inlineStr">
        <is>
          <t>personal-care, beauty, mens-grooming, social-media, creator-led, humor, india, partnership</t>
        </is>
      </c>
    </row>
    <row r="52">
      <c r="A52" s="33" t="n">
        <v>2026</v>
      </c>
      <c r="B52" s="167" t="inlineStr">
        <is>
          <t>Grand Prix</t>
        </is>
      </c>
      <c r="C52" s="107" t="inlineStr">
        <is>
          <t>Could Have Been a Heineken</t>
        </is>
      </c>
      <c r="D52" s="33" t="inlineStr">
        <is>
          <t>Heineken</t>
        </is>
      </c>
      <c r="E52" s="33" t="inlineStr">
        <is>
          <t>Heineken Beer</t>
        </is>
      </c>
      <c r="F52" s="33" t="inlineStr">
        <is>
          <t>LePub</t>
        </is>
      </c>
      <c r="G52" s="33" t="inlineStr">
        <is>
          <t>Italy</t>
        </is>
      </c>
      <c r="H52" s="33" t="inlineStr">
        <is>
          <t>Social Behaviour</t>
        </is>
      </c>
      <c r="I52" s="33" t="inlineStr">
        <is>
          <t>https://ascentialcdn.filespin.io/api/v1/conversion/7e3827a3b1964d6196ee7b72003dd9cd</t>
        </is>
      </c>
      <c r="J52" s="33" t="inlineStr">
        <is>
          <t>vimeo:1203492482</t>
        </is>
      </c>
      <c r="L52" s="33" t="inlineStr">
        <is>
          <t>https://www.lovethework.com/work/entries/could-have-been-a-heineken-775185</t>
        </is>
      </c>
      <c r="M52" s="33" t="inlineStr">
        <is>
          <t>The Social &amp; Creator Grand Prix. For Heineken, LePub turned the cultural annoyance of endlessly long WhatsApp voice notes into a reason to meet up in person. Creators and custom stickers reframed marathon voice messages with the line 'Could Have Been a Heineken,' nudging people to swap recorded monologues for a real conversation over a beer.</t>
        </is>
      </c>
      <c r="N52" s="33" t="inlineStr">
        <is>
          <t>heineken, beer, alcohol, drinks, lager, italy, whatsapp, voice notes, messaging, creators, culture, real-life connection, social behaviour, social, lepub, grand prix</t>
        </is>
      </c>
    </row>
    <row r="53">
      <c r="A53" s="33" t="n">
        <v>2026</v>
      </c>
      <c r="B53" s="164" t="inlineStr">
        <is>
          <t>Gold</t>
        </is>
      </c>
      <c r="C53" s="107" t="inlineStr">
        <is>
          <t>Dove R/eal Reviews</t>
        </is>
      </c>
      <c r="D53" s="33" t="inlineStr">
        <is>
          <t>Dove Hair</t>
        </is>
      </c>
      <c r="E53" s="33" t="inlineStr">
        <is>
          <t>Dove 10-in-1 Serum Mask</t>
        </is>
      </c>
      <c r="F53" s="33" t="inlineStr">
        <is>
          <t>David</t>
        </is>
      </c>
      <c r="G53" s="33" t="inlineStr">
        <is>
          <t>United Kingdom</t>
        </is>
      </c>
      <c r="H53" s="33" t="inlineStr">
        <is>
          <t>Consumer Goods</t>
        </is>
      </c>
      <c r="I53" s="33" t="inlineStr">
        <is>
          <t>https://ascentialcdn.filespin.io/api/v1/conversion/3e59ad3ef8694b63bc7bfb791b7bd884</t>
        </is>
      </c>
      <c r="J53" s="33" t="inlineStr">
        <is>
          <t>vimeo:1204109832</t>
        </is>
      </c>
      <c r="L53" s="33" t="inlineStr">
        <is>
          <t>https://www.lovethework.com/work/entries/dove-real-reviews-782508</t>
        </is>
      </c>
      <c r="M53" s="33" t="inlineStr">
        <is>
          <t>For Dove Hair's 10-in-1 Serum Mask, David built the campaign out of the way shoppers actually talk, turning authentic, unpolished user reviews into the creative itself so real people's words about the product carried the message.</t>
        </is>
      </c>
      <c r="N53" s="33" t="inlineStr">
        <is>
          <t>dove, dove hair, haircare, personal-care, beauty, personal care, unilever, fmcg, united kingdom, reviews, user generated content, social listening, authenticity, serum mask, social, david, gold</t>
        </is>
      </c>
    </row>
    <row r="54">
      <c r="A54" s="33" t="n">
        <v>2026</v>
      </c>
      <c r="B54" s="164" t="inlineStr">
        <is>
          <t>Gold</t>
        </is>
      </c>
      <c r="C54" s="107" t="inlineStr">
        <is>
          <t>The KitKat Heist</t>
        </is>
      </c>
      <c r="D54" s="33" t="inlineStr">
        <is>
          <t>KitKat</t>
        </is>
      </c>
      <c r="E54" s="33" t="inlineStr">
        <is>
          <t>KitKat</t>
        </is>
      </c>
      <c r="F54" s="33" t="inlineStr">
        <is>
          <t>VML</t>
        </is>
      </c>
      <c r="G54" s="33" t="inlineStr">
        <is>
          <t>United Kingdom</t>
        </is>
      </c>
      <c r="H54" s="33" t="inlineStr">
        <is>
          <t>Real-Time Response</t>
        </is>
      </c>
      <c r="I54" s="33" t="inlineStr">
        <is>
          <t>https://ascentialcdn.filespin.io/api/v1/conversion/da0fba3e4e024d37b5c317631cedf2cd</t>
        </is>
      </c>
      <c r="J54" s="33" t="inlineStr">
        <is>
          <t>vimeo:1204147459</t>
        </is>
      </c>
      <c r="L54" s="33" t="inlineStr">
        <is>
          <t>https://www.lovethework.com/work/entries/the-kitkat-heist-784166</t>
        </is>
      </c>
      <c r="M54" s="33" t="inlineStr">
        <is>
          <t>When a large shipment of KitKat bars was stolen in the run-up to Easter, KitKat and VML leaned into the story rather than hiding it, gamifying the 'heist' and rallying fans to help hunt down the missing chocolate in a real-time social response.</t>
        </is>
      </c>
      <c r="N54" s="33" t="inlineStr">
        <is>
          <t>kitkat, nestle, chocolate, confectionery, candy, snack, packaged-goods, food, cpg, fmcg, united kingdom, easter, heist, real-time response, gamification, fans, social, vml, gold</t>
        </is>
      </c>
    </row>
    <row r="55">
      <c r="A55" s="33" t="n">
        <v>2026</v>
      </c>
      <c r="B55" s="164" t="inlineStr">
        <is>
          <t>Gold</t>
        </is>
      </c>
      <c r="C55" s="107" t="inlineStr">
        <is>
          <t>Vaseline and the Real Nigerian Prince</t>
        </is>
      </c>
      <c r="D55" s="33" t="inlineStr">
        <is>
          <t>Vaseline</t>
        </is>
      </c>
      <c r="E55" s="33" t="inlineStr">
        <is>
          <t>Vaseline Body Oil</t>
        </is>
      </c>
      <c r="F55" s="33" t="inlineStr">
        <is>
          <t>Leo</t>
        </is>
      </c>
      <c r="G55" s="33" t="inlineStr">
        <is>
          <t>Singapore</t>
        </is>
      </c>
      <c r="H55" s="33" t="inlineStr">
        <is>
          <t>Creator Collaboration</t>
        </is>
      </c>
      <c r="I55" s="33" t="inlineStr">
        <is>
          <t>https://ascentialcdn.filespin.io/api/v1/conversion/af507ec3dbb64730a309632c654534cc</t>
        </is>
      </c>
      <c r="J55" s="33" t="inlineStr">
        <is>
          <t>eNYA89Z97Gs</t>
        </is>
      </c>
      <c r="L55" s="33" t="inlineStr">
        <is>
          <t>https://www.lovethework.com/work/entries/vaseline-and-the-real-nigerian-prince-784443</t>
        </is>
      </c>
      <c r="M55" s="33" t="inlineStr">
        <is>
          <t>For Vaseline Body Oil, Leo Singapore took the internet's most infamous scam cliché — the 'Nigerian prince' email — and flipped it by partnering with an actual Nigerian prince, turning a punchline about deception into a positive, creator-led brand story.</t>
        </is>
      </c>
      <c r="N55" s="33" t="inlineStr">
        <is>
          <t>vaseline, body oil, skincare, personal-care, beauty, personal care, unilever, fmcg, singapore, nigeria, scam, creator collaboration, storytelling, culture, social, leo, gold</t>
        </is>
      </c>
    </row>
    <row r="56">
      <c r="A56" s="33" t="n">
        <v>2026</v>
      </c>
      <c r="B56" s="164" t="inlineStr">
        <is>
          <t>Gold</t>
        </is>
      </c>
      <c r="C56" s="107" t="inlineStr">
        <is>
          <t>Vaseline Originals</t>
        </is>
      </c>
      <c r="D56" s="33" t="inlineStr">
        <is>
          <t>Vaseline</t>
        </is>
      </c>
      <c r="E56" s="33" t="inlineStr">
        <is>
          <t>Vaseline</t>
        </is>
      </c>
      <c r="F56" s="33" t="inlineStr">
        <is>
          <t>Ogilvy Singapore</t>
        </is>
      </c>
      <c r="G56" s="33" t="inlineStr">
        <is>
          <t>Singapore</t>
        </is>
      </c>
      <c r="H56" s="33" t="inlineStr">
        <is>
          <t>Creator Collaboration</t>
        </is>
      </c>
      <c r="I56" s="33" t="inlineStr">
        <is>
          <t>https://ascentialcdn.filespin.io/api/v1/conversion/a51e4b12607a4d19abcc64bca7c099f5</t>
        </is>
      </c>
      <c r="J56" s="33" t="inlineStr">
        <is>
          <t>hzq9lR5SsNo</t>
        </is>
      </c>
      <c r="L56" s="33" t="inlineStr">
        <is>
          <t>https://www.lovethework.com/work/entries/vaseline-originals-779657</t>
        </is>
      </c>
      <c r="M56" s="33" t="inlineStr">
        <is>
          <t>Ogilvy Singapore turned viral, community-invented Vaseline hacks into a real product line called Vaseline Originals, publicly crediting and rewarding the creators whose DIY uses inspired each new product.</t>
        </is>
      </c>
      <c r="N56" s="33" t="inlineStr">
        <is>
          <t>vaseline, skincare, personal-care, beauty, personal care, unilever, fmcg, singapore, creators, user generated content, product line, co-creation, social hacks, creator collaboration, social, ogilvy, gold</t>
        </is>
      </c>
    </row>
    <row r="57">
      <c r="A57" s="33" t="n">
        <v>2026</v>
      </c>
      <c r="B57" s="164" t="inlineStr">
        <is>
          <t>Gold</t>
        </is>
      </c>
      <c r="C57" s="107" t="inlineStr">
        <is>
          <t>Everyone Wants a Piece</t>
        </is>
      </c>
      <c r="D57" s="33" t="inlineStr">
        <is>
          <t>LEGO</t>
        </is>
      </c>
      <c r="E57" s="33" t="inlineStr">
        <is>
          <t>LEGO FIFA World Cup Official Trophy</t>
        </is>
      </c>
      <c r="F57" s="33" t="inlineStr">
        <is>
          <t>Our LEGO Agency + Wieden+Kennedy</t>
        </is>
      </c>
      <c r="G57" s="33" t="inlineStr">
        <is>
          <t>Denmark</t>
        </is>
      </c>
      <c r="H57" s="33" t="inlineStr">
        <is>
          <t>Co-Creation &amp; User Generated Content</t>
        </is>
      </c>
      <c r="I57" s="33" t="inlineStr">
        <is>
          <t>https://ascentialcdn.filespin.io/api/v1/conversion/e13550af729a45d9951d17428b02eec9</t>
        </is>
      </c>
      <c r="J57" s="33" t="inlineStr">
        <is>
          <t>vimeo:1195332948</t>
        </is>
      </c>
      <c r="L57" s="33" t="inlineStr">
        <is>
          <t>https://www.lovethework.com/work/entries/everyone-wants-a-piece-776254</t>
        </is>
      </c>
      <c r="M57" s="33" t="inlineStr">
        <is>
          <t>Ahead of the FIFA World Cup, LEGO and Wieden+Kennedy launched a themed official trophy build featuring football stars like Messi, Ronaldo, Mbappé and Vinícius Jr., inviting fans into a co-creation moment around the LEGO World Cup trophy.</t>
        </is>
      </c>
      <c r="N57" s="33" t="inlineStr">
        <is>
          <t>lego, toys, kids, play, building blocks, denmark, football, soccer, sport, fifa world cup, sports, fans, co-creation, user generated content, social, wieden kennedy, gold</t>
        </is>
      </c>
    </row>
    <row r="58">
      <c r="A58" s="33" t="n">
        <v>2026</v>
      </c>
      <c r="B58" s="164" t="inlineStr">
        <is>
          <t>Gold</t>
        </is>
      </c>
      <c r="C58" s="107" t="inlineStr">
        <is>
          <t>Uberlândia E.C.</t>
        </is>
      </c>
      <c r="D58" s="33" t="inlineStr">
        <is>
          <t>Uber</t>
        </is>
      </c>
      <c r="E58" s="33" t="inlineStr">
        <is>
          <t>Uber</t>
        </is>
      </c>
      <c r="F58" s="33" t="inlineStr">
        <is>
          <t>Wieden+Kennedy</t>
        </is>
      </c>
      <c r="G58" s="33" t="inlineStr">
        <is>
          <t>Brazil</t>
        </is>
      </c>
      <c r="H58" s="33" t="inlineStr">
        <is>
          <t>Sponsorship &amp; Brand Partnership</t>
        </is>
      </c>
      <c r="I58" s="33" t="inlineStr">
        <is>
          <t>https://ascentialcdn.filespin.io/api/v1/conversion/40d4fb53f14149eaacd4822c2d947baf</t>
        </is>
      </c>
      <c r="J58" s="33" t="inlineStr">
        <is>
          <t>vimeo:1186558075</t>
        </is>
      </c>
      <c r="L58" s="33" t="inlineStr">
        <is>
          <t>https://www.lovethework.com/work/entries/uberlndia-ec-775137</t>
        </is>
      </c>
      <c r="M58" s="33" t="inlineStr">
        <is>
          <t>Spotting the perfect overlap between brand name and football club, Wieden+Kennedy São Paulo struck a naming-rights partnership between Uber and Brazilian club Uberlândia Esporte Clube, using the shared name to engage a niche fan community through sponsorship.</t>
        </is>
      </c>
      <c r="N58" s="33" t="inlineStr">
        <is>
          <t>uber, rideshare, mobility, transport, tech, brazil, football, soccer, sport, sports club, naming rights, sponsorship, brand partnership, fans, social, wieden kennedy, gold</t>
        </is>
      </c>
    </row>
    <row r="59">
      <c r="A59" s="33" t="n">
        <v>2026</v>
      </c>
      <c r="B59" s="164" t="inlineStr">
        <is>
          <t>Gold</t>
        </is>
      </c>
      <c r="C59" s="107" t="inlineStr">
        <is>
          <t>Chicken Screams for Coke</t>
        </is>
      </c>
      <c r="D59" s="33" t="inlineStr">
        <is>
          <t>Coca-Cola</t>
        </is>
      </c>
      <c r="E59" s="33" t="inlineStr">
        <is>
          <t>Coca-Cola</t>
        </is>
      </c>
      <c r="F59" s="33" t="inlineStr">
        <is>
          <t>VML</t>
        </is>
      </c>
      <c r="G59" s="33" t="inlineStr">
        <is>
          <t>United States</t>
        </is>
      </c>
      <c r="H59" s="33" t="inlineStr">
        <is>
          <t>Single-Market Campaign</t>
        </is>
      </c>
      <c r="I59" s="33" t="inlineStr">
        <is>
          <t>https://ascentialcdn.filespin.io/api/v1/conversion/0909290e28ec42d1a89547829208ee97</t>
        </is>
      </c>
      <c r="J59" s="33" t="inlineStr">
        <is>
          <t>mp4:videos/social-creator-coca-cola-chicken-screams-for-coke.mp4</t>
        </is>
      </c>
      <c r="L59" s="33" t="inlineStr">
        <is>
          <t>https://www.lovethework.com/work/entries/chicken-screams-for-coke-774608</t>
        </is>
      </c>
      <c r="M59" s="33" t="inlineStr">
        <is>
          <t>A single-market social campaign for Coca-Cola by VML built around the irresistible pairing of fried chicken and an ice-cold Coke, dramatising the craving as 'chicken screams for Coke' across social feeds.</t>
        </is>
      </c>
      <c r="N59" s="33" t="inlineStr">
        <is>
          <t>coca-cola, coke, soft drink, soda, beverage, drinks, fmcg, united states, fried chicken, food pairing, single-market, social, vml, gold</t>
        </is>
      </c>
    </row>
    <row r="60">
      <c r="A60" s="33" t="n">
        <v>2026</v>
      </c>
      <c r="B60" s="164" t="inlineStr">
        <is>
          <t>Gold</t>
        </is>
      </c>
      <c r="C60" s="107" t="inlineStr">
        <is>
          <t>Pope Yes</t>
        </is>
      </c>
      <c r="D60" s="33" t="inlineStr">
        <is>
          <t>Popeyes</t>
        </is>
      </c>
      <c r="E60" s="33" t="inlineStr">
        <is>
          <t>Popeyes</t>
        </is>
      </c>
      <c r="F60" s="33" t="inlineStr">
        <is>
          <t>GUT</t>
        </is>
      </c>
      <c r="G60" s="33" t="inlineStr">
        <is>
          <t>United States</t>
        </is>
      </c>
      <c r="H60" s="33" t="inlineStr">
        <is>
          <t>Breakthrough on a Budget</t>
        </is>
      </c>
      <c r="I60" s="33" t="inlineStr">
        <is>
          <t>https://ascentialcdn.filespin.io/api/v1/conversion/9b26263bac18484f9b5013f94cb980ac</t>
        </is>
      </c>
      <c r="J60" s="33" t="inlineStr">
        <is>
          <t>vimeo:1189119597</t>
        </is>
      </c>
      <c r="L60" s="33" t="inlineStr">
        <is>
          <t>https://www.lovethework.com/work/entries/pope-yes-783722</t>
        </is>
      </c>
      <c r="M60" s="33" t="inlineStr">
        <is>
          <t>A breakthrough-on-a-budget social play for Popeyes by GUT Miami that seized a live cultural moment around the papacy, riffing on 'Pope' and 'Popeyes' to insert the brand into the conversation with fast, low-cost social content.</t>
        </is>
      </c>
      <c r="N60" s="33" t="inlineStr">
        <is>
          <t>popeyes, fast food, qsr, fast-food, restaurant, food, fried chicken, united states, pope, culture, real-time, breakthrough on a budget, low budget, social, gut, gold</t>
        </is>
      </c>
    </row>
    <row r="61">
      <c r="A61" s="33" t="n">
        <v>2026</v>
      </c>
      <c r="B61" s="165" t="inlineStr">
        <is>
          <t>Silver</t>
        </is>
      </c>
      <c r="C61" s="107" t="inlineStr">
        <is>
          <t>Donate to Play</t>
        </is>
      </c>
      <c r="D61" s="33" t="inlineStr">
        <is>
          <t>Grupo Pulsa</t>
        </is>
      </c>
      <c r="E61" s="33" t="inlineStr">
        <is>
          <t>Grupo Pulsa</t>
        </is>
      </c>
      <c r="F61" s="33" t="inlineStr">
        <is>
          <t>Publicis Brasil</t>
        </is>
      </c>
      <c r="G61" s="33" t="inlineStr">
        <is>
          <t>Brazil</t>
        </is>
      </c>
      <c r="H61" s="33" t="inlineStr">
        <is>
          <t>Healthcare</t>
        </is>
      </c>
      <c r="I61" s="33" t="inlineStr">
        <is>
          <t>https://ascentialcdn.filespin.io/api/v1/conversion/7447a0b016b0470bbead7e7c1bca3514</t>
        </is>
      </c>
      <c r="J61" s="33" t="inlineStr">
        <is>
          <t>vimeo:1200485742</t>
        </is>
      </c>
      <c r="L61" s="33" t="inlineStr">
        <is>
          <t>https://www.lovethework.com/work/entries/donate-to-play-784374</t>
        </is>
      </c>
      <c r="M61" s="33" t="inlineStr">
        <is>
          <t>A healthcare social campaign for Grupo Pulsa by Publicis Brasil that connected the simple act of playing to a charitable donation, mobilising a community to give through everyday participation.</t>
        </is>
      </c>
      <c r="N61" s="33" t="inlineStr">
        <is>
          <t>grupo pulsa, healthcare, health, brazil, donation, charity, nonprofit, gaming, video-games, entertainment, play, community, social, publicis brasil, silver</t>
        </is>
      </c>
    </row>
    <row r="62">
      <c r="A62" s="33" t="n">
        <v>2026</v>
      </c>
      <c r="B62" s="165" t="inlineStr">
        <is>
          <t>Silver</t>
        </is>
      </c>
      <c r="C62" s="107" t="inlineStr">
        <is>
          <t>Copycats Welcome</t>
        </is>
      </c>
      <c r="D62" s="33" t="inlineStr">
        <is>
          <t>Clash Royale</t>
        </is>
      </c>
      <c r="E62" s="33" t="inlineStr">
        <is>
          <t>Clash Royale</t>
        </is>
      </c>
      <c r="F62" s="33" t="inlineStr">
        <is>
          <t>David</t>
        </is>
      </c>
      <c r="G62" s="33" t="inlineStr">
        <is>
          <t>United States</t>
        </is>
      </c>
      <c r="H62" s="33" t="inlineStr">
        <is>
          <t>Audience Targeting/Engagement Strategies</t>
        </is>
      </c>
      <c r="I62" s="33" t="inlineStr">
        <is>
          <t>https://ascentialcdn.filespin.io/api/v1/conversion/d39099422846496fa2533748e14c3643</t>
        </is>
      </c>
      <c r="J62" s="33" t="inlineStr">
        <is>
          <t>izSoHjBvAwA</t>
        </is>
      </c>
      <c r="L62" s="33" t="inlineStr">
        <is>
          <t>https://www.lovethework.com/work/entries/copycats-welcome-774333</t>
        </is>
      </c>
      <c r="M62" s="33" t="inlineStr">
        <is>
          <t>For mobile game Clash Royale, David New York answered a wave of copycat games by openly welcoming the imitators, turning being copied into a badge of cultural relevance and an audience-engagement strategy.</t>
        </is>
      </c>
      <c r="N62" s="33" t="inlineStr">
        <is>
          <t>clash royale, supercell, mobile game, gaming, video-games, entertainment, games, united states, copycats, audience engagement, culture, social, david, silver</t>
        </is>
      </c>
    </row>
    <row r="63">
      <c r="A63" s="33" t="n">
        <v>2026</v>
      </c>
      <c r="B63" s="165" t="inlineStr">
        <is>
          <t>Silver</t>
        </is>
      </c>
      <c r="C63" s="107" t="inlineStr">
        <is>
          <t>Expedition Impossible</t>
        </is>
      </c>
      <c r="D63" s="33" t="inlineStr">
        <is>
          <t>Columbia Sportswear</t>
        </is>
      </c>
      <c r="E63" s="33" t="inlineStr">
        <is>
          <t>Sportswear</t>
        </is>
      </c>
      <c r="F63" s="33" t="inlineStr">
        <is>
          <t>adam&amp;eve\TBWA</t>
        </is>
      </c>
      <c r="G63" s="33" t="inlineStr">
        <is>
          <t>United Kingdom</t>
        </is>
      </c>
      <c r="H63" s="33" t="inlineStr">
        <is>
          <t>Audience Targeting/Engagement Strategies</t>
        </is>
      </c>
      <c r="I63" s="33" t="inlineStr">
        <is>
          <t>https://ascentialcdn.filespin.io/api/v1/conversion/bf27011e79f94826a41c286a1bbd22d5</t>
        </is>
      </c>
      <c r="J63" s="33" t="inlineStr">
        <is>
          <t>N0WxAUkBuQA</t>
        </is>
      </c>
      <c r="L63" s="33" t="inlineStr">
        <is>
          <t>https://www.lovethework.com/work/entries/expedition-impossible-785613</t>
        </is>
      </c>
      <c r="M63" s="33" t="inlineStr">
        <is>
          <t>Columbia Sportswear and adam&amp;eve\TBWA challenged flat-earthers to find the edge of the world, launching with an open letter from the CEO and daring sceptics to test their gear on an impossible expedition.</t>
        </is>
      </c>
      <c r="N63" s="33" t="inlineStr">
        <is>
          <t>columbia sportswear, sportswear, apparel, outdoor, clothing, retail, united kingdom, flat earth, expedition, challenge, audience engagement, social, adam&amp;eve tbwa, silver</t>
        </is>
      </c>
    </row>
    <row r="64">
      <c r="A64" s="33" t="n">
        <v>2026</v>
      </c>
      <c r="B64" s="165" t="inlineStr">
        <is>
          <t>Silver</t>
        </is>
      </c>
      <c r="C64" s="107" t="inlineStr">
        <is>
          <t>Olympic Rings Pasta</t>
        </is>
      </c>
      <c r="D64" s="33" t="inlineStr">
        <is>
          <t>International Olympics Committee</t>
        </is>
      </c>
      <c r="E64" s="33" t="inlineStr">
        <is>
          <t>Milan Winter Olympic Games 2026</t>
        </is>
      </c>
      <c r="F64" s="33" t="inlineStr">
        <is>
          <t>LePub</t>
        </is>
      </c>
      <c r="G64" s="33" t="inlineStr">
        <is>
          <t>Switzerland</t>
        </is>
      </c>
      <c r="H64" s="33" t="inlineStr">
        <is>
          <t>Audience Targeting/Engagement Strategies</t>
        </is>
      </c>
      <c r="I64" s="33" t="inlineStr">
        <is>
          <t>https://ascentialcdn.filespin.io/api/v1/conversion/a57ec4fa6d234ce09017b02ec7fe98ba</t>
        </is>
      </c>
      <c r="J64" s="33" t="inlineStr">
        <is>
          <t>xqHLGlAFG6M</t>
        </is>
      </c>
      <c r="L64" s="33" t="inlineStr">
        <is>
          <t>https://www.lovethework.com/work/entries/olympic-rings-pasta-777877</t>
        </is>
      </c>
      <c r="M64" s="33" t="inlineStr">
        <is>
          <t>For the Milan Winter Olympic Games, LePub created pasta shaped like the Olympic rings and served it in the Olympic Village, where athletes photographed and shared it, turning a simple food moment into widely shared social content.</t>
        </is>
      </c>
      <c r="N64" s="33" t="inlineStr">
        <is>
          <t>international olympic committee, olympics, sport, milan 2026, winter games, sports, italy, pasta, food, athletes, audience engagement, social, lepub, silver</t>
        </is>
      </c>
    </row>
    <row r="65">
      <c r="A65" s="33" t="n">
        <v>2026</v>
      </c>
      <c r="B65" s="165" t="inlineStr">
        <is>
          <t>Silver</t>
        </is>
      </c>
      <c r="C65" s="107" t="inlineStr">
        <is>
          <t>Expensive Sh*t</t>
        </is>
      </c>
      <c r="D65" s="33" t="inlineStr">
        <is>
          <t>Huggies</t>
        </is>
      </c>
      <c r="E65" s="33" t="inlineStr">
        <is>
          <t>Diaper</t>
        </is>
      </c>
      <c r="F65" s="33" t="inlineStr">
        <is>
          <t>McCann</t>
        </is>
      </c>
      <c r="G65" s="33" t="inlineStr">
        <is>
          <t>United States</t>
        </is>
      </c>
      <c r="H65" s="33" t="inlineStr">
        <is>
          <t>Brand Storytelling</t>
        </is>
      </c>
      <c r="I65" s="33" t="inlineStr">
        <is>
          <t>https://ascentialcdn.filespin.io/api/v1/conversion/10461cbf5d3548bf8582c0a498311476</t>
        </is>
      </c>
      <c r="J65" s="33" t="inlineStr">
        <is>
          <t>mp4:videos/huggies-expensive-shit.mp4</t>
        </is>
      </c>
      <c r="L65" s="33" t="inlineStr">
        <is>
          <t>https://www.lovethework.com/work/entries/expensive-sht-774404</t>
        </is>
      </c>
      <c r="M65" s="33" t="inlineStr">
        <is>
          <t>For Huggies, McCann told a candid brand story about the costly, messy reality of parenting, playing on 'expensive sh*t' to talk honestly about diapers through social content.</t>
        </is>
      </c>
      <c r="N65" s="33" t="inlineStr">
        <is>
          <t>huggies, diapers, baby care, kimberly-clark, fmcg, united states, parenting, family, babies, brand storytelling, humour, social, mccann, silver</t>
        </is>
      </c>
    </row>
    <row r="66">
      <c r="A66" s="33" t="n">
        <v>2026</v>
      </c>
      <c r="B66" s="165" t="inlineStr">
        <is>
          <t>Silver</t>
        </is>
      </c>
      <c r="C66" s="107" t="inlineStr">
        <is>
          <t>The KitKat Heist</t>
        </is>
      </c>
      <c r="D66" s="33" t="inlineStr">
        <is>
          <t>KitKat</t>
        </is>
      </c>
      <c r="E66" s="33" t="inlineStr">
        <is>
          <t>KitKat</t>
        </is>
      </c>
      <c r="F66" s="33" t="inlineStr">
        <is>
          <t>VML</t>
        </is>
      </c>
      <c r="G66" s="33" t="inlineStr">
        <is>
          <t>United Kingdom</t>
        </is>
      </c>
      <c r="H66" s="33" t="inlineStr">
        <is>
          <t>Innovative Engagement of Community</t>
        </is>
      </c>
      <c r="I66" s="33" t="inlineStr">
        <is>
          <t>https://ascentialcdn.filespin.io/api/v1/conversion/da0fba3e4e024d37b5c317631cedf2cd</t>
        </is>
      </c>
      <c r="J66" s="33" t="inlineStr">
        <is>
          <t>vimeo:1204147459</t>
        </is>
      </c>
      <c r="L66" s="33" t="inlineStr">
        <is>
          <t>https://www.lovethework.com/work/entries/the-kitkat-heist-784169</t>
        </is>
      </c>
      <c r="M66" s="33" t="inlineStr">
        <is>
          <t>When a large shipment of KitKat bars was stolen in the run-up to Easter, KitKat and VML leaned into the story rather than hiding it, gamifying the 'heist' and rallying fans to help hunt down the missing chocolate in a real-time social response.</t>
        </is>
      </c>
      <c r="N66" s="33" t="inlineStr">
        <is>
          <t>kitkat, nestle, chocolate, confectionery, candy, snack, packaged-goods, food, cpg, fmcg, united kingdom, easter, heist, real-time response, gamification, fans, social, vml, gold</t>
        </is>
      </c>
    </row>
    <row r="67">
      <c r="A67" s="33" t="n">
        <v>2026</v>
      </c>
      <c r="B67" s="165" t="inlineStr">
        <is>
          <t>Silver</t>
        </is>
      </c>
      <c r="C67" s="107" t="inlineStr">
        <is>
          <t>The Feathered Lamb</t>
        </is>
      </c>
      <c r="D67" s="33" t="inlineStr">
        <is>
          <t>Visa France</t>
        </is>
      </c>
      <c r="E67" s="33" t="inlineStr">
        <is>
          <t>Awareness Campaign About AI Fraud</t>
        </is>
      </c>
      <c r="F67" s="33" t="inlineStr">
        <is>
          <t>Marcel</t>
        </is>
      </c>
      <c r="G67" s="33" t="inlineStr">
        <is>
          <t>France</t>
        </is>
      </c>
      <c r="H67" s="33" t="inlineStr">
        <is>
          <t>Innovative Engagement of Community</t>
        </is>
      </c>
      <c r="I67" s="33" t="inlineStr">
        <is>
          <t>https://ascentialcdn.filespin.io/api/v1/conversion/816881aedb3447d5a13f13e6be2972c0</t>
        </is>
      </c>
      <c r="J67" s="33" t="inlineStr">
        <is>
          <t>z3DKt55_nKw</t>
        </is>
      </c>
      <c r="L67" s="33" t="inlineStr">
        <is>
          <t>https://www.lovethework.com/work/entries/the-feathered-lamb-784420</t>
        </is>
      </c>
      <c r="M67" s="33" t="inlineStr">
        <is>
          <t>To warn people about AI-powered fraud, Marcel borrowed the very tactics fraudsters use for Visa France, generating absurd yet convincing AI images — like a lamb covered in feathers — to show how easily AI can deceive.</t>
        </is>
      </c>
      <c r="N67" s="33" t="inlineStr">
        <is>
          <t>visa, payments, fintech, financial-services, finance, financial services, france, ai fraud, scams, security, awareness, ai-generated, deepfake, community engagement, social, marcel, silver</t>
        </is>
      </c>
    </row>
    <row r="68">
      <c r="A68" s="33" t="n">
        <v>2026</v>
      </c>
      <c r="B68" s="165" t="inlineStr">
        <is>
          <t>Silver</t>
        </is>
      </c>
      <c r="C68" s="107" t="inlineStr">
        <is>
          <t>The Dr Pepper Jingle</t>
        </is>
      </c>
      <c r="D68" s="33" t="inlineStr">
        <is>
          <t>Dr Pepper</t>
        </is>
      </c>
      <c r="E68" s="33" t="inlineStr">
        <is>
          <t>Dr Pepper</t>
        </is>
      </c>
      <c r="F68" s="33" t="inlineStr">
        <is>
          <t>Deutsch</t>
        </is>
      </c>
      <c r="G68" s="33" t="inlineStr">
        <is>
          <t>United States</t>
        </is>
      </c>
      <c r="H68" s="33" t="inlineStr">
        <is>
          <t>Creator Collaboration</t>
        </is>
      </c>
      <c r="I68" s="33" t="inlineStr">
        <is>
          <t>https://ascentialcdn.filespin.io/api/v1/conversion/b91a9ac0476c4d4b8a22b4a65390983c</t>
        </is>
      </c>
      <c r="J68" s="33" t="inlineStr">
        <is>
          <t>wAL5peTQD8M</t>
        </is>
      </c>
      <c r="L68" s="33" t="inlineStr">
        <is>
          <t>https://www.lovethework.com/work/entries/the-dr-pepper-jingle-774371</t>
        </is>
      </c>
      <c r="M68" s="33" t="inlineStr">
        <is>
          <t>For Dr Pepper, Deutsch worked with creators to revive and spread a catchy brand jingle, turning a piece of sonic branding into a creator-led social moment people remixed and shared.</t>
        </is>
      </c>
      <c r="N68" s="33" t="inlineStr">
        <is>
          <t>dr pepper, soft drink, soda, beverage, drinks, fmcg, united states, jingle, music, entertainment, sonic branding, creators, creator collaboration, social, deutsch, silver</t>
        </is>
      </c>
    </row>
    <row r="69">
      <c r="A69" s="33" t="n">
        <v>2026</v>
      </c>
      <c r="B69" s="165" t="inlineStr">
        <is>
          <t>Silver</t>
        </is>
      </c>
      <c r="C69" s="107" t="inlineStr">
        <is>
          <t>You've Been Warned</t>
        </is>
      </c>
      <c r="D69" s="33" t="inlineStr">
        <is>
          <t>Netflix</t>
        </is>
      </c>
      <c r="E69" s="33" t="inlineStr">
        <is>
          <t>Netflix</t>
        </is>
      </c>
      <c r="F69" s="33" t="inlineStr">
        <is>
          <t>Wieden+Kennedy</t>
        </is>
      </c>
      <c r="G69" s="33" t="inlineStr">
        <is>
          <t>United States</t>
        </is>
      </c>
      <c r="H69" s="33" t="inlineStr">
        <is>
          <t>Social Film</t>
        </is>
      </c>
      <c r="I69" s="33" t="inlineStr">
        <is>
          <t>https://cdn.prod.website-files.com/68338cf9d0efea69de78f379/6961abef3a6a678c01143791_2025-12-16%2015.27.49.gif</t>
        </is>
      </c>
      <c r="J69" s="33" t="inlineStr">
        <is>
          <t>vimeo:1148477437</t>
        </is>
      </c>
      <c r="L69" s="33" t="inlineStr">
        <is>
          <t>https://www.lovethework.com/work/entries/youve-been-warned-778646</t>
        </is>
      </c>
      <c r="M69" s="33" t="inlineStr">
        <is>
          <t>A social film for Netflix by Wieden+Kennedy Portland that built suspense around a title with an ominous 'you've been warned' tease engineered for social feeds.</t>
        </is>
      </c>
      <c r="N69" s="33" t="inlineStr">
        <is>
          <t>netflix, streaming, tv, entertainment, film, cinema, united states, social film, teaser, suspense, social, wieden kennedy, silver</t>
        </is>
      </c>
    </row>
    <row r="70">
      <c r="A70" s="33" t="n">
        <v>2026</v>
      </c>
      <c r="B70" s="165" t="inlineStr">
        <is>
          <t>Silver</t>
        </is>
      </c>
      <c r="C70" s="107" t="inlineStr">
        <is>
          <t>Uva Uva Bombón</t>
        </is>
      </c>
      <c r="D70" s="33" t="inlineStr">
        <is>
          <t>Uva App</t>
        </is>
      </c>
      <c r="E70" s="33" t="inlineStr">
        <is>
          <t>Uva App</t>
        </is>
      </c>
      <c r="F70" s="33" t="inlineStr">
        <is>
          <t>De La Cruz Ogilvy</t>
        </is>
      </c>
      <c r="G70" s="33" t="inlineStr">
        <is>
          <t>Puerto Rico</t>
        </is>
      </c>
      <c r="H70" s="33" t="inlineStr">
        <is>
          <t>Social Commerce</t>
        </is>
      </c>
      <c r="I70" s="33" t="inlineStr">
        <is>
          <t>https://ascentialcdn.filespin.io/api/v1/conversion/afb7cf6990dc496f9c2b62d97d07c989</t>
        </is>
      </c>
      <c r="J70" s="33" t="inlineStr">
        <is>
          <t>vimeo:1204190443</t>
        </is>
      </c>
      <c r="L70" s="33" t="inlineStr">
        <is>
          <t>https://www.lovethework.com/work/entries/uva-uva-bombn-784479</t>
        </is>
      </c>
      <c r="M70" s="33" t="inlineStr">
        <is>
          <t>For Puerto Rico's Uva App, De La Cruz Ogilvy spotted a conversation already happening in culture and turned it into a social commerce experience, channelling an organic viral moment straight into the app.</t>
        </is>
      </c>
      <c r="N70" s="33" t="inlineStr">
        <is>
          <t>uva app, app, ecommerce, retail, online-shopping, tech, puerto rico, culture, viral, music, entertainment, social commerce, social, de la cruz ogilvy, silver</t>
        </is>
      </c>
    </row>
    <row r="71">
      <c r="A71" s="33" t="n">
        <v>2026</v>
      </c>
      <c r="B71" s="165" t="inlineStr">
        <is>
          <t>Silver</t>
        </is>
      </c>
      <c r="C71" s="107" t="inlineStr">
        <is>
          <t>Played by Humans</t>
        </is>
      </c>
      <c r="D71" s="33" t="inlineStr">
        <is>
          <t>Jazz Is Dead</t>
        </is>
      </c>
      <c r="E71" s="33" t="inlineStr">
        <is>
          <t>Played by Humans</t>
        </is>
      </c>
      <c r="F71" s="33" t="inlineStr">
        <is>
          <t>TBWA\Chiat\Day</t>
        </is>
      </c>
      <c r="G71" s="33" t="inlineStr">
        <is>
          <t>United States</t>
        </is>
      </c>
      <c r="H71" s="33" t="inlineStr">
        <is>
          <t>Social Purpose</t>
        </is>
      </c>
      <c r="I71" s="33" t="inlineStr">
        <is>
          <t>https://i.ytimg.com/vi/bz1r-JIEdzU/maxresdefault.jpg</t>
        </is>
      </c>
      <c r="J71" s="33" t="inlineStr">
        <is>
          <t>1lZ696Kd6ic</t>
        </is>
      </c>
      <c r="L71" s="33" t="inlineStr">
        <is>
          <t>https://www.lovethework.com/work/entries/played-by-humans-774368</t>
        </is>
      </c>
      <c r="M71" s="33" t="inlineStr">
        <is>
          <t>For record label Jazz Is Dead, TBWA\Chiat\Day brought 'played by humans' labelling to music, creating a mark and campaign that distinguishes human-made music from AI-generated tracks.</t>
        </is>
      </c>
      <c r="N71" s="33" t="inlineStr">
        <is>
          <t>jazz is dead, music, entertainment, record label, arts, united states, ai music, human-made, labelling, authenticity, social purpose, social, tbwa chiat day, silver</t>
        </is>
      </c>
    </row>
    <row r="72">
      <c r="A72" s="33" t="n">
        <v>2026</v>
      </c>
      <c r="B72" s="165" t="inlineStr">
        <is>
          <t>Silver</t>
        </is>
      </c>
      <c r="C72" s="107" t="inlineStr">
        <is>
          <t>Code Her</t>
        </is>
      </c>
      <c r="D72" s="33" t="inlineStr">
        <is>
          <t>O Boticário</t>
        </is>
      </c>
      <c r="E72" s="33" t="inlineStr">
        <is>
          <t>Her Code</t>
        </is>
      </c>
      <c r="F72" s="33" t="inlineStr">
        <is>
          <t>AlmapBBDO</t>
        </is>
      </c>
      <c r="G72" s="33" t="inlineStr">
        <is>
          <t>Brazil</t>
        </is>
      </c>
      <c r="H72" s="33" t="inlineStr">
        <is>
          <t>Social Purpose</t>
        </is>
      </c>
      <c r="I72" s="33" t="inlineStr">
        <is>
          <t>https://ascentialcdn.filespin.io/api/v1/conversion/b95f989821da4e9a8b7a4555385e43ed</t>
        </is>
      </c>
      <c r="J72" s="33" t="inlineStr">
        <is>
          <t>vimeo:1202270006</t>
        </is>
      </c>
      <c r="L72" s="33" t="inlineStr">
        <is>
          <t>https://www.lovethework.com/work/entries/code-her-784492</t>
        </is>
      </c>
      <c r="M72" s="33" t="inlineStr">
        <is>
          <t>For beauty brand O Boticário, AlmapBBDO built a bot on X that alerts a woman when someone tries to alter or sexualise her photos and guides her on how to report it, defending women against image-based abuse.</t>
        </is>
      </c>
      <c r="N72" s="33" t="inlineStr">
        <is>
          <t>o boticario, beauty, cosmetics, personal-care, personal care, brazil, women, image abuse, deepfake, online safety, bot, social platform, social purpose, social, almapbbdo, silver</t>
        </is>
      </c>
    </row>
    <row r="73">
      <c r="A73" s="33" t="n">
        <v>2026</v>
      </c>
      <c r="B73" s="165" t="inlineStr">
        <is>
          <t>Silver</t>
        </is>
      </c>
      <c r="C73" s="107" t="inlineStr">
        <is>
          <t>The Choice</t>
        </is>
      </c>
      <c r="D73" s="33" t="inlineStr">
        <is>
          <t>Pepsi</t>
        </is>
      </c>
      <c r="E73" s="33" t="inlineStr">
        <is>
          <t>Pepsi</t>
        </is>
      </c>
      <c r="F73" s="33" t="inlineStr">
        <is>
          <t>PepsiCo + BBDO New York</t>
        </is>
      </c>
      <c r="G73" s="33" t="inlineStr">
        <is>
          <t>United States</t>
        </is>
      </c>
      <c r="H73" s="33" t="inlineStr">
        <is>
          <t>Challenger Brand</t>
        </is>
      </c>
      <c r="I73" s="33" t="inlineStr">
        <is>
          <t>https://ascentialcdn.filespin.io/api/v1/conversion/8d87d88a33f446d7bfd4c28a73757012</t>
        </is>
      </c>
      <c r="J73" s="33" t="inlineStr">
        <is>
          <t>vimeo:1182423422</t>
        </is>
      </c>
      <c r="L73" s="33" t="inlineStr">
        <is>
          <t>https://www.lovethework.com/work/entries/the-choice-778111</t>
        </is>
      </c>
      <c r="M73" s="33" t="inlineStr">
        <is>
          <t>Pepsi's Super Bowl campaign by BBDO followed a Coca-Cola-style polar bear who takes the Pepsi Challenge and, with only taste to go on, chooses Pepsi — a playful challenger-brand twist amplified across social.</t>
        </is>
      </c>
      <c r="N73" s="33" t="inlineStr">
        <is>
          <t>pepsi, soft drink, soda, cola, beverage, drinks, fmcg, united states, super bowl, polar bear, taste test, challenger brand, social, bbdo, silver</t>
        </is>
      </c>
    </row>
    <row r="74">
      <c r="A74" s="33" t="n">
        <v>2026</v>
      </c>
      <c r="B74" s="165" t="inlineStr">
        <is>
          <t>Silver</t>
        </is>
      </c>
      <c r="C74" s="107" t="inlineStr">
        <is>
          <t>Mntana Ka Gogo</t>
        </is>
      </c>
      <c r="D74" s="33" t="inlineStr">
        <is>
          <t>Vaseline</t>
        </is>
      </c>
      <c r="E74" s="33" t="inlineStr">
        <is>
          <t>Vaseline Petroleum Jelly</t>
        </is>
      </c>
      <c r="F74" s="33" t="inlineStr">
        <is>
          <t>VML South Africa</t>
        </is>
      </c>
      <c r="G74" s="33" t="inlineStr">
        <is>
          <t>South Africa</t>
        </is>
      </c>
      <c r="H74" s="33" t="inlineStr">
        <is>
          <t>Single-Market Campaign</t>
        </is>
      </c>
      <c r="I74" s="33" t="inlineStr">
        <is>
          <t>https://ascentialcdn.filespin.io/api/v1/conversion/d589ef2fce34498c997f864e25b12c63</t>
        </is>
      </c>
      <c r="J74" s="33" t="inlineStr">
        <is>
          <t>q1QNAOA2Q64</t>
        </is>
      </c>
      <c r="L74" s="33" t="inlineStr">
        <is>
          <t>https://www.lovethework.com/work/entries/mntana-ka-gogo-777606</t>
        </is>
      </c>
      <c r="M74" s="33" t="inlineStr">
        <is>
          <t>For Vaseline in South Africa, VML created a Heritage Day social film inspired by a real-life moment — green-lit in conversation and shot in twenty minutes, starring the daughter of one of the team — as a deliberately human antidote to AI 'slop.'</t>
        </is>
      </c>
      <c r="N74" s="33" t="inlineStr">
        <is>
          <t>vaseline, skincare, personal-care, beauty, personal care, unilever, fmcg, south africa, heritage day, culture, authenticity, human, single-market, social, vml, silver</t>
        </is>
      </c>
    </row>
    <row r="75">
      <c r="A75" s="33" t="n">
        <v>2026</v>
      </c>
      <c r="B75" s="166" t="inlineStr">
        <is>
          <t>Bronze</t>
        </is>
      </c>
      <c r="C75" s="107" t="inlineStr">
        <is>
          <t>Cerave - The New Face of Legs</t>
        </is>
      </c>
      <c r="D75" s="33" t="inlineStr">
        <is>
          <t>CeraVe</t>
        </is>
      </c>
      <c r="E75" s="33" t="inlineStr">
        <is>
          <t>CeraVe</t>
        </is>
      </c>
      <c r="F75" s="33" t="inlineStr">
        <is>
          <t>L'Oréal + Bolded</t>
        </is>
      </c>
      <c r="G75" s="33" t="inlineStr">
        <is>
          <t>United States</t>
        </is>
      </c>
      <c r="H75" s="33" t="inlineStr">
        <is>
          <t>Consumer Goods</t>
        </is>
      </c>
      <c r="I75" s="33" t="inlineStr">
        <is>
          <t>https://ascentialcdn.filespin.io/api/v1/conversion/65f596aa9b584ef18846f7952595fa9b</t>
        </is>
      </c>
      <c r="J75" s="33" t="inlineStr">
        <is>
          <t>vimeo:1205275541</t>
        </is>
      </c>
      <c r="L75" s="33" t="inlineStr">
        <is>
          <t>https://www.lovethework.com/work/entries/cerave-the-new-face-of-legs-785085</t>
        </is>
      </c>
      <c r="M75" s="33" t="inlineStr">
        <is>
          <t>For CeraVe, a playful social campaign positioned legs as a body part deserving the same skincare attention as the face, using creator-driven content to make the case.</t>
        </is>
      </c>
      <c r="N75" s="33" t="inlineStr">
        <is>
          <t>cerave, skincare, personal-care, beauty, personal care, l'oreal, fmcg, united states, legs, body care, creators, consumer goods, social, bolded, bronze</t>
        </is>
      </c>
    </row>
    <row r="76">
      <c r="A76" s="33" t="n">
        <v>2026</v>
      </c>
      <c r="B76" s="166" t="inlineStr">
        <is>
          <t>Bronze</t>
        </is>
      </c>
      <c r="C76" s="107" t="inlineStr">
        <is>
          <t>Vaseline and the Real Nigerian Prince</t>
        </is>
      </c>
      <c r="D76" s="33" t="inlineStr">
        <is>
          <t>Vaseline</t>
        </is>
      </c>
      <c r="E76" s="33" t="inlineStr">
        <is>
          <t>Vaseline Body Oil</t>
        </is>
      </c>
      <c r="F76" s="33" t="inlineStr">
        <is>
          <t>Leo</t>
        </is>
      </c>
      <c r="G76" s="33" t="inlineStr">
        <is>
          <t>Singapore</t>
        </is>
      </c>
      <c r="H76" s="33" t="inlineStr">
        <is>
          <t>Healthcare</t>
        </is>
      </c>
      <c r="I76" s="33" t="inlineStr">
        <is>
          <t>https://ascentialcdn.filespin.io/api/v1/conversion/af507ec3dbb64730a309632c654534cc</t>
        </is>
      </c>
      <c r="J76" s="33" t="inlineStr">
        <is>
          <t>eNYA89Z97Gs</t>
        </is>
      </c>
      <c r="L76" s="33" t="inlineStr">
        <is>
          <t>https://www.lovethework.com/work/entries/vaseline-and-the-real-nigerian-prince-784372</t>
        </is>
      </c>
      <c r="M76" s="33" t="inlineStr">
        <is>
          <t>For Vaseline Body Oil, Leo Singapore took the internet's most infamous scam cliché — the 'Nigerian prince' email — and flipped it by partnering with an actual Nigerian prince, turning a punchline about deception into a positive, creator-led brand story.</t>
        </is>
      </c>
      <c r="N76" s="33" t="inlineStr">
        <is>
          <t>vaseline, body oil, skincare, personal-care, beauty, personal care, unilever, fmcg, singapore, nigeria, scam, creator collaboration, storytelling, culture, social, leo, gold</t>
        </is>
      </c>
    </row>
    <row r="77">
      <c r="A77" s="33" t="n">
        <v>2026</v>
      </c>
      <c r="B77" s="166" t="inlineStr">
        <is>
          <t>Bronze</t>
        </is>
      </c>
      <c r="C77" s="107" t="inlineStr">
        <is>
          <t>Road Test Royale</t>
        </is>
      </c>
      <c r="D77" s="33" t="inlineStr">
        <is>
          <t>The General Auto Insurance</t>
        </is>
      </c>
      <c r="E77" s="33" t="inlineStr">
        <is>
          <t>The General Auto Insurance</t>
        </is>
      </c>
      <c r="F77" s="33" t="inlineStr">
        <is>
          <t>BBDO</t>
        </is>
      </c>
      <c r="G77" s="33" t="inlineStr">
        <is>
          <t>United States</t>
        </is>
      </c>
      <c r="H77" s="33" t="inlineStr">
        <is>
          <t>Consumer Services/Business to Business</t>
        </is>
      </c>
      <c r="I77" s="33" t="inlineStr">
        <is>
          <t>https://ascentialcdn.filespin.io/api/v1/conversion/c1c92c115c8d446e92930b9f140e301f</t>
        </is>
      </c>
      <c r="J77" s="33" t="inlineStr">
        <is>
          <t>R-M9yiTRTn8</t>
        </is>
      </c>
      <c r="L77" s="33" t="inlineStr">
        <is>
          <t>https://www.lovethework.com/work/entries/road-test-royale-783576</t>
        </is>
      </c>
      <c r="M77" s="33" t="inlineStr">
        <is>
          <t>For The General Auto Insurance, BBDO Chicago built a brand integration inside a game, turning driving into a competitive 'royale' that linked gameplay with the insurer's message.</t>
        </is>
      </c>
      <c r="N77" s="33" t="inlineStr">
        <is>
          <t>the general, auto insurance, insurance, financial-services, finance, financial services, united states, gaming, video-games, entertainment, brand integration, driving, game, social, bbdo, bronze</t>
        </is>
      </c>
    </row>
    <row r="78">
      <c r="A78" s="33" t="n">
        <v>2026</v>
      </c>
      <c r="B78" s="166" t="inlineStr">
        <is>
          <t>Bronze</t>
        </is>
      </c>
      <c r="C78" s="107" t="inlineStr">
        <is>
          <t>The Filet-O-Fish Facebook Society of 2012</t>
        </is>
      </c>
      <c r="D78" s="33" t="inlineStr">
        <is>
          <t>McDonald's</t>
        </is>
      </c>
      <c r="E78" s="33" t="inlineStr">
        <is>
          <t>McDonald's</t>
        </is>
      </c>
      <c r="F78" s="33" t="inlineStr">
        <is>
          <t>Leo</t>
        </is>
      </c>
      <c r="G78" s="33" t="inlineStr">
        <is>
          <t>United Kingdom</t>
        </is>
      </c>
      <c r="H78" s="33" t="inlineStr">
        <is>
          <t>Community Management</t>
        </is>
      </c>
      <c r="I78" s="33" t="inlineStr">
        <is>
          <t>https://ascentialcdn.filespin.io/api/v1/conversion/891e92ac22304d769b6599ffa9bc2de6</t>
        </is>
      </c>
      <c r="J78" s="33" t="inlineStr">
        <is>
          <t>Qd2k250KMvo</t>
        </is>
      </c>
      <c r="L78" s="33" t="inlineStr">
        <is>
          <t>https://www.lovethework.com/work/entries/the-filet-o-fish-facebook-society-of-2012-783582</t>
        </is>
      </c>
      <c r="M78" s="33" t="inlineStr">
        <is>
          <t>Partnering with Leo, McDonald's UK revived a forgotten 2012 Facebook fan group devoted to the Filet-O-Fish, bringing the dormant community back to life with nostalgic, era-accurate content.</t>
        </is>
      </c>
      <c r="N78" s="33" t="inlineStr">
        <is>
          <t>mcdonalds, fast food, qsr, fast-food, restaurant, food, united kingdom, filet-o-fish, facebook, nostalgia, community management, fans, social, leo, bronze</t>
        </is>
      </c>
    </row>
    <row r="79">
      <c r="A79" s="33" t="n">
        <v>2026</v>
      </c>
      <c r="B79" s="166" t="inlineStr">
        <is>
          <t>Bronze</t>
        </is>
      </c>
      <c r="C79" s="107" t="inlineStr">
        <is>
          <t>The Fandom Comeback</t>
        </is>
      </c>
      <c r="D79" s="33" t="inlineStr">
        <is>
          <t>Tecate</t>
        </is>
      </c>
      <c r="E79" s="33" t="inlineStr">
        <is>
          <t>Tecate Titanium</t>
        </is>
      </c>
      <c r="F79" s="33" t="inlineStr">
        <is>
          <t>LePub</t>
        </is>
      </c>
      <c r="G79" s="33" t="inlineStr">
        <is>
          <t>Mexico</t>
        </is>
      </c>
      <c r="H79" s="33" t="inlineStr">
        <is>
          <t>Audience Targeting/Engagement Strategies</t>
        </is>
      </c>
      <c r="I79" s="33" t="inlineStr">
        <is>
          <t>https://ascentialcdn.filespin.io/api/v1/conversion/5d4d8534a5f34f09a7048039e51b46d7</t>
        </is>
      </c>
      <c r="J79" s="33" t="inlineStr">
        <is>
          <t>rpNmqb7caHw</t>
        </is>
      </c>
      <c r="L79" s="33" t="inlineStr">
        <is>
          <t>https://www.lovethework.com/work/entries/the-fandom-comeback-783592</t>
        </is>
      </c>
      <c r="M79" s="33" t="inlineStr">
        <is>
          <t>For Tecate Titanium, LePub Mexico City let consumers themselves announce the beer's return, sparking a spontaneous fan-led conversation that amplified the comeback across social.</t>
        </is>
      </c>
      <c r="N79" s="33" t="inlineStr">
        <is>
          <t>tecate, tecate titanium, beer, alcohol, drinks, lager, mexico, fans, fandom, comeback, audience engagement, social, lepub, bronze</t>
        </is>
      </c>
    </row>
    <row r="80">
      <c r="A80" s="33" t="n">
        <v>2026</v>
      </c>
      <c r="B80" s="166" t="inlineStr">
        <is>
          <t>Bronze</t>
        </is>
      </c>
      <c r="C80" s="107" t="inlineStr">
        <is>
          <t>Cif Clean My Name</t>
        </is>
      </c>
      <c r="D80" s="33" t="inlineStr">
        <is>
          <t>Cif</t>
        </is>
      </c>
      <c r="E80" s="33" t="inlineStr">
        <is>
          <t>Cif Miracle</t>
        </is>
      </c>
      <c r="F80" s="33" t="inlineStr">
        <is>
          <t>Droga5</t>
        </is>
      </c>
      <c r="G80" s="33" t="inlineStr">
        <is>
          <t>Brazil</t>
        </is>
      </c>
      <c r="H80" s="33" t="inlineStr">
        <is>
          <t>Audience Targeting/Engagement Strategies</t>
        </is>
      </c>
      <c r="I80" s="33" t="inlineStr">
        <is>
          <t>https://ascentialcdn.filespin.io/api/v1/conversion/cba776a1ce8442c7b1ce665e336e758e</t>
        </is>
      </c>
      <c r="J80" s="33" t="inlineStr">
        <is>
          <t>vimeo:1187492812</t>
        </is>
      </c>
      <c r="L80" s="33" t="inlineStr">
        <is>
          <t>https://www.lovethework.com/work/entries/cif-clean-my-name-783711</t>
        </is>
      </c>
      <c r="M80" s="33" t="inlineStr">
        <is>
          <t>Cleaning brand Cif played on the phrase 'clean your name' — clear your debt — partnering with credit bureau Serasa on a special edition that helped consumers negotiate and settle what they owed.</t>
        </is>
      </c>
      <c r="N80" s="33" t="inlineStr">
        <is>
          <t>cif, cleaning, household, home, unilever, fmcg, brazil, debt, finance, serasa, wordplay, audience engagement, social, droga5, bronze</t>
        </is>
      </c>
    </row>
    <row r="81">
      <c r="A81" s="33" t="n">
        <v>2026</v>
      </c>
      <c r="B81" s="166" t="inlineStr">
        <is>
          <t>Bronze</t>
        </is>
      </c>
      <c r="C81" s="107" t="inlineStr">
        <is>
          <t>Sheep Happens</t>
        </is>
      </c>
      <c r="D81" s="33" t="inlineStr">
        <is>
          <t>Penny</t>
        </is>
      </c>
      <c r="E81" s="33" t="inlineStr">
        <is>
          <t>Penny</t>
        </is>
      </c>
      <c r="F81" s="33" t="inlineStr">
        <is>
          <t>Saint Elmo's + Charles &amp; Charlotte</t>
        </is>
      </c>
      <c r="G81" s="33" t="inlineStr">
        <is>
          <t>Germany</t>
        </is>
      </c>
      <c r="H81" s="33" t="inlineStr">
        <is>
          <t>Real-Time Response</t>
        </is>
      </c>
      <c r="I81" s="33" t="inlineStr">
        <is>
          <t>https://ascentialcdn.filespin.io/api/v1/conversion/e3798dc24e4f4692825234cfef776834</t>
        </is>
      </c>
      <c r="J81" s="33" t="inlineStr">
        <is>
          <t>vimeo:1195091152</t>
        </is>
      </c>
      <c r="L81" s="33" t="inlineStr">
        <is>
          <t>https://www.lovethework.com/work/entries/sheep-happens-774379</t>
        </is>
      </c>
      <c r="M81" s="33" t="inlineStr">
        <is>
          <t>When more than fifty sheep wandered into a PENNY supermarket in Bavaria, the retailer responded in real time with humour — simply saying 'Sheep happens' — and turned an odd incident into a participatory social moment.</t>
        </is>
      </c>
      <c r="N81" s="33" t="inlineStr">
        <is>
          <t>penny, supermarket, grocery, retail, germany, sheep, real-time response, humour, culture, social, saint elmos, bronze</t>
        </is>
      </c>
    </row>
    <row r="82">
      <c r="A82" s="33" t="n">
        <v>2026</v>
      </c>
      <c r="B82" s="166" t="inlineStr">
        <is>
          <t>Bronze</t>
        </is>
      </c>
      <c r="C82" s="107" t="inlineStr">
        <is>
          <t>Dove R/eal Reviews</t>
        </is>
      </c>
      <c r="D82" s="33" t="inlineStr">
        <is>
          <t>Dove Hair</t>
        </is>
      </c>
      <c r="E82" s="33" t="inlineStr">
        <is>
          <t>Dove 10-in-1 Serum Mask</t>
        </is>
      </c>
      <c r="F82" s="33" t="inlineStr">
        <is>
          <t>David</t>
        </is>
      </c>
      <c r="G82" s="33" t="inlineStr">
        <is>
          <t>United Kingdom</t>
        </is>
      </c>
      <c r="H82" s="33" t="inlineStr">
        <is>
          <t>Social Listening &amp; Insight</t>
        </is>
      </c>
      <c r="I82" s="33" t="inlineStr">
        <is>
          <t>https://ascentialcdn.filespin.io/api/v1/conversion/3e59ad3ef8694b63bc7bfb791b7bd884</t>
        </is>
      </c>
      <c r="J82" s="33" t="inlineStr">
        <is>
          <t>vimeo:1204109832</t>
        </is>
      </c>
      <c r="L82" s="33" t="inlineStr">
        <is>
          <t>https://www.lovethework.com/work/entries/dove-real-reviews-774447</t>
        </is>
      </c>
      <c r="M82" s="33" t="inlineStr">
        <is>
          <t>For Dove Hair's 10-in-1 Serum Mask, David built the campaign out of the way shoppers actually talk, turning authentic, unpolished user reviews into the creative itself so real people's words about the product carried the message.</t>
        </is>
      </c>
      <c r="N82" s="33" t="inlineStr">
        <is>
          <t>dove, dove hair, haircare, personal-care, beauty, personal care, unilever, fmcg, united kingdom, reviews, user generated content, social listening, authenticity, serum mask, social, david, gold</t>
        </is>
      </c>
    </row>
    <row r="83">
      <c r="A83" s="33" t="n">
        <v>2026</v>
      </c>
      <c r="B83" s="166" t="inlineStr">
        <is>
          <t>Bronze</t>
        </is>
      </c>
      <c r="C83" s="107" t="inlineStr">
        <is>
          <t>M&amp;M's Ricktok</t>
        </is>
      </c>
      <c r="D83" s="33" t="inlineStr">
        <is>
          <t>M&amp;M's</t>
        </is>
      </c>
      <c r="E83" s="33" t="inlineStr">
        <is>
          <t>M&amp;M's</t>
        </is>
      </c>
      <c r="F83" s="33" t="inlineStr">
        <is>
          <t>BBDO</t>
        </is>
      </c>
      <c r="G83" s="33" t="inlineStr">
        <is>
          <t>United States</t>
        </is>
      </c>
      <c r="H83" s="33" t="inlineStr">
        <is>
          <t>Brand Storytelling</t>
        </is>
      </c>
      <c r="I83" s="33" t="inlineStr">
        <is>
          <t>https://ascentialcdn.filespin.io/api/v1/conversion/73f325dcb6544b0fbd53422f1f162772</t>
        </is>
      </c>
      <c r="J83" s="33" t="inlineStr">
        <is>
          <t>vimeo:1189884974</t>
        </is>
      </c>
      <c r="L83" s="33" t="inlineStr">
        <is>
          <t>https://www.lovethework.com/work/entries/mms-ricktok-785106</t>
        </is>
      </c>
      <c r="M83" s="33" t="inlineStr">
        <is>
          <t>A TikTok-native brand-storytelling campaign for M&amp;M's by BBDO Chicago that leaned into internet culture to tell the brand's story in the platform's own language.</t>
        </is>
      </c>
      <c r="N83" s="33" t="inlineStr">
        <is>
          <t>m&amp;m's, mars, chocolate, candy, confectionery, snack, packaged-goods, food, cpg, fmcg, united states, tiktok, internet culture, brand storytelling, social, bbdo, bronze</t>
        </is>
      </c>
    </row>
    <row r="84">
      <c r="A84" s="33" t="n">
        <v>2026</v>
      </c>
      <c r="B84" s="166" t="inlineStr">
        <is>
          <t>Bronze</t>
        </is>
      </c>
      <c r="C84" s="107" t="inlineStr">
        <is>
          <t>Expedition Impossible</t>
        </is>
      </c>
      <c r="D84" s="33" t="inlineStr">
        <is>
          <t>Columbia Sportswear</t>
        </is>
      </c>
      <c r="E84" s="33" t="inlineStr">
        <is>
          <t>Sportswear</t>
        </is>
      </c>
      <c r="F84" s="33" t="inlineStr">
        <is>
          <t>adam&amp;eve\TBWA</t>
        </is>
      </c>
      <c r="G84" s="33" t="inlineStr">
        <is>
          <t>United Kingdom</t>
        </is>
      </c>
      <c r="H84" s="33" t="inlineStr">
        <is>
          <t>Brand Storytelling</t>
        </is>
      </c>
      <c r="I84" s="33" t="inlineStr">
        <is>
          <t>https://ascentialcdn.filespin.io/api/v1/conversion/bf27011e79f94826a41c286a1bbd22d5</t>
        </is>
      </c>
      <c r="J84" s="33" t="inlineStr">
        <is>
          <t>N0WxAUkBuQA</t>
        </is>
      </c>
      <c r="L84" s="33" t="inlineStr">
        <is>
          <t>https://www.lovethework.com/work/entries/expedition-impossible-776163</t>
        </is>
      </c>
      <c r="M84" s="33" t="inlineStr">
        <is>
          <t>Columbia Sportswear and adam&amp;eve\TBWA challenged flat-earthers to find the edge of the world, launching with an open letter from the CEO and daring sceptics to test their gear on an impossible expedition.</t>
        </is>
      </c>
      <c r="N84" s="33" t="inlineStr">
        <is>
          <t>columbia sportswear, sportswear, apparel, outdoor, clothing, retail, united kingdom, flat earth, expedition, challenge, audience engagement, social, adam&amp;eve tbwa, silver</t>
        </is>
      </c>
    </row>
    <row r="85">
      <c r="A85" s="33" t="n">
        <v>2026</v>
      </c>
      <c r="B85" s="166" t="inlineStr">
        <is>
          <t>Bronze</t>
        </is>
      </c>
      <c r="C85" s="107" t="inlineStr">
        <is>
          <t>The Least Most Interesting Man</t>
        </is>
      </c>
      <c r="D85" s="33" t="inlineStr">
        <is>
          <t>Dos Equis</t>
        </is>
      </c>
      <c r="E85" s="33" t="inlineStr">
        <is>
          <t>Dos Equis</t>
        </is>
      </c>
      <c r="F85" s="33" t="inlineStr">
        <is>
          <t>LePub</t>
        </is>
      </c>
      <c r="G85" s="33" t="inlineStr">
        <is>
          <t>United States</t>
        </is>
      </c>
      <c r="H85" s="33" t="inlineStr">
        <is>
          <t>Organic Reach &amp; Influence</t>
        </is>
      </c>
      <c r="I85" s="33" t="inlineStr">
        <is>
          <t>https://ascentialcdn.filespin.io/api/v1/conversion/17274b399c7a4fe5ac1461930545f71f</t>
        </is>
      </c>
      <c r="J85" s="33" t="inlineStr">
        <is>
          <t>X2VLDiIwKpk</t>
        </is>
      </c>
      <c r="L85" s="33" t="inlineStr">
        <is>
          <t>https://www.lovethework.com/work/entries/the-least-most-interesting-man-774413</t>
        </is>
      </c>
      <c r="M85" s="33" t="inlineStr">
        <is>
          <t>For Dos Equis, LePub New York flipped the brand's legendary 'Most Interesting Man in the World' by celebrating its opposite — the least most interesting man — leaning on organic reach and influence to spark conversation.</t>
        </is>
      </c>
      <c r="N85" s="33" t="inlineStr">
        <is>
          <t>dos equis, beer, alcohol, drinks, lager, united states, most interesting man, organic reach, influence, culture, humour, social, lepub, bronze</t>
        </is>
      </c>
    </row>
    <row r="86">
      <c r="A86" s="33" t="n">
        <v>2026</v>
      </c>
      <c r="B86" s="166" t="inlineStr">
        <is>
          <t>Bronze</t>
        </is>
      </c>
      <c r="C86" s="107" t="inlineStr">
        <is>
          <t>Cover It</t>
        </is>
      </c>
      <c r="D86" s="33" t="inlineStr">
        <is>
          <t>UNAIDS</t>
        </is>
      </c>
      <c r="E86" s="33" t="inlineStr">
        <is>
          <t>Institutional</t>
        </is>
      </c>
      <c r="F86" s="33" t="inlineStr">
        <is>
          <t>Africa Creative DDB</t>
        </is>
      </c>
      <c r="G86" s="33" t="inlineStr">
        <is>
          <t>Brazil</t>
        </is>
      </c>
      <c r="H86" s="33" t="inlineStr">
        <is>
          <t>Content Placement</t>
        </is>
      </c>
      <c r="I86" s="33" t="inlineStr">
        <is>
          <t>https://ascentialcdn.filespin.io/api/v1/conversion/f0bf242e2719444ca0c649b32aabd728</t>
        </is>
      </c>
      <c r="J86" s="33" t="inlineStr">
        <is>
          <t>vimeo:1195440551</t>
        </is>
      </c>
      <c r="L86" s="33" t="inlineStr">
        <is>
          <t>https://www.lovethework.com/work/entries/cover-it-785141</t>
        </is>
      </c>
      <c r="M86" s="33" t="inlineStr">
        <is>
          <t>For UNAIDS, Africa Creative used Spotify Canvas on high-reach Brazilian funk tracks to weave condom-use and HIV-prevention messaging into the music young audiences were already streaming.</t>
        </is>
      </c>
      <c r="N86" s="33" t="inlineStr">
        <is>
          <t>unaids, hiv prevention, health, public health, sexual health, nonprofit, brazil, funk, music, entertainment, spotify, condoms, content placement, social, africa creative ddb, bronze</t>
        </is>
      </c>
    </row>
    <row r="87">
      <c r="A87" s="33" t="n">
        <v>2026</v>
      </c>
      <c r="B87" s="166" t="inlineStr">
        <is>
          <t>Bronze</t>
        </is>
      </c>
      <c r="C87" s="107" t="inlineStr">
        <is>
          <t>Bad Bunny Halftime Show - Shot on iPhone</t>
        </is>
      </c>
      <c r="D87" s="33" t="inlineStr">
        <is>
          <t>Apple</t>
        </is>
      </c>
      <c r="E87" s="33" t="inlineStr">
        <is>
          <t>Apple Music</t>
        </is>
      </c>
      <c r="F87" s="33" t="inlineStr">
        <is>
          <t>Apple</t>
        </is>
      </c>
      <c r="G87" s="33" t="inlineStr">
        <is>
          <t>United States</t>
        </is>
      </c>
      <c r="H87" s="33" t="inlineStr">
        <is>
          <t>Social Film</t>
        </is>
      </c>
      <c r="I87" s="33" t="inlineStr">
        <is>
          <t>digital-presentation-images/film-apple-bad-bunny-halftime-show-shot-on-iphone.webp</t>
        </is>
      </c>
      <c r="J87" s="33" t="inlineStr">
        <is>
          <t>TlAh70AX9L8</t>
        </is>
      </c>
      <c r="K87" s="33" t="inlineStr">
        <is>
          <t>badbunny-shot-on-iphone</t>
        </is>
      </c>
      <c r="L87" s="33" t="inlineStr">
        <is>
          <t>https://www.lovethework.com/work/entries/bad-bunny-halftime-show-shot-on-iphone-784460</t>
        </is>
      </c>
      <c r="M87" s="33" t="inlineStr">
        <is>
          <t>Promoting the Apple Music Super Bowl Halftime Show featuring Bad Bunny, Apple created a trailer filmed entirely on iPhone, showcasing the device's filmmaking capability through the build-up to the performance.</t>
        </is>
      </c>
      <c r="N87" s="33" t="inlineStr">
        <is>
          <t>apple, apple music, tech, smartphone, iphone, streaming, tv, entertainment, music, united states, bad bunny, super bowl, halftime show, shot on iphone, social film, social, bronze</t>
        </is>
      </c>
    </row>
    <row r="88">
      <c r="A88" s="33" t="n">
        <v>2026</v>
      </c>
      <c r="B88" s="166" t="inlineStr">
        <is>
          <t>Bronze</t>
        </is>
      </c>
      <c r="C88" s="107" t="inlineStr">
        <is>
          <t>The Choice</t>
        </is>
      </c>
      <c r="D88" s="33" t="inlineStr">
        <is>
          <t>Pepsi</t>
        </is>
      </c>
      <c r="E88" s="33" t="inlineStr">
        <is>
          <t>Pepsi</t>
        </is>
      </c>
      <c r="F88" s="33" t="inlineStr">
        <is>
          <t>PepsiCo + BBDO New York</t>
        </is>
      </c>
      <c r="G88" s="33" t="inlineStr">
        <is>
          <t>United States</t>
        </is>
      </c>
      <c r="H88" s="33" t="inlineStr">
        <is>
          <t>Multi-Platform Social Campaign</t>
        </is>
      </c>
      <c r="I88" s="33" t="inlineStr">
        <is>
          <t>https://ascentialcdn.filespin.io/api/v1/conversion/8d87d88a33f446d7bfd4c28a73757012</t>
        </is>
      </c>
      <c r="J88" s="33" t="inlineStr">
        <is>
          <t>vimeo:1182423422</t>
        </is>
      </c>
      <c r="L88" s="33" t="inlineStr">
        <is>
          <t>https://www.lovethework.com/work/entries/the-choice-778183</t>
        </is>
      </c>
      <c r="M88" s="33" t="inlineStr">
        <is>
          <t>Pepsi's Super Bowl campaign by BBDO followed a Coca-Cola-style polar bear who takes the Pepsi Challenge and, with only taste to go on, chooses Pepsi — a playful challenger-brand twist amplified across social.</t>
        </is>
      </c>
      <c r="N88" s="33" t="inlineStr">
        <is>
          <t>pepsi, soft drink, soda, cola, beverage, drinks, fmcg, united states, super bowl, polar bear, taste test, challenger brand, social, bbdo, silver</t>
        </is>
      </c>
    </row>
    <row r="89">
      <c r="A89" s="33" t="n">
        <v>2026</v>
      </c>
      <c r="B89" s="166" t="inlineStr">
        <is>
          <t>Bronze</t>
        </is>
      </c>
      <c r="C89" s="107" t="inlineStr">
        <is>
          <t>Re-Commerce Atacama</t>
        </is>
      </c>
      <c r="D89" s="33" t="inlineStr">
        <is>
          <t>VTEX &amp; Desierto Vestido &amp; Fashion Revolution</t>
        </is>
      </c>
      <c r="E89" s="33" t="inlineStr">
        <is>
          <t>Re-Commerce Atacama</t>
        </is>
      </c>
      <c r="F89" s="33" t="inlineStr">
        <is>
          <t>Artplan</t>
        </is>
      </c>
      <c r="G89" s="33" t="inlineStr">
        <is>
          <t>Brazil</t>
        </is>
      </c>
      <c r="H89" s="33" t="inlineStr">
        <is>
          <t>Social Purpose</t>
        </is>
      </c>
      <c r="I89" s="33" t="inlineStr">
        <is>
          <t>https://ascentialcdn.filespin.io/api/v1/conversion/fd3a5b5101274260be1855bd8fc8a813</t>
        </is>
      </c>
      <c r="J89" s="33" t="inlineStr">
        <is>
          <t>7Fl7kBNB78I</t>
        </is>
      </c>
      <c r="L89" s="33" t="inlineStr">
        <is>
          <t>https://www.lovethework.com/work/entries/re-commerce-atacama-784493</t>
        </is>
      </c>
      <c r="M89" s="33" t="inlineStr">
        <is>
          <t>A circular-commerce project by Artplan with VTEX, Desierto Vestido and Fashion Revolution that built a digital storefront selling clothing recovered from the textile-waste dumps of Chile's Atacama Desert, turning retail waste into a shoppable statement.</t>
        </is>
      </c>
      <c r="N89" s="33" t="inlineStr">
        <is>
          <t>vtex, fashion revolution, desierto vestido, ecommerce, retail, online-shopping, fashion, sustainability, environment, brazil, chile, atacama, textile waste, circular commerce, social purpose, social, artplan, bronze</t>
        </is>
      </c>
    </row>
    <row r="90">
      <c r="A90" s="33" t="n">
        <v>2026</v>
      </c>
      <c r="B90" s="166" t="inlineStr">
        <is>
          <t>Bronze</t>
        </is>
      </c>
      <c r="C90" s="107" t="inlineStr">
        <is>
          <t>A Cry for Hydration</t>
        </is>
      </c>
      <c r="D90" s="33" t="inlineStr">
        <is>
          <t>Studena</t>
        </is>
      </c>
      <c r="E90" s="33" t="inlineStr">
        <is>
          <t>Bottled Water</t>
        </is>
      </c>
      <c r="F90" s="33" t="inlineStr">
        <is>
          <t>Imago</t>
        </is>
      </c>
      <c r="G90" s="33" t="inlineStr">
        <is>
          <t>Croatia</t>
        </is>
      </c>
      <c r="H90" s="33" t="inlineStr">
        <is>
          <t>Local Brand</t>
        </is>
      </c>
      <c r="I90" s="33" t="inlineStr">
        <is>
          <t>https://ascentialcdn.filespin.io/api/v1/conversion/8058038c62a946c891b946dce829543f</t>
        </is>
      </c>
      <c r="J90" s="33" t="inlineStr">
        <is>
          <t>a8Fd8MLCmvQ</t>
        </is>
      </c>
      <c r="L90" s="33" t="inlineStr">
        <is>
          <t>https://www.lovethework.com/work/entries/a-cry-for-hydration-784495</t>
        </is>
      </c>
      <c r="M90" s="33" t="inlineStr">
        <is>
          <t>For Croatian water brand Studena, Imago Ogilvy created a Local Brand social campaign that dramatised the body's need for hydration to bring the bottled-water brand into everyday conversation.</t>
        </is>
      </c>
      <c r="N90" s="33" t="inlineStr">
        <is>
          <t>studena, bottled water, water, beverage, drinks, fmcg, croatia, hydration, local brand, social, imago, bronze</t>
        </is>
      </c>
    </row>
    <row r="91">
      <c r="A91" s="33" t="n">
        <v>2026</v>
      </c>
      <c r="B91" s="166" t="inlineStr">
        <is>
          <t>Bronze</t>
        </is>
      </c>
      <c r="C91" s="107" t="inlineStr">
        <is>
          <t>Let's End Fast Tech</t>
        </is>
      </c>
      <c r="D91" s="33" t="inlineStr">
        <is>
          <t>Back Market</t>
        </is>
      </c>
      <c r="E91" s="33" t="inlineStr">
        <is>
          <t>Refurbished Electronics Marketplace</t>
        </is>
      </c>
      <c r="F91" s="33" t="inlineStr">
        <is>
          <t>Marcel</t>
        </is>
      </c>
      <c r="G91" s="33" t="inlineStr">
        <is>
          <t>France</t>
        </is>
      </c>
      <c r="H91" s="33" t="inlineStr">
        <is>
          <t>Challenger Brand</t>
        </is>
      </c>
      <c r="I91" s="33" t="inlineStr">
        <is>
          <t>https://ascentialcdn.filespin.io/api/v1/conversion/e856d9b462724f64af2e2808121e0f9e</t>
        </is>
      </c>
      <c r="J91" s="33" t="inlineStr">
        <is>
          <t>vimeo:1203484921</t>
        </is>
      </c>
      <c r="L91" s="33" t="inlineStr">
        <is>
          <t>https://www.lovethework.com/work/entries/lets-end-fast-tech-783721</t>
        </is>
      </c>
      <c r="M91" s="33" t="inlineStr">
        <is>
          <t>Continuing Back Market's fight against disposable electronics, Marcel's 'Let's End Fast Tech' borrowed the language of fast fashion to challenge the accelerated replacement of devices and champion refurbished tech.</t>
        </is>
      </c>
      <c r="N91" s="33" t="inlineStr">
        <is>
          <t>back market, refurbished electronics, tech, ecommerce, retail, online-shopping, marketplace, sustainability, environment, france, fast tech, e-waste, challenger brand, social, marcel, bronze</t>
        </is>
      </c>
    </row>
    <row r="92">
      <c r="A92" s="33" t="n">
        <v>2026</v>
      </c>
      <c r="B92" s="166" t="inlineStr">
        <is>
          <t>Bronze</t>
        </is>
      </c>
      <c r="C92" s="107" t="inlineStr">
        <is>
          <t>The Bite</t>
        </is>
      </c>
      <c r="D92" s="33" t="inlineStr">
        <is>
          <t>Burger King</t>
        </is>
      </c>
      <c r="E92" s="33" t="inlineStr">
        <is>
          <t>The Whopper</t>
        </is>
      </c>
      <c r="F92" s="33" t="inlineStr">
        <is>
          <t>Mojo Supermarket + BarkleyOKRP</t>
        </is>
      </c>
      <c r="G92" s="33" t="inlineStr">
        <is>
          <t>United States</t>
        </is>
      </c>
      <c r="H92" s="33" t="inlineStr">
        <is>
          <t>Challenger Brand</t>
        </is>
      </c>
      <c r="I92" s="33" t="inlineStr">
        <is>
          <t>https://ascentialcdn.filespin.io/api/v1/conversion/5a5470f061524e258dc5d415c3286697</t>
        </is>
      </c>
      <c r="J92" s="33" t="inlineStr">
        <is>
          <t>mp4:videos/burger-king-the-bite.mp4</t>
        </is>
      </c>
      <c r="L92" s="33" t="inlineStr">
        <is>
          <t>https://www.lovethework.com/work/entries/the-bite-793227</t>
        </is>
      </c>
      <c r="M92" s="33" t="inlineStr">
        <is>
          <t>For Burger King's Whopper, Mojo Supermarket and BarkleyOKRP created 'The Bite,' a social-led challenger-brand idea built around the simple, primal act of biting into a flame-grilled burger.</t>
        </is>
      </c>
      <c r="N92" s="33" t="inlineStr">
        <is>
          <t>burger king, whopper, fast food, qsr, fast-food, restaurant, food, burger, united states, challenger brand, social, mojo supermarket, barkleyokrp, bronze</t>
        </is>
      </c>
    </row>
    <row r="93">
      <c r="A93" s="33" t="n">
        <v>2026</v>
      </c>
      <c r="B93" s="166" t="inlineStr">
        <is>
          <t>Bronze</t>
        </is>
      </c>
      <c r="C93" s="107" t="inlineStr">
        <is>
          <t>¡Hola!</t>
        </is>
      </c>
      <c r="D93" s="33" t="inlineStr">
        <is>
          <t>Colas Iceland</t>
        </is>
      </c>
      <c r="E93" s="33" t="inlineStr">
        <is>
          <t>Asphalt Production and Road Paving</t>
        </is>
      </c>
      <c r="F93" s="33" t="inlineStr">
        <is>
          <t>Pipar\TBWA</t>
        </is>
      </c>
      <c r="G93" s="33" t="inlineStr">
        <is>
          <t>Iceland</t>
        </is>
      </c>
      <c r="H93" s="33" t="inlineStr">
        <is>
          <t>Single-Market Campaign</t>
        </is>
      </c>
      <c r="I93" s="33" t="inlineStr">
        <is>
          <t>https://ascentialcdn.filespin.io/api/v1/conversion/ae10ad80300d4dfa9593f1a07f9263bc</t>
        </is>
      </c>
      <c r="J93" s="33" t="inlineStr">
        <is>
          <t>RZ_RvWpxEhw</t>
        </is>
      </c>
      <c r="L93" s="33" t="inlineStr">
        <is>
          <t>https://www.lovethework.com/work/entries/hola-777072</t>
        </is>
      </c>
      <c r="M93" s="33" t="inlineStr">
        <is>
          <t>When months of road works frustrated Icelanders, Colas Iceland turned a universal annoyance into a shared cultural moment with the '¡Hola!' campaign, defusing public anger with charm across airwaves and social.</t>
        </is>
      </c>
      <c r="N93" s="33" t="inlineStr">
        <is>
          <t>colas iceland, road paving, asphalt, construction, real-estate, infrastructure, b2b, business, iceland, road works, public frustration, culture, single-market, social, pipar tbwa, bronze</t>
        </is>
      </c>
    </row>
    <row r="94">
      <c r="A94" s="33" t="n">
        <v>2026</v>
      </c>
      <c r="B94" s="166" t="inlineStr">
        <is>
          <t>Bronze</t>
        </is>
      </c>
      <c r="C94" s="107" t="inlineStr">
        <is>
          <t>The Password Heist</t>
        </is>
      </c>
      <c r="D94" s="33" t="inlineStr">
        <is>
          <t>Leroy Merlin</t>
        </is>
      </c>
      <c r="E94" s="33" t="inlineStr">
        <is>
          <t>Leroy Merlin</t>
        </is>
      </c>
      <c r="F94" s="33" t="inlineStr">
        <is>
          <t>BETC</t>
        </is>
      </c>
      <c r="G94" s="33" t="inlineStr">
        <is>
          <t>France</t>
        </is>
      </c>
      <c r="H94" s="33" t="inlineStr">
        <is>
          <t>Breakthrough on a Budget</t>
        </is>
      </c>
      <c r="I94" s="33" t="inlineStr">
        <is>
          <t>https://ascentialcdn.filespin.io/api/v1/conversion/b8ce7fe97eca4b99b9d2efdae7d1ef97</t>
        </is>
      </c>
      <c r="J94" s="33" t="inlineStr">
        <is>
          <t>6zm0ARkEpKM</t>
        </is>
      </c>
      <c r="L94" s="33" t="inlineStr">
        <is>
          <t>https://www.lovethework.com/work/entries/the-password-heist-785172</t>
        </is>
      </c>
      <c r="M94" s="33" t="inlineStr">
        <is>
          <t>Reacting to the high-profile Louvre robbery, BETC created 'The Password Heist' for Leroy Merlin, a budget-savvy social campaign that played on weak passwords and everyday digital-security habits.</t>
        </is>
      </c>
      <c r="N94" s="33" t="inlineStr">
        <is>
          <t>leroy merlin, home improvement, diy, retail, hardware, france, louvre, passwords, digital security, awareness, breakthrough on a budget, social, betc, bronze</t>
        </is>
      </c>
    </row>
    <row r="95">
      <c r="A95" s="33" t="n">
        <v>2026</v>
      </c>
      <c r="B95" s="166" t="inlineStr">
        <is>
          <t>Bronze</t>
        </is>
      </c>
      <c r="C95" s="107" t="inlineStr">
        <is>
          <t>OM BDR</t>
        </is>
      </c>
      <c r="D95" s="33" t="inlineStr">
        <is>
          <t>KFC</t>
        </is>
      </c>
      <c r="E95" s="33" t="inlineStr">
        <is>
          <t>KFC</t>
        </is>
      </c>
      <c r="F95" s="33" t="inlineStr">
        <is>
          <t>TBWA\RAAD</t>
        </is>
      </c>
      <c r="G95" s="33" t="inlineStr">
        <is>
          <t>United Arab Emirates</t>
        </is>
      </c>
      <c r="H95" s="33" t="inlineStr">
        <is>
          <t>Cultural Engagement</t>
        </is>
      </c>
      <c r="I95" s="33" t="inlineStr">
        <is>
          <t>https://ascentialcdn.filespin.io/api/v1/conversion/d4d61fa8b85a4e2981c22593487a60d8</t>
        </is>
      </c>
      <c r="J95" s="33" t="inlineStr">
        <is>
          <t>WaS2AMZ_ef8</t>
        </is>
      </c>
      <c r="L95" s="33" t="inlineStr">
        <is>
          <t>https://www.lovethework.com/work/entries/om-bdr-774572</t>
        </is>
      </c>
      <c r="M95" s="33" t="inlineStr">
        <is>
          <t>After Saudi TikTok users began pouring Srar Hail — a seasoning made by local chef Om Bdr — over their KFC, TBWA\RAAD and KFC Arabia partnered with her and bottled the blend as the brand's unofficial '12th herb and spice.'</t>
        </is>
      </c>
      <c r="N95" s="33" t="inlineStr">
        <is>
          <t>kfc, fast food, qsr, fast-food, restaurant, food, fried chicken, united arab emirates, saudi arabia, tiktok, creator, seasoning, culture, cultural engagement, social, tbwa raad, bronze</t>
        </is>
      </c>
    </row>
  </sheetData>
  <autoFilter ref="A1:N51"/>
  <hyperlinks>
    <hyperlink xmlns:r="http://schemas.openxmlformats.org/officeDocument/2006/relationships" ref="I2" r:id="rId1"/>
    <hyperlink xmlns:r="http://schemas.openxmlformats.org/officeDocument/2006/relationships" ref="L2" r:id="rId2"/>
    <hyperlink xmlns:r="http://schemas.openxmlformats.org/officeDocument/2006/relationships" ref="I3" r:id="rId3"/>
    <hyperlink xmlns:r="http://schemas.openxmlformats.org/officeDocument/2006/relationships" ref="L3" r:id="rId4"/>
    <hyperlink xmlns:r="http://schemas.openxmlformats.org/officeDocument/2006/relationships" ref="I4" r:id="rId5"/>
    <hyperlink xmlns:r="http://schemas.openxmlformats.org/officeDocument/2006/relationships" ref="L4" r:id="rId6"/>
    <hyperlink xmlns:r="http://schemas.openxmlformats.org/officeDocument/2006/relationships" ref="I5" r:id="rId7"/>
    <hyperlink xmlns:r="http://schemas.openxmlformats.org/officeDocument/2006/relationships" ref="L5" r:id="rId8"/>
    <hyperlink xmlns:r="http://schemas.openxmlformats.org/officeDocument/2006/relationships" ref="I6" r:id="rId9"/>
    <hyperlink xmlns:r="http://schemas.openxmlformats.org/officeDocument/2006/relationships" ref="L6" r:id="rId10"/>
    <hyperlink xmlns:r="http://schemas.openxmlformats.org/officeDocument/2006/relationships" ref="I7" r:id="rId11"/>
    <hyperlink xmlns:r="http://schemas.openxmlformats.org/officeDocument/2006/relationships" ref="L7" r:id="rId12"/>
    <hyperlink xmlns:r="http://schemas.openxmlformats.org/officeDocument/2006/relationships" ref="I8" r:id="rId13"/>
    <hyperlink xmlns:r="http://schemas.openxmlformats.org/officeDocument/2006/relationships" ref="L8" r:id="rId14"/>
    <hyperlink xmlns:r="http://schemas.openxmlformats.org/officeDocument/2006/relationships" ref="I9" r:id="rId15"/>
    <hyperlink xmlns:r="http://schemas.openxmlformats.org/officeDocument/2006/relationships" ref="L9" r:id="rId16"/>
    <hyperlink xmlns:r="http://schemas.openxmlformats.org/officeDocument/2006/relationships" ref="L10" r:id="rId17"/>
    <hyperlink xmlns:r="http://schemas.openxmlformats.org/officeDocument/2006/relationships" ref="I11" r:id="rId18"/>
    <hyperlink xmlns:r="http://schemas.openxmlformats.org/officeDocument/2006/relationships" ref="L11" r:id="rId19"/>
    <hyperlink xmlns:r="http://schemas.openxmlformats.org/officeDocument/2006/relationships" ref="I12" r:id="rId20"/>
    <hyperlink xmlns:r="http://schemas.openxmlformats.org/officeDocument/2006/relationships" ref="L12" r:id="rId21"/>
    <hyperlink xmlns:r="http://schemas.openxmlformats.org/officeDocument/2006/relationships" ref="I13" r:id="rId22"/>
    <hyperlink xmlns:r="http://schemas.openxmlformats.org/officeDocument/2006/relationships" ref="L13" r:id="rId23"/>
    <hyperlink xmlns:r="http://schemas.openxmlformats.org/officeDocument/2006/relationships" ref="I14" r:id="rId24"/>
    <hyperlink xmlns:r="http://schemas.openxmlformats.org/officeDocument/2006/relationships" ref="L14" r:id="rId25"/>
    <hyperlink xmlns:r="http://schemas.openxmlformats.org/officeDocument/2006/relationships" ref="I15" r:id="rId26"/>
    <hyperlink xmlns:r="http://schemas.openxmlformats.org/officeDocument/2006/relationships" ref="L15" r:id="rId27"/>
    <hyperlink xmlns:r="http://schemas.openxmlformats.org/officeDocument/2006/relationships" ref="I16" r:id="rId28"/>
    <hyperlink xmlns:r="http://schemas.openxmlformats.org/officeDocument/2006/relationships" ref="L16" r:id="rId29"/>
    <hyperlink xmlns:r="http://schemas.openxmlformats.org/officeDocument/2006/relationships" ref="I17" r:id="rId30"/>
    <hyperlink xmlns:r="http://schemas.openxmlformats.org/officeDocument/2006/relationships" ref="L17" r:id="rId31"/>
    <hyperlink xmlns:r="http://schemas.openxmlformats.org/officeDocument/2006/relationships" ref="I18" r:id="rId32"/>
    <hyperlink xmlns:r="http://schemas.openxmlformats.org/officeDocument/2006/relationships" ref="L18" r:id="rId33"/>
    <hyperlink xmlns:r="http://schemas.openxmlformats.org/officeDocument/2006/relationships" ref="L19" r:id="rId34"/>
    <hyperlink xmlns:r="http://schemas.openxmlformats.org/officeDocument/2006/relationships" ref="L20" r:id="rId35"/>
    <hyperlink xmlns:r="http://schemas.openxmlformats.org/officeDocument/2006/relationships" ref="I21" r:id="rId36"/>
    <hyperlink xmlns:r="http://schemas.openxmlformats.org/officeDocument/2006/relationships" ref="L21" r:id="rId37"/>
    <hyperlink xmlns:r="http://schemas.openxmlformats.org/officeDocument/2006/relationships" ref="I22" r:id="rId38"/>
    <hyperlink xmlns:r="http://schemas.openxmlformats.org/officeDocument/2006/relationships" ref="L22" r:id="rId39"/>
    <hyperlink xmlns:r="http://schemas.openxmlformats.org/officeDocument/2006/relationships" ref="L23" r:id="rId40"/>
    <hyperlink xmlns:r="http://schemas.openxmlformats.org/officeDocument/2006/relationships" ref="I24" r:id="rId41"/>
    <hyperlink xmlns:r="http://schemas.openxmlformats.org/officeDocument/2006/relationships" ref="L24" r:id="rId42"/>
    <hyperlink xmlns:r="http://schemas.openxmlformats.org/officeDocument/2006/relationships" ref="I25" r:id="rId43"/>
    <hyperlink xmlns:r="http://schemas.openxmlformats.org/officeDocument/2006/relationships" ref="L25" r:id="rId44"/>
    <hyperlink xmlns:r="http://schemas.openxmlformats.org/officeDocument/2006/relationships" ref="I26" r:id="rId45"/>
    <hyperlink xmlns:r="http://schemas.openxmlformats.org/officeDocument/2006/relationships" ref="L26" r:id="rId46"/>
    <hyperlink xmlns:r="http://schemas.openxmlformats.org/officeDocument/2006/relationships" ref="I27" r:id="rId47"/>
    <hyperlink xmlns:r="http://schemas.openxmlformats.org/officeDocument/2006/relationships" ref="L27" r:id="rId48"/>
    <hyperlink xmlns:r="http://schemas.openxmlformats.org/officeDocument/2006/relationships" ref="I28" r:id="rId49"/>
    <hyperlink xmlns:r="http://schemas.openxmlformats.org/officeDocument/2006/relationships" ref="L28" r:id="rId50"/>
    <hyperlink xmlns:r="http://schemas.openxmlformats.org/officeDocument/2006/relationships" ref="I29" r:id="rId51"/>
    <hyperlink xmlns:r="http://schemas.openxmlformats.org/officeDocument/2006/relationships" ref="L29" r:id="rId52"/>
    <hyperlink xmlns:r="http://schemas.openxmlformats.org/officeDocument/2006/relationships" ref="I30" r:id="rId53"/>
    <hyperlink xmlns:r="http://schemas.openxmlformats.org/officeDocument/2006/relationships" ref="L30" r:id="rId54"/>
    <hyperlink xmlns:r="http://schemas.openxmlformats.org/officeDocument/2006/relationships" ref="I31" r:id="rId55"/>
    <hyperlink xmlns:r="http://schemas.openxmlformats.org/officeDocument/2006/relationships" ref="L31" r:id="rId56"/>
    <hyperlink xmlns:r="http://schemas.openxmlformats.org/officeDocument/2006/relationships" ref="I32" r:id="rId57"/>
    <hyperlink xmlns:r="http://schemas.openxmlformats.org/officeDocument/2006/relationships" ref="L32" r:id="rId58"/>
    <hyperlink xmlns:r="http://schemas.openxmlformats.org/officeDocument/2006/relationships" ref="I33" r:id="rId59"/>
    <hyperlink xmlns:r="http://schemas.openxmlformats.org/officeDocument/2006/relationships" ref="L33" r:id="rId60"/>
    <hyperlink xmlns:r="http://schemas.openxmlformats.org/officeDocument/2006/relationships" ref="I34" r:id="rId61"/>
    <hyperlink xmlns:r="http://schemas.openxmlformats.org/officeDocument/2006/relationships" ref="L34" r:id="rId62"/>
    <hyperlink xmlns:r="http://schemas.openxmlformats.org/officeDocument/2006/relationships" ref="I35" r:id="rId63"/>
    <hyperlink xmlns:r="http://schemas.openxmlformats.org/officeDocument/2006/relationships" ref="L35" r:id="rId64"/>
    <hyperlink xmlns:r="http://schemas.openxmlformats.org/officeDocument/2006/relationships" ref="I36" r:id="rId65"/>
    <hyperlink xmlns:r="http://schemas.openxmlformats.org/officeDocument/2006/relationships" ref="L36" r:id="rId66"/>
    <hyperlink xmlns:r="http://schemas.openxmlformats.org/officeDocument/2006/relationships" ref="I37" r:id="rId67"/>
    <hyperlink xmlns:r="http://schemas.openxmlformats.org/officeDocument/2006/relationships" ref="L37" r:id="rId68"/>
    <hyperlink xmlns:r="http://schemas.openxmlformats.org/officeDocument/2006/relationships" ref="L38" r:id="rId69"/>
    <hyperlink xmlns:r="http://schemas.openxmlformats.org/officeDocument/2006/relationships" ref="I39" r:id="rId70"/>
    <hyperlink xmlns:r="http://schemas.openxmlformats.org/officeDocument/2006/relationships" ref="L39" r:id="rId71"/>
    <hyperlink xmlns:r="http://schemas.openxmlformats.org/officeDocument/2006/relationships" ref="I40" r:id="rId72"/>
    <hyperlink xmlns:r="http://schemas.openxmlformats.org/officeDocument/2006/relationships" ref="L40" r:id="rId73"/>
    <hyperlink xmlns:r="http://schemas.openxmlformats.org/officeDocument/2006/relationships" ref="I41" r:id="rId74"/>
    <hyperlink xmlns:r="http://schemas.openxmlformats.org/officeDocument/2006/relationships" ref="L41" r:id="rId75"/>
    <hyperlink xmlns:r="http://schemas.openxmlformats.org/officeDocument/2006/relationships" ref="I42" r:id="rId76"/>
    <hyperlink xmlns:r="http://schemas.openxmlformats.org/officeDocument/2006/relationships" ref="L42" r:id="rId77"/>
    <hyperlink xmlns:r="http://schemas.openxmlformats.org/officeDocument/2006/relationships" ref="I43" r:id="rId78"/>
    <hyperlink xmlns:r="http://schemas.openxmlformats.org/officeDocument/2006/relationships" ref="L43" r:id="rId79"/>
    <hyperlink xmlns:r="http://schemas.openxmlformats.org/officeDocument/2006/relationships" ref="L44" r:id="rId80"/>
    <hyperlink xmlns:r="http://schemas.openxmlformats.org/officeDocument/2006/relationships" ref="I45" r:id="rId81"/>
    <hyperlink xmlns:r="http://schemas.openxmlformats.org/officeDocument/2006/relationships" ref="L45" r:id="rId82"/>
    <hyperlink xmlns:r="http://schemas.openxmlformats.org/officeDocument/2006/relationships" ref="I46" r:id="rId83"/>
    <hyperlink xmlns:r="http://schemas.openxmlformats.org/officeDocument/2006/relationships" ref="L46" r:id="rId84"/>
    <hyperlink xmlns:r="http://schemas.openxmlformats.org/officeDocument/2006/relationships" ref="I47" r:id="rId85"/>
    <hyperlink xmlns:r="http://schemas.openxmlformats.org/officeDocument/2006/relationships" ref="L47" r:id="rId86"/>
    <hyperlink xmlns:r="http://schemas.openxmlformats.org/officeDocument/2006/relationships" ref="I48" r:id="rId87"/>
    <hyperlink xmlns:r="http://schemas.openxmlformats.org/officeDocument/2006/relationships" ref="L48" r:id="rId88"/>
    <hyperlink xmlns:r="http://schemas.openxmlformats.org/officeDocument/2006/relationships" ref="I49" r:id="rId89"/>
    <hyperlink xmlns:r="http://schemas.openxmlformats.org/officeDocument/2006/relationships" ref="L49" r:id="rId90"/>
    <hyperlink xmlns:r="http://schemas.openxmlformats.org/officeDocument/2006/relationships" ref="I50" r:id="rId91"/>
    <hyperlink xmlns:r="http://schemas.openxmlformats.org/officeDocument/2006/relationships" ref="L50" r:id="rId92"/>
    <hyperlink xmlns:r="http://schemas.openxmlformats.org/officeDocument/2006/relationships" ref="I51" r:id="rId93"/>
    <hyperlink xmlns:r="http://schemas.openxmlformats.org/officeDocument/2006/relationships" ref="L51" r:id="rId94"/>
    <hyperlink xmlns:r="http://schemas.openxmlformats.org/officeDocument/2006/relationships" ref="I52" r:id="rId95"/>
    <hyperlink xmlns:r="http://schemas.openxmlformats.org/officeDocument/2006/relationships" ref="L52" r:id="rId96"/>
    <hyperlink xmlns:r="http://schemas.openxmlformats.org/officeDocument/2006/relationships" ref="I53" r:id="rId97"/>
    <hyperlink xmlns:r="http://schemas.openxmlformats.org/officeDocument/2006/relationships" ref="L53" r:id="rId98"/>
    <hyperlink xmlns:r="http://schemas.openxmlformats.org/officeDocument/2006/relationships" ref="I54" r:id="rId99"/>
    <hyperlink xmlns:r="http://schemas.openxmlformats.org/officeDocument/2006/relationships" ref="L54" r:id="rId100"/>
    <hyperlink xmlns:r="http://schemas.openxmlformats.org/officeDocument/2006/relationships" ref="I55" r:id="rId101"/>
    <hyperlink xmlns:r="http://schemas.openxmlformats.org/officeDocument/2006/relationships" ref="L55" r:id="rId102"/>
    <hyperlink xmlns:r="http://schemas.openxmlformats.org/officeDocument/2006/relationships" ref="I56" r:id="rId103"/>
    <hyperlink xmlns:r="http://schemas.openxmlformats.org/officeDocument/2006/relationships" ref="L56" r:id="rId104"/>
    <hyperlink xmlns:r="http://schemas.openxmlformats.org/officeDocument/2006/relationships" ref="I57" r:id="rId105"/>
    <hyperlink xmlns:r="http://schemas.openxmlformats.org/officeDocument/2006/relationships" ref="L57" r:id="rId106"/>
    <hyperlink xmlns:r="http://schemas.openxmlformats.org/officeDocument/2006/relationships" ref="I58" r:id="rId107"/>
    <hyperlink xmlns:r="http://schemas.openxmlformats.org/officeDocument/2006/relationships" ref="L58" r:id="rId108"/>
    <hyperlink xmlns:r="http://schemas.openxmlformats.org/officeDocument/2006/relationships" ref="I59" r:id="rId109"/>
    <hyperlink xmlns:r="http://schemas.openxmlformats.org/officeDocument/2006/relationships" ref="L59" r:id="rId110"/>
    <hyperlink xmlns:r="http://schemas.openxmlformats.org/officeDocument/2006/relationships" ref="I60" r:id="rId111"/>
    <hyperlink xmlns:r="http://schemas.openxmlformats.org/officeDocument/2006/relationships" ref="L60" r:id="rId112"/>
    <hyperlink xmlns:r="http://schemas.openxmlformats.org/officeDocument/2006/relationships" ref="I61" r:id="rId113"/>
    <hyperlink xmlns:r="http://schemas.openxmlformats.org/officeDocument/2006/relationships" ref="L61" r:id="rId114"/>
    <hyperlink xmlns:r="http://schemas.openxmlformats.org/officeDocument/2006/relationships" ref="I62" r:id="rId115"/>
    <hyperlink xmlns:r="http://schemas.openxmlformats.org/officeDocument/2006/relationships" ref="L62" r:id="rId116"/>
    <hyperlink xmlns:r="http://schemas.openxmlformats.org/officeDocument/2006/relationships" ref="I63" r:id="rId117"/>
    <hyperlink xmlns:r="http://schemas.openxmlformats.org/officeDocument/2006/relationships" ref="L63" r:id="rId118"/>
    <hyperlink xmlns:r="http://schemas.openxmlformats.org/officeDocument/2006/relationships" ref="I64" r:id="rId119"/>
    <hyperlink xmlns:r="http://schemas.openxmlformats.org/officeDocument/2006/relationships" ref="L64" r:id="rId120"/>
    <hyperlink xmlns:r="http://schemas.openxmlformats.org/officeDocument/2006/relationships" ref="I65" r:id="rId121"/>
    <hyperlink xmlns:r="http://schemas.openxmlformats.org/officeDocument/2006/relationships" ref="L65" r:id="rId122"/>
    <hyperlink xmlns:r="http://schemas.openxmlformats.org/officeDocument/2006/relationships" ref="I66" r:id="rId123"/>
    <hyperlink xmlns:r="http://schemas.openxmlformats.org/officeDocument/2006/relationships" ref="L66" r:id="rId124"/>
    <hyperlink xmlns:r="http://schemas.openxmlformats.org/officeDocument/2006/relationships" ref="I67" r:id="rId125"/>
    <hyperlink xmlns:r="http://schemas.openxmlformats.org/officeDocument/2006/relationships" ref="L67" r:id="rId126"/>
    <hyperlink xmlns:r="http://schemas.openxmlformats.org/officeDocument/2006/relationships" ref="I68" r:id="rId127"/>
    <hyperlink xmlns:r="http://schemas.openxmlformats.org/officeDocument/2006/relationships" ref="L68" r:id="rId128"/>
    <hyperlink xmlns:r="http://schemas.openxmlformats.org/officeDocument/2006/relationships" ref="I69" r:id="rId129"/>
    <hyperlink xmlns:r="http://schemas.openxmlformats.org/officeDocument/2006/relationships" ref="L69" r:id="rId130"/>
    <hyperlink xmlns:r="http://schemas.openxmlformats.org/officeDocument/2006/relationships" ref="I70" r:id="rId131"/>
    <hyperlink xmlns:r="http://schemas.openxmlformats.org/officeDocument/2006/relationships" ref="L70" r:id="rId132"/>
    <hyperlink xmlns:r="http://schemas.openxmlformats.org/officeDocument/2006/relationships" ref="I71" r:id="rId133"/>
    <hyperlink xmlns:r="http://schemas.openxmlformats.org/officeDocument/2006/relationships" ref="L71" r:id="rId134"/>
    <hyperlink xmlns:r="http://schemas.openxmlformats.org/officeDocument/2006/relationships" ref="I72" r:id="rId135"/>
    <hyperlink xmlns:r="http://schemas.openxmlformats.org/officeDocument/2006/relationships" ref="L72" r:id="rId136"/>
    <hyperlink xmlns:r="http://schemas.openxmlformats.org/officeDocument/2006/relationships" ref="I73" r:id="rId137"/>
    <hyperlink xmlns:r="http://schemas.openxmlformats.org/officeDocument/2006/relationships" ref="L73" r:id="rId138"/>
    <hyperlink xmlns:r="http://schemas.openxmlformats.org/officeDocument/2006/relationships" ref="I74" r:id="rId139"/>
    <hyperlink xmlns:r="http://schemas.openxmlformats.org/officeDocument/2006/relationships" ref="L74" r:id="rId140"/>
    <hyperlink xmlns:r="http://schemas.openxmlformats.org/officeDocument/2006/relationships" ref="I75" r:id="rId141"/>
    <hyperlink xmlns:r="http://schemas.openxmlformats.org/officeDocument/2006/relationships" ref="L75" r:id="rId142"/>
    <hyperlink xmlns:r="http://schemas.openxmlformats.org/officeDocument/2006/relationships" ref="I76" r:id="rId143"/>
    <hyperlink xmlns:r="http://schemas.openxmlformats.org/officeDocument/2006/relationships" ref="L76" r:id="rId144"/>
    <hyperlink xmlns:r="http://schemas.openxmlformats.org/officeDocument/2006/relationships" ref="I77" r:id="rId145"/>
    <hyperlink xmlns:r="http://schemas.openxmlformats.org/officeDocument/2006/relationships" ref="L77" r:id="rId146"/>
    <hyperlink xmlns:r="http://schemas.openxmlformats.org/officeDocument/2006/relationships" ref="I78" r:id="rId147"/>
    <hyperlink xmlns:r="http://schemas.openxmlformats.org/officeDocument/2006/relationships" ref="L78" r:id="rId148"/>
    <hyperlink xmlns:r="http://schemas.openxmlformats.org/officeDocument/2006/relationships" ref="I79" r:id="rId149"/>
    <hyperlink xmlns:r="http://schemas.openxmlformats.org/officeDocument/2006/relationships" ref="L79" r:id="rId150"/>
    <hyperlink xmlns:r="http://schemas.openxmlformats.org/officeDocument/2006/relationships" ref="I80" r:id="rId151"/>
    <hyperlink xmlns:r="http://schemas.openxmlformats.org/officeDocument/2006/relationships" ref="L80" r:id="rId152"/>
    <hyperlink xmlns:r="http://schemas.openxmlformats.org/officeDocument/2006/relationships" ref="I81" r:id="rId153"/>
    <hyperlink xmlns:r="http://schemas.openxmlformats.org/officeDocument/2006/relationships" ref="L81" r:id="rId154"/>
    <hyperlink xmlns:r="http://schemas.openxmlformats.org/officeDocument/2006/relationships" ref="I82" r:id="rId155"/>
    <hyperlink xmlns:r="http://schemas.openxmlformats.org/officeDocument/2006/relationships" ref="L82" r:id="rId156"/>
    <hyperlink xmlns:r="http://schemas.openxmlformats.org/officeDocument/2006/relationships" ref="I83" r:id="rId157"/>
    <hyperlink xmlns:r="http://schemas.openxmlformats.org/officeDocument/2006/relationships" ref="L83" r:id="rId158"/>
    <hyperlink xmlns:r="http://schemas.openxmlformats.org/officeDocument/2006/relationships" ref="I84" r:id="rId159"/>
    <hyperlink xmlns:r="http://schemas.openxmlformats.org/officeDocument/2006/relationships" ref="L84" r:id="rId160"/>
    <hyperlink xmlns:r="http://schemas.openxmlformats.org/officeDocument/2006/relationships" ref="I85" r:id="rId161"/>
    <hyperlink xmlns:r="http://schemas.openxmlformats.org/officeDocument/2006/relationships" ref="L85" r:id="rId162"/>
    <hyperlink xmlns:r="http://schemas.openxmlformats.org/officeDocument/2006/relationships" ref="I86" r:id="rId163"/>
    <hyperlink xmlns:r="http://schemas.openxmlformats.org/officeDocument/2006/relationships" ref="L86" r:id="rId164"/>
    <hyperlink xmlns:r="http://schemas.openxmlformats.org/officeDocument/2006/relationships" ref="I87" r:id="rId165"/>
    <hyperlink xmlns:r="http://schemas.openxmlformats.org/officeDocument/2006/relationships" ref="L87" r:id="rId166"/>
    <hyperlink xmlns:r="http://schemas.openxmlformats.org/officeDocument/2006/relationships" ref="I88" r:id="rId167"/>
    <hyperlink xmlns:r="http://schemas.openxmlformats.org/officeDocument/2006/relationships" ref="L88" r:id="rId168"/>
    <hyperlink xmlns:r="http://schemas.openxmlformats.org/officeDocument/2006/relationships" ref="I89" r:id="rId169"/>
    <hyperlink xmlns:r="http://schemas.openxmlformats.org/officeDocument/2006/relationships" ref="L89" r:id="rId170"/>
    <hyperlink xmlns:r="http://schemas.openxmlformats.org/officeDocument/2006/relationships" ref="I90" r:id="rId171"/>
    <hyperlink xmlns:r="http://schemas.openxmlformats.org/officeDocument/2006/relationships" ref="L90" r:id="rId172"/>
    <hyperlink xmlns:r="http://schemas.openxmlformats.org/officeDocument/2006/relationships" ref="I91" r:id="rId173"/>
    <hyperlink xmlns:r="http://schemas.openxmlformats.org/officeDocument/2006/relationships" ref="L91" r:id="rId174"/>
    <hyperlink xmlns:r="http://schemas.openxmlformats.org/officeDocument/2006/relationships" ref="I92" r:id="rId175"/>
    <hyperlink xmlns:r="http://schemas.openxmlformats.org/officeDocument/2006/relationships" ref="L92" r:id="rId176"/>
    <hyperlink xmlns:r="http://schemas.openxmlformats.org/officeDocument/2006/relationships" ref="I93" r:id="rId177"/>
    <hyperlink xmlns:r="http://schemas.openxmlformats.org/officeDocument/2006/relationships" ref="L93" r:id="rId178"/>
    <hyperlink xmlns:r="http://schemas.openxmlformats.org/officeDocument/2006/relationships" ref="I94" r:id="rId179"/>
    <hyperlink xmlns:r="http://schemas.openxmlformats.org/officeDocument/2006/relationships" ref="L94" r:id="rId180"/>
    <hyperlink xmlns:r="http://schemas.openxmlformats.org/officeDocument/2006/relationships" ref="I95" r:id="rId181"/>
    <hyperlink xmlns:r="http://schemas.openxmlformats.org/officeDocument/2006/relationships" ref="L95" r:id="rId182"/>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N43"/>
  <sheetViews>
    <sheetView workbookViewId="0">
      <pane ySplit="1" topLeftCell="A2" activePane="bottomLeft" state="frozen"/>
      <selection pane="bottomLeft" activeCell="A1" sqref="A1"/>
    </sheetView>
  </sheetViews>
  <sheetFormatPr baseColWidth="8" defaultRowHeight="15"/>
  <cols>
    <col width="6" customWidth="1" style="34" min="1" max="1"/>
    <col width="16" customWidth="1" style="34" min="2" max="2"/>
    <col width="34" customWidth="1" style="34" min="3" max="3"/>
    <col width="22" customWidth="1" style="34" min="4" max="4"/>
    <col width="26" customWidth="1" style="34" min="5" max="5"/>
    <col width="28" customWidth="1" style="34" min="6" max="6"/>
    <col width="16" customWidth="1" style="34" min="7" max="7"/>
    <col width="34" customWidth="1" style="34" min="8" max="8"/>
    <col width="18" customWidth="1" style="34" min="9" max="9"/>
    <col width="16" customWidth="1" style="34" min="10" max="10"/>
    <col width="22" customWidth="1" style="34" min="11" max="11"/>
    <col hidden="1" width="20" customWidth="1" style="34" min="12" max="12"/>
    <col width="60" customWidth="1" style="34" min="13" max="13"/>
    <col width="40" customWidth="1" style="34" min="14" max="14"/>
  </cols>
  <sheetData>
    <row r="1" ht="22" customHeight="1" s="34">
      <c r="A1" s="122" t="inlineStr">
        <is>
          <t>Year</t>
        </is>
      </c>
      <c r="B1" s="122" t="inlineStr">
        <is>
          <t>Tier</t>
        </is>
      </c>
      <c r="C1" s="122" t="inlineStr">
        <is>
          <t>Campaign</t>
        </is>
      </c>
      <c r="D1" s="122" t="inlineStr">
        <is>
          <t>Brand</t>
        </is>
      </c>
      <c r="E1" s="122" t="inlineStr">
        <is>
          <t>Product/Service</t>
        </is>
      </c>
      <c r="F1" s="122" t="inlineStr">
        <is>
          <t>Agency</t>
        </is>
      </c>
      <c r="G1" s="122" t="inlineStr">
        <is>
          <t>Country</t>
        </is>
      </c>
      <c r="H1" s="122" t="inlineStr">
        <is>
          <t>Subcategory</t>
        </is>
      </c>
      <c r="I1" s="122" t="inlineStr">
        <is>
          <t>Image URL</t>
        </is>
      </c>
      <c r="J1" s="122" t="inlineStr">
        <is>
          <t>YouTube ID</t>
        </is>
      </c>
      <c r="K1" s="122" t="inlineStr">
        <is>
          <t>Campaign Group</t>
        </is>
      </c>
      <c r="L1" s="122" t="inlineStr">
        <is>
          <t>Entry URL</t>
        </is>
      </c>
      <c r="M1" s="122" t="inlineStr">
        <is>
          <t>Description</t>
        </is>
      </c>
      <c r="N1" s="122" t="inlineStr">
        <is>
          <t>Keywords</t>
        </is>
      </c>
    </row>
    <row r="2">
      <c r="A2" s="127" t="n">
        <v>2025</v>
      </c>
      <c r="B2" s="139" t="inlineStr">
        <is>
          <t>Grand Prix</t>
        </is>
      </c>
      <c r="C2" s="127" t="inlineStr">
        <is>
          <t>Night Fishing</t>
        </is>
      </c>
      <c r="D2" s="127" t="inlineStr">
        <is>
          <t>Hyundai</t>
        </is>
      </c>
      <c r="E2" s="127" t="inlineStr">
        <is>
          <t>Ioniq</t>
        </is>
      </c>
      <c r="F2" s="127" t="inlineStr">
        <is>
          <t>Innocean</t>
        </is>
      </c>
      <c r="G2" s="127" t="inlineStr">
        <is>
          <t>South Korea</t>
        </is>
      </c>
      <c r="H2" s="113" t="inlineStr">
        <is>
          <t>Fiction Film: 5-30 minutes</t>
        </is>
      </c>
      <c r="I2" s="127" t="inlineStr">
        <is>
          <t>digital-presentation-images/entertainment-hyundai-night-fishing.webp</t>
        </is>
      </c>
      <c r="J2" s="127" t="inlineStr">
        <is>
          <t>BTcsn4aLOkQ</t>
        </is>
      </c>
      <c r="K2" s="127" t="n"/>
      <c r="L2" s="128" t="inlineStr">
        <is>
          <t>https://www.lovethework.com/work/entries/night-fishing-767309</t>
        </is>
      </c>
      <c r="M2" s="113" t="inlineStr">
        <is>
          <t>A 13-minute short film shot entirely using the built-in cameras of a Hyundai Ioniq 5 — side, interior, and exterior — with the car functioning as the sole cinematographer across every scene. The film premiered as an official selection at Chef Dance, a principal program of the Sundance Film Festival, then screened nationwide in South Korean theaters at a $1 admission fee, charging audiences to watch what was, functionally, a car ad.</t>
        </is>
      </c>
      <c r="N2" s="113" t="inlineStr">
        <is>
          <t>automotive, cars, transport, branded-entertainment, short-film, south-korea, electric-vehicle, theater, gen-z, film-festival</t>
        </is>
      </c>
    </row>
    <row r="3">
      <c r="A3" s="127" t="n">
        <v>2025</v>
      </c>
      <c r="B3" s="140" t="inlineStr">
        <is>
          <t>Gold</t>
        </is>
      </c>
      <c r="C3" s="127" t="inlineStr">
        <is>
          <t>The Final Copy of Ilon Specht</t>
        </is>
      </c>
      <c r="D3" s="127" t="inlineStr">
        <is>
          <t>L'Oréal</t>
        </is>
      </c>
      <c r="E3" s="127" t="inlineStr">
        <is>
          <t>L'orãal Paris</t>
        </is>
      </c>
      <c r="F3" s="127" t="inlineStr">
        <is>
          <t>McCANN</t>
        </is>
      </c>
      <c r="G3" s="127" t="inlineStr">
        <is>
          <t>France</t>
        </is>
      </c>
      <c r="H3" s="113" t="inlineStr">
        <is>
          <t>Non-Fiction Film: 5-30 minutes</t>
        </is>
      </c>
      <c r="I3" s="127" t="inlineStr">
        <is>
          <t>digital-presentation-images/entertainment-loreal-the-final-copy-of-ilon-specht.webp</t>
        </is>
      </c>
      <c r="J3" s="127" t="inlineStr">
        <is>
          <t>-4o8bCc6-GM</t>
        </is>
      </c>
      <c r="K3" s="127" t="n"/>
      <c r="L3" s="128" t="inlineStr">
        <is>
          <t>https://www.lovethework.com/work/entries/the-final-copy-of-ilon-specht-766871</t>
        </is>
      </c>
      <c r="M3" s="113" t="inlineStr">
        <is>
          <t>An 18-minute documentary released on International Women's Day across Prime Video, AMC+, and YouTube, profiling Ilon Specht — the copywriter who wrote "Because I'm Worth It" for L'Oréal Paris in 1973 — without changing a word of the original line. McCann Paris then extended the film across OOH, interactive installations, screenings, and influencer activity in more than 20 countries.</t>
        </is>
      </c>
      <c r="N3" s="113" t="inlineStr">
        <is>
          <t>cosmetics, personal-care, beauty, documentary, film, entertainment, cinema, branded-content, ooh, interactive-installation, international-womens-day, france, streaming, tv, social</t>
        </is>
      </c>
    </row>
    <row r="4">
      <c r="A4" s="127" t="n">
        <v>2025</v>
      </c>
      <c r="B4" s="140" t="inlineStr">
        <is>
          <t>Gold</t>
        </is>
      </c>
      <c r="C4" s="127" t="inlineStr">
        <is>
          <t>Haaland Payback Time</t>
        </is>
      </c>
      <c r="D4" s="127" t="inlineStr">
        <is>
          <t>Clash of Clans</t>
        </is>
      </c>
      <c r="E4" s="127" t="inlineStr">
        <is>
          <t>Clash of Clans</t>
        </is>
      </c>
      <c r="F4" s="127" t="inlineStr">
        <is>
          <t>David</t>
        </is>
      </c>
      <c r="G4" s="127" t="inlineStr">
        <is>
          <t>United States</t>
        </is>
      </c>
      <c r="H4" s="113" t="inlineStr">
        <is>
          <t>Audience Engagement/Distribution Strategy</t>
        </is>
      </c>
      <c r="I4" s="128" t="inlineStr">
        <is>
          <t>https://ascentialcdn.filespin.io/api/v1/conversion/e56e744cd3594eceb82733246e9035b2</t>
        </is>
      </c>
      <c r="J4" s="127" t="inlineStr">
        <is>
          <t>TcQ--NtSQ9s</t>
        </is>
      </c>
      <c r="K4" s="127" t="n"/>
      <c r="L4" s="128" t="inlineStr">
        <is>
          <t>https://www.lovethework.com/work/entries/haaland-payback-time-766835</t>
        </is>
      </c>
      <c r="M4" s="113" t="inlineStr">
        <is>
          <t>A limited in-game challenge built around Premier League footballer Erling Haaland's actual Clash of Clans village — one he had spent over a decade constructing. The campaign invited rival players and self-declared Haaland "haters" to raid and attack that real village, turning his personal in-game progress into a target. The mechanic used Haaland's existing game history as the creative raw material, with his real account serving as the prize to be plundered.</t>
        </is>
      </c>
      <c r="N4" s="113" t="inlineStr">
        <is>
          <t>mobile-game, gaming, video-games, entertainment, influencer, sport, in-game-activation, football, soccer, celebrity, united-states</t>
        </is>
      </c>
    </row>
    <row r="5">
      <c r="A5" s="127" t="n">
        <v>2025</v>
      </c>
      <c r="B5" s="140" t="inlineStr">
        <is>
          <t>Gold</t>
        </is>
      </c>
      <c r="C5" s="127" t="inlineStr">
        <is>
          <t>Caption with Intention</t>
        </is>
      </c>
      <c r="D5" s="127" t="inlineStr">
        <is>
          <t>Academy of Motion Picture Arts &amp; Sciences</t>
        </is>
      </c>
      <c r="E5" s="127" t="inlineStr">
        <is>
          <t>Closed Captioning</t>
        </is>
      </c>
      <c r="F5" s="127" t="inlineStr">
        <is>
          <t>FCB Chicago</t>
        </is>
      </c>
      <c r="G5" s="127" t="inlineStr">
        <is>
          <t>United States</t>
        </is>
      </c>
      <c r="H5" s="113" t="inlineStr">
        <is>
          <t>Diversity &amp; Inclusion in Entertainment</t>
        </is>
      </c>
      <c r="I5" s="128" t="inlineStr">
        <is>
          <t>https://ascentialcdn.filespin.io/api/v1/conversion/3a7cf992b94648e7abc8a97fc02fb04b</t>
        </is>
      </c>
      <c r="J5" s="127" t="inlineStr">
        <is>
          <t>F48khKZhKHM</t>
        </is>
      </c>
      <c r="K5" s="127" t="n"/>
      <c r="L5" s="128" t="inlineStr">
        <is>
          <t>https://www.lovethework.com/work/entries/caption-with-intention-767270</t>
        </is>
      </c>
      <c r="M5" s="113" t="inlineStr">
        <is>
          <t>A caption design system for film and television that moves beyond static white text — word-by-word sync pairs with expressive typography, where type weight, color, and motion signal volume, tone, and speaker identity. Developed by FCB Chicago in close partnership with the Chicago Hearing Society, Rakish, and the Academy of Motion Picture Arts and Sciences, which adopted it as a new standard for cinematic accessibility.</t>
        </is>
      </c>
      <c r="N5" s="113" t="inlineStr">
        <is>
          <t>closed-captioning, accessibility, typography, film, cinema, entertainment, societal-innovation, united-states, design-system, deaf-hard-of-hearing</t>
        </is>
      </c>
    </row>
    <row r="6">
      <c r="A6" s="127" t="n">
        <v>2025</v>
      </c>
      <c r="B6" s="140" t="inlineStr">
        <is>
          <t>Gold</t>
        </is>
      </c>
      <c r="C6" s="127" t="inlineStr">
        <is>
          <t>Dungeons&amp;Dragons: the Lost Episode</t>
        </is>
      </c>
      <c r="D6" s="127" t="inlineStr">
        <is>
          <t>Hasbro</t>
        </is>
      </c>
      <c r="E6" s="127" t="inlineStr">
        <is>
          <t>Toys</t>
        </is>
      </c>
      <c r="F6" s="127" t="inlineStr">
        <is>
          <t>Ogilvy</t>
        </is>
      </c>
      <c r="G6" s="127" t="inlineStr">
        <is>
          <t>Brazil</t>
        </is>
      </c>
      <c r="H6" s="113" t="inlineStr">
        <is>
          <t>Influencer &amp; Co-Creation</t>
        </is>
      </c>
      <c r="I6" s="127" t="inlineStr">
        <is>
          <t>digital-presentation-images/entertainment-hasbro-dungeons-and-dragons-the-lost-episode.webp</t>
        </is>
      </c>
      <c r="J6" s="127" t="inlineStr">
        <is>
          <t>vimeo:1103262672</t>
        </is>
      </c>
      <c r="K6" s="127" t="n"/>
      <c r="L6" s="128" t="inlineStr">
        <is>
          <t>https://www.lovethework.com/work/entries/dungeonsdragons-the-lost-episode-767102</t>
        </is>
      </c>
      <c r="M6" s="113" t="inlineStr">
        <is>
          <t>A 15-minute stop-motion film Hasbro produced with Brazilian pop-culture duo Jovem Nerd and Nonsense Creations, built entirely from fan theories gathered through social listening about the unresolved 1980s Dungeons &amp; Dragons animated series — which was canceled in Latin America without a finale, leaving its ending debated online for decades. The film was directed and launched at Comic Con Brazil, giving the characters a conclusion drawn from the community's own speculation about whether they died, escaped, or made it home.</t>
        </is>
      </c>
      <c r="N6" s="113" t="inlineStr">
        <is>
          <t>toys, branded-entertainment, stop-motion, influencer-co-creation, social-listening, brazil, film, cinema, entertainment, fan-community, dungeons-and-dragons</t>
        </is>
      </c>
    </row>
    <row r="7">
      <c r="A7" s="127" t="n">
        <v>2025</v>
      </c>
      <c r="B7" s="140" t="inlineStr">
        <is>
          <t>Gold</t>
        </is>
      </c>
      <c r="C7" s="127" t="inlineStr">
        <is>
          <t>Tide Collateral Stain Stories</t>
        </is>
      </c>
      <c r="D7" s="127" t="inlineStr">
        <is>
          <t>Tide</t>
        </is>
      </c>
      <c r="E7" s="127" t="inlineStr">
        <is>
          <t>Tide Oxi Boost</t>
        </is>
      </c>
      <c r="F7" s="127" t="inlineStr">
        <is>
          <t>Saatchi &amp; Saatchi</t>
        </is>
      </c>
      <c r="G7" s="127" t="inlineStr">
        <is>
          <t>United States</t>
        </is>
      </c>
      <c r="H7" s="113" t="inlineStr">
        <is>
          <t>Brand Partnerships, Sponsorships &amp; Collaborations</t>
        </is>
      </c>
      <c r="I7" s="128" t="inlineStr">
        <is>
          <t>https://ascentialcdn.filespin.io/api/v1/conversion/55473142d6864b37b0a59f44ba97046b</t>
        </is>
      </c>
      <c r="J7" s="127" t="inlineStr">
        <is>
          <t>vimeo:1078053795</t>
        </is>
      </c>
      <c r="K7" s="127" t="n"/>
      <c r="L7" s="128" t="inlineStr">
        <is>
          <t>https://www.lovethework.com/work/entries/tide-collateral-stain-stories-767268</t>
        </is>
      </c>
      <c r="M7" s="113" t="inlineStr">
        <is>
          <t>The stories of regular people living in the Marvel Universe dealing with the laundry messes those epic battles leave behind. Tide went through all 36 Marvel movies and 10 TV series to identify every collateral stain victim and turn them into the heroes of their campaign, including TV, OLV, social and outdoor. Their stars even showed up at the red carpet premiere.</t>
        </is>
      </c>
      <c r="N7" s="113" t="inlineStr">
        <is>
          <t>detergent, household, home, cpg, branded-content, integrated, marvel, partnership, ip, united-states</t>
        </is>
      </c>
    </row>
    <row r="8">
      <c r="A8" s="127" t="n">
        <v>2025</v>
      </c>
      <c r="B8" s="132" t="inlineStr">
        <is>
          <t>Silver</t>
        </is>
      </c>
      <c r="C8" s="127" t="inlineStr">
        <is>
          <t>Lap of Legends</t>
        </is>
      </c>
      <c r="D8" s="127" t="inlineStr">
        <is>
          <t>Michelob Ultra</t>
        </is>
      </c>
      <c r="E8" s="127" t="inlineStr">
        <is>
          <t>Michelob Ultra</t>
        </is>
      </c>
      <c r="F8" s="127" t="inlineStr">
        <is>
          <t>FCB New York</t>
        </is>
      </c>
      <c r="G8" s="127" t="inlineStr">
        <is>
          <t>United States</t>
        </is>
      </c>
      <c r="H8" s="113" t="inlineStr">
        <is>
          <t>Innovation in Branded Content</t>
        </is>
      </c>
      <c r="I8" s="128" t="inlineStr">
        <is>
          <t>https://ascentialcdn.filespin.io/api/v1/conversion/00bc8da7a7464d6c8f4154a6b1e3cc23</t>
        </is>
      </c>
      <c r="J8" s="127" t="inlineStr">
        <is>
          <t>0C3VQ6MwfIE</t>
        </is>
      </c>
      <c r="K8" s="127" t="n"/>
      <c r="L8" s="128" t="inlineStr">
        <is>
          <t>https://www.lovethework.com/work/entries/lap-of-legends-767038</t>
        </is>
      </c>
      <c r="M8" s="113" t="inlineStr">
        <is>
          <t>A real-versus-virtual Formula 1 race in which Williams driver Logan Sargeant drove his own car on a live track against AI avatars of Nigel Mansell and Mario Andretti — virtual drivers reconstructed from 45 years of historical race data, visible to Sargeant through an AR-equipped racing helmet. Broadcast on AMC, Roku, and BBC America.</t>
        </is>
      </c>
      <c r="N8" s="113" t="inlineStr">
        <is>
          <t>sport, ai, technology, ar, motorsport, racing, beer, alcohol, broadcast, entertainment, partnership, tech-led-experience</t>
        </is>
      </c>
    </row>
    <row r="9">
      <c r="A9" s="127" t="n">
        <v>2025</v>
      </c>
      <c r="B9" s="132" t="inlineStr">
        <is>
          <t>Silver</t>
        </is>
      </c>
      <c r="C9" s="127" t="inlineStr">
        <is>
          <t>Can't Unsee It</t>
        </is>
      </c>
      <c r="D9" s="127" t="inlineStr">
        <is>
          <t>Heinz Ketchup &amp; Mustard</t>
        </is>
      </c>
      <c r="E9" s="127" t="inlineStr">
        <is>
          <t>Kraft Heinz</t>
        </is>
      </c>
      <c r="F9" s="127" t="inlineStr">
        <is>
          <t>Rethink</t>
        </is>
      </c>
      <c r="G9" s="127" t="inlineStr">
        <is>
          <t>Canada</t>
        </is>
      </c>
      <c r="H9" s="113" t="inlineStr">
        <is>
          <t>Brand Partnerships, Sponsorships &amp; Collaborations</t>
        </is>
      </c>
      <c r="I9" s="128" t="inlineStr">
        <is>
          <t>https://ascentialcdn.filespin.io/api/v1/conversion/3db7ec7e31b7459bafa082009489d40e</t>
        </is>
      </c>
      <c r="J9" s="127" t="inlineStr">
        <is>
          <t>itiHi3WYcSs</t>
        </is>
      </c>
      <c r="K9" s="127" t="n"/>
      <c r="L9" s="128" t="inlineStr">
        <is>
          <t>https://www.lovethework.com/work/entries/cant-unsee-it-767337</t>
        </is>
      </c>
      <c r="M9" s="113" t="inlineStr">
        <is>
          <t>Out-of-home placements in New York, Los Angeles, Toronto, and Vancouver that targeted Marvel's existing Deadpool &amp; Wolverine outdoor campaign — replacing the film's characters with Heinz Ketchup and Mustard bottles under the line "You Can't Unsee It." The ads leaned on the visual match between Deadpool's red suit and Wolverine's yellow suit and the two condiment bottles, a parallel that moviegoers had already started noting online ahead of the film's summer 2024 release.</t>
        </is>
      </c>
      <c r="N9" s="113" t="inlineStr">
        <is>
          <t>condiment, ooh, cultural-hijack, media-placement, canada, united-states, superhero-film, ambient</t>
        </is>
      </c>
    </row>
    <row r="10">
      <c r="A10" s="127" t="n">
        <v>2025</v>
      </c>
      <c r="B10" s="132" t="inlineStr">
        <is>
          <t>Silver</t>
        </is>
      </c>
      <c r="C10" s="127" t="inlineStr">
        <is>
          <t>Oreo Square Cookie</t>
        </is>
      </c>
      <c r="D10" s="127" t="inlineStr">
        <is>
          <t>Mondelez International</t>
        </is>
      </c>
      <c r="E10" s="127" t="inlineStr">
        <is>
          <t>Oreo</t>
        </is>
      </c>
      <c r="F10" s="127" t="inlineStr">
        <is>
          <t>Saatchi &amp; Saatchi</t>
        </is>
      </c>
      <c r="G10" s="127" t="inlineStr">
        <is>
          <t>Germany</t>
        </is>
      </c>
      <c r="H10" s="113" t="inlineStr">
        <is>
          <t>Audience Engagement/Distribution Strategy</t>
        </is>
      </c>
      <c r="I10" s="128" t="inlineStr">
        <is>
          <t>https://ascentialcdn.filespin.io/api/v1/conversion/76013060c8dd4eaab1a92bf04d89af79</t>
        </is>
      </c>
      <c r="J10" s="127" t="inlineStr">
        <is>
          <t>vimeo:1068186645</t>
        </is>
      </c>
      <c r="K10" s="127" t="n"/>
      <c r="L10" s="128" t="inlineStr">
        <is>
          <t>https://www.lovethework.com/work/entries/oreo-square-cookie-767454</t>
        </is>
      </c>
      <c r="M10" s="113" t="inlineStr">
        <is>
          <t>A limited-edition square Oreo cookie produced in collaboration with A Minecraft Movie, reshaping the brand's signature round format to match the block-based geometry of the Minecraft world. The tie-in was designed to get German consumers to sample Oreo's reformulated recipe — more cocoa, less sugar — by attaching a trial reason to one of the year's biggest cinema releases.</t>
        </is>
      </c>
      <c r="N10" s="113" t="inlineStr">
        <is>
          <t>snack, food, packaged-goods, cpg, fmcg, packaging, limited-edition, brand-collaboration, entertainment, germany, product-design, audience-engagement</t>
        </is>
      </c>
    </row>
    <row r="11">
      <c r="A11" s="127" t="n">
        <v>2025</v>
      </c>
      <c r="B11" s="132" t="inlineStr">
        <is>
          <t>Silver</t>
        </is>
      </c>
      <c r="C11" s="127" t="inlineStr">
        <is>
          <t>Caption with Intention</t>
        </is>
      </c>
      <c r="D11" s="127" t="inlineStr">
        <is>
          <t>Academy of Motion Picture Arts &amp; Sciences</t>
        </is>
      </c>
      <c r="E11" s="127" t="inlineStr">
        <is>
          <t>Closed Captioning</t>
        </is>
      </c>
      <c r="F11" s="127" t="inlineStr">
        <is>
          <t>FCB Chicago</t>
        </is>
      </c>
      <c r="G11" s="127" t="inlineStr">
        <is>
          <t>United States</t>
        </is>
      </c>
      <c r="H11" s="113" t="inlineStr">
        <is>
          <t>Cultural Engagement</t>
        </is>
      </c>
      <c r="I11" s="128" t="inlineStr">
        <is>
          <t>https://ascentialcdn.filespin.io/api/v1/conversion/3a7cf992b94648e7abc8a97fc02fb04b</t>
        </is>
      </c>
      <c r="J11" s="127" t="inlineStr">
        <is>
          <t>F48khKZhKHM</t>
        </is>
      </c>
      <c r="K11" s="127" t="n"/>
      <c r="L11" s="128" t="inlineStr">
        <is>
          <t>https://www.lovethework.com/work/entries/caption-with-intention-767304</t>
        </is>
      </c>
      <c r="M11" s="113" t="inlineStr">
        <is>
          <t>A caption design system for film and television that moves beyond static white text — word-by-word sync pairs with expressive typography, where type weight, color, and motion signal volume, tone, and speaker identity. Developed by FCB Chicago in close partnership with the Chicago Hearing Society, Rakish, and the Academy of Motion Picture Arts and Sciences, which adopted it as a new standard for cinematic accessibility.</t>
        </is>
      </c>
      <c r="N11" s="113" t="inlineStr">
        <is>
          <t>closed-captioning, accessibility, typography, film, cinema, entertainment, societal-innovation, united-states, design-system, deaf-hard-of-hearing</t>
        </is>
      </c>
    </row>
    <row r="12">
      <c r="A12" s="127" t="n">
        <v>2025</v>
      </c>
      <c r="B12" s="132" t="inlineStr">
        <is>
          <t>Silver</t>
        </is>
      </c>
      <c r="C12" s="127" t="inlineStr">
        <is>
          <t>The Final Copy of Ilon Specht</t>
        </is>
      </c>
      <c r="D12" s="127" t="inlineStr">
        <is>
          <t>L'Oréal</t>
        </is>
      </c>
      <c r="E12" s="127" t="inlineStr">
        <is>
          <t>L'orãal Paris</t>
        </is>
      </c>
      <c r="F12" s="127" t="inlineStr">
        <is>
          <t>McCANN</t>
        </is>
      </c>
      <c r="G12" s="127" t="inlineStr">
        <is>
          <t>France</t>
        </is>
      </c>
      <c r="H12" s="113" t="inlineStr">
        <is>
          <t>Diversity &amp; Inclusion in Entertainment</t>
        </is>
      </c>
      <c r="I12" s="127" t="inlineStr">
        <is>
          <t>digital-presentation-images/entertainment-loreal-the-final-copy-of-ilon-specht.webp</t>
        </is>
      </c>
      <c r="J12" s="127" t="inlineStr">
        <is>
          <t>-4o8bCc6-GM</t>
        </is>
      </c>
      <c r="K12" s="127" t="n"/>
      <c r="L12" s="128" t="inlineStr">
        <is>
          <t>https://www.lovethework.com/work/entries/the-final-copy-of-ilon-specht-766850</t>
        </is>
      </c>
      <c r="M12" s="113" t="inlineStr">
        <is>
          <t>An 18-minute documentary released on International Women's Day across Prime Video, AMC+, and YouTube, profiling Ilon Specht — the copywriter who wrote "Because I'm Worth It" for L'Oréal Paris in 1973 — without changing a word of the original line. McCann Paris then extended the film across OOH, interactive installations, screenings, and influencer activity in more than 20 countries.</t>
        </is>
      </c>
      <c r="N12" s="113" t="inlineStr">
        <is>
          <t>cosmetics, personal-care, beauty, documentary, film, entertainment, cinema, branded-content, ooh, interactive-installation, international-womens-day, france, streaming, tv, social</t>
        </is>
      </c>
    </row>
    <row r="13">
      <c r="A13" s="127" t="n">
        <v>2025</v>
      </c>
      <c r="B13" s="132" t="inlineStr">
        <is>
          <t>Silver</t>
        </is>
      </c>
      <c r="C13" s="127" t="inlineStr">
        <is>
          <t>Olympic Games Opening Ceremony Paris 2024</t>
        </is>
      </c>
      <c r="D13" s="127" t="inlineStr">
        <is>
          <t>Paris 2024</t>
        </is>
      </c>
      <c r="E13" s="127" t="inlineStr">
        <is>
          <t>Paris 2024</t>
        </is>
      </c>
      <c r="F13" s="127" t="inlineStr">
        <is>
          <t>Paname 24</t>
        </is>
      </c>
      <c r="G13" s="127" t="inlineStr">
        <is>
          <t>France</t>
        </is>
      </c>
      <c r="H13" s="113" t="inlineStr">
        <is>
          <t>Diversity &amp; Inclusion in Entertainment</t>
        </is>
      </c>
      <c r="I13" s="128" t="inlineStr">
        <is>
          <t>https://ascentialcdn.filespin.io/api/v1/conversion/60aa1888e5b6444381b060dc1801de84</t>
        </is>
      </c>
      <c r="J13" s="127" t="inlineStr">
        <is>
          <t>t8o4ulxT1Cc</t>
        </is>
      </c>
      <c r="K13" s="127" t="n"/>
      <c r="L13" s="128" t="inlineStr">
        <is>
          <t>https://www.lovethework.com/work/entries/olympic-games-opening-ceremony-paris-2024-767406</t>
        </is>
      </c>
      <c r="M13" s="113" t="inlineStr">
        <is>
          <t>The official opening ceremony of the Paris 2024 Olympics, produced for the IOC and Paris 2024 by the Paname 24 collective — the first Olympic opener staged outside a stadium, sending 6,800 athletes down the Seine on 85 boats and ending with a hot-air-balloon cauldron lifted above the city.</t>
        </is>
      </c>
      <c r="N13" s="113" t="inlineStr">
        <is>
          <t>live-event, olympics, sport, ceremony, paris, large-scale, broadcast, entertainment, partnership, france</t>
        </is>
      </c>
    </row>
    <row r="14">
      <c r="A14" s="127" t="n">
        <v>2025</v>
      </c>
      <c r="B14" s="132" t="inlineStr">
        <is>
          <t>Silver</t>
        </is>
      </c>
      <c r="C14" s="127" t="inlineStr">
        <is>
          <t>The Shooting</t>
        </is>
      </c>
      <c r="D14" s="127" t="inlineStr">
        <is>
          <t>La Unión Newspaper</t>
        </is>
      </c>
      <c r="E14" s="127" t="inlineStr">
        <is>
          <t>La Uniãn Newspaper / Articulo 19</t>
        </is>
      </c>
      <c r="F14" s="127" t="inlineStr">
        <is>
          <t>Grey</t>
        </is>
      </c>
      <c r="G14" s="127" t="inlineStr">
        <is>
          <t>Mexico</t>
        </is>
      </c>
      <c r="H14" s="113" t="inlineStr">
        <is>
          <t>Fiction Film: Up to 5 minutes</t>
        </is>
      </c>
      <c r="I14" s="127" t="inlineStr">
        <is>
          <t>digital-presentation-images/entertainment-la-union-newspaper-the-shooting.webp</t>
        </is>
      </c>
      <c r="J14" s="127" t="inlineStr">
        <is>
          <t>-saAXmItj_U</t>
        </is>
      </c>
      <c r="K14" s="127" t="n"/>
      <c r="L14" s="128" t="inlineStr">
        <is>
          <t>https://www.lovethework.com/work/entries/the-shooting-766980</t>
        </is>
      </c>
      <c r="M14" s="113" t="inlineStr">
        <is>
          <t>A short film produced by Grey México for La Unión newspaper and Article 19 in which a journalist holding a camera and a gunman holding a pistol face each other across the same frame — built around the double meaning that journalists "shoot" to expose truth while others shoot to silence them. Shot entirely on real locations in Mexico with actors who had personal ties to violence and journalism, the film responds to a context in which more than 200 journalists have been murdered or disappeared in Mexico since 2000, including La Unión founder Moisés Sánchez.</t>
        </is>
      </c>
      <c r="N14" s="113" t="inlineStr">
        <is>
          <t>newspaper, film, cinema, entertainment, public-service, press-freedom, mexico, short-film, social-issue, grey-mexico</t>
        </is>
      </c>
    </row>
    <row r="15">
      <c r="A15" s="127" t="n">
        <v>2025</v>
      </c>
      <c r="B15" s="133" t="inlineStr">
        <is>
          <t>Bronze</t>
        </is>
      </c>
      <c r="C15" s="127" t="inlineStr">
        <is>
          <t>Cheering for the Rain</t>
        </is>
      </c>
      <c r="D15" s="127" t="inlineStr">
        <is>
          <t>Globoplay</t>
        </is>
      </c>
      <c r="E15" s="127" t="inlineStr">
        <is>
          <t>Senna Por Ayrton</t>
        </is>
      </c>
      <c r="F15" s="127" t="inlineStr">
        <is>
          <t>Artplan</t>
        </is>
      </c>
      <c r="G15" s="127" t="inlineStr">
        <is>
          <t>Brazil</t>
        </is>
      </c>
      <c r="H15" s="113" t="inlineStr">
        <is>
          <t>Social Behaviour</t>
        </is>
      </c>
      <c r="I15" s="128" t="inlineStr">
        <is>
          <t>https://ascentialcdn.filespin.io/api/v1/conversion/ef4af87cfc76490a81be851d1c90a77b</t>
        </is>
      </c>
      <c r="J15" s="127" t="inlineStr">
        <is>
          <t>vimeo:1126059126</t>
        </is>
      </c>
      <c r="K15" s="127" t="n"/>
      <c r="L15" s="128" t="inlineStr">
        <is>
          <t>https://www.lovethework.com/work/entries/cheering-for-the-rain-767117</t>
        </is>
      </c>
      <c r="M15" s="113" t="inlineStr">
        <is>
          <t>A campaign built around the Brazilian habit of cheering when rain forces a pause in outdoor events — repurposed as a live trigger to drive viewers to Globoplay's docuseries *Senna por Ayrton*. Developed with mobility partner Movida, the activation connected the cultural reflex of welcoming rain to a streaming prompt, turning weather into a real-time call to watch.</t>
        </is>
      </c>
      <c r="N15" s="113" t="inlineStr">
        <is>
          <t>streaming, tv, entertainment, social-behaviour, weather-activation, mobile, brazil, docuseries, real-time, cultural-insight</t>
        </is>
      </c>
    </row>
    <row r="16">
      <c r="A16" s="127" t="n">
        <v>2025</v>
      </c>
      <c r="B16" s="133" t="inlineStr">
        <is>
          <t>Bronze</t>
        </is>
      </c>
      <c r="C16" s="127" t="inlineStr">
        <is>
          <t>Oreo Empire</t>
        </is>
      </c>
      <c r="D16" s="127" t="inlineStr">
        <is>
          <t>Oreo</t>
        </is>
      </c>
      <c r="E16" s="127" t="inlineStr">
        <is>
          <t>Oreo Cookies</t>
        </is>
      </c>
      <c r="F16" s="127" t="inlineStr">
        <is>
          <t>Dentsu Creative</t>
        </is>
      </c>
      <c r="G16" s="127" t="inlineStr">
        <is>
          <t>United States</t>
        </is>
      </c>
      <c r="H16" s="113" t="inlineStr">
        <is>
          <t>Brand Integration</t>
        </is>
      </c>
      <c r="I16" s="128" t="inlineStr">
        <is>
          <t>https://ascentialcdn.filespin.io/api/v1/conversion/f2978f9255da42889e454a19c0f9f5ea</t>
        </is>
      </c>
      <c r="J16" s="127" t="inlineStr">
        <is>
          <t>JxtVzPFRTGw</t>
        </is>
      </c>
      <c r="K16" s="127" t="n"/>
      <c r="L16" s="128" t="inlineStr">
        <is>
          <t>https://www.lovethework.com/work/entries/oreo-empire-767371</t>
        </is>
      </c>
      <c r="M16" s="113" t="inlineStr">
        <is>
          <t>A product placement that never happened but can never be unseen. Instead of launching a traditional partnership for their release of a limited edition Star Wars packs, OREO used Josh Gad to spread an internet conspiracy that OREO placements have been hidden in every Star Wars movie ever from the Millennium Falcon to R2D2's built-in cookie holsters, leading to the best selling OREO ever.</t>
        </is>
      </c>
      <c r="N16" s="113" t="inlineStr">
        <is>
          <t>cookie, snack, food, packaged-goods, cpg, fmcg, partnership, ip, star-wars, social-media, integrated, conspiracy-marketing, united-states</t>
        </is>
      </c>
    </row>
    <row r="17">
      <c r="A17" s="127" t="n">
        <v>2025</v>
      </c>
      <c r="B17" s="133" t="inlineStr">
        <is>
          <t>Bronze</t>
        </is>
      </c>
      <c r="C17" s="127" t="inlineStr">
        <is>
          <t>Bachelor</t>
        </is>
      </c>
      <c r="D17" s="127" t="inlineStr">
        <is>
          <t>Bachelor (ctv)</t>
        </is>
      </c>
      <c r="E17" s="127" t="inlineStr">
        <is>
          <t>TV Show</t>
        </is>
      </c>
      <c r="F17" s="127" t="inlineStr">
        <is>
          <t>StarlightMedia</t>
        </is>
      </c>
      <c r="G17" s="127" t="inlineStr">
        <is>
          <t>Ukraine</t>
        </is>
      </c>
      <c r="H17" s="113" t="inlineStr">
        <is>
          <t>Diversity &amp; Inclusion in Entertainment</t>
        </is>
      </c>
      <c r="I17" s="128" t="inlineStr">
        <is>
          <t>https://ascentialcdn.filespin.io/api/v1/conversion/f24e68d6c8384d1eb2ad61b83f036618</t>
        </is>
      </c>
      <c r="J17" s="127" t="inlineStr">
        <is>
          <t>fDp5aDsp5QM</t>
        </is>
      </c>
      <c r="K17" s="127" t="n"/>
      <c r="L17" s="128" t="inlineStr">
        <is>
          <t>https://www.lovethework.com/work/entries/bachelor-767396</t>
        </is>
      </c>
      <c r="M17" s="113" t="inlineStr">
        <is>
          <t>A Ukrainian adaptation of the reality dating format The Bachelor, produced by StarlightMedia for CTV, recast to center on a veteran with combat injuries, specifically Oleksandr Teren — a special forces double amputee. The campaign helped to change perceptions of veterans with disabilities.</t>
        </is>
      </c>
      <c r="N17" s="113" t="inlineStr">
        <is>
          <t>tv, entertainment, branded-content, reality-tv, ukraine, social-good, veterans, partnership</t>
        </is>
      </c>
    </row>
    <row r="18">
      <c r="A18" s="127" t="n">
        <v>2025</v>
      </c>
      <c r="B18" s="133" t="inlineStr">
        <is>
          <t>Bronze</t>
        </is>
      </c>
      <c r="C18" s="127" t="inlineStr">
        <is>
          <t>Make New Zealand the Best Place in the World to Have Herpes</t>
        </is>
      </c>
      <c r="D18" s="127" t="inlineStr">
        <is>
          <t>The New Zealand Herpes Foundation</t>
        </is>
      </c>
      <c r="E18" s="127" t="inlineStr">
        <is>
          <t>The New Zealand Herpes Foundation</t>
        </is>
      </c>
      <c r="F18" s="127" t="inlineStr">
        <is>
          <t>Motion Sickness</t>
        </is>
      </c>
      <c r="G18" s="127" t="inlineStr">
        <is>
          <t>New Zealand</t>
        </is>
      </c>
      <c r="H18" s="113" t="inlineStr">
        <is>
          <t>Use of Humour</t>
        </is>
      </c>
      <c r="I18" s="128" t="inlineStr">
        <is>
          <t>https://ascentialcdn.filespin.io/api/v1/conversion/581ba8fb17334c1fbfc126a090ed2598</t>
        </is>
      </c>
      <c r="J18" s="127" t="inlineStr">
        <is>
          <t>_e1h2ZTJb2k</t>
        </is>
      </c>
      <c r="K18" s="127" t="n"/>
      <c r="L18" s="128" t="inlineStr">
        <is>
          <t>https://www.lovethework.com/work/entries/make-new-zealand-the-best-place-in-the-world-to-have-herpes-767411</t>
        </is>
      </c>
      <c r="M18" s="113" t="inlineStr">
        <is>
          <t>A public health campaign that reframed New Zealand as the world's best destination for living with herpes — using Kiwi national pride and dry humor to reduce the stigma around one of the most common but least discussed STIs. Ads, social content, and earned media leaned into the absurdity of the proposition while delivering factual messaging about herpes prevalence and the New Zealand Herpes Foundation's support resources.</t>
        </is>
      </c>
      <c r="N18" s="113" t="inlineStr">
        <is>
          <t>public-health, herpes-foundation, humour, social-media, new-zealand, stigma-reduction, charity, health-education</t>
        </is>
      </c>
    </row>
    <row r="19">
      <c r="A19" s="127" t="n">
        <v>2025</v>
      </c>
      <c r="B19" s="133" t="inlineStr">
        <is>
          <t>Bronze</t>
        </is>
      </c>
      <c r="C19" s="127" t="inlineStr">
        <is>
          <t>Lidlize</t>
        </is>
      </c>
      <c r="D19" s="127" t="inlineStr">
        <is>
          <t>Lidl</t>
        </is>
      </c>
      <c r="E19" s="127" t="inlineStr">
        <is>
          <t>Retail</t>
        </is>
      </c>
      <c r="F19" s="127" t="inlineStr">
        <is>
          <t>Marcel</t>
        </is>
      </c>
      <c r="G19" s="127" t="inlineStr">
        <is>
          <t>France</t>
        </is>
      </c>
      <c r="H19" s="113" t="inlineStr">
        <is>
          <t>Influencer &amp; Co-Creation</t>
        </is>
      </c>
      <c r="I19" s="128" t="inlineStr">
        <is>
          <t>https://ascentialcdn.filespin.io/api/v1/conversion/f979928ea0a14ad7a4df5b301de95a0e</t>
        </is>
      </c>
      <c r="J19" s="127" t="inlineStr">
        <is>
          <t>mba6sPCSX_8</t>
        </is>
      </c>
      <c r="K19" s="127" t="n"/>
      <c r="L19" s="128" t="inlineStr">
        <is>
          <t>https://www.lovethework.com/work/entries/lidlize-766764</t>
        </is>
      </c>
      <c r="M19" s="113" t="inlineStr">
        <is>
          <t>An AI platform built by Lidl and Marcel Paris that let customers design their own products — apparel, accessories, objects — rendered in Lidl's signature yellow-and-blue branding. The most popular community-voted creation was then manufactured and sold in Lidl stores.</t>
        </is>
      </c>
      <c r="N19" s="113" t="inlineStr">
        <is>
          <t>retail, influencer-co-creation, ai, technology, mobile-app, user-generated-content, france, community-voting, product-design</t>
        </is>
      </c>
    </row>
    <row r="20">
      <c r="A20" s="127" t="n">
        <v>2025</v>
      </c>
      <c r="B20" s="133" t="inlineStr">
        <is>
          <t>Bronze</t>
        </is>
      </c>
      <c r="C20" s="127" t="inlineStr">
        <is>
          <t>The Boy &amp; the Octopus</t>
        </is>
      </c>
      <c r="D20" s="127" t="inlineStr">
        <is>
          <t>Disney</t>
        </is>
      </c>
      <c r="E20" s="127" t="inlineStr">
        <is>
          <t>The Walt Disney Company</t>
        </is>
      </c>
      <c r="F20" s="127" t="inlineStr">
        <is>
          <t>adam&amp;eveDDB</t>
        </is>
      </c>
      <c r="G20" s="127" t="inlineStr">
        <is>
          <t>United States</t>
        </is>
      </c>
      <c r="H20" s="113" t="inlineStr">
        <is>
          <t>Fiction Film: Up to 5 minutes</t>
        </is>
      </c>
      <c r="I20" s="127" t="inlineStr">
        <is>
          <t>digital-presentation-images/entertainment-disney-the-boy-and-the-octopus.webp</t>
        </is>
      </c>
      <c r="J20" s="127" t="inlineStr">
        <is>
          <t>clgyncrbyDg</t>
        </is>
      </c>
      <c r="K20" s="127" t="n"/>
      <c r="L20" s="128" t="inlineStr">
        <is>
          <t>https://www.lovethework.com/work/entries/the-boy-the-octopus-766970</t>
        </is>
      </c>
      <c r="M20" s="113" t="inlineStr">
        <is>
          <t>A four-minute holiday short, directed by Taika Waititi and produced with VFX studio Untold Studios, that follows a small octopus named Blub Blub who latches onto a boy's head to experience the world above water — their friendship unfolding across a Christmas adventure. Adam&amp;eveDDB launched the film like a theatrical release, with teasers and 30-second trailers distributed across TV and social media before it premiered on Disney+.</t>
        </is>
      </c>
      <c r="N20" s="113" t="inlineStr">
        <is>
          <t>entertainment, film, cinema, holiday, christmas, streaming, tv, vfx, united-states, short-film, family</t>
        </is>
      </c>
    </row>
    <row r="21">
      <c r="A21" s="127" t="n">
        <v>2025</v>
      </c>
      <c r="B21" s="133" t="inlineStr">
        <is>
          <t>Bronze</t>
        </is>
      </c>
      <c r="C21" s="127" t="inlineStr">
        <is>
          <t>Tide Collateral Stain Stories</t>
        </is>
      </c>
      <c r="D21" s="127" t="inlineStr">
        <is>
          <t>Tide</t>
        </is>
      </c>
      <c r="E21" s="127" t="inlineStr">
        <is>
          <t>Tide Oxi Boost</t>
        </is>
      </c>
      <c r="F21" s="127" t="inlineStr">
        <is>
          <t>Saatchi &amp; Saatchi</t>
        </is>
      </c>
      <c r="G21" s="127" t="inlineStr">
        <is>
          <t>United States</t>
        </is>
      </c>
      <c r="H21" s="113" t="inlineStr">
        <is>
          <t>360 Integrated Brand Experience</t>
        </is>
      </c>
      <c r="I21" s="128" t="inlineStr">
        <is>
          <t>https://ascentialcdn.filespin.io/api/v1/conversion/2e880efa163040b884c55c34c5aa79f9</t>
        </is>
      </c>
      <c r="J21" s="127" t="inlineStr">
        <is>
          <t>vimeo:1078053795</t>
        </is>
      </c>
      <c r="K21" s="127" t="n"/>
      <c r="L21" s="128" t="inlineStr">
        <is>
          <t>https://www.lovethework.com/work/entries/tide-collateral-stain-stories-767167</t>
        </is>
      </c>
      <c r="M21" s="113" t="inlineStr">
        <is>
          <t>A branded content series built around the stains that appear as collateral damage in other brands' advertising — the coffee splatter in a car commercial, the mustard smear in a fast-food spot — reframed as proof points for Tide Oxi Boost. Each film presents a real stain caught on camera in a partner brand's footage, then demonstrates what Tide Oxi Boost does to it.</t>
        </is>
      </c>
      <c r="N21" s="113" t="inlineStr">
        <is>
          <t>laundry, branded-content, brand-partnership, film, cinema, entertainment, united-states, sponsorship, saatchi-and-saatchi</t>
        </is>
      </c>
    </row>
    <row r="22">
      <c r="A22" s="127" t="n">
        <v>2025</v>
      </c>
      <c r="B22" s="133" t="inlineStr">
        <is>
          <t>Bronze</t>
        </is>
      </c>
      <c r="C22" s="127" t="inlineStr">
        <is>
          <t>Group Therapy</t>
        </is>
      </c>
      <c r="D22" s="127" t="inlineStr">
        <is>
          <t>AXA</t>
        </is>
      </c>
      <c r="E22" s="127" t="inlineStr">
        <is>
          <t>AXA</t>
        </is>
      </c>
      <c r="F22" s="127" t="inlineStr">
        <is>
          <t>VML</t>
        </is>
      </c>
      <c r="G22" s="127" t="inlineStr">
        <is>
          <t>France</t>
        </is>
      </c>
      <c r="H22" s="113" t="inlineStr">
        <is>
          <t>Non-Fiction Film: Over 30 minutes</t>
        </is>
      </c>
      <c r="I22" s="127" t="inlineStr">
        <is>
          <t>digital-presentation-images/entertainment-axa-group-therapy.webp</t>
        </is>
      </c>
      <c r="J22" s="127" t="inlineStr">
        <is>
          <t>cH8-sNMfrOM</t>
        </is>
      </c>
      <c r="K22" s="127" t="n"/>
      <c r="L22" s="128" t="inlineStr">
        <is>
          <t>https://www.lovethework.com/work/entries/group-therapy-767010</t>
        </is>
      </c>
      <c r="M22" s="113" t="inlineStr">
        <is>
          <t>A feature-length documentary produced with Kevin Hart's Hartbeat company, in which six comedians — Mike Birbiglia, Nicole Byer, Gary Gulman, London Hughes, Tig Notaro, and Atsuko Okatsuka — participate in a candid group therapy session led by Neil Patrick Harris, built on the insight that comedians routinely process personal pain in front of audiences. Released on Prime Video and supported by a multimedia campaign across Twitch, Fire TV, and Meta, it anchors a global AXA initiative directing viewers to a free Mind Health Self-Check tool — motivated by survey findings that only 4 in 10 people with preventable mental health conditions seek professional help, and that 39% of 18–24 year-olds experience severe anxiety, stress, or depression.</t>
        </is>
      </c>
      <c r="N22" s="113" t="inlineStr">
        <is>
          <t>health-insurance, documentary, film, entertainment, cinema, mental-health, healthcare, medical, comedy, prime-video, streaming, tv, global, public-health, branded-content</t>
        </is>
      </c>
    </row>
    <row r="23">
      <c r="A23" s="127" t="n">
        <v>2025</v>
      </c>
      <c r="B23" s="133" t="inlineStr">
        <is>
          <t>Bronze</t>
        </is>
      </c>
      <c r="C23" s="127" t="inlineStr">
        <is>
          <t>Starring Bars</t>
        </is>
      </c>
      <c r="D23" s="127" t="inlineStr">
        <is>
          <t>Heineken</t>
        </is>
      </c>
      <c r="E23" s="127" t="inlineStr">
        <is>
          <t>Heineken</t>
        </is>
      </c>
      <c r="F23" s="127" t="inlineStr">
        <is>
          <t>LePub</t>
        </is>
      </c>
      <c r="G23" s="127" t="inlineStr">
        <is>
          <t>Italy</t>
        </is>
      </c>
      <c r="H23" s="113" t="inlineStr">
        <is>
          <t>Brand Partnerships, Sponsorships &amp; Collaborations</t>
        </is>
      </c>
      <c r="I23" s="128" t="inlineStr">
        <is>
          <t>https://ascentialcdn.filespin.io/api/v1/conversion/6544f095e71a47a39d27334e2404e951</t>
        </is>
      </c>
      <c r="J23" s="127" t="inlineStr">
        <is>
          <t>VNq1oogkrYk</t>
        </is>
      </c>
      <c r="K23" s="127" t="n"/>
      <c r="L23" s="128" t="inlineStr">
        <is>
          <t>https://www.lovethework.com/work/entries/starring-bars-767438</t>
        </is>
      </c>
      <c r="M23" s="113" t="inlineStr">
        <is>
          <t>A global production policy Heineken adopted to film all of its commercials inside real partner bars that need financial support — turning the bars into paid sets and giving them rental income, a production makeover, and international visibility. When not serving customers, the venues serve as locations, with Heineken's ad spend flowing directly to struggling hospitality businesses.</t>
        </is>
      </c>
      <c r="N23" s="113" t="inlineStr">
        <is>
          <t>beer, alcohol, cross-channel, branded-content, hospitality, b2b, business, global, production, lepub</t>
        </is>
      </c>
    </row>
    <row r="24">
      <c r="A24" s="33" t="n">
        <v>2026</v>
      </c>
      <c r="B24" s="167" t="inlineStr">
        <is>
          <t>Grand Prix</t>
        </is>
      </c>
      <c r="C24" s="107" t="inlineStr">
        <is>
          <t>Original Forever</t>
        </is>
      </c>
      <c r="D24" s="33" t="inlineStr">
        <is>
          <t>Adidas</t>
        </is>
      </c>
      <c r="E24" s="33" t="inlineStr">
        <is>
          <t>Adidas Originals</t>
        </is>
      </c>
      <c r="F24" s="33" t="inlineStr">
        <is>
          <t>Johannes Leonardo</t>
        </is>
      </c>
      <c r="G24" s="33" t="inlineStr">
        <is>
          <t>United States</t>
        </is>
      </c>
      <c r="H24" s="33" t="inlineStr">
        <is>
          <t>Brand Partnerships, Sponsorships &amp; Collaborations</t>
        </is>
      </c>
      <c r="I24" s="33" t="inlineStr">
        <is>
          <t>https://ascentialcdn.filespin.io/api/v1/conversion/7c69e0ddd6ef4e4c8949df7dc8e40429</t>
        </is>
      </c>
      <c r="J24" s="33" t="inlineStr">
        <is>
          <t>mmVwe0Sul68</t>
        </is>
      </c>
      <c r="L24" s="33" t="inlineStr">
        <is>
          <t>https://www.lovethework.com/work/entries/original-forever-780099</t>
        </is>
      </c>
      <c r="M24" s="33" t="inlineStr">
        <is>
          <t>The Entertainment Lions Grand Prix. For adidas Originals, Johannes Leonardo built a cultural partnership around the reunion of British rock band Oasis, tying the band's enduring 'original' status to the brand's heritage line and weaving adidas into one of the year's biggest music moments.</t>
        </is>
      </c>
      <c r="N24" s="33" t="inlineStr">
        <is>
          <t>adidas, adidas originals, sportswear, apparel, footwear, sneakers, fashion, consumer goods, united states, united kingdom, oasis, music, entertainment, band, reunion, brand partnership, collaboration, culture, johannes leonardo, grand prix</t>
        </is>
      </c>
    </row>
    <row r="25">
      <c r="A25" s="33" t="n">
        <v>2026</v>
      </c>
      <c r="B25" s="164" t="inlineStr">
        <is>
          <t>Gold</t>
        </is>
      </c>
      <c r="C25" s="107" t="inlineStr">
        <is>
          <t>Who's Waiting For You?</t>
        </is>
      </c>
      <c r="D25" s="33" t="inlineStr">
        <is>
          <t>Cerveza Victoria</t>
        </is>
      </c>
      <c r="E25" s="33" t="inlineStr">
        <is>
          <t>Cerveza Victoria</t>
        </is>
      </c>
      <c r="F25" s="33" t="inlineStr">
        <is>
          <t>Wieden+Kennedy</t>
        </is>
      </c>
      <c r="G25" s="33" t="inlineStr">
        <is>
          <t>Mexico</t>
        </is>
      </c>
      <c r="H25" s="33" t="inlineStr">
        <is>
          <t>Fiction Film: Up to 5 minutes</t>
        </is>
      </c>
      <c r="I25" s="33" t="inlineStr">
        <is>
          <t>https://resized-media.entries.clios.com/companies/141437/media/9e902c01-f315-4959-00c0-08de69f995ee-xlarge.jpg.webp</t>
        </is>
      </c>
      <c r="J25" s="33" t="inlineStr">
        <is>
          <t>OvwrHl__VKY</t>
        </is>
      </c>
      <c r="L25" s="33" t="inlineStr">
        <is>
          <t>https://www.lovethework.com/work/entries/whos-waiting-for-you-777182</t>
        </is>
      </c>
      <c r="M25" s="33" t="inlineStr">
        <is>
          <t>For Mexican beer brand Cerveza Victoria, Wieden+Kennedy Mexico created a short fiction film rooted in emotional storytelling and local culture, using the question 'Who's waiting for you?' to dramatise the people and homecomings that give a night out its meaning.</t>
        </is>
      </c>
      <c r="N25" s="33" t="inlineStr">
        <is>
          <t>cerveza victoria, beer, alcohol, drinks, beverage, fmcg, mexico, fiction film, short film, storytelling, emotional, culture, homecoming, entertainment, wieden kennedy, gold</t>
        </is>
      </c>
    </row>
    <row r="26">
      <c r="A26" s="33" t="n">
        <v>2026</v>
      </c>
      <c r="B26" s="164" t="inlineStr">
        <is>
          <t>Gold</t>
        </is>
      </c>
      <c r="C26" s="107" t="inlineStr">
        <is>
          <t>The Tiger</t>
        </is>
      </c>
      <c r="D26" s="33" t="inlineStr">
        <is>
          <t>Gucci</t>
        </is>
      </c>
      <c r="E26" s="33" t="inlineStr">
        <is>
          <t>Gucci</t>
        </is>
      </c>
      <c r="F26" s="33" t="inlineStr">
        <is>
          <t>MJZ</t>
        </is>
      </c>
      <c r="G26" s="33" t="inlineStr">
        <is>
          <t>United States</t>
        </is>
      </c>
      <c r="H26" s="33" t="inlineStr">
        <is>
          <t>Fiction Film: Over 30 minutes</t>
        </is>
      </c>
      <c r="I26" s="33" t="inlineStr">
        <is>
          <t>https://media.gucci.com/dynamic/b3c8/SjKhxhOoUk8AqvTx+CjZ1gJ1IaLQ6Z+_DeT0B67fFRj83JWjat3b6SY8y41Uvnmie4XatYQqV4aHKcsLKSqOIFxrfFdvf7X8bhCBmqIPk8VGF5lACC4hgtIAEAvoov2icYOeVKrqdiOzMXJQ0L+aXBdzCeRl6VUZxgtk3Ez0OCTwdwjJUnbTgpF5ySPClO0S/4000x2250.jpg</t>
        </is>
      </c>
      <c r="J26" s="33" t="inlineStr">
        <is>
          <t>Y7MgcDKBPpw</t>
        </is>
      </c>
      <c r="L26" s="33" t="inlineStr">
        <is>
          <t>https://www.lovethework.com/work/entries/the-tiger-782472</t>
        </is>
      </c>
      <c r="M26" s="33" t="inlineStr">
        <is>
          <t>For Gucci, MJZ produced 'The Tiger,' a 30-minute fiction film directed by Spike Jonze and Halina Reijn that brings creative director Demna's first collection to life. Demi Moore stars as the fictional head of Gucci International alongside Edward Norton in a psychedelic story that turns a fashion launch into long-form cinema.</t>
        </is>
      </c>
      <c r="N26" s="33" t="inlineStr">
        <is>
          <t>gucci, fashion, luxury, apparel, clothing, consumer goods, united states, italy, fiction film, long-form film, cinema, demi moore, edward norton, spike jonze, demna, entertainment, mjz, gold</t>
        </is>
      </c>
    </row>
    <row r="27">
      <c r="A27" s="33" t="n">
        <v>2026</v>
      </c>
      <c r="B27" s="164" t="inlineStr">
        <is>
          <t>Gold</t>
        </is>
      </c>
      <c r="C27" s="107" t="inlineStr">
        <is>
          <t>Everybody Coinbase</t>
        </is>
      </c>
      <c r="D27" s="33" t="inlineStr">
        <is>
          <t>Coinbase</t>
        </is>
      </c>
      <c r="E27" s="33" t="inlineStr">
        <is>
          <t>Coinbase</t>
        </is>
      </c>
      <c r="F27" s="33" t="inlineStr">
        <is>
          <t>Isle of Any</t>
        </is>
      </c>
      <c r="G27" s="33" t="inlineStr">
        <is>
          <t>United States</t>
        </is>
      </c>
      <c r="H27" s="33" t="inlineStr">
        <is>
          <t>Challenger Brand</t>
        </is>
      </c>
      <c r="I27" s="33" t="inlineStr">
        <is>
          <t>https://ascentialcdn.filespin.io/api/v1/conversion/650e0a742ab3494e961dbed96de8f279</t>
        </is>
      </c>
      <c r="J27" s="33" t="inlineStr">
        <is>
          <t>mp4:videos/coinbase-everybody-coinbase.mp4</t>
        </is>
      </c>
      <c r="L27" s="33" t="inlineStr">
        <is>
          <t>https://www.lovethework.com/work/entries/everybody-coinbase-782478</t>
        </is>
      </c>
      <c r="M27" s="33" t="inlineStr">
        <is>
          <t>For Coinbase, Isle of Any positioned the crypto exchange as a challenger brand with 'Everybody Coinbase,' an entertainment-led campaign making the case that crypto belongs to everyone, not just insiders.</t>
        </is>
      </c>
      <c r="N27" s="33" t="inlineStr">
        <is>
          <t>coinbase, crypto, cryptocurrency, fintech, financial-services, finance, technology, united states, challenger brand, entertainment, isle of any, gold</t>
        </is>
      </c>
    </row>
    <row r="28">
      <c r="A28" s="33" t="n">
        <v>2026</v>
      </c>
      <c r="B28" s="165" t="inlineStr">
        <is>
          <t>Silver</t>
        </is>
      </c>
      <c r="C28" s="107" t="inlineStr">
        <is>
          <t>Big Man, Shot on iPhone</t>
        </is>
      </c>
      <c r="D28" s="33" t="inlineStr">
        <is>
          <t>Apple</t>
        </is>
      </c>
      <c r="E28" s="33" t="inlineStr">
        <is>
          <t>iPhone</t>
        </is>
      </c>
      <c r="F28" s="33" t="inlineStr">
        <is>
          <t>Apple</t>
        </is>
      </c>
      <c r="G28" s="33" t="inlineStr">
        <is>
          <t>United States</t>
        </is>
      </c>
      <c r="H28" s="33" t="inlineStr">
        <is>
          <t>Fiction Film: 5-30 minutes</t>
        </is>
      </c>
      <c r="I28" s="33" t="inlineStr">
        <is>
          <t>https://ascentialcdn.filespin.io/api/v1/conversion/caf5f098de354997845e323a81f55ad4</t>
        </is>
      </c>
      <c r="J28" s="33" t="inlineStr">
        <is>
          <t>mp4:videos/entertainment-apple-big-man-shot-on-iphone.mp4</t>
        </is>
      </c>
      <c r="L28" s="33" t="inlineStr">
        <is>
          <t>https://www.lovethework.com/work/entries/big-man-shot-on-iphone-782481</t>
        </is>
      </c>
      <c r="M28" s="33" t="inlineStr">
        <is>
          <t>For Apple's 'Shot on iPhone' platform, Big Man is a 20-minute fiction film directed by Academy Award winner Aneil Karia and starring British rapper Stormzy, shot entirely on iPhone 16 Pro to showcase the phone's cinematic capabilities through a dramatic narrative.</t>
        </is>
      </c>
      <c r="N28" s="33" t="inlineStr">
        <is>
          <t>apple, iphone, iphone 16 pro, smartphone, technology, consumer electronics, united states, united kingdom, fiction film, short film, cinema, stormzy, aneil karia, shot on iphone, entertainment, silver</t>
        </is>
      </c>
    </row>
    <row r="29">
      <c r="A29" s="33" t="n">
        <v>2026</v>
      </c>
      <c r="B29" s="165" t="inlineStr">
        <is>
          <t>Silver</t>
        </is>
      </c>
      <c r="C29" s="107" t="inlineStr">
        <is>
          <t>Change My Mind</t>
        </is>
      </c>
      <c r="D29" s="33" t="inlineStr">
        <is>
          <t>Czech Television</t>
        </is>
      </c>
      <c r="E29" s="33" t="inlineStr">
        <is>
          <t>Czech Television</t>
        </is>
      </c>
      <c r="F29" s="33" t="inlineStr">
        <is>
          <t>Punk Film + Leo</t>
        </is>
      </c>
      <c r="G29" s="33" t="inlineStr">
        <is>
          <t>Czech Republic</t>
        </is>
      </c>
      <c r="H29" s="33" t="inlineStr">
        <is>
          <t>Non-Fiction Film: Over 30 minutes</t>
        </is>
      </c>
      <c r="I29" s="33" t="inlineStr">
        <is>
          <t>https://s3.eu-west-2.amazonaws.com/img.creativepool.com/files/candidate/portfolio/full/2470575.png</t>
        </is>
      </c>
      <c r="J29" s="33" t="inlineStr">
        <is>
          <t>a4ouJAuo1ag</t>
        </is>
      </c>
      <c r="L29" s="33" t="inlineStr">
        <is>
          <t>https://www.lovethework.com/work/entries/change-my-mind-777238</t>
        </is>
      </c>
      <c r="M29" s="33" t="inlineStr">
        <is>
          <t>For Czech Television, Punk Film and Leo produced a feature documentary following three Czechs who doubted the reality of the war in Ukraine as they travel from Prague to the front lines in Kharkiv and the Donbas, confronting the conflict firsthand.</t>
        </is>
      </c>
      <c r="N29" s="33" t="inlineStr">
        <is>
          <t>czech television, broadcaster, media, public service, czech republic, ukraine, non-fiction film, documentary, film, entertainment, cinema, war, conflict, politics, society, punk film, leo, silver</t>
        </is>
      </c>
    </row>
    <row r="30">
      <c r="A30" s="33" t="n">
        <v>2026</v>
      </c>
      <c r="B30" s="165" t="inlineStr">
        <is>
          <t>Silver</t>
        </is>
      </c>
      <c r="C30" s="107" t="inlineStr">
        <is>
          <t>Tiffany &amp; Co. x Netflix's Frankenstein</t>
        </is>
      </c>
      <c r="D30" s="33" t="inlineStr">
        <is>
          <t>Tiffany &amp; Co.</t>
        </is>
      </c>
      <c r="E30" s="33" t="inlineStr">
        <is>
          <t>Tiffany &amp; Co. Jewelry &amp; Guillermo del Toro's Frankenstein</t>
        </is>
      </c>
      <c r="F30" s="33" t="inlineStr">
        <is>
          <t>Tiffany &amp; Co. + Netflix</t>
        </is>
      </c>
      <c r="G30" s="33" t="inlineStr">
        <is>
          <t>United States</t>
        </is>
      </c>
      <c r="H30" s="33" t="inlineStr">
        <is>
          <t>Brand Partnerships, Sponsorships &amp; Collaborations</t>
        </is>
      </c>
      <c r="I30" s="33" t="inlineStr">
        <is>
          <t>https://ascentialcdn.filespin.io/api/v1/conversion/56d1948d426b47c1a0218abf48e1308c</t>
        </is>
      </c>
      <c r="J30" s="33" t="inlineStr">
        <is>
          <t>8nI6O-P5BuM</t>
        </is>
      </c>
      <c r="L30" s="33" t="inlineStr">
        <is>
          <t>https://www.lovethework.com/work/entries/tiffany-co-x-netflixs-frankenstein-776704</t>
        </is>
      </c>
      <c r="M30" s="33" t="inlineStr">
        <is>
          <t>Tiffany &amp; Co. became the first luxury jeweller to partner with Netflix, working with Guillermo del Toro and costume designer Kate Hawley so that jewelry functioned as narrative rather than decoration in his film Frankenstein. The integrated partnership extended into content, window displays at Tiffany's New York Landmark store, and a costume exhibition.</t>
        </is>
      </c>
      <c r="N30" s="33" t="inlineStr">
        <is>
          <t>tiffany and co, jewelry, jewellery, luxury, fashion, retail, united states, netflix, frankenstein, guillermo del toro, film, cinema, entertainment, movie, brand partnership, collaboration, silver</t>
        </is>
      </c>
    </row>
    <row r="31">
      <c r="A31" s="33" t="n">
        <v>2026</v>
      </c>
      <c r="B31" s="165" t="inlineStr">
        <is>
          <t>Silver</t>
        </is>
      </c>
      <c r="C31" s="107" t="inlineStr">
        <is>
          <t>The Grey Swan</t>
        </is>
      </c>
      <c r="D31" s="33" t="inlineStr">
        <is>
          <t>Nycoplus</t>
        </is>
      </c>
      <c r="E31" s="33" t="inlineStr">
        <is>
          <t>Dietary Supplements</t>
        </is>
      </c>
      <c r="F31" s="33" t="inlineStr">
        <is>
          <t>11:11</t>
        </is>
      </c>
      <c r="G31" s="33" t="inlineStr">
        <is>
          <t>Norway</t>
        </is>
      </c>
      <c r="H31" s="33" t="inlineStr">
        <is>
          <t>Diversity &amp; Inclusion in Entertainment</t>
        </is>
      </c>
      <c r="I31" s="33" t="inlineStr">
        <is>
          <t>https://ascentialcdn.filespin.io/api/v1/conversion/acf6454a30a64b13a1f7e896eac19fa5</t>
        </is>
      </c>
      <c r="J31" s="33" t="inlineStr">
        <is>
          <t>mp4:videos/entertainment-nycoplus-the-grey-swan.mp4</t>
        </is>
      </c>
      <c r="L31" s="33" t="inlineStr">
        <is>
          <t>https://www.lovethework.com/work/entries/the-grey-swan-782476</t>
        </is>
      </c>
      <c r="M31" s="33" t="inlineStr">
        <is>
          <t>For Norwegian supplement brand Nycoplus, 11:11 staged 'The Grey Swan,' a ballet at the Oslo Konserthus performed entirely by dancers over 41 — past the typical retirement age for ballet — to show what older bodies remain capable of.</t>
        </is>
      </c>
      <c r="N31" s="33" t="inlineStr">
        <is>
          <t>nycoplus, dietary supplements, supplements, vitamins, health, healthcare, fmcg, norway, ballet, dance, ageing, older people, diversity, inclusion, entertainment, 11:11, silver</t>
        </is>
      </c>
    </row>
    <row r="32">
      <c r="A32" s="33" t="n">
        <v>2026</v>
      </c>
      <c r="B32" s="165" t="inlineStr">
        <is>
          <t>Silver</t>
        </is>
      </c>
      <c r="C32" s="107" t="inlineStr">
        <is>
          <t>The Philipstown Wirecar Grand Prix</t>
        </is>
      </c>
      <c r="D32" s="33" t="inlineStr">
        <is>
          <t>The Philipstown Wirecar Foundation</t>
        </is>
      </c>
      <c r="E32" s="33" t="inlineStr">
        <is>
          <t>Community-Driven Entertainment Platform</t>
        </is>
      </c>
      <c r="F32" s="33" t="inlineStr">
        <is>
          <t>Accenture Song South Africa</t>
        </is>
      </c>
      <c r="G32" s="33" t="inlineStr">
        <is>
          <t>South Africa</t>
        </is>
      </c>
      <c r="H32" s="33" t="inlineStr">
        <is>
          <t>Innovation in Branded Content</t>
        </is>
      </c>
      <c r="I32" s="33" t="inlineStr">
        <is>
          <t>https://ascentialcdn.filespin.io/api/v1/conversion/19ae1d84c90f44899c8ef700ef8200c3</t>
        </is>
      </c>
      <c r="J32" s="33" t="inlineStr">
        <is>
          <t>vimeo:1184143191</t>
        </is>
      </c>
      <c r="L32" s="33" t="inlineStr">
        <is>
          <t>https://www.lovethework.com/work/entries/the-philipstown-wirecar-grand-prix-779869</t>
        </is>
      </c>
      <c r="M32" s="33" t="inlineStr">
        <is>
          <t>A community project from Accenture Song South Africa for the Philipstown Wirecar Foundation that turned the South African town's handmade wirecar racing culture into a mobile game. Built as a digital twin from 360-degree footage and GPS race data, it celebrates the children's craftsmanship and carries their tradition to a global audience.</t>
        </is>
      </c>
      <c r="N32" s="33" t="inlineStr">
        <is>
          <t>philipstown wirecar foundation, nonprofit, community, south africa, wirecar, gaming, video-games, entertainment, mobile game, digital twin, gps data, culture, children, craftsmanship, purpose, accenture song, silver</t>
        </is>
      </c>
    </row>
    <row r="33">
      <c r="A33" s="33" t="n">
        <v>2026</v>
      </c>
      <c r="B33" s="165" t="inlineStr">
        <is>
          <t>Silver</t>
        </is>
      </c>
      <c r="C33" s="107" t="inlineStr">
        <is>
          <t>Hawkstone - Hard to Make Easy to Drink</t>
        </is>
      </c>
      <c r="D33" s="33" t="inlineStr">
        <is>
          <t>Hawkstone</t>
        </is>
      </c>
      <c r="E33" s="33" t="inlineStr">
        <is>
          <t>Alcohol</t>
        </is>
      </c>
      <c r="F33" s="33" t="inlineStr">
        <is>
          <t>Smith &amp; Jones Films + The&amp;Partnership</t>
        </is>
      </c>
      <c r="G33" s="33" t="inlineStr">
        <is>
          <t>United Kingdom</t>
        </is>
      </c>
      <c r="H33" s="33" t="inlineStr">
        <is>
          <t>Challenger Brand</t>
        </is>
      </c>
      <c r="I33" s="33" t="inlineStr">
        <is>
          <t>https://ascentialcdn.filespin.io/api/v1/conversion/692d55d9edb34b5ba8e075c97313045c</t>
        </is>
      </c>
      <c r="J33" s="33" t="inlineStr">
        <is>
          <t>12e7K4K3IpA</t>
        </is>
      </c>
      <c r="L33" s="33" t="inlineStr">
        <is>
          <t>https://www.lovethework.com/work/entries/hawkstone-hard-to-make-easy-to-drink-782513</t>
        </is>
      </c>
      <c r="M33" s="33" t="inlineStr">
        <is>
          <t>For Jeremy Clarkson's beer and cider brand Hawkstone, Smith &amp; Jones Films and The&amp;Partnership built a challenger-brand entertainment platform around the idea that the drink is 'hard to make, easy to drink,' dramatising the craft behind it.</t>
        </is>
      </c>
      <c r="N33" s="33" t="inlineStr">
        <is>
          <t>hawkstone, beer, alcohol, cider, drinks, beverage, fmcg, united kingdom, challenger brand, craft, jeremy clarkson, entertainment, smith and jones, the and partnership, silver</t>
        </is>
      </c>
    </row>
    <row r="34">
      <c r="A34" s="33" t="n">
        <v>2026</v>
      </c>
      <c r="B34" s="166" t="inlineStr">
        <is>
          <t>Bronze</t>
        </is>
      </c>
      <c r="C34" s="107" t="inlineStr">
        <is>
          <t>Goodbye RX-7: Saying Farewell to a Dear Friend</t>
        </is>
      </c>
      <c r="D34" s="33" t="inlineStr">
        <is>
          <t>Mazda</t>
        </is>
      </c>
      <c r="E34" s="33" t="inlineStr">
        <is>
          <t>Mazda RX-7</t>
        </is>
      </c>
      <c r="F34" s="33" t="inlineStr">
        <is>
          <t>LUCK</t>
        </is>
      </c>
      <c r="G34" s="33" t="inlineStr">
        <is>
          <t>Japan</t>
        </is>
      </c>
      <c r="H34" s="33" t="inlineStr">
        <is>
          <t>Non-Fiction Film: 5-30 minutes</t>
        </is>
      </c>
      <c r="I34" s="33" t="inlineStr">
        <is>
          <t>https://ascentialcdn.filespin.io/api/v1/conversion/a3ffecafb9584d519be6f6fefa64e1af</t>
        </is>
      </c>
      <c r="J34" s="33" t="inlineStr">
        <is>
          <t>nf3_lwSIShg</t>
        </is>
      </c>
      <c r="L34" s="33" t="inlineStr">
        <is>
          <t>https://www.lovethework.com/work/entries/goodbye-rx-7-saying-farewell-to-a-dear-friend-778562</t>
        </is>
      </c>
      <c r="M34" s="33" t="inlineStr">
        <is>
          <t>For Mazda, LUCK directed a documentary tribute to the RX-7 sports car, framing the farewell to a discontinued model as an emotional goodbye to a dear friend cherished by its community of owners.</t>
        </is>
      </c>
      <c r="N34" s="33" t="inlineStr">
        <is>
          <t>mazda, mazda rx-7, automotive, cars, transport, vehicle, japan, non-fiction film, documentary, film, entertainment, cinema, tribute, farewell, fans, community, luck, bronze</t>
        </is>
      </c>
    </row>
    <row r="35">
      <c r="A35" s="33" t="n">
        <v>2026</v>
      </c>
      <c r="B35" s="166" t="inlineStr">
        <is>
          <t>Bronze</t>
        </is>
      </c>
      <c r="C35" s="107" t="inlineStr">
        <is>
          <t>Sosegá</t>
        </is>
      </c>
      <c r="D35" s="33" t="inlineStr">
        <is>
          <t>Cervezas Alhambra</t>
        </is>
      </c>
      <c r="E35" s="33" t="inlineStr">
        <is>
          <t>Alhambra Reserva 1925 (Beer)</t>
        </is>
      </c>
      <c r="F35" s="33" t="inlineStr">
        <is>
          <t>LLYC</t>
        </is>
      </c>
      <c r="G35" s="33" t="inlineStr">
        <is>
          <t>Spain</t>
        </is>
      </c>
      <c r="H35" s="33" t="inlineStr">
        <is>
          <t>Brand Integration</t>
        </is>
      </c>
      <c r="I35" s="33" t="inlineStr">
        <is>
          <t>https://ascentialcdn.filespin.io/api/v1/conversion/5bab8838fc774f3ea6152729ff4d2a75</t>
        </is>
      </c>
      <c r="J35" s="33" t="inlineStr">
        <is>
          <t>eWJvKCiPkg8</t>
        </is>
      </c>
      <c r="L35" s="33" t="inlineStr">
        <is>
          <t>https://www.lovethework.com/work/entries/soseg-782480</t>
        </is>
      </c>
      <c r="M35" s="33" t="inlineStr">
        <is>
          <t>For Cervezas Alhambra, LLYC marked the brewer's centenary by creating 'Sosega,' a new flamenco palo built around the brand's philosophy of unhurried living and integrated with its Alhambra Reserva 1925 beer.</t>
        </is>
      </c>
      <c r="N35" s="33" t="inlineStr">
        <is>
          <t>cervezas alhambra, alhambra reserva 1925, beer, alcohol, drinks, beverage, fmcg, spain, flamenco, music, entertainment, slow living, culture, brand integration, llyc, bronze</t>
        </is>
      </c>
    </row>
    <row r="36">
      <c r="A36" s="33" t="n">
        <v>2026</v>
      </c>
      <c r="B36" s="166" t="inlineStr">
        <is>
          <t>Bronze</t>
        </is>
      </c>
      <c r="C36" s="107" t="inlineStr">
        <is>
          <t>The Wizard of Oz at Sphere</t>
        </is>
      </c>
      <c r="D36" s="33" t="inlineStr">
        <is>
          <t>Sphere Studios</t>
        </is>
      </c>
      <c r="E36" s="33" t="inlineStr">
        <is>
          <t>The Wizard of Oz at Sphere</t>
        </is>
      </c>
      <c r="F36" s="33" t="inlineStr">
        <is>
          <t>Sphere Entertainment + Magnopus</t>
        </is>
      </c>
      <c r="G36" s="33" t="inlineStr">
        <is>
          <t>United States</t>
        </is>
      </c>
      <c r="H36" s="33" t="inlineStr">
        <is>
          <t>New Realities &amp; Emerging Tech</t>
        </is>
      </c>
      <c r="I36" s="33" t="inlineStr">
        <is>
          <t>https://ascentialcdn.filespin.io/api/v1/conversion/080ee70584e5420ba7c491104e4ac5e8</t>
        </is>
      </c>
      <c r="J36" s="33" t="inlineStr">
        <is>
          <t>9d8HMYn-upo</t>
        </is>
      </c>
      <c r="L36" s="33" t="inlineStr">
        <is>
          <t>https://www.lovethework.com/work/entries/the-wizard-of-oz-at-sphere-782494</t>
        </is>
      </c>
      <c r="M36" s="33" t="inlineStr">
        <is>
          <t>Sphere Studios reimagined the 1939 film The Wizard of Oz as a fully immersive experience for the Las Vegas Sphere. Working with Magnopus, Google, and Warner Bros., the team used AI and cutting-edge VFX to expand the original footage across the venue's wraparound screen.</t>
        </is>
      </c>
      <c r="N36" s="33" t="inlineStr">
        <is>
          <t>sphere studios, sphere entertainment, immersive, experience, venue, technology, entertainment, united states, wizard of oz, film, cinema, ai, vfx, new realities, emerging tech, magnopus, bronze</t>
        </is>
      </c>
    </row>
    <row r="37">
      <c r="A37" s="33" t="n">
        <v>2026</v>
      </c>
      <c r="B37" s="166" t="inlineStr">
        <is>
          <t>Bronze</t>
        </is>
      </c>
      <c r="C37" s="107" t="inlineStr">
        <is>
          <t>The Most Epic Watch Party Group</t>
        </is>
      </c>
      <c r="D37" s="33" t="inlineStr">
        <is>
          <t>Lay's</t>
        </is>
      </c>
      <c r="E37" s="33" t="inlineStr">
        <is>
          <t>Lay's</t>
        </is>
      </c>
      <c r="F37" s="33" t="inlineStr">
        <is>
          <t>SLAP Global</t>
        </is>
      </c>
      <c r="G37" s="33" t="inlineStr">
        <is>
          <t>Argentina</t>
        </is>
      </c>
      <c r="H37" s="33" t="inlineStr">
        <is>
          <t>Audience Engagement/Distribution Strategy</t>
        </is>
      </c>
      <c r="I37" s="33" t="inlineStr">
        <is>
          <t>https://ascentialcdn.filespin.io/api/v1/conversion/a905483a1768400a88424f62c2722455</t>
        </is>
      </c>
      <c r="J37" s="33" t="inlineStr">
        <is>
          <t>vimeo:1192014627</t>
        </is>
      </c>
      <c r="L37" s="33" t="inlineStr">
        <is>
          <t>https://www.lovethework.com/work/entries/the-most-epic-watch-party-group-782517</t>
        </is>
      </c>
      <c r="M37" s="33" t="inlineStr">
        <is>
          <t>For Lay's, SLAP Global created a shared watch-party experience that turned solitary snacking and viewing into a communal event, building audience engagement around live moments fans wanted to watch together.</t>
        </is>
      </c>
      <c r="N37" s="33" t="inlineStr">
        <is>
          <t>lays, snacks, chips, crisps, food, fmcg, pepsico, argentina, watch party, audience engagement, distribution, community, social, entertainment, slap global, bronze</t>
        </is>
      </c>
    </row>
    <row r="38">
      <c r="A38" s="33" t="n">
        <v>2026</v>
      </c>
      <c r="B38" s="166" t="inlineStr">
        <is>
          <t>Bronze</t>
        </is>
      </c>
      <c r="C38" s="107" t="inlineStr">
        <is>
          <t>Played by Humans</t>
        </is>
      </c>
      <c r="D38" s="33" t="inlineStr">
        <is>
          <t>Jazz is Dead</t>
        </is>
      </c>
      <c r="E38" s="33" t="inlineStr">
        <is>
          <t>Played by Humans</t>
        </is>
      </c>
      <c r="F38" s="33" t="inlineStr">
        <is>
          <t>TBWA\Chiat\Day</t>
        </is>
      </c>
      <c r="G38" s="33" t="inlineStr">
        <is>
          <t>United States</t>
        </is>
      </c>
      <c r="H38" s="33" t="inlineStr">
        <is>
          <t>Audience Engagement/Distribution Strategy</t>
        </is>
      </c>
      <c r="I38" s="33" t="inlineStr">
        <is>
          <t>https://i.ytimg.com/vi/bz1r-JIEdzU/maxresdefault.jpg</t>
        </is>
      </c>
      <c r="J38" s="33" t="inlineStr">
        <is>
          <t>1lZ696Kd6ic</t>
        </is>
      </c>
      <c r="L38" s="33" t="inlineStr">
        <is>
          <t>https://www.lovethework.com/work/entries/played-by-humans-777220</t>
        </is>
      </c>
      <c r="M38" s="33" t="inlineStr">
        <is>
          <t>For record label Jazz Is Dead, TBWA\Chiat\Day created 'Played by Humans,' a movement responding to the surge of AI-generated music on streaming platforms by championing and certifying music made entirely by people.</t>
        </is>
      </c>
      <c r="N38" s="33" t="inlineStr">
        <is>
          <t>jazz is dead, music, entertainment, record label, united states, ai, technology, artificial intelligence, human-made, transparency, movement, audience engagement, distribution, tbwa chiat day, bronze</t>
        </is>
      </c>
    </row>
    <row r="39">
      <c r="A39" s="33" t="n">
        <v>2026</v>
      </c>
      <c r="B39" s="166" t="inlineStr">
        <is>
          <t>Bronze</t>
        </is>
      </c>
      <c r="C39" s="107" t="inlineStr">
        <is>
          <t>A Minecraft Movie Meal</t>
        </is>
      </c>
      <c r="D39" s="33" t="inlineStr">
        <is>
          <t>McDonald's</t>
        </is>
      </c>
      <c r="E39" s="33" t="inlineStr">
        <is>
          <t>McDonald's</t>
        </is>
      </c>
      <c r="F39" s="33" t="inlineStr">
        <is>
          <t>Wieden+Kennedy</t>
        </is>
      </c>
      <c r="G39" s="33" t="inlineStr">
        <is>
          <t>United States</t>
        </is>
      </c>
      <c r="H39" s="33" t="inlineStr">
        <is>
          <t>Brand Partnerships, Sponsorships &amp; Collaborations</t>
        </is>
      </c>
      <c r="I39" s="33" t="inlineStr">
        <is>
          <t>https://ascentialcdn.filespin.io/api/v1/conversion/75ec1ce88490459f9ab02c9f7b23d411</t>
        </is>
      </c>
      <c r="J39" s="33" t="inlineStr">
        <is>
          <t>vimeo:1070320343</t>
        </is>
      </c>
      <c r="L39" s="33" t="inlineStr">
        <is>
          <t>https://www.lovethework.com/work/entries/a-minecraft-movie-meal-788992</t>
        </is>
      </c>
      <c r="M39" s="33" t="inlineStr">
        <is>
          <t>For McDonald's, Wieden+Kennedy built a global partnership around A Minecraft Movie, uniting two fandoms with a themed movie meal and Happy Meal that brought the game's blocky world into the restaurant.</t>
        </is>
      </c>
      <c r="N39" s="33" t="inlineStr">
        <is>
          <t>mcdonalds, qsr, fast-food, restaurant, food, fast food, united states, minecraft, movie, gaming, video-games, entertainment, film, cinema, brand partnership, collaboration, wieden kennedy, bronze</t>
        </is>
      </c>
    </row>
    <row r="40">
      <c r="A40" s="33" t="n">
        <v>2026</v>
      </c>
      <c r="B40" s="166" t="inlineStr">
        <is>
          <t>Bronze</t>
        </is>
      </c>
      <c r="C40" s="107" t="inlineStr">
        <is>
          <t>The Triangle Theory</t>
        </is>
      </c>
      <c r="D40" s="33" t="inlineStr">
        <is>
          <t>Doritos</t>
        </is>
      </c>
      <c r="E40" s="33" t="inlineStr">
        <is>
          <t>Doritos</t>
        </is>
      </c>
      <c r="F40" s="33" t="inlineStr">
        <is>
          <t>AlmapBBDO</t>
        </is>
      </c>
      <c r="G40" s="33" t="inlineStr">
        <is>
          <t>Brazil</t>
        </is>
      </c>
      <c r="H40" s="33" t="inlineStr">
        <is>
          <t>Partnerships with Talent</t>
        </is>
      </c>
      <c r="I40" s="33" t="inlineStr">
        <is>
          <t>https://ascentialcdn.filespin.io/api/v1/conversion/be0b7d9b1a1d409f9ba09da2a96a545e</t>
        </is>
      </c>
      <c r="J40" s="33" t="inlineStr">
        <is>
          <t>vimeo:1195946969</t>
        </is>
      </c>
      <c r="L40" s="33" t="inlineStr">
        <is>
          <t>https://www.lovethework.com/work/entries/the-triangle-theory-782504</t>
        </is>
      </c>
      <c r="M40" s="33" t="inlineStr">
        <is>
          <t>For Doritos, AlmapBBDO built 'The Triangle Theory' around the chip's signature triangular shape, partnering with talent to spin a playful theory that connects the brand's icon to culture.</t>
        </is>
      </c>
      <c r="N40" s="33" t="inlineStr">
        <is>
          <t>doritos, snacks, chips, crisps, food, fmcg, pepsico, brazil, talent, partnership, humour, triangle, culture, entertainment, almapbbdo, bronze</t>
        </is>
      </c>
    </row>
    <row r="41">
      <c r="A41" s="33" t="n">
        <v>2026</v>
      </c>
      <c r="B41" s="166" t="inlineStr">
        <is>
          <t>Bronze</t>
        </is>
      </c>
      <c r="C41" s="107" t="inlineStr">
        <is>
          <t>Pocket-Sized Halftime Show</t>
        </is>
      </c>
      <c r="D41" s="33" t="inlineStr">
        <is>
          <t>Clash Royale</t>
        </is>
      </c>
      <c r="E41" s="33" t="inlineStr">
        <is>
          <t>Clash Royale</t>
        </is>
      </c>
      <c r="F41" s="33" t="inlineStr">
        <is>
          <t>Uncommon Creative Studio</t>
        </is>
      </c>
      <c r="G41" s="33" t="inlineStr">
        <is>
          <t>Sweden</t>
        </is>
      </c>
      <c r="H41" s="33" t="inlineStr">
        <is>
          <t>Partnerships with Talent</t>
        </is>
      </c>
      <c r="I41" s="33" t="inlineStr">
        <is>
          <t>https://ascentialcdn.filespin.io/api/v1/conversion/296218ed57874950ad6ac81a129783a3</t>
        </is>
      </c>
      <c r="J41" s="33" t="inlineStr">
        <is>
          <t>mp4:videos/entertainment-clash-royale-pcoket-sized-halftime-show.mp4</t>
        </is>
      </c>
      <c r="L41" s="33" t="inlineStr">
        <is>
          <t>https://www.lovethework.com/work/entries/pocket-sized-halftime-show-782551</t>
        </is>
      </c>
      <c r="M41" s="33" t="inlineStr">
        <is>
          <t>For mobile game Clash Royale, Uncommon Creative Studio staged a 'Pocket-Sized Halftime Show,' partnering with music talent to deliver a miniature halftime performance inside the game's world.</t>
        </is>
      </c>
      <c r="N41" s="33" t="inlineStr">
        <is>
          <t>clash royale, supercell, mobile game, gaming, video-games, entertainment, sweden, halftime show, music, talent, partnership, uncommon creative studio, bronze</t>
        </is>
      </c>
    </row>
    <row r="42">
      <c r="A42" s="33" t="n">
        <v>2026</v>
      </c>
      <c r="B42" s="166" t="inlineStr">
        <is>
          <t>Bronze</t>
        </is>
      </c>
      <c r="C42" s="107" t="inlineStr">
        <is>
          <t>For Papa!</t>
        </is>
      </c>
      <c r="D42" s="33" t="inlineStr">
        <is>
          <t>Instacart</t>
        </is>
      </c>
      <c r="E42" s="33" t="inlineStr">
        <is>
          <t>Instacart Online Grocery Delivery</t>
        </is>
      </c>
      <c r="F42" s="33" t="inlineStr">
        <is>
          <t>McCann + BBDO + Local Produce</t>
        </is>
      </c>
      <c r="G42" s="33" t="inlineStr">
        <is>
          <t>United States</t>
        </is>
      </c>
      <c r="H42" s="33" t="inlineStr">
        <is>
          <t>Use of Humour</t>
        </is>
      </c>
      <c r="I42" s="33" t="inlineStr">
        <is>
          <t>https://ascentialcdn.filespin.io/api/v1/conversion/b5d8515d763b461097bfa2881636035f</t>
        </is>
      </c>
      <c r="J42" s="33" t="inlineStr">
        <is>
          <t>a1ysUdRLjaE</t>
        </is>
      </c>
      <c r="L42" s="33" t="inlineStr">
        <is>
          <t>https://www.lovethework.com/work/entries/for-papa-782515</t>
        </is>
      </c>
      <c r="M42" s="33" t="inlineStr">
        <is>
          <t>For Instacart, McCann, BBDO and Local Produce used humour to dramatise grocery delivery through a comedic story, leaning on the brand's role in getting families what they need.</t>
        </is>
      </c>
      <c r="N42" s="33" t="inlineStr">
        <is>
          <t>instacart, grocery delivery, delivery, ecommerce, retail, online-shopping, technology, united states, humour, comedy, family, entertainment, mccann, bbdo, local produce, bronze</t>
        </is>
      </c>
    </row>
    <row r="43">
      <c r="A43" s="33" t="n">
        <v>2026</v>
      </c>
      <c r="B43" s="166" t="inlineStr">
        <is>
          <t>Bronze</t>
        </is>
      </c>
      <c r="C43" s="107" t="inlineStr">
        <is>
          <t>The Pub That Refused to Die</t>
        </is>
      </c>
      <c r="D43" s="33" t="inlineStr">
        <is>
          <t>Heineken</t>
        </is>
      </c>
      <c r="E43" s="33" t="inlineStr">
        <is>
          <t>Heineken Green</t>
        </is>
      </c>
      <c r="F43" s="33" t="inlineStr">
        <is>
          <t>LePub + Publicis</t>
        </is>
      </c>
      <c r="G43" s="33" t="inlineStr">
        <is>
          <t>Italy</t>
        </is>
      </c>
      <c r="H43" s="33" t="inlineStr">
        <is>
          <t>Cultural Engagement</t>
        </is>
      </c>
      <c r="I43" s="33" t="inlineStr">
        <is>
          <t>https://i.ytimg.com/vi/fbfxwHTi2S4/maxresdefault.jpg</t>
        </is>
      </c>
      <c r="J43" s="33" t="inlineStr">
        <is>
          <t>vimeo:1190924385</t>
        </is>
      </c>
      <c r="L43" s="33" t="inlineStr">
        <is>
          <t>https://www.lovethework.com/work/entries/the-pub-that-refused-to-die-782467</t>
        </is>
      </c>
      <c r="M43" s="33" t="inlineStr">
        <is>
          <t>For Heineken, LePub Milan and Publicis Dublin documented the fight to save a community's last local pub. Premiered as a documentary, the film dramatised how a neighbourhood rallied to keep its pub alive, championing the traditional local as a vital social institution worth protecting.</t>
        </is>
      </c>
      <c r="N43" s="33" t="inlineStr">
        <is>
          <t>heineken, beer, alcohol, drinks, beverage, fmcg, ireland, united kingdom, italy, pub, local, community, documentary, film, entertainment, cinema, corporate purpose, social responsibility, public relations, pr, lepub, publicis, bronze</t>
        </is>
      </c>
    </row>
  </sheetData>
  <autoFilter ref="A1:N23"/>
  <hyperlinks>
    <hyperlink xmlns:r="http://schemas.openxmlformats.org/officeDocument/2006/relationships" ref="L2" r:id="rId1"/>
    <hyperlink xmlns:r="http://schemas.openxmlformats.org/officeDocument/2006/relationships" ref="L3" r:id="rId2"/>
    <hyperlink xmlns:r="http://schemas.openxmlformats.org/officeDocument/2006/relationships" ref="I4" r:id="rId3"/>
    <hyperlink xmlns:r="http://schemas.openxmlformats.org/officeDocument/2006/relationships" ref="L4" r:id="rId4"/>
    <hyperlink xmlns:r="http://schemas.openxmlformats.org/officeDocument/2006/relationships" ref="I5" r:id="rId5"/>
    <hyperlink xmlns:r="http://schemas.openxmlformats.org/officeDocument/2006/relationships" ref="L5" r:id="rId6"/>
    <hyperlink xmlns:r="http://schemas.openxmlformats.org/officeDocument/2006/relationships" ref="L6" r:id="rId7"/>
    <hyperlink xmlns:r="http://schemas.openxmlformats.org/officeDocument/2006/relationships" ref="I7" r:id="rId8"/>
    <hyperlink xmlns:r="http://schemas.openxmlformats.org/officeDocument/2006/relationships" ref="L7" r:id="rId9"/>
    <hyperlink xmlns:r="http://schemas.openxmlformats.org/officeDocument/2006/relationships" ref="I8" r:id="rId10"/>
    <hyperlink xmlns:r="http://schemas.openxmlformats.org/officeDocument/2006/relationships" ref="L8" r:id="rId11"/>
    <hyperlink xmlns:r="http://schemas.openxmlformats.org/officeDocument/2006/relationships" ref="I9" r:id="rId12"/>
    <hyperlink xmlns:r="http://schemas.openxmlformats.org/officeDocument/2006/relationships" ref="L9" r:id="rId13"/>
    <hyperlink xmlns:r="http://schemas.openxmlformats.org/officeDocument/2006/relationships" ref="I10" r:id="rId14"/>
    <hyperlink xmlns:r="http://schemas.openxmlformats.org/officeDocument/2006/relationships" ref="L10" r:id="rId15"/>
    <hyperlink xmlns:r="http://schemas.openxmlformats.org/officeDocument/2006/relationships" ref="I11" r:id="rId16"/>
    <hyperlink xmlns:r="http://schemas.openxmlformats.org/officeDocument/2006/relationships" ref="L11" r:id="rId17"/>
    <hyperlink xmlns:r="http://schemas.openxmlformats.org/officeDocument/2006/relationships" ref="L12" r:id="rId18"/>
    <hyperlink xmlns:r="http://schemas.openxmlformats.org/officeDocument/2006/relationships" ref="I13" r:id="rId19"/>
    <hyperlink xmlns:r="http://schemas.openxmlformats.org/officeDocument/2006/relationships" ref="L13" r:id="rId20"/>
    <hyperlink xmlns:r="http://schemas.openxmlformats.org/officeDocument/2006/relationships" ref="L14" r:id="rId21"/>
    <hyperlink xmlns:r="http://schemas.openxmlformats.org/officeDocument/2006/relationships" ref="I15" r:id="rId22"/>
    <hyperlink xmlns:r="http://schemas.openxmlformats.org/officeDocument/2006/relationships" ref="L15" r:id="rId23"/>
    <hyperlink xmlns:r="http://schemas.openxmlformats.org/officeDocument/2006/relationships" ref="I16" r:id="rId24"/>
    <hyperlink xmlns:r="http://schemas.openxmlformats.org/officeDocument/2006/relationships" ref="L16" r:id="rId25"/>
    <hyperlink xmlns:r="http://schemas.openxmlformats.org/officeDocument/2006/relationships" ref="I17" r:id="rId26"/>
    <hyperlink xmlns:r="http://schemas.openxmlformats.org/officeDocument/2006/relationships" ref="L17" r:id="rId27"/>
    <hyperlink xmlns:r="http://schemas.openxmlformats.org/officeDocument/2006/relationships" ref="I18" r:id="rId28"/>
    <hyperlink xmlns:r="http://schemas.openxmlformats.org/officeDocument/2006/relationships" ref="L18" r:id="rId29"/>
    <hyperlink xmlns:r="http://schemas.openxmlformats.org/officeDocument/2006/relationships" ref="I19" r:id="rId30"/>
    <hyperlink xmlns:r="http://schemas.openxmlformats.org/officeDocument/2006/relationships" ref="L19" r:id="rId31"/>
    <hyperlink xmlns:r="http://schemas.openxmlformats.org/officeDocument/2006/relationships" ref="L20" r:id="rId32"/>
    <hyperlink xmlns:r="http://schemas.openxmlformats.org/officeDocument/2006/relationships" ref="I21" r:id="rId33"/>
    <hyperlink xmlns:r="http://schemas.openxmlformats.org/officeDocument/2006/relationships" ref="L21" r:id="rId34"/>
    <hyperlink xmlns:r="http://schemas.openxmlformats.org/officeDocument/2006/relationships" ref="L22" r:id="rId35"/>
    <hyperlink xmlns:r="http://schemas.openxmlformats.org/officeDocument/2006/relationships" ref="I23" r:id="rId36"/>
    <hyperlink xmlns:r="http://schemas.openxmlformats.org/officeDocument/2006/relationships" ref="L23" r:id="rId37"/>
    <hyperlink xmlns:r="http://schemas.openxmlformats.org/officeDocument/2006/relationships" ref="I24" r:id="rId38"/>
    <hyperlink xmlns:r="http://schemas.openxmlformats.org/officeDocument/2006/relationships" ref="L24" r:id="rId39"/>
    <hyperlink xmlns:r="http://schemas.openxmlformats.org/officeDocument/2006/relationships" ref="I25" r:id="rId40"/>
    <hyperlink xmlns:r="http://schemas.openxmlformats.org/officeDocument/2006/relationships" ref="L25" r:id="rId41"/>
    <hyperlink xmlns:r="http://schemas.openxmlformats.org/officeDocument/2006/relationships" ref="I26" r:id="rId42"/>
    <hyperlink xmlns:r="http://schemas.openxmlformats.org/officeDocument/2006/relationships" ref="L26" r:id="rId43"/>
    <hyperlink xmlns:r="http://schemas.openxmlformats.org/officeDocument/2006/relationships" ref="I27" r:id="rId44"/>
    <hyperlink xmlns:r="http://schemas.openxmlformats.org/officeDocument/2006/relationships" ref="L27" r:id="rId45"/>
    <hyperlink xmlns:r="http://schemas.openxmlformats.org/officeDocument/2006/relationships" ref="I28" r:id="rId46"/>
    <hyperlink xmlns:r="http://schemas.openxmlformats.org/officeDocument/2006/relationships" ref="L28" r:id="rId47"/>
    <hyperlink xmlns:r="http://schemas.openxmlformats.org/officeDocument/2006/relationships" ref="I29" r:id="rId48"/>
    <hyperlink xmlns:r="http://schemas.openxmlformats.org/officeDocument/2006/relationships" ref="L29" r:id="rId49"/>
    <hyperlink xmlns:r="http://schemas.openxmlformats.org/officeDocument/2006/relationships" ref="I30" r:id="rId50"/>
    <hyperlink xmlns:r="http://schemas.openxmlformats.org/officeDocument/2006/relationships" ref="L30" r:id="rId51"/>
    <hyperlink xmlns:r="http://schemas.openxmlformats.org/officeDocument/2006/relationships" ref="I31" r:id="rId52"/>
    <hyperlink xmlns:r="http://schemas.openxmlformats.org/officeDocument/2006/relationships" ref="L31" r:id="rId53"/>
    <hyperlink xmlns:r="http://schemas.openxmlformats.org/officeDocument/2006/relationships" ref="I32" r:id="rId54"/>
    <hyperlink xmlns:r="http://schemas.openxmlformats.org/officeDocument/2006/relationships" ref="L32" r:id="rId55"/>
    <hyperlink xmlns:r="http://schemas.openxmlformats.org/officeDocument/2006/relationships" ref="I33" r:id="rId56"/>
    <hyperlink xmlns:r="http://schemas.openxmlformats.org/officeDocument/2006/relationships" ref="L33" r:id="rId57"/>
    <hyperlink xmlns:r="http://schemas.openxmlformats.org/officeDocument/2006/relationships" ref="I34" r:id="rId58"/>
    <hyperlink xmlns:r="http://schemas.openxmlformats.org/officeDocument/2006/relationships" ref="L34" r:id="rId59"/>
    <hyperlink xmlns:r="http://schemas.openxmlformats.org/officeDocument/2006/relationships" ref="I35" r:id="rId60"/>
    <hyperlink xmlns:r="http://schemas.openxmlformats.org/officeDocument/2006/relationships" ref="L35" r:id="rId61"/>
    <hyperlink xmlns:r="http://schemas.openxmlformats.org/officeDocument/2006/relationships" ref="I36" r:id="rId62"/>
    <hyperlink xmlns:r="http://schemas.openxmlformats.org/officeDocument/2006/relationships" ref="L36" r:id="rId63"/>
    <hyperlink xmlns:r="http://schemas.openxmlformats.org/officeDocument/2006/relationships" ref="I37" r:id="rId64"/>
    <hyperlink xmlns:r="http://schemas.openxmlformats.org/officeDocument/2006/relationships" ref="L37" r:id="rId65"/>
    <hyperlink xmlns:r="http://schemas.openxmlformats.org/officeDocument/2006/relationships" ref="I38" r:id="rId66"/>
    <hyperlink xmlns:r="http://schemas.openxmlformats.org/officeDocument/2006/relationships" ref="L38" r:id="rId67"/>
    <hyperlink xmlns:r="http://schemas.openxmlformats.org/officeDocument/2006/relationships" ref="I39" r:id="rId68"/>
    <hyperlink xmlns:r="http://schemas.openxmlformats.org/officeDocument/2006/relationships" ref="L39" r:id="rId69"/>
    <hyperlink xmlns:r="http://schemas.openxmlformats.org/officeDocument/2006/relationships" ref="I40" r:id="rId70"/>
    <hyperlink xmlns:r="http://schemas.openxmlformats.org/officeDocument/2006/relationships" ref="L40" r:id="rId71"/>
    <hyperlink xmlns:r="http://schemas.openxmlformats.org/officeDocument/2006/relationships" ref="I41" r:id="rId72"/>
    <hyperlink xmlns:r="http://schemas.openxmlformats.org/officeDocument/2006/relationships" ref="L41" r:id="rId73"/>
    <hyperlink xmlns:r="http://schemas.openxmlformats.org/officeDocument/2006/relationships" ref="I42" r:id="rId74"/>
    <hyperlink xmlns:r="http://schemas.openxmlformats.org/officeDocument/2006/relationships" ref="L42" r:id="rId75"/>
    <hyperlink xmlns:r="http://schemas.openxmlformats.org/officeDocument/2006/relationships" ref="I43" r:id="rId76"/>
    <hyperlink xmlns:r="http://schemas.openxmlformats.org/officeDocument/2006/relationships" ref="L43" r:id="rId77"/>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20"/>
  <sheetViews>
    <sheetView workbookViewId="0">
      <pane ySplit="1" topLeftCell="A2" activePane="bottomLeft" state="frozen"/>
      <selection pane="bottomLeft" activeCell="A1" sqref="A1"/>
    </sheetView>
  </sheetViews>
  <sheetFormatPr baseColWidth="8" defaultRowHeight="15"/>
  <cols>
    <col width="6" customWidth="1" style="34" min="1" max="1"/>
    <col width="16" customWidth="1" style="34" min="2" max="2"/>
    <col width="34" customWidth="1" style="34" min="3" max="3"/>
    <col width="22" customWidth="1" style="34" min="4" max="4"/>
    <col width="26" customWidth="1" style="34" min="5" max="5"/>
    <col width="28" customWidth="1" style="34" min="6" max="6"/>
    <col width="16" customWidth="1" style="34" min="7" max="7"/>
    <col width="34" customWidth="1" style="34" min="8" max="8"/>
    <col width="18" customWidth="1" style="34" min="9" max="9"/>
    <col width="16" customWidth="1" style="34" min="10" max="10"/>
    <col width="22" customWidth="1" style="34" min="11" max="11"/>
    <col hidden="1" width="20" customWidth="1" style="34" min="12" max="12"/>
    <col width="60" customWidth="1" style="34" min="13" max="13"/>
    <col width="40" customWidth="1" style="34" min="14" max="14"/>
  </cols>
  <sheetData>
    <row r="1" ht="22" customHeight="1" s="34">
      <c r="A1" s="122" t="inlineStr">
        <is>
          <t>Year</t>
        </is>
      </c>
      <c r="B1" s="122" t="inlineStr">
        <is>
          <t>Tier</t>
        </is>
      </c>
      <c r="C1" s="122" t="inlineStr">
        <is>
          <t>Campaign</t>
        </is>
      </c>
      <c r="D1" s="122" t="inlineStr">
        <is>
          <t>Brand</t>
        </is>
      </c>
      <c r="E1" s="122" t="inlineStr">
        <is>
          <t>Product/Service</t>
        </is>
      </c>
      <c r="F1" s="122" t="inlineStr">
        <is>
          <t>Agency</t>
        </is>
      </c>
      <c r="G1" s="122" t="inlineStr">
        <is>
          <t>Country</t>
        </is>
      </c>
      <c r="H1" s="122" t="inlineStr">
        <is>
          <t>Subcategory</t>
        </is>
      </c>
      <c r="I1" s="122" t="inlineStr">
        <is>
          <t>Image URL</t>
        </is>
      </c>
      <c r="J1" s="122" t="inlineStr">
        <is>
          <t>YouTube ID</t>
        </is>
      </c>
      <c r="K1" s="122" t="inlineStr">
        <is>
          <t>Campaign Group</t>
        </is>
      </c>
      <c r="L1" s="122" t="inlineStr">
        <is>
          <t>Entry URL</t>
        </is>
      </c>
      <c r="M1" s="122" t="inlineStr">
        <is>
          <t>Description</t>
        </is>
      </c>
      <c r="N1" s="122" t="inlineStr">
        <is>
          <t>Keywords</t>
        </is>
      </c>
    </row>
    <row r="2">
      <c r="A2" s="127" t="n">
        <v>2025</v>
      </c>
      <c r="B2" s="139" t="inlineStr">
        <is>
          <t>Grand Prix</t>
        </is>
      </c>
      <c r="C2" s="127" t="inlineStr">
        <is>
          <t>Call of Discounts</t>
        </is>
      </c>
      <c r="D2" s="127" t="inlineStr">
        <is>
          <t>Mercado Livre</t>
        </is>
      </c>
      <c r="E2" s="127" t="inlineStr">
        <is>
          <t>Mercado Livre</t>
        </is>
      </c>
      <c r="F2" s="127" t="inlineStr">
        <is>
          <t>Gut</t>
        </is>
      </c>
      <c r="G2" s="127" t="inlineStr">
        <is>
          <t>Brazil</t>
        </is>
      </c>
      <c r="H2" s="113" t="inlineStr">
        <is>
          <t>Use of Gaming/Streaming Platforms</t>
        </is>
      </c>
      <c r="I2" s="128" t="inlineStr">
        <is>
          <t>https://ascentialcdn.filespin.io/api/v1/conversion/c70ca73e1b844ab9b17bafdddb08ab43</t>
        </is>
      </c>
      <c r="J2" s="127" t="inlineStr">
        <is>
          <t>vimeo:1093409251</t>
        </is>
      </c>
      <c r="K2" s="127" t="n"/>
      <c r="L2" s="128" t="inlineStr">
        <is>
          <t>https://www.lovethework.com/work/entries/call-of-discounts-758175</t>
        </is>
      </c>
      <c r="M2" s="113" t="inlineStr">
        <is>
          <t>A promotion built inside Call of Duty's "Disguise" mini-game — a mode where players hide by blending into everyday objects — in which Mercado Livre listed those in-game objects as actual purchasable products on its marketplace, with Neymar appearing in-game as a playable character tied to the campaign. Shoppers could buy real-world versions of the items their opponents were literally hiding as, collapsing the boundary between the game environment and the e-commerce storefront.</t>
        </is>
      </c>
      <c r="N2" s="113" t="inlineStr">
        <is>
          <t>e-commerce, gaming, video-games, entertainment, mobile-app, call-of-duty, in-game, brazil, celebrity, gut-sao-paulo</t>
        </is>
      </c>
    </row>
    <row r="3">
      <c r="A3" s="127" t="n">
        <v>2025</v>
      </c>
      <c r="B3" s="140" t="inlineStr">
        <is>
          <t>Gold</t>
        </is>
      </c>
      <c r="C3" s="127" t="inlineStr">
        <is>
          <t>Burger to King</t>
        </is>
      </c>
      <c r="D3" s="127" t="inlineStr">
        <is>
          <t>Burger King, Happiness</t>
        </is>
      </c>
      <c r="E3" s="127" t="inlineStr">
        <is>
          <t>Burger King</t>
        </is>
      </c>
      <c r="F3" s="127" t="inlineStr">
        <is>
          <t>An FCB Alliance</t>
        </is>
      </c>
      <c r="G3" s="127" t="inlineStr">
        <is>
          <t>Belgium</t>
        </is>
      </c>
      <c r="H3" s="113" t="inlineStr">
        <is>
          <t>Challenger Brand</t>
        </is>
      </c>
      <c r="I3" s="128" t="inlineStr">
        <is>
          <t>https://ascentialcdn.filespin.io/api/v1/conversion/4f2c314a8b5244938185d763dbbb08a8</t>
        </is>
      </c>
      <c r="J3" s="127" t="inlineStr">
        <is>
          <t>RQVaoU4CGRk</t>
        </is>
      </c>
      <c r="K3" s="127" t="n"/>
      <c r="L3" s="128" t="inlineStr">
        <is>
          <t>https://www.lovethework.com/work/entries/burger-to-king-763800</t>
        </is>
      </c>
      <c r="M3" s="113" t="inlineStr">
        <is>
          <t>A loophole in EA Sports FC 25's in-game commentary audio update that allowed Burger King to inject its own brand mentions into the game's live commentary track — repositioning Burger King inside a media channel its competitor had paid heavily to dominate. The exploit was executed by Happiness, an FCB Alliance in Brussels, using the game's own audio-update system to route around the official sponsorship.</t>
        </is>
      </c>
      <c r="N3" s="113" t="inlineStr">
        <is>
          <t>burger-king, gaming, video-games, entertainment, qsr, fast-food, restaurant, food, in-game-audio, belgium, challenger-brand, ambient-media, sports-game</t>
        </is>
      </c>
    </row>
    <row r="4">
      <c r="A4" s="127" t="n">
        <v>2025</v>
      </c>
      <c r="B4" s="140" t="inlineStr">
        <is>
          <t>Gold</t>
        </is>
      </c>
      <c r="C4" s="127" t="inlineStr">
        <is>
          <t>The Final Exam</t>
        </is>
      </c>
      <c r="D4" s="127" t="inlineStr">
        <is>
          <t>Change the Ref</t>
        </is>
      </c>
      <c r="E4" s="127" t="inlineStr">
        <is>
          <t>Pro Bono</t>
        </is>
      </c>
      <c r="F4" s="127" t="inlineStr">
        <is>
          <t>Energy BBDO</t>
        </is>
      </c>
      <c r="G4" s="127" t="inlineStr">
        <is>
          <t>United States</t>
        </is>
      </c>
      <c r="H4" s="113" t="inlineStr">
        <is>
          <t>Social Behaviour</t>
        </is>
      </c>
      <c r="I4" s="128" t="inlineStr">
        <is>
          <t>https://ascentialcdn.filespin.io/api/v1/conversion/615e3a15eabf457d91d317468a12d825</t>
        </is>
      </c>
      <c r="J4" s="127" t="inlineStr">
        <is>
          <t>y8LkiSNPJUs</t>
        </is>
      </c>
      <c r="K4" s="127" t="n"/>
      <c r="L4" s="128" t="inlineStr">
        <is>
          <t>https://www.lovethework.com/work/entries/the-final-exam-760339</t>
        </is>
      </c>
      <c r="M4" s="113" t="inlineStr">
        <is>
          <t>A playable PC game in which the player tries to survive a U.S. school shooting. Every level is reconstructed from real architectural layouts and eyewitness accounts from Columbine, Parkland, and Sandy Hook; survival depends on finding five actual U.S. gun-safety bills hidden as in-game items. Premiered at TwitchCon.</t>
        </is>
      </c>
      <c r="N4" s="113" t="inlineStr">
        <is>
          <t>gaming, video-games, entertainment, gun-violence, social-good, not-for-profit, charity, ngo, activism, united-states, twitch, advocacy</t>
        </is>
      </c>
    </row>
    <row r="5">
      <c r="A5" s="127" t="n">
        <v>2025</v>
      </c>
      <c r="B5" s="132" t="inlineStr">
        <is>
          <t>Silver</t>
        </is>
      </c>
      <c r="C5" s="127" t="inlineStr">
        <is>
          <t>Project: Memory Card</t>
        </is>
      </c>
      <c r="D5" s="127" t="inlineStr">
        <is>
          <t>Playstation</t>
        </is>
      </c>
      <c r="E5" s="127" t="inlineStr">
        <is>
          <t>Playstation</t>
        </is>
      </c>
      <c r="F5" s="127" t="inlineStr">
        <is>
          <t>Six Inc</t>
        </is>
      </c>
      <c r="G5" s="127" t="inlineStr">
        <is>
          <t>Japan</t>
        </is>
      </c>
      <c r="H5" s="113" t="inlineStr">
        <is>
          <t>Audio-Visual Content</t>
        </is>
      </c>
      <c r="I5" s="127" t="inlineStr">
        <is>
          <t>digital-presentation-images/entertainment-lions-for-gaming-playstation-project-memory-card.webp</t>
        </is>
      </c>
      <c r="J5" s="127" t="inlineStr">
        <is>
          <t>5H6KsnFazXM</t>
        </is>
      </c>
      <c r="K5" s="127" t="n"/>
      <c r="L5" s="128" t="inlineStr">
        <is>
          <t>https://www.lovethework.com/work/entries/project-memory-card-758330</t>
        </is>
      </c>
      <c r="M5" s="113" t="inlineStr">
        <is>
          <t>An original anime short, titled "Players," created with music band YOASOBI for PlayStation's 30th anniversary in Japan — the characters, story, and song were developed together by SIX INC and Hakuhodo Tokyo so that the narrative and track are inseparable. YOASOBI's existing fanbase and PlayStation's gaming community were brought into a single piece of audio-visual content built around the shared experience of play across generations.</t>
        </is>
      </c>
      <c r="N5" s="113" t="inlineStr">
        <is>
          <t>gaming-console, anime, music-collaboration, audio-visual-content, japan, branded-entertainment, anniversary, yoasobi</t>
        </is>
      </c>
    </row>
    <row r="6">
      <c r="A6" s="127" t="n">
        <v>2025</v>
      </c>
      <c r="B6" s="132" t="inlineStr">
        <is>
          <t>Silver</t>
        </is>
      </c>
      <c r="C6" s="127" t="inlineStr">
        <is>
          <t>Burger to King</t>
        </is>
      </c>
      <c r="D6" s="127" t="inlineStr">
        <is>
          <t>Burger King, Happiness</t>
        </is>
      </c>
      <c r="E6" s="127" t="inlineStr">
        <is>
          <t>Burger King</t>
        </is>
      </c>
      <c r="F6" s="127" t="inlineStr">
        <is>
          <t>An FCB Alliance</t>
        </is>
      </c>
      <c r="G6" s="127" t="inlineStr">
        <is>
          <t>Belgium</t>
        </is>
      </c>
      <c r="H6" s="113" t="inlineStr">
        <is>
          <t>Brand Integration for Games</t>
        </is>
      </c>
      <c r="I6" s="128" t="inlineStr">
        <is>
          <t>https://ascentialcdn.filespin.io/api/v1/conversion/4f2c314a8b5244938185d763dbbb08a8</t>
        </is>
      </c>
      <c r="J6" s="127" t="inlineStr">
        <is>
          <t>RQVaoU4CGRk</t>
        </is>
      </c>
      <c r="K6" s="127" t="n"/>
      <c r="L6" s="128" t="inlineStr">
        <is>
          <t>https://www.lovethework.com/work/entries/burger-to-king-763798</t>
        </is>
      </c>
      <c r="M6" s="113" t="inlineStr">
        <is>
          <t>A loophole in EA Sports FC 25's in-game commentary audio update that allowed Burger King to inject its own brand mentions into the game's live commentary track — repositioning Burger King inside a media channel its competitor had paid heavily to dominate. The exploit was executed by Happiness, an FCB Alliance in Brussels, using the game's own audio-update system to route around the official sponsorship.</t>
        </is>
      </c>
      <c r="N6" s="113" t="inlineStr">
        <is>
          <t>burger-king, gaming, video-games, entertainment, qsr, fast-food, restaurant, food, in-game-audio, belgium, challenger-brand, ambient-media, sports-game</t>
        </is>
      </c>
    </row>
    <row r="7">
      <c r="A7" s="127" t="n">
        <v>2025</v>
      </c>
      <c r="B7" s="133" t="inlineStr">
        <is>
          <t>Bronze</t>
        </is>
      </c>
      <c r="C7" s="127" t="inlineStr">
        <is>
          <t>The Final Exam</t>
        </is>
      </c>
      <c r="D7" s="127" t="inlineStr">
        <is>
          <t>Change the Ref</t>
        </is>
      </c>
      <c r="E7" s="127" t="inlineStr">
        <is>
          <t>Pro Bono</t>
        </is>
      </c>
      <c r="F7" s="127" t="inlineStr">
        <is>
          <t>Energy BBDO</t>
        </is>
      </c>
      <c r="G7" s="127" t="inlineStr">
        <is>
          <t>United States</t>
        </is>
      </c>
      <c r="H7" s="113" t="inlineStr">
        <is>
          <t>Use of Gaming/Streaming Platforms</t>
        </is>
      </c>
      <c r="I7" s="128" t="inlineStr">
        <is>
          <t>https://ascentialcdn.filespin.io/api/v1/conversion/615e3a15eabf457d91d317468a12d825</t>
        </is>
      </c>
      <c r="J7" s="127" t="inlineStr">
        <is>
          <t>y8LkiSNPJUs</t>
        </is>
      </c>
      <c r="K7" s="127" t="n"/>
      <c r="L7" s="128" t="inlineStr">
        <is>
          <t>https://www.lovethework.com/work/entries/the-final-exam-760178</t>
        </is>
      </c>
      <c r="M7" s="113" t="inlineStr">
        <is>
          <t>A playable PC game in which the player tries to survive a U.S. school shooting. Every level is reconstructed from real architectural layouts and eyewitness accounts from Columbine, Parkland, and Sandy Hook; survival depends on finding five actual U.S. gun-safety bills hidden as in-game items. Premiered at TwitchCon.</t>
        </is>
      </c>
      <c r="N7" s="113" t="inlineStr">
        <is>
          <t>gaming, video-games, entertainment, gun-violence, social-good, not-for-profit, charity, ngo, activism, united-states, twitch, advocacy</t>
        </is>
      </c>
    </row>
    <row r="8">
      <c r="A8" s="127" t="n">
        <v>2025</v>
      </c>
      <c r="B8" s="133" t="inlineStr">
        <is>
          <t>Bronze</t>
        </is>
      </c>
      <c r="C8" s="127" t="inlineStr">
        <is>
          <t>Haaland Payback Time</t>
        </is>
      </c>
      <c r="D8" s="127" t="inlineStr">
        <is>
          <t>Clash of Clans</t>
        </is>
      </c>
      <c r="E8" s="127" t="inlineStr">
        <is>
          <t>Clash of Clans</t>
        </is>
      </c>
      <c r="F8" s="127" t="inlineStr">
        <is>
          <t>David</t>
        </is>
      </c>
      <c r="G8" s="127" t="inlineStr">
        <is>
          <t>United States</t>
        </is>
      </c>
      <c r="H8" s="113" t="inlineStr">
        <is>
          <t>Partnerships with Gaming Talent</t>
        </is>
      </c>
      <c r="I8" s="128" t="inlineStr">
        <is>
          <t>https://ascentialcdn.filespin.io/api/v1/conversion/3b57e93aef504625807daf7e7575162d</t>
        </is>
      </c>
      <c r="J8" s="127" t="inlineStr">
        <is>
          <t>TcQ--NtSQ9s</t>
        </is>
      </c>
      <c r="K8" s="127" t="n"/>
      <c r="L8" s="128" t="inlineStr">
        <is>
          <t>https://www.lovethework.com/work/entries/haaland-payback-time-762429</t>
        </is>
      </c>
      <c r="M8" s="113" t="inlineStr">
        <is>
          <t>A limited in-game challenge built around Premier League footballer Erling Haaland's actual Clash of Clans village — one he had spent over a decade constructing. The campaign invited rival players and self-declared Haaland "haters" to raid and attack that real village, turning his personal in-game progress into a target. The mechanic used Haaland's existing game history as the creative raw material, with his real account serving as the prize to be plundered.</t>
        </is>
      </c>
      <c r="N8" s="113" t="inlineStr">
        <is>
          <t>mobile-game, gaming, video-games, entertainment, influencer, sport, in-game-activation, football, soccer, celebrity, united-states</t>
        </is>
      </c>
    </row>
    <row r="9">
      <c r="A9" s="127" t="n">
        <v>2025</v>
      </c>
      <c r="B9" s="133" t="inlineStr">
        <is>
          <t>Bronze</t>
        </is>
      </c>
      <c r="C9" s="127" t="inlineStr">
        <is>
          <t>The Co-Worker</t>
        </is>
      </c>
      <c r="D9" s="127" t="inlineStr">
        <is>
          <t>IKEA</t>
        </is>
      </c>
      <c r="E9" s="127" t="inlineStr">
        <is>
          <t>Recruitment Campaign for Careers at Ikea.</t>
        </is>
      </c>
      <c r="F9" s="127" t="inlineStr">
        <is>
          <t>Mother</t>
        </is>
      </c>
      <c r="G9" s="127" t="inlineStr">
        <is>
          <t>United Kingdom</t>
        </is>
      </c>
      <c r="H9" s="113" t="inlineStr">
        <is>
          <t>Brand Integration for Games</t>
        </is>
      </c>
      <c r="I9" s="128" t="inlineStr">
        <is>
          <t>https://ascentialcdn.filespin.io/api/v1/conversion/4492f4557e9441408ea283fcb7cd3a12</t>
        </is>
      </c>
      <c r="J9" s="127" t="inlineStr">
        <is>
          <t>VPemXZatDQA</t>
        </is>
      </c>
      <c r="K9" s="127" t="n"/>
      <c r="L9" s="128" t="inlineStr">
        <is>
          <t>https://www.lovethework.com/work/entries/the-co-worker-758248</t>
        </is>
      </c>
      <c r="M9" s="113" t="inlineStr">
        <is>
          <t>A fully functioning IKEA store built inside Roblox, where players could take on real job roles — assembling furniture, stocking shelves, helping customers — and get promoted by levelling up, mirroring the actual career structure at IKEA. To drive applications for store roles during the May/June hiring period, IKEA offered players a real salary to work in the virtual store, developed with Mother London and The Gang.</t>
        </is>
      </c>
      <c r="N9" s="113" t="inlineStr">
        <is>
          <t>recruitment, gaming, video-games, entertainment, roblox, retail, employer-branding, united-kingdom, branded-game, youth-audience</t>
        </is>
      </c>
    </row>
    <row r="10">
      <c r="A10" s="127" t="n">
        <v>2025</v>
      </c>
      <c r="B10" s="133" t="inlineStr">
        <is>
          <t>Bronze</t>
        </is>
      </c>
      <c r="C10" s="127" t="inlineStr">
        <is>
          <t>Fizzooka</t>
        </is>
      </c>
      <c r="D10" s="127" t="inlineStr">
        <is>
          <t>Perfetti Van Melle</t>
        </is>
      </c>
      <c r="E10" s="127" t="inlineStr">
        <is>
          <t>Mentos</t>
        </is>
      </c>
      <c r="F10" s="127" t="inlineStr">
        <is>
          <t>BBH</t>
        </is>
      </c>
      <c r="G10" s="127" t="inlineStr">
        <is>
          <t>United Kingdom</t>
        </is>
      </c>
      <c r="H10" s="113" t="inlineStr">
        <is>
          <t>Brand Partnerships, Sponsorships &amp; Collaborations</t>
        </is>
      </c>
      <c r="I10" s="128" t="inlineStr">
        <is>
          <t>https://ascentialcdn.filespin.io/api/v1/conversion/f5ffbe1532054f85b7f9f9b7fba1f1ee</t>
        </is>
      </c>
      <c r="J10" s="127" t="inlineStr">
        <is>
          <t>TgjfKovV888</t>
        </is>
      </c>
      <c r="K10" s="127" t="n"/>
      <c r="L10" s="128" t="inlineStr">
        <is>
          <t>https://www.lovethework.com/work/entries/fizzooka-758263</t>
        </is>
      </c>
      <c r="M10" s="113" t="inlineStr">
        <is>
          <t>A custom rocket launcher built inside Fortnite Creative that uses the Mentos and cola fizz reaction as its mechanic — firing at opponents blasts them across the map and destroys their builds. Delivered by BBH London, the Fizzooka carried the longstanding internet experiment into a playable weapon within Fortnite's anti-build game mode.</t>
        </is>
      </c>
      <c r="N10" s="113" t="inlineStr">
        <is>
          <t>confectionery, candy, snack, packaged-goods, food, cpg, fmcg, gaming, video-games, entertainment, fortnite, brand-partnership, interactive, united-kingdom, virtual-item, user-participation</t>
        </is>
      </c>
    </row>
    <row r="11">
      <c r="A11" s="127" t="n">
        <v>2025</v>
      </c>
      <c r="B11" s="133" t="inlineStr">
        <is>
          <t>Bronze</t>
        </is>
      </c>
      <c r="C11" s="127" t="inlineStr">
        <is>
          <t>Lag or Bad</t>
        </is>
      </c>
      <c r="D11" s="127" t="inlineStr">
        <is>
          <t>Xtrim</t>
        </is>
      </c>
      <c r="E11" s="127" t="inlineStr">
        <is>
          <t>Xtrim Internet Service</t>
        </is>
      </c>
      <c r="F11" s="127" t="inlineStr">
        <is>
          <t>Paradais DDB</t>
        </is>
      </c>
      <c r="G11" s="127" t="inlineStr">
        <is>
          <t>Ecuador</t>
        </is>
      </c>
      <c r="H11" s="113" t="inlineStr">
        <is>
          <t>Social Behaviour</t>
        </is>
      </c>
      <c r="I11" s="128" t="inlineStr">
        <is>
          <t>https://ascentialcdn.filespin.io/api/v1/conversion/035c1b7183be486fa7ec0efe20c5cfd2</t>
        </is>
      </c>
      <c r="J11" s="127" t="inlineStr">
        <is>
          <t>Zo2096C1HDQ</t>
        </is>
      </c>
      <c r="K11" s="127" t="n"/>
      <c r="L11" s="128" t="inlineStr">
        <is>
          <t>https://www.lovethework.com/work/entries/lag-or-bad-760347</t>
        </is>
      </c>
      <c r="M11" s="113" t="inlineStr">
        <is>
          <t>A gaming-adjacent campaign for Xtrim internet service built on a single behavioral observation: that gamers blame their own skill before suspecting their connection — "I'm bad" before "I'm lagging." Created by Paradais DDB in Ecuador, the work reframes poor in-game performance as a diagnosable internet problem rather than a personal failing, turning a self-deprecating gamer habit into a case for switching providers.</t>
        </is>
      </c>
      <c r="N11" s="113" t="inlineStr">
        <is>
          <t>internet-service, gaming, video-games, entertainment, social-behaviour, ecuador, entertainment-for-gaming, paradais-ddb</t>
        </is>
      </c>
    </row>
    <row r="12">
      <c r="A12" s="127" t="n">
        <v>2025</v>
      </c>
      <c r="B12" s="133" t="inlineStr">
        <is>
          <t>Bronze</t>
        </is>
      </c>
      <c r="C12" s="127" t="inlineStr">
        <is>
          <t>The Cheeky Controller</t>
        </is>
      </c>
      <c r="D12" s="127" t="inlineStr">
        <is>
          <t>Xbox</t>
        </is>
      </c>
      <c r="E12" s="127" t="inlineStr">
        <is>
          <t>Xbox Controller</t>
        </is>
      </c>
      <c r="F12" s="127" t="inlineStr">
        <is>
          <t>McCANN</t>
        </is>
      </c>
      <c r="G12" s="127" t="inlineStr">
        <is>
          <t>United Kingdom</t>
        </is>
      </c>
      <c r="H12" s="113" t="inlineStr">
        <is>
          <t>Use of Humour</t>
        </is>
      </c>
      <c r="I12" s="128" t="inlineStr">
        <is>
          <t>https://ascentialcdn.filespin.io/api/v1/conversion/f1c6e266081d4161b8e3ecc7ecb15a78</t>
        </is>
      </c>
      <c r="J12" s="127" t="inlineStr">
        <is>
          <t>vimeo:1034892837</t>
        </is>
      </c>
      <c r="K12" s="127" t="n"/>
      <c r="L12" s="128" t="inlineStr">
        <is>
          <t>https://www.lovethework.com/work/entries/the-cheeky-controller-762497</t>
        </is>
      </c>
      <c r="M12" s="113" t="inlineStr">
        <is>
          <t>A limited-edition Xbox controller shaped like Deadpool's buttocks, created as the exclusive prize in a global sweepstakes timed to the release of Deadpool &amp; Wolverine. Rather than using standard character artwork or licensing assets, McCann London built the promotion around a single collectible object designed to provoke conversation among the film's fanbase.</t>
        </is>
      </c>
      <c r="N12" s="113" t="inlineStr">
        <is>
          <t>xbox-controller, gaming, video-games, entertainment, collectible, sweepstakes, use-of-talent, united-kingdom, united-states, humour, retail-promotion</t>
        </is>
      </c>
    </row>
    <row r="13">
      <c r="A13" s="160" t="n">
        <v>2026</v>
      </c>
      <c r="B13" s="160" t="inlineStr">
        <is>
          <t>Grand Prix</t>
        </is>
      </c>
      <c r="C13" s="168" t="inlineStr">
        <is>
          <t>Copycats Welcome</t>
        </is>
      </c>
      <c r="D13" s="160" t="inlineStr">
        <is>
          <t>Clash Royale</t>
        </is>
      </c>
      <c r="E13" s="160" t="inlineStr">
        <is>
          <t>Clash Royale</t>
        </is>
      </c>
      <c r="F13" s="160" t="inlineStr">
        <is>
          <t>David</t>
        </is>
      </c>
      <c r="G13" s="160" t="inlineStr">
        <is>
          <t>United States</t>
        </is>
      </c>
      <c r="H13" s="160" t="inlineStr">
        <is>
          <t>Social Behaviour</t>
        </is>
      </c>
      <c r="I13" s="160" t="inlineStr">
        <is>
          <t>https://ascentialcdn.filespin.io/api/v1/conversion/db152c07a2fb45eab27aaa7801295240</t>
        </is>
      </c>
      <c r="J13" s="160" t="inlineStr">
        <is>
          <t>izSoHjBvAwA</t>
        </is>
      </c>
      <c r="K13" s="160" t="n"/>
      <c r="L13" s="160" t="inlineStr">
        <is>
          <t>https://www.lovethework.com/work/entries/copycats-welcome-780075</t>
        </is>
      </c>
      <c r="M13" s="160" t="inlineStr">
        <is>
          <t>The Gaming Grand Prix. Facing a wave of copycat games that cloned Clash Royale's name, look, gameplay, weapons and characters, Supercell and DAVID New York answered not with lawsuits but with an amnesty: 'Copycats Welcome' invited players of the imitation titles to transfer their accumulated progress — levels, hours and in-game wealth — into the official Clash Royale and keep playing there.</t>
        </is>
      </c>
      <c r="N13" s="160" t="inlineStr">
        <is>
          <t>clash royale, supercell, gaming, video-games, entertainment, video games, games, mobile games, mobile gaming, esports, technology, copycats, clones, amnesty, player-migration, gamers, united states, david, ogilvy, grand prix</t>
        </is>
      </c>
    </row>
    <row r="14">
      <c r="A14" s="161" t="n">
        <v>2026</v>
      </c>
      <c r="B14" s="161" t="inlineStr">
        <is>
          <t>Gold</t>
        </is>
      </c>
      <c r="C14" s="172" t="inlineStr">
        <is>
          <t>Pocket-Sized Halftime Show</t>
        </is>
      </c>
      <c r="D14" s="161" t="inlineStr">
        <is>
          <t>Clash Royale</t>
        </is>
      </c>
      <c r="E14" s="161" t="inlineStr">
        <is>
          <t>Clash Royale</t>
        </is>
      </c>
      <c r="F14" s="161" t="inlineStr">
        <is>
          <t>Uncommon Creative Studio</t>
        </is>
      </c>
      <c r="G14" s="161" t="inlineStr">
        <is>
          <t>Sweden</t>
        </is>
      </c>
      <c r="H14" s="161" t="inlineStr">
        <is>
          <t>Brand Partnerships, Sponsorships &amp; Collaborations</t>
        </is>
      </c>
      <c r="I14" s="161" t="inlineStr">
        <is>
          <t>https://ascentialcdn.filespin.io/api/v1/conversion/296218ed57874950ad6ac81a129783a3</t>
        </is>
      </c>
      <c r="J14" s="161" t="inlineStr">
        <is>
          <t>mp4:videos/entertainment-clash-royale-pcoket-sized-halftime-show.mp4</t>
        </is>
      </c>
      <c r="K14" s="161" t="n"/>
      <c r="L14" s="161" t="inlineStr">
        <is>
          <t>https://www.lovethework.com/work/entries/pocket-sized-halftime-show-780146</t>
        </is>
      </c>
      <c r="M14" s="161" t="inlineStr">
        <is>
          <t>A counter-programming play against the Super Bowl's halftime show, staged entirely inside the Clash Royale mobile game. Uncommon Creative Studio Stockholm and Supercell built a bespoke in-game arena where a live-action Lil Wayne, flanked by fan-favourite Clash Royale characters given a hip-hop makeover, performed his hit 'A Milli' — launched worldwide as players opened the game to battle.</t>
        </is>
      </c>
      <c r="N14" s="161" t="inlineStr">
        <is>
          <t>clash royale, supercell, gaming, video-games, entertainment, video games, games, mobile games, mobile gaming, music, hip-hop, lil wayne, super bowl, halftime show, in-game event, brand partnership, celebrity, sweden, uncommon creative studio, gold</t>
        </is>
      </c>
    </row>
    <row r="15">
      <c r="A15" s="162" t="n">
        <v>2026</v>
      </c>
      <c r="B15" s="162" t="inlineStr">
        <is>
          <t>Silver</t>
        </is>
      </c>
      <c r="C15" s="173" t="inlineStr">
        <is>
          <t>The Club Is Yours</t>
        </is>
      </c>
      <c r="D15" s="162" t="inlineStr">
        <is>
          <t>EA Sports</t>
        </is>
      </c>
      <c r="E15" s="162" t="inlineStr">
        <is>
          <t>EA Sports FC</t>
        </is>
      </c>
      <c r="F15" s="162" t="inlineStr">
        <is>
          <t>Uncommon Creative Studio</t>
        </is>
      </c>
      <c r="G15" s="162" t="inlineStr">
        <is>
          <t>United Kingdom</t>
        </is>
      </c>
      <c r="H15" s="162" t="inlineStr">
        <is>
          <t>Social Behaviour</t>
        </is>
      </c>
      <c r="I15" s="162" t="inlineStr">
        <is>
          <t>https://ascentialcdn.filespin.io/api/v1/conversion/a48163cbbb724a91ae83a3251446e82f</t>
        </is>
      </c>
      <c r="J15" s="162" t="inlineStr">
        <is>
          <t>vimeo:1126924315</t>
        </is>
      </c>
      <c r="K15" s="162" t="n"/>
      <c r="L15" s="162" t="inlineStr">
        <is>
          <t>https://www.lovethework.com/work/entries/the-club-is-yours-780068</t>
        </is>
      </c>
      <c r="M15" s="162" t="inlineStr">
        <is>
          <t>A launch platform for EA Sports FC 26 built from real fan feedback and handing creative ownership of the game back to its community. Uncommon Creative Studio's extended trailer brings together footballers including Jude Bellingham, Virgil van Dijk and Zlatan Ibrahimović alongside athletes such as Lewis Hamilton in a tribute to football culture and the players who fuel the game.</t>
        </is>
      </c>
      <c r="N15" s="162" t="inlineStr">
        <is>
          <t>ea sports, ea sports fc, fc 26, football, soccer, sport, sports, gaming, video-games, entertainment, video games, games, fan community, trailer, athletes, celebrity, united kingdom, uncommon creative studio, silver</t>
        </is>
      </c>
    </row>
    <row r="16">
      <c r="A16" s="162" t="n">
        <v>2026</v>
      </c>
      <c r="B16" s="162" t="inlineStr">
        <is>
          <t>Silver</t>
        </is>
      </c>
      <c r="C16" s="173" t="inlineStr">
        <is>
          <t>Gaming Flute</t>
        </is>
      </c>
      <c r="D16" s="162" t="inlineStr">
        <is>
          <t>Skittles</t>
        </is>
      </c>
      <c r="E16" s="162" t="inlineStr">
        <is>
          <t>Skittles</t>
        </is>
      </c>
      <c r="F16" s="162" t="inlineStr">
        <is>
          <t>TBWA\Chiat\Day</t>
        </is>
      </c>
      <c r="G16" s="162" t="inlineStr">
        <is>
          <t>United States</t>
        </is>
      </c>
      <c r="H16" s="162" t="inlineStr">
        <is>
          <t>Use of Humour</t>
        </is>
      </c>
      <c r="I16" s="162" t="inlineStr">
        <is>
          <t>https://ascentialcdn.filespin.io/api/v1/conversion/6c7de793b80f44288aa9f1b993cdbd5f</t>
        </is>
      </c>
      <c r="J16" s="162" t="inlineStr">
        <is>
          <t>mp4:videos/skittles-gaming-flute.mp4</t>
        </is>
      </c>
      <c r="K16" s="162" t="n"/>
      <c r="L16" s="162" t="inlineStr">
        <is>
          <t>https://www.lovethework.com/work/entries/gaming-flute-780129</t>
        </is>
      </c>
      <c r="M16" s="162" t="inlineStr">
        <is>
          <t>A playable game controller shaped like a flute, sent by Skittles to streamers who livestreamed themselves learning to 'play' the instrument-controller across a weekend. The branded flute turned an absurd novelty input device into hours of comedic streaming content for the candy brand.</t>
        </is>
      </c>
      <c r="N16" s="162" t="inlineStr">
        <is>
          <t>skittles, mars, candy, confectionery, snack, packaged-goods, food, cpg, fmcg, sweets, gaming, video-games, entertainment, video games, games, streamers, twitch, livestream, controller, humour, gadget, united states, tbwa, chiat day, silver</t>
        </is>
      </c>
    </row>
    <row r="17">
      <c r="A17" s="163" t="n">
        <v>2026</v>
      </c>
      <c r="B17" s="163" t="inlineStr">
        <is>
          <t>Bronze</t>
        </is>
      </c>
      <c r="C17" s="174" t="inlineStr">
        <is>
          <t>Silent Cleaning</t>
        </is>
      </c>
      <c r="D17" s="163" t="inlineStr">
        <is>
          <t>Kao Corporation</t>
        </is>
      </c>
      <c r="E17" s="163" t="inlineStr">
        <is>
          <t>Magiclean, Quickle Wiper</t>
        </is>
      </c>
      <c r="F17" s="163" t="inlineStr">
        <is>
          <t>Whatever</t>
        </is>
      </c>
      <c r="G17" s="163" t="inlineStr">
        <is>
          <t>Japan</t>
        </is>
      </c>
      <c r="H17" s="163" t="inlineStr">
        <is>
          <t>Brand Integration for Games</t>
        </is>
      </c>
      <c r="I17" s="163" t="inlineStr">
        <is>
          <t>https://ascentialcdn.filespin.io/api/v1/conversion/f2a77e034454464098366ffb0bfc9f39</t>
        </is>
      </c>
      <c r="J17" s="163" t="inlineStr">
        <is>
          <t>k8mdhE0NLjg</t>
        </is>
      </c>
      <c r="K17" s="163" t="n"/>
      <c r="L17" s="163" t="inlineStr">
        <is>
          <t>https://www.lovethework.com/work/entries/silent-cleaning-792484</t>
        </is>
      </c>
      <c r="M17" s="163" t="inlineStr">
        <is>
          <t>A free horror game released on Steam for Kao in which players clean a haunted space while fending off ghosts, wielding virtual versions of the company's real household products. Magiclean sprays and Quickle dusters appear as in-game tools, and certain products combine to unlock more powerful cleaning techniques.</t>
        </is>
      </c>
      <c r="N17" s="163" t="inlineStr">
        <is>
          <t>kao, magiclean, quickle, cleaning products, household, home, fmcg, gaming, video-games, entertainment, video games, games, horror game, steam, brand integration, product placement, japan, whatever, bronze</t>
        </is>
      </c>
    </row>
    <row r="18">
      <c r="A18" s="163" t="n">
        <v>2026</v>
      </c>
      <c r="B18" s="163" t="inlineStr">
        <is>
          <t>Bronze</t>
        </is>
      </c>
      <c r="C18" s="174" t="inlineStr">
        <is>
          <t>R2R</t>
        </is>
      </c>
      <c r="D18" s="163" t="inlineStr">
        <is>
          <t>Brahma</t>
        </is>
      </c>
      <c r="E18" s="163" t="inlineStr">
        <is>
          <t>Beer</t>
        </is>
      </c>
      <c r="F18" s="163" t="inlineStr">
        <is>
          <t>Africa Creative</t>
        </is>
      </c>
      <c r="G18" s="163" t="inlineStr">
        <is>
          <t>Brazil</t>
        </is>
      </c>
      <c r="H18" s="163" t="inlineStr">
        <is>
          <t>Use of Gaming/Streaming Platforms</t>
        </is>
      </c>
      <c r="I18" s="163" t="inlineStr">
        <is>
          <t>https://ascentialcdn.filespin.io/api/v1/conversion/7b66968cecaf4874b24583f11da820ef</t>
        </is>
      </c>
      <c r="J18" s="163" t="inlineStr">
        <is>
          <t>ayOgEZRVhkg</t>
        </is>
      </c>
      <c r="K18" s="163" t="n"/>
      <c r="L18" s="163" t="inlineStr">
        <is>
          <t>https://www.lovethework.com/work/entries/r2r-780011</t>
        </is>
      </c>
      <c r="M18" s="163" t="inlineStr">
        <is>
          <t>A gaming activation for Brahma beer reviving Ronaldo Fenômeno's iconic 'number one' finger celebration. Africa Creative São Paulo mapped the gesture to a controller combination — R2 plus R, flicked left — that players could perform inside football video games to recreate Ronaldo's signature move after scoring, then share the clips tagged to the brand.</t>
        </is>
      </c>
      <c r="N18" s="163" t="inlineStr">
        <is>
          <t>brahma, beer, alcohol, ambev, fmcg, gaming, video-games, entertainment, video games, games, football, soccer, sport, sports, ronaldo, celebration, streaming, tv, user-generated, brazil, africa creative, bronze</t>
        </is>
      </c>
    </row>
    <row r="19">
      <c r="A19" s="163" t="n">
        <v>2026</v>
      </c>
      <c r="B19" s="163" t="inlineStr">
        <is>
          <t>Bronze</t>
        </is>
      </c>
      <c r="C19" s="174" t="inlineStr">
        <is>
          <t>Delivered by Tetris</t>
        </is>
      </c>
      <c r="D19" s="163" t="inlineStr">
        <is>
          <t>La Poste</t>
        </is>
      </c>
      <c r="E19" s="163" t="inlineStr">
        <is>
          <t>La Poste</t>
        </is>
      </c>
      <c r="F19" s="163" t="inlineStr">
        <is>
          <t>BETC + Havas Paris</t>
        </is>
      </c>
      <c r="G19" s="163" t="inlineStr">
        <is>
          <t>France</t>
        </is>
      </c>
      <c r="H19" s="163" t="inlineStr">
        <is>
          <t>Brand Partnerships, Sponsorships &amp; Collaborations</t>
        </is>
      </c>
      <c r="I19" s="163" t="inlineStr">
        <is>
          <t>https://ascentialcdn.filespin.io/api/v1/conversion/f5e1bc20285e48d5a7618fa0222f1489</t>
        </is>
      </c>
      <c r="J19" s="163" t="inlineStr">
        <is>
          <t>JPSOD_c4AoY</t>
        </is>
      </c>
      <c r="K19" s="163" t="n"/>
      <c r="L19" s="163" t="inlineStr">
        <is>
          <t>https://www.lovethework.com/work/entries/delivered-by-tetris-776624</t>
        </is>
      </c>
      <c r="M19" s="163" t="inlineStr">
        <is>
          <t>A collaboration between La Poste and Tetris that applies the puzzle game's spatial-packing logic to real-world parcel loading. Wings (BETC Paris and Havas Paris) reframed the game's stacking principles as a method for optimising how delivery trucks are loaded.</t>
        </is>
      </c>
      <c r="N19" s="163" t="inlineStr">
        <is>
          <t>la poste, postal service, logistics, delivery, shipping, gaming, video-games, entertainment, video games, games, tetris, puzzle game, brand partnership, optimisation, france, betc, havas paris, bronze</t>
        </is>
      </c>
    </row>
    <row r="20">
      <c r="A20" s="163" t="n">
        <v>2026</v>
      </c>
      <c r="B20" s="163" t="inlineStr">
        <is>
          <t>Bronze</t>
        </is>
      </c>
      <c r="C20" s="174" t="inlineStr">
        <is>
          <t>Cracked Royale</t>
        </is>
      </c>
      <c r="D20" s="163" t="inlineStr">
        <is>
          <t>Clash Royale</t>
        </is>
      </c>
      <c r="E20" s="163" t="inlineStr">
        <is>
          <t>Clash Royale</t>
        </is>
      </c>
      <c r="F20" s="163" t="inlineStr">
        <is>
          <t>David</t>
        </is>
      </c>
      <c r="G20" s="163" t="inlineStr">
        <is>
          <t>United States</t>
        </is>
      </c>
      <c r="H20" s="163" t="inlineStr">
        <is>
          <t>Breakthrough on a Budget</t>
        </is>
      </c>
      <c r="I20" s="163" t="inlineStr">
        <is>
          <t>https://ascentialcdn.filespin.io/api/v1/conversion/1a6c19dbfa7f4b26b807145e1126c8e1</t>
        </is>
      </c>
      <c r="J20" s="163" t="inlineStr">
        <is>
          <t>vimeo:1187383775</t>
        </is>
      </c>
      <c r="K20" s="163" t="n"/>
      <c r="L20" s="163" t="inlineStr">
        <is>
          <t>https://www.lovethework.com/work/entries/cracked-royale-780081</t>
        </is>
      </c>
      <c r="M20" s="163" t="inlineStr">
        <is>
          <t>A campaign from DAVID New York celebrating the hardcore Clash Royale players who battle to victory on cracked, shattered and barely functional phone screens — turning a culturally precise observation about the game's most dedicated community into recognition for these cracked-screen heroes.</t>
        </is>
      </c>
      <c r="N20" s="163" t="inlineStr">
        <is>
          <t>clash royale, supercell, gaming, video-games, entertainment, video games, games, mobile games, mobile gaming, esports, cracked screens, community, gamers, low budget, united states, david, bronze</t>
        </is>
      </c>
    </row>
  </sheetData>
  <autoFilter ref="A1:N12"/>
  <hyperlinks>
    <hyperlink xmlns:r="http://schemas.openxmlformats.org/officeDocument/2006/relationships" ref="I2" r:id="rId1"/>
    <hyperlink xmlns:r="http://schemas.openxmlformats.org/officeDocument/2006/relationships" ref="L2" r:id="rId2"/>
    <hyperlink xmlns:r="http://schemas.openxmlformats.org/officeDocument/2006/relationships" ref="I3" r:id="rId3"/>
    <hyperlink xmlns:r="http://schemas.openxmlformats.org/officeDocument/2006/relationships" ref="L3" r:id="rId4"/>
    <hyperlink xmlns:r="http://schemas.openxmlformats.org/officeDocument/2006/relationships" ref="I4" r:id="rId5"/>
    <hyperlink xmlns:r="http://schemas.openxmlformats.org/officeDocument/2006/relationships" ref="L4" r:id="rId6"/>
    <hyperlink xmlns:r="http://schemas.openxmlformats.org/officeDocument/2006/relationships" ref="L5" r:id="rId7"/>
    <hyperlink xmlns:r="http://schemas.openxmlformats.org/officeDocument/2006/relationships" ref="I6" r:id="rId8"/>
    <hyperlink xmlns:r="http://schemas.openxmlformats.org/officeDocument/2006/relationships" ref="L6" r:id="rId9"/>
    <hyperlink xmlns:r="http://schemas.openxmlformats.org/officeDocument/2006/relationships" ref="I7" r:id="rId10"/>
    <hyperlink xmlns:r="http://schemas.openxmlformats.org/officeDocument/2006/relationships" ref="L7" r:id="rId11"/>
    <hyperlink xmlns:r="http://schemas.openxmlformats.org/officeDocument/2006/relationships" ref="I8" r:id="rId12"/>
    <hyperlink xmlns:r="http://schemas.openxmlformats.org/officeDocument/2006/relationships" ref="L8" r:id="rId13"/>
    <hyperlink xmlns:r="http://schemas.openxmlformats.org/officeDocument/2006/relationships" ref="I9" r:id="rId14"/>
    <hyperlink xmlns:r="http://schemas.openxmlformats.org/officeDocument/2006/relationships" ref="L9" r:id="rId15"/>
    <hyperlink xmlns:r="http://schemas.openxmlformats.org/officeDocument/2006/relationships" ref="I10" r:id="rId16"/>
    <hyperlink xmlns:r="http://schemas.openxmlformats.org/officeDocument/2006/relationships" ref="L10" r:id="rId17"/>
    <hyperlink xmlns:r="http://schemas.openxmlformats.org/officeDocument/2006/relationships" ref="I11" r:id="rId18"/>
    <hyperlink xmlns:r="http://schemas.openxmlformats.org/officeDocument/2006/relationships" ref="L11" r:id="rId19"/>
    <hyperlink xmlns:r="http://schemas.openxmlformats.org/officeDocument/2006/relationships" ref="I12" r:id="rId20"/>
    <hyperlink xmlns:r="http://schemas.openxmlformats.org/officeDocument/2006/relationships" ref="L12" r:id="rId2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30"/>
  <sheetViews>
    <sheetView workbookViewId="0">
      <pane ySplit="1" topLeftCell="A2" activePane="bottomLeft" state="frozen"/>
      <selection pane="bottomLeft" activeCell="A1" sqref="A1"/>
    </sheetView>
  </sheetViews>
  <sheetFormatPr baseColWidth="8" defaultRowHeight="15"/>
  <cols>
    <col width="6" customWidth="1" style="34" min="1" max="1"/>
    <col width="16" customWidth="1" style="34" min="2" max="2"/>
    <col width="34" customWidth="1" style="34" min="3" max="3"/>
    <col width="22" customWidth="1" style="34" min="4" max="4"/>
    <col width="26" customWidth="1" style="34" min="5" max="5"/>
    <col width="28" customWidth="1" style="34" min="6" max="6"/>
    <col width="16" customWidth="1" style="34" min="7" max="7"/>
    <col width="34" customWidth="1" style="34" min="8" max="8"/>
    <col width="18" customWidth="1" style="34" min="9" max="9"/>
    <col width="16" customWidth="1" style="34" min="10" max="10"/>
    <col width="22" customWidth="1" style="34" min="11" max="11"/>
    <col hidden="1" width="20" customWidth="1" style="34" min="12" max="12"/>
    <col width="60" customWidth="1" style="34" min="13" max="13"/>
    <col width="40" customWidth="1" style="34" min="14" max="14"/>
  </cols>
  <sheetData>
    <row r="1" ht="22" customHeight="1" s="34">
      <c r="A1" s="122" t="inlineStr">
        <is>
          <t>Year</t>
        </is>
      </c>
      <c r="B1" s="122" t="inlineStr">
        <is>
          <t>Tier</t>
        </is>
      </c>
      <c r="C1" s="122" t="inlineStr">
        <is>
          <t>Campaign</t>
        </is>
      </c>
      <c r="D1" s="122" t="inlineStr">
        <is>
          <t>Brand</t>
        </is>
      </c>
      <c r="E1" s="122" t="inlineStr">
        <is>
          <t>Product/Service</t>
        </is>
      </c>
      <c r="F1" s="122" t="inlineStr">
        <is>
          <t>Agency</t>
        </is>
      </c>
      <c r="G1" s="122" t="inlineStr">
        <is>
          <t>Country</t>
        </is>
      </c>
      <c r="H1" s="122" t="inlineStr">
        <is>
          <t>Subcategory</t>
        </is>
      </c>
      <c r="I1" s="122" t="inlineStr">
        <is>
          <t>Image URL</t>
        </is>
      </c>
      <c r="J1" s="122" t="inlineStr">
        <is>
          <t>YouTube ID</t>
        </is>
      </c>
      <c r="K1" s="122" t="inlineStr">
        <is>
          <t>Campaign Group</t>
        </is>
      </c>
      <c r="L1" s="122" t="inlineStr">
        <is>
          <t>Entry URL</t>
        </is>
      </c>
      <c r="M1" s="122" t="inlineStr">
        <is>
          <t>Description</t>
        </is>
      </c>
      <c r="N1" s="122" t="inlineStr">
        <is>
          <t>Keywords</t>
        </is>
      </c>
    </row>
    <row r="2">
      <c r="A2" s="127" t="n">
        <v>2025</v>
      </c>
      <c r="B2" s="139" t="inlineStr">
        <is>
          <t>Grand Prix</t>
        </is>
      </c>
      <c r="C2" s="127" t="inlineStr">
        <is>
          <t>Tracking Bad Bunny</t>
        </is>
      </c>
      <c r="D2" s="127" t="inlineStr">
        <is>
          <t>Rimas Music</t>
        </is>
      </c>
      <c r="E2" s="127" t="inlineStr">
        <is>
          <t>Bad Bunny</t>
        </is>
      </c>
      <c r="F2" s="127" t="inlineStr">
        <is>
          <t>DDB Latina Puerto Rico</t>
        </is>
      </c>
      <c r="G2" s="127" t="inlineStr">
        <is>
          <t>Puerto Rico</t>
        </is>
      </c>
      <c r="H2" s="113" t="inlineStr">
        <is>
          <t>Cultural Engagement</t>
        </is>
      </c>
      <c r="I2" s="128" t="inlineStr">
        <is>
          <t>https://ascentialcdn.filespin.io/api/v1/conversion/6d3d67544e4a4fe7baad1c1b50560274</t>
        </is>
      </c>
      <c r="J2" s="127" t="inlineStr">
        <is>
          <t>hPLaT_JT9Zw</t>
        </is>
      </c>
      <c r="K2" s="127" t="n"/>
      <c r="L2" s="128" t="inlineStr">
        <is>
          <t>https://www.lovethework.com/work/entries/tracking-bad-bunny-760320</t>
        </is>
      </c>
      <c r="M2" s="113" t="inlineStr">
        <is>
          <t>A GPS-based scavenger hunt built around Bad Bunny's album release that sent fans to physical locations across Puerto Rico, using the artist's real-time movements as waypoints in a digital tracking experience. Created by DDB Latina Puerto Rico for Rimas Music, the mechanic turned the island itself into the stage for the launch.</t>
        </is>
      </c>
      <c r="N2" s="113" t="inlineStr">
        <is>
          <t>music, entertainment, interactive-experience, gps, scavenger-hunt, mobile, puerto-rico, album-launch, fan-engagement</t>
        </is>
      </c>
    </row>
    <row r="3">
      <c r="A3" s="127" t="n">
        <v>2025</v>
      </c>
      <c r="B3" s="140" t="inlineStr">
        <is>
          <t>Gold</t>
        </is>
      </c>
      <c r="C3" s="127" t="inlineStr">
        <is>
          <t>A$ap Rocky - Tailor Swif</t>
        </is>
      </c>
      <c r="D3" s="127" t="inlineStr">
        <is>
          <t>A$ap Rocky</t>
        </is>
      </c>
      <c r="E3" s="127" t="inlineStr">
        <is>
          <t>A$ap Rocky</t>
        </is>
      </c>
      <c r="F3" s="127" t="inlineStr">
        <is>
          <t>Iconoclast</t>
        </is>
      </c>
      <c r="G3" s="127" t="inlineStr">
        <is>
          <t>United States</t>
        </is>
      </c>
      <c r="H3" s="113" t="inlineStr">
        <is>
          <t>Excellence in Music Video</t>
        </is>
      </c>
      <c r="I3" s="128" t="inlineStr">
        <is>
          <t>https://ascentialcdn.filespin.io/api/v1/storyboard/7819511744634f7a81824e1b2a278ae1/storyboard_000008.jpg</t>
        </is>
      </c>
      <c r="J3" s="127" t="inlineStr">
        <is>
          <t>5URefVYaJrA</t>
        </is>
      </c>
      <c r="K3" s="127" t="n"/>
      <c r="L3" s="128" t="inlineStr">
        <is>
          <t>https://www.lovethework.com/work/entries/aap-rocky-tailor-swif-754915</t>
        </is>
      </c>
      <c r="M3" s="113" t="inlineStr">
        <is>
          <t>A music video for A$AP Rocky's "Tailor Swif" shot on location in Kyiv, Ukraine by directors Vania Heymann and Gal Muggia, blending surreal, meme-sourced imagery with street-level urban scenes. The video was filmed roughly three years before its release, leaked multiple times in the interim, and was completed with VFX by Heymann and cinematography by Denys Lushchyk — a local Ukrainian crew referred to as the #sheltersquad.</t>
        </is>
      </c>
      <c r="N3" s="113" t="inlineStr">
        <is>
          <t>music-video, hip-hop, surreal, ukraine, united-states, direction, vfx, entertainment</t>
        </is>
      </c>
    </row>
    <row r="4">
      <c r="A4" s="127" t="n">
        <v>2025</v>
      </c>
      <c r="B4" s="140" t="inlineStr">
        <is>
          <t>Gold</t>
        </is>
      </c>
      <c r="C4" s="127" t="inlineStr">
        <is>
          <t>Hey Jude</t>
        </is>
      </c>
      <c r="D4" s="127" t="inlineStr">
        <is>
          <t>Adidas</t>
        </is>
      </c>
      <c r="E4" s="127" t="inlineStr">
        <is>
          <t>Adidas</t>
        </is>
      </c>
      <c r="F4" s="127" t="inlineStr">
        <is>
          <t>Johannes Leonardo</t>
        </is>
      </c>
      <c r="G4" s="127" t="inlineStr">
        <is>
          <t>United States</t>
        </is>
      </c>
      <c r="H4" s="113" t="inlineStr">
        <is>
          <t>Use of Licensed/Adapted Music</t>
        </is>
      </c>
      <c r="I4" s="128" t="inlineStr">
        <is>
          <t>https://ascentialcdn.filespin.io/api/v1/conversion/c5b4d99a1f714aea8f5124ebd5d701f7</t>
        </is>
      </c>
      <c r="J4" s="127" t="inlineStr">
        <is>
          <t>vimeo:974346956</t>
        </is>
      </c>
      <c r="K4" s="127" t="n"/>
      <c r="L4" s="128" t="inlineStr">
        <is>
          <t>https://www.lovethework.com/work/entries/hey-jude-754810</t>
        </is>
      </c>
      <c r="M4" s="113" t="inlineStr">
        <is>
          <t>A film built around The Beatles' "Hey Jude," tracing 58 years of England football tournament losses and heartbreak through period footage and cameos from former England players including Frank Lampard and David Beckham — before arriving at Jude Bellingham, whose name the song had always seemed to carry. Made by Johannes Leonardo with production by Spindle London ahead of Euro 2024, the film imagines England erupting in celebration as Bellingham scores, crowds in stadiums, neighborhoods, and pubs singing the chorus as a cheer of hope.</t>
        </is>
      </c>
      <c r="N4" s="113" t="inlineStr">
        <is>
          <t>sportswear, film, cinema, entertainment, licensed-music, football, soccer, sport, united-states, united-kingdom</t>
        </is>
      </c>
    </row>
    <row r="5">
      <c r="A5" s="127" t="n">
        <v>2025</v>
      </c>
      <c r="B5" s="140" t="inlineStr">
        <is>
          <t>Gold</t>
        </is>
      </c>
      <c r="C5" s="127" t="inlineStr">
        <is>
          <t>Abracadabra: from Fan to Featured</t>
        </is>
      </c>
      <c r="D5" s="127" t="inlineStr">
        <is>
          <t>Mastercard</t>
        </is>
      </c>
      <c r="E5" s="127" t="inlineStr">
        <is>
          <t>Mastercard</t>
        </is>
      </c>
      <c r="F5" s="127" t="inlineStr">
        <is>
          <t>McCANN XBC</t>
        </is>
      </c>
      <c r="G5" s="127" t="inlineStr">
        <is>
          <t>United States</t>
        </is>
      </c>
      <c r="H5" s="113" t="inlineStr">
        <is>
          <t>Fan Engagement/Community Building</t>
        </is>
      </c>
      <c r="I5" s="128" t="inlineStr">
        <is>
          <t>https://ascentialcdn.filespin.io/api/v1/conversion/0b4f8069282647798e50f403983c1f06</t>
        </is>
      </c>
      <c r="J5" s="127" t="inlineStr">
        <is>
          <t>vimeo:1093143827</t>
        </is>
      </c>
      <c r="K5" s="127" t="n"/>
      <c r="L5" s="128" t="inlineStr">
        <is>
          <t>https://www.lovethework.com/work/entries/abracadabra-from-fan-to-featured-759657</t>
        </is>
      </c>
      <c r="M5" s="113" t="inlineStr">
        <is>
          <t>A music video for Lady Gaga's "Abracadabra" that replaced background dancers with Mastercard-selected fans, sourced through an open casting call and integrated into the official release. The project was produced in partnership with Merman U.S. and McCann XBC New York, turning a commercial sponsorship into a fan-to-screen pipeline with a mainstream music video as the delivery vehicle.</t>
        </is>
      </c>
      <c r="N5" s="113" t="inlineStr">
        <is>
          <t>credit-card, credit, payments, fintech, financial-services, finance, music-video, fan-engagement, entertainment, social-media, united-states, community-building</t>
        </is>
      </c>
    </row>
    <row r="6">
      <c r="A6" s="127" t="n">
        <v>2025</v>
      </c>
      <c r="B6" s="132" t="inlineStr">
        <is>
          <t>Silver</t>
        </is>
      </c>
      <c r="C6" s="127" t="inlineStr">
        <is>
          <t>Me Feat. Me</t>
        </is>
      </c>
      <c r="D6" s="127" t="inlineStr">
        <is>
          <t>Nosotras</t>
        </is>
      </c>
      <c r="E6" s="127" t="inlineStr">
        <is>
          <t>Nosotras</t>
        </is>
      </c>
      <c r="F6" s="127" t="inlineStr">
        <is>
          <t>DDB Chile</t>
        </is>
      </c>
      <c r="G6" s="127" t="inlineStr">
        <is>
          <t>Chile</t>
        </is>
      </c>
      <c r="H6" s="113" t="inlineStr">
        <is>
          <t>Cultural Engagement</t>
        </is>
      </c>
      <c r="I6" s="128" t="inlineStr">
        <is>
          <t>https://ascentialcdn.filespin.io/api/v1/conversion/a6ac5c5dd4fc4487966ae01ac52f95ff</t>
        </is>
      </c>
      <c r="J6" s="127" t="inlineStr">
        <is>
          <t>vimeo:1093833141</t>
        </is>
      </c>
      <c r="K6" s="127" t="n"/>
      <c r="L6" s="128" t="inlineStr">
        <is>
          <t>https://www.lovethework.com/work/entries/me-feat-me-755132</t>
        </is>
      </c>
      <c r="M6" s="113" t="inlineStr">
        <is>
          <t>A music track in which Nosotras recruited women to collaborate with themselves — each artist featured as both the lead and the featured act, credited as "Me feat. Me" — to express self-confidence as a solo identity rather than one defined in relation to others. The format borrowed the standard music-industry "feat." credit convention to make the idea literal: the only collaborator worth naming is yourself.</t>
        </is>
      </c>
      <c r="N6" s="113" t="inlineStr">
        <is>
          <t>feminine-hygiene, audio, music, entertainment, cultural-engagement, womens-empowerment, chile</t>
        </is>
      </c>
    </row>
    <row r="7">
      <c r="A7" s="127" t="n">
        <v>2025</v>
      </c>
      <c r="B7" s="132" t="inlineStr">
        <is>
          <t>Silver</t>
        </is>
      </c>
      <c r="C7" s="127" t="inlineStr">
        <is>
          <t>"love"</t>
        </is>
      </c>
      <c r="D7" s="127" t="inlineStr">
        <is>
          <t>Ok Go</t>
        </is>
      </c>
      <c r="E7" s="127" t="n"/>
      <c r="F7" s="127" t="inlineStr">
        <is>
          <t>SpecialGuest</t>
        </is>
      </c>
      <c r="G7" s="127" t="n"/>
      <c r="H7" s="113" t="inlineStr">
        <is>
          <t>Excellence in Music Video</t>
        </is>
      </c>
      <c r="I7" s="127" t="inlineStr">
        <is>
          <t>digital-presentation-images/entertainment-lions-for-music-ok-go-love.webp</t>
        </is>
      </c>
      <c r="J7" s="127" t="inlineStr">
        <is>
          <t>gz9BRl7DVSM</t>
        </is>
      </c>
      <c r="K7" s="127" t="n"/>
      <c r="L7" s="128" t="inlineStr">
        <is>
          <t>https://www.lovethework.com/work/entries/love-754922</t>
        </is>
      </c>
      <c r="M7" s="113" t="inlineStr">
        <is>
          <t>A single-shot music video for OK Go's song "Love" in which Universal Robots arms, PMI-supplied physical rigs, and mirrored surfaces choreograph the band through an intricate sequence that would be physically impossible to stage without robotic precision. Band member Tim Nordwind wore Ray-Ban Meta AI glasses to capture the setup process from his first-person perspective for the official behind-the-scenes footage. Directed by SpecialGuest and SpecialGuestX with production by 1stAveMachine, executive produced by Andrew Geller.</t>
        </is>
      </c>
      <c r="N7" s="113" t="inlineStr">
        <is>
          <t>music-video, smart-glasses, robotics, ai, technology, single-shot, entertainment, branded-content</t>
        </is>
      </c>
    </row>
    <row r="8">
      <c r="A8" s="127" t="n">
        <v>2025</v>
      </c>
      <c r="B8" s="132" t="inlineStr">
        <is>
          <t>Silver</t>
        </is>
      </c>
      <c r="C8" s="127" t="inlineStr">
        <is>
          <t>Tennessee Sound Sites</t>
        </is>
      </c>
      <c r="D8" s="127" t="inlineStr">
        <is>
          <t>Tennessee Department of Tourist Development</t>
        </is>
      </c>
      <c r="E8" s="127" t="inlineStr">
        <is>
          <t>Tennessee Department of Tourist Development</t>
        </is>
      </c>
      <c r="F8" s="127" t="inlineStr">
        <is>
          <t>VML</t>
        </is>
      </c>
      <c r="G8" s="127" t="inlineStr">
        <is>
          <t>United States</t>
        </is>
      </c>
      <c r="H8" s="113" t="inlineStr">
        <is>
          <t>Diversity &amp; Inclusion in Music</t>
        </is>
      </c>
      <c r="I8" s="128" t="inlineStr">
        <is>
          <t>https://ascentialcdn.filespin.io/api/v1/conversion/eb513fac29984db2811524e932026062</t>
        </is>
      </c>
      <c r="J8" s="127" t="inlineStr">
        <is>
          <t>cE9pTxrtkjk</t>
        </is>
      </c>
      <c r="K8" s="127" t="n"/>
      <c r="L8" s="128" t="inlineStr">
        <is>
          <t>https://www.lovethework.com/work/entries/tennessee-sound-sites-755015</t>
        </is>
      </c>
      <c r="M8" s="113" t="inlineStr">
        <is>
          <t>A travel accessibility program from the Tennessee Department of Tourist Development, developed with VML Kansas City, that commissioned songwriters — including Curb | Word Music Publishing's Billy Montana and David Tolliver — to write lyrical audio descriptions of Tennessee landmarks and destinations for blind and visually impaired travelers. The descriptions replace standard visual alt-text with original song-style writing, embedded across the state's tourism content.</t>
        </is>
      </c>
      <c r="N8" s="113" t="inlineStr">
        <is>
          <t>tourism, travel, accessibility, music, entertainment, blind-and-visually-impaired, united-states, audio, content, diversity-and-inclusion</t>
        </is>
      </c>
    </row>
    <row r="9">
      <c r="A9" s="127" t="n">
        <v>2025</v>
      </c>
      <c r="B9" s="132" t="inlineStr">
        <is>
          <t>Silver</t>
        </is>
      </c>
      <c r="C9" s="127" t="inlineStr">
        <is>
          <t>The Girl WHO Played the Tutari</t>
        </is>
      </c>
      <c r="D9" s="127" t="inlineStr">
        <is>
          <t>Coca-Cola</t>
        </is>
      </c>
      <c r="E9" s="127" t="inlineStr">
        <is>
          <t>Coke Studio Bharat</t>
        </is>
      </c>
      <c r="F9" s="127" t="inlineStr">
        <is>
          <t>VML</t>
        </is>
      </c>
      <c r="G9" s="127" t="inlineStr">
        <is>
          <t>India</t>
        </is>
      </c>
      <c r="H9" s="113" t="inlineStr">
        <is>
          <t>Cultural Engagement</t>
        </is>
      </c>
      <c r="I9" s="127" t="inlineStr">
        <is>
          <t>digital-presentation-images/entertainment-lions-for-music-coca-cola-the-girl-who-played-the-tutari.webp</t>
        </is>
      </c>
      <c r="J9" s="127" t="inlineStr">
        <is>
          <t>vimeo:1073423333</t>
        </is>
      </c>
      <c r="K9" s="127" t="n"/>
      <c r="L9" s="128" t="inlineStr">
        <is>
          <t>https://www.lovethework.com/work/entries/the-girl-who-played-the-tutari-754967</t>
        </is>
      </c>
      <c r="M9" s="113" t="inlineStr">
        <is>
          <t>A music video produced for Coke Studio Bharat in which Nilaksha Borhade becomes the first woman to publicly play the Tutari — a Maharashtrian wind instrument whose use, since its origins in the 13th century, has been restricted to men by tradition. The "Bayo" video, made with VML Mumbai, used the live performance to challenge the 800-year-old gender prohibition attached to the instrument.</t>
        </is>
      </c>
      <c r="N9" s="113" t="inlineStr">
        <is>
          <t>soft-drink, music-video, cultural-engagement, india, gender, online-video, tradition, branded-content</t>
        </is>
      </c>
    </row>
    <row r="10">
      <c r="A10" s="127" t="n">
        <v>2025</v>
      </c>
      <c r="B10" s="132" t="inlineStr">
        <is>
          <t>Silver</t>
        </is>
      </c>
      <c r="C10" s="127" t="inlineStr">
        <is>
          <t>Little Simz 'flood'</t>
        </is>
      </c>
      <c r="D10" s="127" t="inlineStr">
        <is>
          <t>Little Simz</t>
        </is>
      </c>
      <c r="E10" s="127" t="inlineStr">
        <is>
          <t>Film</t>
        </is>
      </c>
      <c r="F10" s="127" t="inlineStr">
        <is>
          <t>Prettybird</t>
        </is>
      </c>
      <c r="G10" s="127" t="inlineStr">
        <is>
          <t>United Kingdom</t>
        </is>
      </c>
      <c r="H10" s="113" t="inlineStr">
        <is>
          <t>Excellence in Music Video</t>
        </is>
      </c>
      <c r="I10" s="128" t="inlineStr">
        <is>
          <t>https://ascentialcdn.filespin.io/api/v1/conversion/17f5e6466cc04660b48ef8ef11bb211e</t>
        </is>
      </c>
      <c r="J10" s="127" t="inlineStr">
        <is>
          <t>GvrNPiz7rHw</t>
        </is>
      </c>
      <c r="K10" s="127" t="n"/>
      <c r="L10" s="128" t="inlineStr">
        <is>
          <t>https://www.lovethework.com/work/entries/little-simz-flood-754835</t>
        </is>
      </c>
      <c r="M10" s="113" t="inlineStr">
        <is>
          <t>A music video for Little Simz's "Flood," directed by Salomon Ligthelm and shot on 35mm Konica film, built around sustained performance and precise visual composition. The choice of analog stock shapes the texture of the whole piece, grounding Simz's on-camera presence in a deliberately physical, grain-forward aesthetic.</t>
        </is>
      </c>
      <c r="N10" s="113" t="inlineStr">
        <is>
          <t>music-video, film, cinema, entertainment, 35mm, performance, united-kingdom, hip-hop, analog-photography</t>
        </is>
      </c>
    </row>
    <row r="11">
      <c r="A11" s="127" t="n">
        <v>2025</v>
      </c>
      <c r="B11" s="133" t="inlineStr">
        <is>
          <t>Bronze</t>
        </is>
      </c>
      <c r="C11" s="127" t="inlineStr">
        <is>
          <t>Kendrick Lamar + Apple Music's Super Bowl Halftime Show Campaign</t>
        </is>
      </c>
      <c r="D11" s="127" t="inlineStr">
        <is>
          <t>Apple</t>
        </is>
      </c>
      <c r="E11" s="127" t="inlineStr">
        <is>
          <t>Apple Music</t>
        </is>
      </c>
      <c r="F11" s="127" t="inlineStr">
        <is>
          <t>Apple</t>
        </is>
      </c>
      <c r="G11" s="127" t="inlineStr">
        <is>
          <t>United States</t>
        </is>
      </c>
      <c r="H11" s="113" t="inlineStr">
        <is>
          <t>Partnerships with Music Talent</t>
        </is>
      </c>
      <c r="I11" s="128" t="inlineStr">
        <is>
          <t>https://ascentialcdn.filespin.io/api/v1/conversion/4e38334504284effbc474e7a3273d412</t>
        </is>
      </c>
      <c r="J11" s="127" t="inlineStr">
        <is>
          <t>vimeo:1152941322</t>
        </is>
      </c>
      <c r="K11" s="127" t="n"/>
      <c r="L11" s="128" t="inlineStr">
        <is>
          <t>https://www.lovethework.com/work/entries/kendrick-lamar-apple-musics-super-bowl-halftime-show-campaign-755001</t>
        </is>
      </c>
      <c r="M11" s="113" t="inlineStr">
        <is>
          <t>A sponsorship campaign built around Apple Music's title sponsorship of the NFL Super Bowl Halftime Show, featuring Kendrick Lamar as the performing artist. Promotional content, playlist integrations, and platform features on Apple Music were tied directly to Lamar's performance, turning the halftime slot into a sustained on-platform experience before and after the live broadcast.</t>
        </is>
      </c>
      <c r="N11" s="113" t="inlineStr">
        <is>
          <t>apple-music, music-streaming, sponsorship, live-event, super-bowl, united-states, music-talent-partnership, broadcast, entertainment</t>
        </is>
      </c>
    </row>
    <row r="12">
      <c r="A12" s="127" t="n">
        <v>2025</v>
      </c>
      <c r="B12" s="133" t="inlineStr">
        <is>
          <t>Bronze</t>
        </is>
      </c>
      <c r="C12" s="127" t="inlineStr">
        <is>
          <t>The Last Timbit</t>
        </is>
      </c>
      <c r="D12" s="127" t="inlineStr">
        <is>
          <t>Tim Hortons</t>
        </is>
      </c>
      <c r="E12" s="127" t="inlineStr">
        <is>
          <t>Tim Hortons</t>
        </is>
      </c>
      <c r="F12" s="127" t="inlineStr">
        <is>
          <t>Gut</t>
        </is>
      </c>
      <c r="G12" s="127" t="inlineStr">
        <is>
          <t>Canada</t>
        </is>
      </c>
      <c r="H12" s="113" t="inlineStr">
        <is>
          <t>Use of Original Composition</t>
        </is>
      </c>
      <c r="I12" s="128" t="inlineStr">
        <is>
          <t>https://ascentialcdn.filespin.io/api/v1/conversion/f0419f522ab74225a6515a6514c036ec</t>
        </is>
      </c>
      <c r="J12" s="127" t="inlineStr">
        <is>
          <t>vimeo:1094221778/ad37613e9a</t>
        </is>
      </c>
      <c r="K12" s="127" t="n"/>
      <c r="L12" s="128" t="inlineStr">
        <is>
          <t>https://www.lovethework.com/work/entries/the-last-timbit-762830</t>
        </is>
      </c>
      <c r="M12" s="113" t="inlineStr">
        <is>
          <t>A full stage musical commissioned by Tim Hortons and created by GUT Toronto to mark the brand's 60th anniversary, written and performed in collaboration with Canadian theatre talent. The production centers on the Tim Hortons staple — the Timbit — as a vehicle for dramatizing the emotional connections Canadians have built with the brand since 1964.</t>
        </is>
      </c>
      <c r="N12" s="113" t="inlineStr">
        <is>
          <t>quick-service-restaurant, live-theatre, original-music, branded-entertainment, canada, anniversary, stage-production</t>
        </is>
      </c>
    </row>
    <row r="13">
      <c r="A13" s="127" t="n">
        <v>2025</v>
      </c>
      <c r="B13" s="133" t="inlineStr">
        <is>
          <t>Bronze</t>
        </is>
      </c>
      <c r="C13" s="127" t="inlineStr">
        <is>
          <t>Jovem Mk - Meu Karma</t>
        </is>
      </c>
      <c r="D13" s="127" t="inlineStr">
        <is>
          <t>Kondzilla</t>
        </is>
      </c>
      <c r="E13" s="127" t="inlineStr">
        <is>
          <t>Music</t>
        </is>
      </c>
      <c r="F13" s="127" t="inlineStr">
        <is>
          <t>Africa Creative DDB</t>
        </is>
      </c>
      <c r="G13" s="127" t="inlineStr">
        <is>
          <t>Brazil</t>
        </is>
      </c>
      <c r="H13" s="113" t="inlineStr">
        <is>
          <t>Excellence in Music Video</t>
        </is>
      </c>
      <c r="I13" s="127" t="inlineStr">
        <is>
          <t>digital-presentation-images/entertainment-lions-for-music-kondzilla-jovem-mk-meu-karma.webp</t>
        </is>
      </c>
      <c r="J13" s="127" t="inlineStr">
        <is>
          <t>vimeo:1076470479</t>
        </is>
      </c>
      <c r="K13" s="127" t="n"/>
      <c r="L13" s="128" t="inlineStr">
        <is>
          <t>https://www.lovethework.com/work/entries/jovem-mk-meu-karma-754791</t>
        </is>
      </c>
      <c r="M13" s="113" t="inlineStr">
        <is>
          <t>A short film built around São Paulo rapper Jovem MK's debut album "Meu Karma," using non-linear storytelling across ten chapters — from "The Loss of Innocence" to "The Music as Liberation" — to trace the cycle of gun violence and organized crime recruiting in Brazilian favelas. The central image is a firearm presented as a gift in a child's wrapped box, drawn from the reality that, for many young people in Brazil, a gun is the first gift they are given — not out of love, but as a tool of recruitment by drug traffickers. Produced by KondZilla and Czar São Paulo, with Africa Creative DDB, the film was nominated for a Latin Grammy in the Long Form Music Video category.</t>
        </is>
      </c>
      <c r="N13" s="113" t="inlineStr">
        <is>
          <t>music-video, film, cinema, entertainment, brazil, social-commentary, gun-violence, hip-hop, long-form, cinematography, youth, music</t>
        </is>
      </c>
    </row>
    <row r="14">
      <c r="A14" s="127" t="n">
        <v>2025</v>
      </c>
      <c r="B14" s="133" t="inlineStr">
        <is>
          <t>Bronze</t>
        </is>
      </c>
      <c r="C14" s="127" t="inlineStr">
        <is>
          <t>Love the Racks</t>
        </is>
      </c>
      <c r="D14" s="127" t="inlineStr">
        <is>
          <t>Kitchenaid</t>
        </is>
      </c>
      <c r="E14" s="127" t="inlineStr">
        <is>
          <t>KITCHENAIDÂ® 360Â° MAX JETSâ¢ THIRD RACK DISHWASHERS</t>
        </is>
      </c>
      <c r="F14" s="127" t="inlineStr">
        <is>
          <t>Wow Studios</t>
        </is>
      </c>
      <c r="G14" s="127" t="inlineStr">
        <is>
          <t>United States</t>
        </is>
      </c>
      <c r="H14" s="113" t="inlineStr">
        <is>
          <t>Use of Original Composition</t>
        </is>
      </c>
      <c r="I14" s="127" t="inlineStr">
        <is>
          <t>digital-presentation-images/entertainment-lions-for-music-kitchenaid-love-the-racks.webp</t>
        </is>
      </c>
      <c r="J14" s="127" t="inlineStr">
        <is>
          <t>9qlKfY_FCe4</t>
        </is>
      </c>
      <c r="K14" s="127" t="n"/>
      <c r="L14" s="128" t="inlineStr">
        <is>
          <t>https://www.lovethework.com/work/entries/love-the-racks-754806</t>
        </is>
      </c>
      <c r="M14" s="113" t="inlineStr">
        <is>
          <t>A pop music video produced for the relaunch of the KitchenAid 360° Max Jets™ Third Rack Dishwasher, with lyrics taken verbatim from a real five-star consumer review posted by a user named GermanIris in April 2024. A panel of songwriters each independently set the review text to music, and the resulting track — performed by Grammy Award-winning X Ambassadors vocalist Sam Nelson Harris and produced by collaborators whose credits include Selena Gomez, Britney Spears, and Tom Jones — was released as a fully produced web film directed by Ben Hansford of Dictionary Films.</t>
        </is>
      </c>
      <c r="N14" s="113" t="inlineStr">
        <is>
          <t>kitchen-appliance, music-video, user-generated-content, web-film, united-states, original-composition, consumer-review, branded-entertainment</t>
        </is>
      </c>
    </row>
    <row r="15">
      <c r="A15" s="127" t="n">
        <v>2025</v>
      </c>
      <c r="B15" s="133" t="inlineStr">
        <is>
          <t>Bronze</t>
        </is>
      </c>
      <c r="C15" s="127" t="inlineStr">
        <is>
          <t>Tracking Bad Bunny</t>
        </is>
      </c>
      <c r="D15" s="127" t="inlineStr">
        <is>
          <t>Rimas Music</t>
        </is>
      </c>
      <c r="E15" s="127" t="inlineStr">
        <is>
          <t>Bad Bunny</t>
        </is>
      </c>
      <c r="F15" s="127" t="inlineStr">
        <is>
          <t>DDB Latina Puerto Rico</t>
        </is>
      </c>
      <c r="G15" s="127" t="inlineStr">
        <is>
          <t>Puerto Rico</t>
        </is>
      </c>
      <c r="H15" s="113" t="inlineStr">
        <is>
          <t>Partnerships with Music Talent</t>
        </is>
      </c>
      <c r="I15" s="128" t="inlineStr">
        <is>
          <t>https://ascentialcdn.filespin.io/api/v1/conversion/6d3d67544e4a4fe7baad1c1b50560274</t>
        </is>
      </c>
      <c r="J15" s="127" t="inlineStr">
        <is>
          <t>hPLaT_JT9Zw</t>
        </is>
      </c>
      <c r="K15" s="127" t="n"/>
      <c r="L15" s="128" t="inlineStr">
        <is>
          <t>https://www.lovethework.com/work/entries/tracking-bad-bunny-760302</t>
        </is>
      </c>
      <c r="M15" s="113" t="inlineStr">
        <is>
          <t>A GPS-based scavenger hunt built around Bad Bunny's album release that sent fans to physical locations across Puerto Rico, using the artist's real-time movements as waypoints in a digital tracking experience. Created by DDB Latina Puerto Rico for Rimas Music, the mechanic turned the island itself into the stage for the launch.</t>
        </is>
      </c>
      <c r="N15" s="113" t="inlineStr">
        <is>
          <t>music, entertainment, interactive-experience, gps, scavenger-hunt, mobile, puerto-rico, album-launch, fan-engagement</t>
        </is>
      </c>
    </row>
    <row r="16">
      <c r="A16" s="127" t="n">
        <v>2025</v>
      </c>
      <c r="B16" s="133" t="inlineStr">
        <is>
          <t>Bronze</t>
        </is>
      </c>
      <c r="C16" s="127" t="inlineStr">
        <is>
          <t>A Stone Only Rolls Downhill</t>
        </is>
      </c>
      <c r="D16" s="127" t="inlineStr">
        <is>
          <t>Ok Go</t>
        </is>
      </c>
      <c r="E16" s="127" t="inlineStr">
        <is>
          <t>Ok Go</t>
        </is>
      </c>
      <c r="F16" s="127" t="inlineStr">
        <is>
          <t>Park Pictures</t>
        </is>
      </c>
      <c r="G16" s="127" t="inlineStr">
        <is>
          <t>United States</t>
        </is>
      </c>
      <c r="H16" s="113" t="inlineStr">
        <is>
          <t>Excellence in Music Video</t>
        </is>
      </c>
      <c r="I16" s="128" t="inlineStr">
        <is>
          <t>https://ascentialcdn.filespin.io/api/v1/storyboard/191cd784934f42e29f332027d298ef62/storyboard_000008.jpg</t>
        </is>
      </c>
      <c r="J16" s="127" t="inlineStr">
        <is>
          <t>MOEULOSVNK4</t>
        </is>
      </c>
      <c r="K16" s="127" t="n"/>
      <c r="L16" s="128" t="inlineStr">
        <is>
          <t>https://www.lovethework.com/work/entries/a-stone-only-rolls-downhill-754853</t>
        </is>
      </c>
      <c r="M16" s="113" t="inlineStr">
        <is>
          <t>A music video co-directed by OK Go frontman Damian Kulash and Chris Buongiorno, built around intricate hand choreography performed by a team of four hand dancers — Daniel Norwood, Franklin Yu, Mikhail Metelkov, and Phonix Banuelos — with movement direction by Phillip Chbeeb. The hands perform in tightly framed compositions that continuously reframe scale and perspective, continuing OK Go's long-running practice of elaborate single-concept visual mechanics.</t>
        </is>
      </c>
      <c r="N16" s="113" t="inlineStr">
        <is>
          <t>music-video, choreography, hand-dance, digital, united-states, music, entertainment, visual-mechanics, park-pictures</t>
        </is>
      </c>
    </row>
    <row r="17">
      <c r="A17" s="127" t="n">
        <v>2025</v>
      </c>
      <c r="B17" s="133" t="inlineStr">
        <is>
          <t>Bronze</t>
        </is>
      </c>
      <c r="C17" s="127" t="inlineStr">
        <is>
          <t>Born to Run</t>
        </is>
      </c>
      <c r="D17" s="127" t="inlineStr">
        <is>
          <t>Dove</t>
        </is>
      </c>
      <c r="E17" s="127" t="inlineStr">
        <is>
          <t>Dove</t>
        </is>
      </c>
      <c r="F17" s="127" t="inlineStr">
        <is>
          <t>Ogilvy UK</t>
        </is>
      </c>
      <c r="G17" s="127" t="inlineStr">
        <is>
          <t>United Kingdom</t>
        </is>
      </c>
      <c r="H17" s="113" t="inlineStr">
        <is>
          <t>Social Behaviour</t>
        </is>
      </c>
      <c r="I17" s="128" t="inlineStr">
        <is>
          <t>https://ascentialcdn.filespin.io/api/v1/conversion/1df87588cc0f4cf58bf77a0ffc045a44</t>
        </is>
      </c>
      <c r="J17" s="127" t="inlineStr">
        <is>
          <t>db2adhodJwc</t>
        </is>
      </c>
      <c r="K17" s="127" t="n"/>
      <c r="L17" s="128" t="inlineStr">
        <is>
          <t>https://www.lovethework.com/work/entries/born-to-run-755077</t>
        </is>
      </c>
      <c r="M17" s="113" t="inlineStr">
        <is>
          <t>A Super Bowl spot built around a re-recording of Bruce Springsteen's 1975 track "Born to Run," reimagined fifty years after its release by GRAMMY and Oscar-winning artist H.E.R., to address the impact of negative body talk on girls in sports. The ad supports Dove's Body Confident Sport program, a set of scientifically-developed coaching tools designed to help girls stay in sport through adolescence.</t>
        </is>
      </c>
      <c r="N17" s="113" t="inlineStr">
        <is>
          <t>personal-care, film, cinema, entertainment, super-bowl, music, girls-in-sport, body-confidence, united-kingdom, united-states, social-cause</t>
        </is>
      </c>
    </row>
    <row r="18">
      <c r="A18" s="160" t="n">
        <v>2026</v>
      </c>
      <c r="B18" s="160" t="inlineStr">
        <is>
          <t>Grand Prix</t>
        </is>
      </c>
      <c r="C18" s="168" t="inlineStr">
        <is>
          <t>Rosalía ft. Björk, Yves Tumor - Berghain</t>
        </is>
      </c>
      <c r="D18" s="160" t="inlineStr">
        <is>
          <t>Rosalía</t>
        </is>
      </c>
      <c r="E18" s="160" t="inlineStr">
        <is>
          <t>Rosalía</t>
        </is>
      </c>
      <c r="F18" s="160" t="inlineStr">
        <is>
          <t>Canada + Rosalía</t>
        </is>
      </c>
      <c r="G18" s="160" t="inlineStr">
        <is>
          <t>Spain</t>
        </is>
      </c>
      <c r="H18" s="160" t="inlineStr">
        <is>
          <t>Excellence in Music Video</t>
        </is>
      </c>
      <c r="I18" s="160" t="inlineStr">
        <is>
          <t>https://ascentialcdn.filespin.io/api/v1/storyboard/e193f59c9dab40e79dab433ddd4ef023/storyboard_000039.jpg</t>
        </is>
      </c>
      <c r="J18" s="160" t="inlineStr">
        <is>
          <t>htQBS2Ikz6c</t>
        </is>
      </c>
      <c r="K18" s="160" t="n"/>
      <c r="L18" s="160" t="inlineStr">
        <is>
          <t>https://www.lovethework.com/work/entries/rosala-ft-bjrk-yves-tumor-berghain-775563</t>
        </is>
      </c>
      <c r="M18" s="160" t="inlineStr">
        <is>
          <t>One of two Music Grands Prix. The video for 'Berghain' — the orchestral centrepiece of Rosalía's album LUX, sung in German, Spanish and English with Björk and Yves Tumor — directed by Nicolás Méndez of Barcelona production company Canada. A surreal, cinematic film built around a shadowy orchestra and Snow White imagery, with Björk cast as a wise bird, moving from soft introspection to a sweeping operatic crescendo across themes of lost innocence, heartbreak and emotional rebirth.</t>
        </is>
      </c>
      <c r="N18" s="160" t="inlineStr">
        <is>
          <t>rosalía, rosalia, björk, bjork, yves tumor, music, entertainment, music video, lux, columbia records, film, cinema, orchestra, surreal, opera, canada, nicolas mendez, spain, grand prix</t>
        </is>
      </c>
    </row>
    <row r="19">
      <c r="A19" s="160" t="n">
        <v>2026</v>
      </c>
      <c r="B19" s="160" t="inlineStr">
        <is>
          <t>Grand Prix</t>
        </is>
      </c>
      <c r="C19" s="168" t="inlineStr">
        <is>
          <t>Original Forever</t>
        </is>
      </c>
      <c r="D19" s="160" t="inlineStr">
        <is>
          <t>Adidas</t>
        </is>
      </c>
      <c r="E19" s="160" t="inlineStr">
        <is>
          <t>Adidas Originals</t>
        </is>
      </c>
      <c r="F19" s="160" t="inlineStr">
        <is>
          <t>Johannes Leonardo</t>
        </is>
      </c>
      <c r="G19" s="160" t="inlineStr">
        <is>
          <t>United States</t>
        </is>
      </c>
      <c r="H19" s="160" t="inlineStr">
        <is>
          <t>Brand Partnerships, Sponsorships &amp; Collaborations</t>
        </is>
      </c>
      <c r="I19" s="160" t="inlineStr">
        <is>
          <t>https://ascentialcdn.filespin.io/api/v1/conversion/7c69e0ddd6ef4e4c8949df7dc8e40429</t>
        </is>
      </c>
      <c r="J19" s="160" t="inlineStr">
        <is>
          <t>mmVwe0Sul68</t>
        </is>
      </c>
      <c r="K19" s="160" t="n"/>
      <c r="L19" s="160" t="inlineStr">
        <is>
          <t>https://www.lovethework.com/work/entries/original-forever-790378</t>
        </is>
      </c>
      <c r="M19" s="160" t="inlineStr">
        <is>
          <t>The Entertainment Lions Grand Prix. For adidas Originals, Johannes Leonardo built a cultural partnership around the reunion of British rock band Oasis, tying the band's enduring 'original' status to the brand's heritage line and weaving adidas into one of the year's biggest music moments.</t>
        </is>
      </c>
      <c r="N19" s="160" t="inlineStr">
        <is>
          <t>adidas, adidas originals, sportswear, apparel, footwear, sneakers, fashion, consumer goods, united states, united kingdom, oasis, music, entertainment, band, reunion, brand partnership, collaboration, culture, johannes leonardo, grand prix</t>
        </is>
      </c>
    </row>
    <row r="20">
      <c r="A20" s="161" t="n">
        <v>2026</v>
      </c>
      <c r="B20" s="161" t="inlineStr">
        <is>
          <t>Gold</t>
        </is>
      </c>
      <c r="C20" s="172" t="inlineStr">
        <is>
          <t>I'm Not Remarkable</t>
        </is>
      </c>
      <c r="D20" s="161" t="inlineStr">
        <is>
          <t>Apple</t>
        </is>
      </c>
      <c r="E20" s="161" t="inlineStr">
        <is>
          <t>Accessibility</t>
        </is>
      </c>
      <c r="F20" s="161" t="inlineStr">
        <is>
          <t>Apple</t>
        </is>
      </c>
      <c r="G20" s="161" t="inlineStr">
        <is>
          <t>United States</t>
        </is>
      </c>
      <c r="H20" s="161" t="inlineStr">
        <is>
          <t>Diversity &amp; Inclusion in Music</t>
        </is>
      </c>
      <c r="I20" s="161" t="inlineStr">
        <is>
          <t>https://i.ytimg.com/vi/KmFPWxjmnqE/maxresdefault.jpg</t>
        </is>
      </c>
      <c r="J20" s="161" t="inlineStr">
        <is>
          <t>vimeo:1145798005</t>
        </is>
      </c>
      <c r="K20" s="161" t="n"/>
      <c r="L20" s="161" t="inlineStr">
        <is>
          <t>https://www.lovethework.com/work/entries/im-not-remarkable-780033</t>
        </is>
      </c>
      <c r="M20" s="161" t="inlineStr">
        <is>
          <t>A musical short film for Apple, released around the International Day of Persons with Disabilities, built as a full college-musical anthem performed entirely by deaf and disabled students from around the world. The original song — written by Tim Minchin and performed by the cast — showcases Apple's accessibility features including Magnifier for Mac, Braille Access and Accessibility Reader while putting a large disabled ensemble centre stage.</t>
        </is>
      </c>
      <c r="N20" s="161" t="inlineStr">
        <is>
          <t>apple, accessibility, technology, consumer-electronics, music, entertainment, musical, song, disability, deaf, inclusion, diversity, tim minchin, short film, united states, gold</t>
        </is>
      </c>
    </row>
    <row r="21">
      <c r="A21" s="161" t="n">
        <v>2026</v>
      </c>
      <c r="B21" s="161" t="inlineStr">
        <is>
          <t>Gold</t>
        </is>
      </c>
      <c r="C21" s="172" t="inlineStr">
        <is>
          <t>Beat Cancer Off</t>
        </is>
      </c>
      <c r="D21" s="161" t="inlineStr">
        <is>
          <t>Fuck Cancer</t>
        </is>
      </c>
      <c r="E21" s="161" t="inlineStr">
        <is>
          <t>Beat Cancer Off</t>
        </is>
      </c>
      <c r="F21" s="161" t="inlineStr">
        <is>
          <t>VML</t>
        </is>
      </c>
      <c r="G21" s="161" t="inlineStr">
        <is>
          <t>United States</t>
        </is>
      </c>
      <c r="H21" s="161" t="inlineStr">
        <is>
          <t>Use of Humour</t>
        </is>
      </c>
      <c r="I21" s="161" t="inlineStr">
        <is>
          <t>https://ascentialcdn.filespin.io/api/v1/conversion/e10de6b252874bff954d07054112fa2a</t>
        </is>
      </c>
      <c r="J21" s="161" t="inlineStr">
        <is>
          <t>vimeo:1179609250</t>
        </is>
      </c>
      <c r="K21" s="161" t="n"/>
      <c r="L21" s="161" t="inlineStr">
        <is>
          <t>https://www.lovethework.com/work/entries/beat-cancer-off-791133</t>
        </is>
      </c>
      <c r="M21" s="161" t="inlineStr">
        <is>
          <t>An original crooner-style song and film for the charity Fuck Cancer that strings together global euphemisms for male masturbation to raise prostate-health awareness — using irreverent humour, grounded in the scientific link between frequent ejaculation and lower prostate-cancer risk, to make men more willing to talk about and act on their health.</t>
        </is>
      </c>
      <c r="N21" s="161" t="inlineStr">
        <is>
          <t>fuck cancer, charity, non-profit, health, mens-health, prostate cancer, cancer awareness, music, entertainment, song, humour, vml, united states, gold</t>
        </is>
      </c>
    </row>
    <row r="22">
      <c r="A22" s="162" t="n">
        <v>2026</v>
      </c>
      <c r="B22" s="162" t="inlineStr">
        <is>
          <t>Silver</t>
        </is>
      </c>
      <c r="C22" s="173" t="inlineStr">
        <is>
          <t>867-5309</t>
        </is>
      </c>
      <c r="D22" s="162" t="inlineStr">
        <is>
          <t>The Cancer Support Community</t>
        </is>
      </c>
      <c r="E22" s="162" t="inlineStr">
        <is>
          <t>The Cancer Support Community Helpline</t>
        </is>
      </c>
      <c r="F22" s="162" t="inlineStr">
        <is>
          <t>Klick Health</t>
        </is>
      </c>
      <c r="G22" s="162" t="inlineStr">
        <is>
          <t>Canada</t>
        </is>
      </c>
      <c r="H22" s="162" t="inlineStr">
        <is>
          <t>Use of Licensed/Adapted Music</t>
        </is>
      </c>
      <c r="I22" s="162" t="inlineStr">
        <is>
          <t>https://mms.businesswire.com/media/20260317564569/en/2748455/5/CSC_HERO_IMAGE.jpg</t>
        </is>
      </c>
      <c r="J22" s="162" t="inlineStr">
        <is>
          <t>jzFpWNbQfp8</t>
        </is>
      </c>
      <c r="K22" s="162" t="n"/>
      <c r="L22" s="162" t="inlineStr">
        <is>
          <t>https://www.lovethework.com/work/entries/867-5309-780125</t>
        </is>
      </c>
      <c r="M22" s="162" t="inlineStr">
        <is>
          <t>The Cancer Support Community took over the phone number 867-5309 — made famous by Tommy Tutone's 1981 hit 'Jenny' — and turned it into a live cancer-support helpline, so the decades of nostalgic calls asking for Jenny now connect people to trained specialists.</t>
        </is>
      </c>
      <c r="N22" s="162" t="inlineStr">
        <is>
          <t>cancer support community, charity, non-profit, health, cancer support, helpline, music, entertainment, song, licensed music, nostalgia, jenny, tommy tutone, klick health, canada, united states, silver</t>
        </is>
      </c>
    </row>
    <row r="23">
      <c r="A23" s="162" t="n">
        <v>2026</v>
      </c>
      <c r="B23" s="162" t="inlineStr">
        <is>
          <t>Silver</t>
        </is>
      </c>
      <c r="C23" s="173" t="inlineStr">
        <is>
          <t>Bad Bunny Halftime Show Campaign</t>
        </is>
      </c>
      <c r="D23" s="162" t="inlineStr">
        <is>
          <t>Apple</t>
        </is>
      </c>
      <c r="E23" s="162" t="inlineStr">
        <is>
          <t>Apple Music</t>
        </is>
      </c>
      <c r="F23" s="162" t="inlineStr">
        <is>
          <t>Apple</t>
        </is>
      </c>
      <c r="G23" s="162" t="inlineStr">
        <is>
          <t>United States</t>
        </is>
      </c>
      <c r="H23" s="162" t="inlineStr">
        <is>
          <t>Partnerships with Music Talent</t>
        </is>
      </c>
      <c r="I23" s="162" t="inlineStr">
        <is>
          <t>https://ascentialcdn.filespin.io/api/v1/conversion/30f27b25965b4fbdb06ca5acd3903002</t>
        </is>
      </c>
      <c r="J23" s="162" t="inlineStr">
        <is>
          <t>mp4:videos/music-apple-bad-bunny-halftime-show-campaign.mp4</t>
        </is>
      </c>
      <c r="K23" s="162" t="n"/>
      <c r="L23" s="162" t="inlineStr">
        <is>
          <t>https://www.lovethework.com/work/entries/bad-bunny-halftime-show-campaign-780173</t>
        </is>
      </c>
      <c r="M23" s="162" t="inlineStr">
        <is>
          <t>A campaign for Apple Music built around its sponsorship of the Super Bowl Halftime Show headlined by Bad Bunny, positioning the streaming service at the heart of one of the year's biggest live-music moments.</t>
        </is>
      </c>
      <c r="N23" s="162" t="inlineStr">
        <is>
          <t>apple, apple music, streaming, tv, entertainment, music, super bowl, halftime show, bad bunny, partnership, music talent, united states, silver</t>
        </is>
      </c>
    </row>
    <row r="24">
      <c r="A24" s="163" t="n">
        <v>2026</v>
      </c>
      <c r="B24" s="163" t="inlineStr">
        <is>
          <t>Bronze</t>
        </is>
      </c>
      <c r="C24" s="174" t="inlineStr">
        <is>
          <t>Luther</t>
        </is>
      </c>
      <c r="D24" s="163" t="inlineStr">
        <is>
          <t>Kendrick Lamar</t>
        </is>
      </c>
      <c r="E24" s="163" t="inlineStr">
        <is>
          <t>Music Video</t>
        </is>
      </c>
      <c r="F24" s="163" t="inlineStr">
        <is>
          <t>FELA + Project 3</t>
        </is>
      </c>
      <c r="G24" s="163" t="inlineStr">
        <is>
          <t>Canada</t>
        </is>
      </c>
      <c r="H24" s="163" t="inlineStr">
        <is>
          <t>Excellence in Music Video</t>
        </is>
      </c>
      <c r="I24" s="163" t="inlineStr">
        <is>
          <t>https://ascentialcdn.filespin.io/api/v1/storyboard/b44ba7c42b664efbab46d329efacf256/storyboard_000008.jpg</t>
        </is>
      </c>
      <c r="J24" s="163" t="inlineStr">
        <is>
          <t>vimeo:1079902757</t>
        </is>
      </c>
      <c r="K24" s="163" t="n"/>
      <c r="L24" s="163" t="inlineStr">
        <is>
          <t>https://www.lovethework.com/work/entries/luther-791741</t>
        </is>
      </c>
      <c r="M24" s="163" t="inlineStr">
        <is>
          <t>The music video for Kendrick Lamar and SZA's chart-topping 'Luther,' directed by Karena Evans for production companies project3 and Fela, starring Lamar and SZA ahead of their joint Grand National stadium tour.</t>
        </is>
      </c>
      <c r="N24" s="163" t="inlineStr">
        <is>
          <t>kendrick lamar, sza, music, entertainment, music video, hip-hop, rap, film, cinema, karena evans, fela, project 3, canada, bronze</t>
        </is>
      </c>
    </row>
    <row r="25">
      <c r="A25" s="163" t="n">
        <v>2026</v>
      </c>
      <c r="B25" s="163" t="inlineStr">
        <is>
          <t>Bronze</t>
        </is>
      </c>
      <c r="C25" s="174" t="inlineStr">
        <is>
          <t>I Think of You Dying</t>
        </is>
      </c>
      <c r="D25" s="163" t="inlineStr">
        <is>
          <t>Life360</t>
        </is>
      </c>
      <c r="E25" s="163" t="inlineStr">
        <is>
          <t>Life360</t>
        </is>
      </c>
      <c r="F25" s="163" t="inlineStr">
        <is>
          <t>Alto</t>
        </is>
      </c>
      <c r="G25" s="163" t="inlineStr">
        <is>
          <t>United States</t>
        </is>
      </c>
      <c r="H25" s="163" t="inlineStr">
        <is>
          <t>Use of Original Composition</t>
        </is>
      </c>
      <c r="I25" s="163" t="inlineStr">
        <is>
          <t>https://i.vimeocdn.com/video/2010937384-516d276f3ecaa7e95ecdc6d192f631ac4356ecf8e8b686f7c92c4d33f3dc9c96-d</t>
        </is>
      </c>
      <c r="J25" s="163" t="inlineStr">
        <is>
          <t>vimeo:1080372107</t>
        </is>
      </c>
      <c r="K25" s="163" t="n"/>
      <c r="L25" s="163" t="inlineStr">
        <is>
          <t>https://www.lovethework.com/work/entries/i-think-of-you-dying-790349</t>
        </is>
      </c>
      <c r="M25" s="163" t="inlineStr">
        <is>
          <t>A fiction short film with an original composition for the family-safety app Life360, built around the anxious what-ifs a parent runs through about a loved one's safety — the kind of worry the app is designed to ease.</t>
        </is>
      </c>
      <c r="N25" s="163" t="inlineStr">
        <is>
          <t>life360, app, technology, family safety, location tracking, music, entertainment, original composition, song, fiction film, alto, united states, bronze</t>
        </is>
      </c>
    </row>
    <row r="26">
      <c r="A26" s="163" t="n">
        <v>2026</v>
      </c>
      <c r="B26" s="163" t="inlineStr">
        <is>
          <t>Bronze</t>
        </is>
      </c>
      <c r="C26" s="174" t="inlineStr">
        <is>
          <t>AXA x Sonita: The Lone Voice</t>
        </is>
      </c>
      <c r="D26" s="163" t="inlineStr">
        <is>
          <t>AXA</t>
        </is>
      </c>
      <c r="E26" s="163" t="inlineStr">
        <is>
          <t>Donate Your Voice</t>
        </is>
      </c>
      <c r="F26" s="163" t="inlineStr">
        <is>
          <t>Publicis Conseil</t>
        </is>
      </c>
      <c r="G26" s="163" t="inlineStr">
        <is>
          <t>France</t>
        </is>
      </c>
      <c r="H26" s="163" t="inlineStr">
        <is>
          <t>Fan Engagement/Community Building</t>
        </is>
      </c>
      <c r="I26" s="163" t="inlineStr">
        <is>
          <t>https://ascentialcdn.filespin.io/api/v1/conversion/c27ba3ef8a9144f2b3f455979433cd0a</t>
        </is>
      </c>
      <c r="J26" s="163" t="inlineStr">
        <is>
          <t>5g3bydOAu3k</t>
        </is>
      </c>
      <c r="K26" s="163" t="n"/>
      <c r="L26" s="163" t="inlineStr">
        <is>
          <t>https://www.lovethework.com/work/entries/axa-x-sonita-the-lone-voice-780080</t>
        </is>
      </c>
      <c r="M26" s="163" t="inlineStr">
        <is>
          <t>A campaign with Afghan artist and activist Sonita Alizadeh, supported by the AXA Fund for Human Progress and centred on her track 'Can Someone Find My Friends.' A TikTok-based collective choir invited people to 'donate their voice' in support of Afghan women legally forbidden from speaking, singing or laughing in public, channelling online participation toward UNICEF.</t>
        </is>
      </c>
      <c r="N26" s="163" t="inlineStr">
        <is>
          <t>axa, insurance, financial-services, finance, axa fund for human progress, music, entertainment, song, activism, social-good, womens-rights, human-rights, afghanistan, sonita alizadeh, unicef, tiktok, choir, publicis conseil, france, bronze</t>
        </is>
      </c>
    </row>
    <row r="27">
      <c r="A27" s="163" t="n">
        <v>2026</v>
      </c>
      <c r="B27" s="163" t="inlineStr">
        <is>
          <t>Bronze</t>
        </is>
      </c>
      <c r="C27" s="174" t="inlineStr">
        <is>
          <t>Pocket-Sized Halftime Show</t>
        </is>
      </c>
      <c r="D27" s="163" t="inlineStr">
        <is>
          <t>Clash Royale</t>
        </is>
      </c>
      <c r="E27" s="163" t="inlineStr">
        <is>
          <t>Clash Royale</t>
        </is>
      </c>
      <c r="F27" s="163" t="inlineStr">
        <is>
          <t>Uncommon Creative Studio</t>
        </is>
      </c>
      <c r="G27" s="163" t="inlineStr">
        <is>
          <t>Sweden</t>
        </is>
      </c>
      <c r="H27" s="163" t="inlineStr">
        <is>
          <t>Partnerships with Music Talent</t>
        </is>
      </c>
      <c r="I27" s="163" t="inlineStr">
        <is>
          <t>https://ascentialcdn.filespin.io/api/v1/conversion/296218ed57874950ad6ac81a129783a3</t>
        </is>
      </c>
      <c r="J27" s="163" t="inlineStr">
        <is>
          <t>mp4:videos/entertainment-clash-royale-pcoket-sized-halftime-show.mp4</t>
        </is>
      </c>
      <c r="K27" s="163" t="n"/>
      <c r="L27" s="163" t="inlineStr">
        <is>
          <t>https://www.lovethework.com/work/entries/pocket-sized-halftime-show-780120</t>
        </is>
      </c>
      <c r="M27" s="163" t="inlineStr">
        <is>
          <t>A counter-programming play against the Super Bowl's halftime show, staged entirely inside the Clash Royale mobile game. Uncommon Creative Studio Stockholm and Supercell built a bespoke in-game arena where a live-action Lil Wayne, flanked by fan-favourite Clash Royale characters given a hip-hop makeover, performed his hit 'A Milli' — launched worldwide as players opened the game to battle.</t>
        </is>
      </c>
      <c r="N27" s="163" t="inlineStr">
        <is>
          <t>clash royale, supercell, gaming, video-games, entertainment, video games, games, mobile games, mobile gaming, music, hip-hop, lil wayne, super bowl, halftime show, in-game event, brand partnership, celebrity, sweden, uncommon creative studio, gold</t>
        </is>
      </c>
    </row>
    <row r="28">
      <c r="A28" s="163" t="n">
        <v>2026</v>
      </c>
      <c r="B28" s="163" t="inlineStr">
        <is>
          <t>Bronze</t>
        </is>
      </c>
      <c r="C28" s="174" t="inlineStr">
        <is>
          <t>Played by Humans</t>
        </is>
      </c>
      <c r="D28" s="163" t="inlineStr">
        <is>
          <t>Jazz Is Dead</t>
        </is>
      </c>
      <c r="E28" s="163" t="inlineStr">
        <is>
          <t>Played by Humans</t>
        </is>
      </c>
      <c r="F28" s="163" t="inlineStr">
        <is>
          <t>TBWA\Chiat\Day</t>
        </is>
      </c>
      <c r="G28" s="163" t="inlineStr">
        <is>
          <t>United States</t>
        </is>
      </c>
      <c r="H28" s="163" t="inlineStr">
        <is>
          <t>Innovation in Music</t>
        </is>
      </c>
      <c r="I28" s="163" t="inlineStr">
        <is>
          <t>https://i.ytimg.com/vi/bz1r-JIEdzU/maxresdefault.jpg</t>
        </is>
      </c>
      <c r="J28" s="163" t="inlineStr">
        <is>
          <t>1lZ696Kd6ic</t>
        </is>
      </c>
      <c r="K28" s="163" t="n"/>
      <c r="L28" s="163" t="inlineStr">
        <is>
          <t>https://www.lovethework.com/work/entries/played-by-humans-780012</t>
        </is>
      </c>
      <c r="M28" s="163" t="inlineStr">
        <is>
          <t>A verification tool and authenticity stamp from Jazz Is Dead and TBWA\Chiat\Day LA that lets artists and listeners identify and support music made by real people rather than AI — a 'Played by Humans' mark positioned as a response to the flood of AI-generated tracks on streaming platforms.</t>
        </is>
      </c>
      <c r="N28" s="163" t="inlineStr">
        <is>
          <t>jazz is dead, music, entertainment, innovation, ai, technology, artificial intelligence, authenticity, verification, human-made, streaming, tv, musicians, tbwa, chiat day, united states, bronze</t>
        </is>
      </c>
    </row>
    <row r="29">
      <c r="A29" s="163" t="n">
        <v>2026</v>
      </c>
      <c r="B29" s="163" t="inlineStr">
        <is>
          <t>Bronze</t>
        </is>
      </c>
      <c r="C29" s="174" t="inlineStr">
        <is>
          <t>Uva Uva Bombón</t>
        </is>
      </c>
      <c r="D29" s="163" t="inlineStr">
        <is>
          <t>Uva App</t>
        </is>
      </c>
      <c r="E29" s="163" t="inlineStr">
        <is>
          <t>Uva App</t>
        </is>
      </c>
      <c r="F29" s="163" t="inlineStr">
        <is>
          <t>De La Cruz Ogilvy</t>
        </is>
      </c>
      <c r="G29" s="163" t="inlineStr">
        <is>
          <t>Puerto Rico</t>
        </is>
      </c>
      <c r="H29" s="163" t="inlineStr">
        <is>
          <t>Challenger Brand</t>
        </is>
      </c>
      <c r="I29" s="163" t="inlineStr">
        <is>
          <t>https://ascentialcdn.filespin.io/api/v1/conversion/afb7cf6990dc496f9c2b62d97d07c989</t>
        </is>
      </c>
      <c r="J29" s="163" t="inlineStr">
        <is>
          <t>vimeo:1204190443</t>
        </is>
      </c>
      <c r="K29" s="163" t="n"/>
      <c r="L29" s="163" t="inlineStr">
        <is>
          <t>https://www.lovethework.com/work/entries/uva-uva-bombn-791468</t>
        </is>
      </c>
      <c r="M29" s="163" t="inlineStr">
        <is>
          <t>The Direct Grand Prix. De La Cruz Ogilvy built Puerto Rican delivery app Uva's campaign around Bad Bunny headlining the Super Bowl Halftime Show — a moment of enormous national pride on the island — turning the cultural event into a real-time reason for Puerto Ricans to order from their local delivery app instead of the global giants.</t>
        </is>
      </c>
      <c r="N29" s="163" t="inlineStr">
        <is>
          <t>uva, uva app, delivery, food delivery, app, ecommerce, retail, online-shopping, technology, puerto rico, bad bunny, super bowl, music, entertainment, culture, real-time, challenger brand, direct, de la cruz ogilvy, ogilvy, grand prix</t>
        </is>
      </c>
    </row>
    <row r="30">
      <c r="A30" s="163" t="n">
        <v>2026</v>
      </c>
      <c r="B30" s="163" t="inlineStr">
        <is>
          <t>Bronze</t>
        </is>
      </c>
      <c r="C30" s="174" t="inlineStr">
        <is>
          <t>Juan Gabriel - The Ballad of Alberto</t>
        </is>
      </c>
      <c r="D30" s="163" t="inlineStr">
        <is>
          <t>Netflix</t>
        </is>
      </c>
      <c r="E30" s="163" t="inlineStr">
        <is>
          <t>Netflix</t>
        </is>
      </c>
      <c r="F30" s="163" t="inlineStr">
        <is>
          <t>Netflix + Monks</t>
        </is>
      </c>
      <c r="G30" s="163" t="inlineStr">
        <is>
          <t>Mexico</t>
        </is>
      </c>
      <c r="H30" s="163" t="inlineStr">
        <is>
          <t>Cultural Engagement</t>
        </is>
      </c>
      <c r="I30" s="163" t="inlineStr">
        <is>
          <t>https://ascentialcdn.filespin.io/api/v1/conversion/fa2d632de7e94ba58ba3195a65aba686</t>
        </is>
      </c>
      <c r="J30" s="163" t="inlineStr">
        <is>
          <t>mp4:videos/music-netflix-juan-gabriel-the-ballad-of-alberto.mp4</t>
        </is>
      </c>
      <c r="K30" s="163" t="n"/>
      <c r="L30" s="163" t="inlineStr">
        <is>
          <t>https://www.lovethework.com/work/entries/juan-gabriel-the-ballad-of-alberto-790412</t>
        </is>
      </c>
      <c r="M30" s="163" t="inlineStr">
        <is>
          <t>A campaign for Netflix Mexico promoting a documentary series on Juan Gabriel, the icon behind Alberto Aguilera Valadez. Monks Mexico City built it to operate across music, gaming and cultural activation, revisiting what Mexico thought it knew about the man behind the myth and celebrating his artistic legacy.</t>
        </is>
      </c>
      <c r="N30" s="163" t="inlineStr">
        <is>
          <t>netflix, streaming, tv, entertainment, music, documentary, film, cinema, juan gabriel, mexico, latin music, cultural engagement, heritage, monks, bronze</t>
        </is>
      </c>
    </row>
  </sheetData>
  <autoFilter ref="A1:N17"/>
  <hyperlinks>
    <hyperlink xmlns:r="http://schemas.openxmlformats.org/officeDocument/2006/relationships" ref="I2" r:id="rId1"/>
    <hyperlink xmlns:r="http://schemas.openxmlformats.org/officeDocument/2006/relationships" ref="L2" r:id="rId2"/>
    <hyperlink xmlns:r="http://schemas.openxmlformats.org/officeDocument/2006/relationships" ref="I3" r:id="rId3"/>
    <hyperlink xmlns:r="http://schemas.openxmlformats.org/officeDocument/2006/relationships" ref="L3" r:id="rId4"/>
    <hyperlink xmlns:r="http://schemas.openxmlformats.org/officeDocument/2006/relationships" ref="I4" r:id="rId5"/>
    <hyperlink xmlns:r="http://schemas.openxmlformats.org/officeDocument/2006/relationships" ref="L4" r:id="rId6"/>
    <hyperlink xmlns:r="http://schemas.openxmlformats.org/officeDocument/2006/relationships" ref="I5" r:id="rId7"/>
    <hyperlink xmlns:r="http://schemas.openxmlformats.org/officeDocument/2006/relationships" ref="L5" r:id="rId8"/>
    <hyperlink xmlns:r="http://schemas.openxmlformats.org/officeDocument/2006/relationships" ref="I6" r:id="rId9"/>
    <hyperlink xmlns:r="http://schemas.openxmlformats.org/officeDocument/2006/relationships" ref="L6" r:id="rId10"/>
    <hyperlink xmlns:r="http://schemas.openxmlformats.org/officeDocument/2006/relationships" ref="L7" r:id="rId11"/>
    <hyperlink xmlns:r="http://schemas.openxmlformats.org/officeDocument/2006/relationships" ref="I8" r:id="rId12"/>
    <hyperlink xmlns:r="http://schemas.openxmlformats.org/officeDocument/2006/relationships" ref="L8" r:id="rId13"/>
    <hyperlink xmlns:r="http://schemas.openxmlformats.org/officeDocument/2006/relationships" ref="L9" r:id="rId14"/>
    <hyperlink xmlns:r="http://schemas.openxmlformats.org/officeDocument/2006/relationships" ref="I10" r:id="rId15"/>
    <hyperlink xmlns:r="http://schemas.openxmlformats.org/officeDocument/2006/relationships" ref="L10" r:id="rId16"/>
    <hyperlink xmlns:r="http://schemas.openxmlformats.org/officeDocument/2006/relationships" ref="I11" r:id="rId17"/>
    <hyperlink xmlns:r="http://schemas.openxmlformats.org/officeDocument/2006/relationships" ref="L11" r:id="rId18"/>
    <hyperlink xmlns:r="http://schemas.openxmlformats.org/officeDocument/2006/relationships" ref="I12" r:id="rId19"/>
    <hyperlink xmlns:r="http://schemas.openxmlformats.org/officeDocument/2006/relationships" ref="L12" r:id="rId20"/>
    <hyperlink xmlns:r="http://schemas.openxmlformats.org/officeDocument/2006/relationships" ref="L13" r:id="rId21"/>
    <hyperlink xmlns:r="http://schemas.openxmlformats.org/officeDocument/2006/relationships" ref="L14" r:id="rId22"/>
    <hyperlink xmlns:r="http://schemas.openxmlformats.org/officeDocument/2006/relationships" ref="I15" r:id="rId23"/>
    <hyperlink xmlns:r="http://schemas.openxmlformats.org/officeDocument/2006/relationships" ref="L15" r:id="rId24"/>
    <hyperlink xmlns:r="http://schemas.openxmlformats.org/officeDocument/2006/relationships" ref="I16" r:id="rId25"/>
    <hyperlink xmlns:r="http://schemas.openxmlformats.org/officeDocument/2006/relationships" ref="L16" r:id="rId26"/>
    <hyperlink xmlns:r="http://schemas.openxmlformats.org/officeDocument/2006/relationships" ref="I17" r:id="rId27"/>
    <hyperlink xmlns:r="http://schemas.openxmlformats.org/officeDocument/2006/relationships" ref="L17" r:id="rId28"/>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N48"/>
  <sheetViews>
    <sheetView workbookViewId="0">
      <pane ySplit="1" topLeftCell="A2" activePane="bottomLeft" state="frozen"/>
      <selection pane="bottomLeft" activeCell="A1" sqref="A1"/>
    </sheetView>
  </sheetViews>
  <sheetFormatPr baseColWidth="8" defaultRowHeight="15"/>
  <cols>
    <col width="6" customWidth="1" style="34" min="1" max="1"/>
    <col width="16" customWidth="1" style="34" min="2" max="2"/>
    <col width="34" customWidth="1" style="34" min="3" max="3"/>
    <col width="22" customWidth="1" style="34" min="4" max="4"/>
    <col width="26" customWidth="1" style="34" min="5" max="5"/>
    <col width="28" customWidth="1" style="34" min="6" max="6"/>
    <col width="16" customWidth="1" style="34" min="7" max="7"/>
    <col width="34" customWidth="1" style="34" min="8" max="8"/>
    <col width="18" customWidth="1" style="34" min="9" max="9"/>
    <col width="16" customWidth="1" style="34" min="10" max="10"/>
    <col width="22" customWidth="1" style="34" min="11" max="11"/>
    <col hidden="1" width="20" customWidth="1" style="34" min="12" max="12"/>
    <col width="60" customWidth="1" style="34" min="13" max="13"/>
    <col width="40" customWidth="1" style="34" min="14" max="14"/>
  </cols>
  <sheetData>
    <row r="1" ht="22" customHeight="1" s="34">
      <c r="A1" s="122" t="inlineStr">
        <is>
          <t>Year</t>
        </is>
      </c>
      <c r="B1" s="122" t="inlineStr">
        <is>
          <t>Tier</t>
        </is>
      </c>
      <c r="C1" s="122" t="inlineStr">
        <is>
          <t>Campaign</t>
        </is>
      </c>
      <c r="D1" s="122" t="inlineStr">
        <is>
          <t>Brand</t>
        </is>
      </c>
      <c r="E1" s="122" t="inlineStr">
        <is>
          <t>Product/Service</t>
        </is>
      </c>
      <c r="F1" s="122" t="inlineStr">
        <is>
          <t>Agency</t>
        </is>
      </c>
      <c r="G1" s="122" t="inlineStr">
        <is>
          <t>Country</t>
        </is>
      </c>
      <c r="H1" s="122" t="inlineStr">
        <is>
          <t>Subcategory</t>
        </is>
      </c>
      <c r="I1" s="122" t="inlineStr">
        <is>
          <t>Image URL</t>
        </is>
      </c>
      <c r="J1" s="122" t="inlineStr">
        <is>
          <t>YouTube ID</t>
        </is>
      </c>
      <c r="K1" s="122" t="inlineStr">
        <is>
          <t>Campaign Group</t>
        </is>
      </c>
      <c r="L1" s="122" t="inlineStr">
        <is>
          <t>Entry URL</t>
        </is>
      </c>
      <c r="M1" s="122" t="inlineStr">
        <is>
          <t>Description</t>
        </is>
      </c>
      <c r="N1" s="122" t="inlineStr">
        <is>
          <t>Keywords</t>
        </is>
      </c>
    </row>
    <row r="2">
      <c r="A2" s="127" t="n">
        <v>2025</v>
      </c>
      <c r="B2" s="139" t="inlineStr">
        <is>
          <t>Grand Prix</t>
        </is>
      </c>
      <c r="C2" s="127" t="inlineStr">
        <is>
          <t>Haaland Payback Time</t>
        </is>
      </c>
      <c r="D2" s="127" t="inlineStr">
        <is>
          <t>Clash of Clans</t>
        </is>
      </c>
      <c r="E2" s="127" t="inlineStr">
        <is>
          <t>Clash of Clans</t>
        </is>
      </c>
      <c r="F2" s="127" t="inlineStr">
        <is>
          <t>David</t>
        </is>
      </c>
      <c r="G2" s="127" t="inlineStr">
        <is>
          <t>United States</t>
        </is>
      </c>
      <c r="H2" s="113" t="inlineStr">
        <is>
          <t>Partnerships with Sports Talent</t>
        </is>
      </c>
      <c r="I2" s="128" t="inlineStr">
        <is>
          <t>https://ascentialcdn.filespin.io/api/v1/conversion/0ab9c1eb4c5a4e82b68ff5fcca75da6b</t>
        </is>
      </c>
      <c r="J2" s="127" t="inlineStr">
        <is>
          <t>TcQ--NtSQ9s</t>
        </is>
      </c>
      <c r="K2" s="127" t="n"/>
      <c r="L2" s="128" t="inlineStr">
        <is>
          <t>https://www.lovethework.com/work/entries/haaland-payback-time-762223</t>
        </is>
      </c>
      <c r="M2" s="113" t="inlineStr">
        <is>
          <t>A limited in-game challenge built around Premier League footballer Erling Haaland's actual Clash of Clans village — one he had spent over a decade constructing. The campaign invited rival players and self-declared Haaland "haters" to raid and attack that real village, turning his personal in-game progress into a target. The mechanic used Haaland's existing game history as the creative raw material, with his real account serving as the prize to be plundered.</t>
        </is>
      </c>
      <c r="N2" s="113" t="inlineStr">
        <is>
          <t>mobile-game, gaming, video-games, entertainment, influencer, sport, in-game-activation, football, soccer, celebrity, united-states</t>
        </is>
      </c>
    </row>
    <row r="3">
      <c r="A3" s="127" t="n">
        <v>2025</v>
      </c>
      <c r="B3" s="140" t="inlineStr">
        <is>
          <t>Gold</t>
        </is>
      </c>
      <c r="C3" s="127" t="inlineStr">
        <is>
          <t>Olympic Games Opening Ceremony Paris 2024</t>
        </is>
      </c>
      <c r="D3" s="127" t="inlineStr">
        <is>
          <t>Paris 2024</t>
        </is>
      </c>
      <c r="E3" s="127" t="inlineStr">
        <is>
          <t>Paris 2024</t>
        </is>
      </c>
      <c r="F3" s="127" t="inlineStr">
        <is>
          <t>Paname 24</t>
        </is>
      </c>
      <c r="G3" s="127" t="inlineStr">
        <is>
          <t>France</t>
        </is>
      </c>
      <c r="H3" s="113" t="inlineStr">
        <is>
          <t>Broadcast/Live Streaming</t>
        </is>
      </c>
      <c r="I3" s="128" t="inlineStr">
        <is>
          <t>https://ascentialcdn.filespin.io/api/v1/conversion/60aa1888e5b6444381b060dc1801de84</t>
        </is>
      </c>
      <c r="J3" s="127" t="inlineStr">
        <is>
          <t>t8o4ulxT1Cc</t>
        </is>
      </c>
      <c r="K3" s="127" t="n"/>
      <c r="L3" s="128" t="inlineStr">
        <is>
          <t>https://www.lovethework.com/work/entries/olympic-games-opening-ceremony-paris-2024-757241</t>
        </is>
      </c>
      <c r="M3" s="113" t="inlineStr">
        <is>
          <t>The official opening ceremony of the Paris 2024 Olympics, produced for the IOC and Paris 2024 by the Paname 24 collective — the first Olympic opener staged outside a stadium, sending 6,800 athletes down the Seine on 85 boats and ending with a hot-air-balloon cauldron lifted above the city.</t>
        </is>
      </c>
      <c r="N3" s="113" t="inlineStr">
        <is>
          <t>live-event, olympics, sport, ceremony, paris, large-scale, broadcast, entertainment, partnership, france</t>
        </is>
      </c>
    </row>
    <row r="4">
      <c r="A4" s="127" t="n">
        <v>2025</v>
      </c>
      <c r="B4" s="140" t="inlineStr">
        <is>
          <t>Gold</t>
        </is>
      </c>
      <c r="C4" s="127" t="inlineStr">
        <is>
          <t>Signed by Fanatics</t>
        </is>
      </c>
      <c r="D4" s="127" t="inlineStr">
        <is>
          <t>Fanatics</t>
        </is>
      </c>
      <c r="E4" s="127" t="inlineStr">
        <is>
          <t>Licensed Sports Merchandise</t>
        </is>
      </c>
      <c r="F4" s="127" t="inlineStr">
        <is>
          <t>Fanatics</t>
        </is>
      </c>
      <c r="G4" s="127" t="inlineStr">
        <is>
          <t>United States</t>
        </is>
      </c>
      <c r="H4" s="113" t="inlineStr">
        <is>
          <t>Esports &amp; Gaming</t>
        </is>
      </c>
      <c r="I4" s="128" t="inlineStr">
        <is>
          <t>https://ascentialcdn.filespin.io/api/v1/conversion/6dec2b71e9e0467cb429446b1f864686</t>
        </is>
      </c>
      <c r="J4" s="127" t="inlineStr">
        <is>
          <t>vimeo:1094224675/e914bbd69e</t>
        </is>
      </c>
      <c r="K4" s="127" t="n"/>
      <c r="L4" s="128" t="inlineStr">
        <is>
          <t>https://www.lovethework.com/work/entries/signed-by-fanatics-757314</t>
        </is>
      </c>
      <c r="M4" s="113" t="inlineStr">
        <is>
          <t>Fanatics found a loophole in college sports culture by giving NIL deals not to real athletes, but to fans who created themselves as virtual players in EA Sports College Football 25. By signing fan-made athletes to real Fanatics deals, the brand turned the NIL gold rush into a clever celebration of the people college sports are really built around.</t>
        </is>
      </c>
      <c r="N4" s="113" t="inlineStr">
        <is>
          <t>retail, ecommerce, online-shopping, sport, gaming, video-games, entertainment, nil, ugc, partnership, ip, united-states</t>
        </is>
      </c>
    </row>
    <row r="5">
      <c r="A5" s="127" t="n">
        <v>2025</v>
      </c>
      <c r="B5" s="140" t="inlineStr">
        <is>
          <t>Gold</t>
        </is>
      </c>
      <c r="C5" s="127" t="inlineStr">
        <is>
          <t>Kyikatejê</t>
        </is>
      </c>
      <c r="D5" s="127" t="inlineStr">
        <is>
          <t>Gavião Kyikatejê Football Club, Area 23</t>
        </is>
      </c>
      <c r="E5" s="127" t="inlineStr">
        <is>
          <t>Gavião Kyikatejã Football Club</t>
        </is>
      </c>
      <c r="F5" s="127" t="inlineStr">
        <is>
          <t>An IPG Health Company</t>
        </is>
      </c>
      <c r="G5" s="127" t="inlineStr">
        <is>
          <t>United States</t>
        </is>
      </c>
      <c r="H5" s="113" t="inlineStr">
        <is>
          <t>Film Series and Audio</t>
        </is>
      </c>
      <c r="I5" s="127" t="inlineStr">
        <is>
          <t>digital-presentation-images/entertainment-lions-for-sport-gaviao-kyikateje-football-club-kyikateje.webp</t>
        </is>
      </c>
      <c r="J5" s="127" t="inlineStr">
        <is>
          <t>vimeo:1080359037</t>
        </is>
      </c>
      <c r="K5" s="127" t="n"/>
      <c r="L5" s="128" t="inlineStr">
        <is>
          <t>https://www.lovethework.com/work/entries/kyikatej-757331</t>
        </is>
      </c>
      <c r="M5" s="113" t="inlineStr">
        <is>
          <t>A short documentary film shot on 16mm analog film following the Gavião Kyikatêjê Football Club, an Indigenous team from the Brazilian Amazon, with hand-painted frame-by-frame animations drawn from the traditional body paintings of the Kyikatêjê people. Typography, color palette, and visual graphics are rooted in ancestral identity, while the sound design layers native chants, ambient village soundscapes, and reimagined club anthems — with narration delivered by the chief of the Kyikatêjê people. Produced by Area 23, an IPG Health Company, with production by Boiler Films, Bumblebeat, and Dirty Work.</t>
        </is>
      </c>
      <c r="N5" s="113" t="inlineStr">
        <is>
          <t>football-club, film, cinema, entertainment, documentary, indigenous, brazil, hand-painted-animation, 16mm, cultural-identity, analog</t>
        </is>
      </c>
    </row>
    <row r="6">
      <c r="A6" s="127" t="n">
        <v>2025</v>
      </c>
      <c r="B6" s="140" t="inlineStr">
        <is>
          <t>Gold</t>
        </is>
      </c>
      <c r="C6" s="127" t="inlineStr">
        <is>
          <t>The 4th Judge</t>
        </is>
      </c>
      <c r="D6" s="127" t="inlineStr">
        <is>
          <t>The Ring</t>
        </is>
      </c>
      <c r="E6" s="127" t="inlineStr">
        <is>
          <t>Boxing Event</t>
        </is>
      </c>
      <c r="F6" s="127" t="inlineStr">
        <is>
          <t>Bigtime Creative Shop</t>
        </is>
      </c>
      <c r="G6" s="127" t="inlineStr">
        <is>
          <t>Saudi Arabia</t>
        </is>
      </c>
      <c r="H6" s="113" t="inlineStr">
        <is>
          <t>Innovation in Sport</t>
        </is>
      </c>
      <c r="I6" s="128" t="inlineStr">
        <is>
          <t>https://ascentialcdn.filespin.io/api/v1/conversion/564dea338e9e42018a7f0c9b66595cae</t>
        </is>
      </c>
      <c r="J6" s="127" t="inlineStr">
        <is>
          <t>vimeo:1056470221</t>
        </is>
      </c>
      <c r="K6" s="127" t="n"/>
      <c r="L6" s="128" t="inlineStr">
        <is>
          <t>https://www.lovethework.com/work/entries/the-4th-judge-762406</t>
        </is>
      </c>
      <c r="M6" s="113" t="inlineStr">
        <is>
          <t>An AI judge trained on 103 years of scoring data from The Ring magazine, built by BigTime Creative Shop in Riyadh to score professional boxing bouts alongside the three human judges at ringside. Deployed for the undisputed light-heavyweight title fight in Saudi Arabia, it produced a real-time, data-driven scorecard that fans and media could compare directly against the official result.</t>
        </is>
      </c>
      <c r="N6" s="113" t="inlineStr">
        <is>
          <t>boxing-event, ai, technology, sport-innovation, saudi-arabia, real-time-scoring, sports-media, fan-engagement</t>
        </is>
      </c>
    </row>
    <row r="7">
      <c r="A7" s="127" t="n">
        <v>2025</v>
      </c>
      <c r="B7" s="140" t="inlineStr">
        <is>
          <t>Gold</t>
        </is>
      </c>
      <c r="C7" s="127" t="inlineStr">
        <is>
          <t>Obsession</t>
        </is>
      </c>
      <c r="D7" s="127" t="inlineStr">
        <is>
          <t>Riyadh Season</t>
        </is>
      </c>
      <c r="E7" s="127" t="inlineStr">
        <is>
          <t>Boxing Fight</t>
        </is>
      </c>
      <c r="F7" s="127" t="inlineStr">
        <is>
          <t>Bigtime Creative Shop</t>
        </is>
      </c>
      <c r="G7" s="127" t="inlineStr">
        <is>
          <t>Saudi Arabia</t>
        </is>
      </c>
      <c r="H7" s="113" t="inlineStr">
        <is>
          <t>Use of Humour</t>
        </is>
      </c>
      <c r="I7" s="127" t="inlineStr">
        <is>
          <t>digital-presentation-images/entertainment-lions-for-sport-riyadh-season-obsession.webp</t>
        </is>
      </c>
      <c r="J7" s="127" t="inlineStr">
        <is>
          <t>PdcUQwAtDDs</t>
        </is>
      </c>
      <c r="K7" s="127" t="n"/>
      <c r="L7" s="128" t="inlineStr">
        <is>
          <t>https://www.lovethework.com/work/entries/obsession-763910</t>
        </is>
      </c>
      <c r="M7" s="113" t="inlineStr">
        <is>
          <t>A hero film for Riyadh Season's Usyk vs. Fury 2 fight that placed the two boxers' own trash talk, press conference quotes, and viral moments into surreal AI-assisted scenarios where each fighter is haunted by the other throughout daily life — training, home, routines. Built by BigTime Creative Shop, the campaign seeded hidden Easter eggs across multiple platforms and used a coordinated influencer rollout to turn key frames into shareable memes, fueling the pre-fight rivalry as an ongoing social phenomenon.</t>
        </is>
      </c>
      <c r="N7" s="113" t="inlineStr">
        <is>
          <t>sports-entertainment, film, cinema, entertainment, social-media, boxing, ai, technology, saudi-arabia, meme-marketing, influencer, pre-fight-promotion</t>
        </is>
      </c>
    </row>
    <row r="8">
      <c r="A8" s="127" t="n">
        <v>2025</v>
      </c>
      <c r="B8" s="132" t="inlineStr">
        <is>
          <t>Silver</t>
        </is>
      </c>
      <c r="C8" s="127" t="inlineStr">
        <is>
          <t>Paid Through Parents</t>
        </is>
      </c>
      <c r="D8" s="127" t="inlineStr">
        <is>
          <t>Coors Brewing Company</t>
        </is>
      </c>
      <c r="E8" s="127" t="inlineStr">
        <is>
          <t>Molson Coors</t>
        </is>
      </c>
      <c r="F8" s="127" t="inlineStr">
        <is>
          <t>Rethink</t>
        </is>
      </c>
      <c r="G8" s="127" t="inlineStr">
        <is>
          <t>Canada</t>
        </is>
      </c>
      <c r="H8" s="113" t="inlineStr">
        <is>
          <t>Brand Partnerships, Sponsorships &amp; Collaborations</t>
        </is>
      </c>
      <c r="I8" s="128" t="inlineStr">
        <is>
          <t>https://ascentialcdn.filespin.io/api/v1/conversion/a5629a97973948f688643981b63ac56e</t>
        </is>
      </c>
      <c r="J8" s="127" t="inlineStr">
        <is>
          <t>8urf8-B-xrE</t>
        </is>
      </c>
      <c r="K8" s="127" t="n"/>
      <c r="L8" s="128" t="inlineStr">
        <is>
          <t>https://www.lovethework.com/work/entries/paid-through-parents-757385</t>
        </is>
      </c>
      <c r="M8" s="113" t="inlineStr">
        <is>
          <t>An endorsement deal structure Molson Coors created to sponsor Canadian athletes who compete in sports where drinking-age rules prevent the brand from paying them directly — by routing the sponsorship payments through their parents instead. Rethink built the campaign around the legal workaround itself, making the contract mechanic the creative idea.</t>
        </is>
      </c>
      <c r="N8" s="113" t="inlineStr">
        <is>
          <t>beer, alcohol, brand-partnership, sponsorship, sports, integrated, canada, talent-deal, legal-mechanic</t>
        </is>
      </c>
    </row>
    <row r="9">
      <c r="A9" s="127" t="n">
        <v>2025</v>
      </c>
      <c r="B9" s="132" t="inlineStr">
        <is>
          <t>Silver</t>
        </is>
      </c>
      <c r="C9" s="127" t="inlineStr">
        <is>
          <t>Running in Fear</t>
        </is>
      </c>
      <c r="D9" s="127" t="inlineStr">
        <is>
          <t>Alma Preta</t>
        </is>
      </c>
      <c r="E9" s="127" t="inlineStr">
        <is>
          <t>Alma Preta</t>
        </is>
      </c>
      <c r="F9" s="127" t="inlineStr">
        <is>
          <t>Lew'Lara\TBWA</t>
        </is>
      </c>
      <c r="G9" s="127" t="inlineStr">
        <is>
          <t>Brazil</t>
        </is>
      </c>
      <c r="H9" s="113" t="inlineStr">
        <is>
          <t>Diversity &amp; Inclusion in Sport</t>
        </is>
      </c>
      <c r="I9" s="128" t="inlineStr">
        <is>
          <t>https://ascentialcdn.filespin.io/api/v1/conversion/091d74f6176f4334bcedd28604ff10a5</t>
        </is>
      </c>
      <c r="J9" s="127" t="inlineStr">
        <is>
          <t>mgBubkLmF-g</t>
        </is>
      </c>
      <c r="K9" s="127" t="n"/>
      <c r="L9" s="128" t="inlineStr">
        <is>
          <t>https://www.lovethework.com/work/entries/running-in-fear-757711</t>
        </is>
      </c>
      <c r="M9" s="113" t="inlineStr">
        <is>
          <t>A stunt in which Alma Preta, an Afro-Brazilian news agency, invited Black runner Weslley Caitano to compete in one of Rio de Janeiro's largest street races wearing a bulletproof vest — the only outfit, the campaign argued, that could make a Black man feel safe running through Brazilian streets. The act drew attention to the everyday fear Black Brazilians face in public spaces, using the race course as a live demonstration.</t>
        </is>
      </c>
      <c r="N9" s="113" t="inlineStr">
        <is>
          <t>afro-brazilian-news, stunt, live-event, diversity-and-inclusion, brazil, sport, street-race, racial-justice, public-space</t>
        </is>
      </c>
    </row>
    <row r="10">
      <c r="A10" s="127" t="n">
        <v>2025</v>
      </c>
      <c r="B10" s="132" t="inlineStr">
        <is>
          <t>Silver</t>
        </is>
      </c>
      <c r="C10" s="127" t="inlineStr">
        <is>
          <t>The 4th Judge</t>
        </is>
      </c>
      <c r="D10" s="127" t="inlineStr">
        <is>
          <t>The Ring</t>
        </is>
      </c>
      <c r="E10" s="127" t="inlineStr">
        <is>
          <t>Boxing Event</t>
        </is>
      </c>
      <c r="F10" s="127" t="inlineStr">
        <is>
          <t>Bigtime Creative Shop</t>
        </is>
      </c>
      <c r="G10" s="127" t="inlineStr">
        <is>
          <t>Saudi Arabia</t>
        </is>
      </c>
      <c r="H10" s="113" t="inlineStr">
        <is>
          <t>Sports Live Experience</t>
        </is>
      </c>
      <c r="I10" s="128" t="inlineStr">
        <is>
          <t>https://ascentialcdn.filespin.io/api/v1/conversion/564dea338e9e42018a7f0c9b66595cae</t>
        </is>
      </c>
      <c r="J10" s="127" t="inlineStr">
        <is>
          <t>vimeo:1056470221</t>
        </is>
      </c>
      <c r="K10" s="127" t="n"/>
      <c r="L10" s="128" t="inlineStr">
        <is>
          <t>https://www.lovethework.com/work/entries/the-4th-judge-762326</t>
        </is>
      </c>
      <c r="M10" s="113" t="inlineStr">
        <is>
          <t>An AI judge trained on 103 years of scoring data from The Ring magazine, built by BigTime Creative Shop in Riyadh to score professional boxing bouts alongside the three human judges at ringside. Deployed for the undisputed light-heavyweight title fight in Saudi Arabia, it produced a real-time, data-driven scorecard that fans and media could compare directly against the official result.</t>
        </is>
      </c>
      <c r="N10" s="113" t="inlineStr">
        <is>
          <t>boxing-event, ai, technology, sport-innovation, saudi-arabia, real-time-scoring, sports-media, fan-engagement</t>
        </is>
      </c>
    </row>
    <row r="11">
      <c r="A11" s="127" t="n">
        <v>2025</v>
      </c>
      <c r="B11" s="132" t="inlineStr">
        <is>
          <t>Silver</t>
        </is>
      </c>
      <c r="C11" s="127" t="inlineStr">
        <is>
          <t>Avani's Gold</t>
        </is>
      </c>
      <c r="D11" s="127" t="inlineStr">
        <is>
          <t>Britannia Marie Gold</t>
        </is>
      </c>
      <c r="E11" s="127" t="inlineStr">
        <is>
          <t>Britannia Marie Gold</t>
        </is>
      </c>
      <c r="F11" s="127" t="inlineStr">
        <is>
          <t>Talented</t>
        </is>
      </c>
      <c r="G11" s="127" t="inlineStr">
        <is>
          <t>India</t>
        </is>
      </c>
      <c r="H11" s="113" t="inlineStr">
        <is>
          <t>Brand Storytelling</t>
        </is>
      </c>
      <c r="I11" s="128" t="inlineStr">
        <is>
          <t>https://ascentialcdn.filespin.io/api/v1/conversion/e0e7f0a8eeed48888d3d57f241eb99ae</t>
        </is>
      </c>
      <c r="J11" s="127" t="inlineStr">
        <is>
          <t>dz9sYI3dZ-0</t>
        </is>
      </c>
      <c r="K11" s="127" t="n"/>
      <c r="L11" s="128" t="inlineStr">
        <is>
          <t>https://www.lovethework.com/work/entries/avanis-gold-757226</t>
        </is>
      </c>
      <c r="M11" s="113" t="inlineStr">
        <is>
          <t>A brand storytelling campaign built around Avani Lekhara, the Indian Paralympic shooter who won gold at the Tokyo 2020 Games, made for Britannia Marie Gold — a biscuit whose name had quietly shared her achievement all along. The campaign draws a line between the everyday product and a landmark moment in Indian Paralympic history, with Lekhara herself as the narrative anchor.</t>
        </is>
      </c>
      <c r="N11" s="113" t="inlineStr">
        <is>
          <t>biscuit, brand-storytelling, sports-partnership, paralympics, india, film, cinema, entertainment, athlete-collaboration, snack, food, packaged-goods, cpg, fmcg</t>
        </is>
      </c>
    </row>
    <row r="12">
      <c r="A12" s="127" t="n">
        <v>2025</v>
      </c>
      <c r="B12" s="132" t="inlineStr">
        <is>
          <t>Silver</t>
        </is>
      </c>
      <c r="C12" s="127" t="inlineStr">
        <is>
          <t>Haaland Payback Time</t>
        </is>
      </c>
      <c r="D12" s="127" t="inlineStr">
        <is>
          <t>Clash of Clans</t>
        </is>
      </c>
      <c r="E12" s="127" t="inlineStr">
        <is>
          <t>Clash of Clans</t>
        </is>
      </c>
      <c r="F12" s="127" t="inlineStr">
        <is>
          <t>David</t>
        </is>
      </c>
      <c r="G12" s="127" t="inlineStr">
        <is>
          <t>United States</t>
        </is>
      </c>
      <c r="H12" s="113" t="inlineStr">
        <is>
          <t>Esports &amp; Gaming</t>
        </is>
      </c>
      <c r="I12" s="128" t="inlineStr">
        <is>
          <t>https://ascentialcdn.filespin.io/api/v1/conversion/0ab9c1eb4c5a4e82b68ff5fcca75da6b</t>
        </is>
      </c>
      <c r="J12" s="127" t="inlineStr">
        <is>
          <t>TcQ--NtSQ9s</t>
        </is>
      </c>
      <c r="K12" s="127" t="n"/>
      <c r="L12" s="128" t="inlineStr">
        <is>
          <t>https://www.lovethework.com/work/entries/haaland-payback-time-762343</t>
        </is>
      </c>
      <c r="M12" s="113" t="inlineStr">
        <is>
          <t>A limited in-game challenge built around Premier League footballer Erling Haaland's actual Clash of Clans village — one he had spent over a decade constructing. The campaign invited rival players and self-declared Haaland "haters" to raid and attack that real village, turning his personal in-game progress into a target. The mechanic used Haaland's existing game history as the creative raw material, with his real account serving as the prize to be plundered.</t>
        </is>
      </c>
      <c r="N12" s="113" t="inlineStr">
        <is>
          <t>mobile-game, gaming, video-games, entertainment, influencer, sport, in-game-activation, football, soccer, celebrity, united-states</t>
        </is>
      </c>
    </row>
    <row r="13">
      <c r="A13" s="127" t="n">
        <v>2025</v>
      </c>
      <c r="B13" s="132" t="inlineStr">
        <is>
          <t>Silver</t>
        </is>
      </c>
      <c r="C13" s="127" t="inlineStr">
        <is>
          <t>Kyikatejê</t>
        </is>
      </c>
      <c r="D13" s="127" t="inlineStr">
        <is>
          <t>Gavião Kyikatejê Football Club, Area 23</t>
        </is>
      </c>
      <c r="E13" s="127" t="inlineStr">
        <is>
          <t>Gavião Kyikatejã Football Club</t>
        </is>
      </c>
      <c r="F13" s="127" t="inlineStr">
        <is>
          <t>An IPG Health Company</t>
        </is>
      </c>
      <c r="G13" s="127" t="inlineStr">
        <is>
          <t>United States</t>
        </is>
      </c>
      <c r="H13" s="113" t="inlineStr">
        <is>
          <t>Diversity &amp; Inclusion in Sport</t>
        </is>
      </c>
      <c r="I13" s="127" t="inlineStr">
        <is>
          <t>digital-presentation-images/entertainment-lions-for-sport-gaviao-kyikateje-football-club-kyikateje.webp</t>
        </is>
      </c>
      <c r="J13" s="127" t="inlineStr">
        <is>
          <t>vimeo:1080359037</t>
        </is>
      </c>
      <c r="K13" s="127" t="n"/>
      <c r="L13" s="128" t="inlineStr">
        <is>
          <t>https://www.lovethework.com/work/entries/kyikatej-757692</t>
        </is>
      </c>
      <c r="M13" s="113" t="inlineStr">
        <is>
          <t>A short documentary film shot on 16mm analog film following the Gavião Kyikatêjê Football Club, an Indigenous team from the Brazilian Amazon, with hand-painted frame-by-frame animations drawn from the traditional body paintings of the Kyikatêjê people. Typography, color palette, and visual graphics are rooted in ancestral identity, while the sound design layers native chants, ambient village soundscapes, and reimagined club anthems — with narration delivered by the chief of the Kyikatêjê people. Produced by Area 23, an IPG Health Company, with production by Boiler Films, Bumblebeat, and Dirty Work.</t>
        </is>
      </c>
      <c r="N13" s="113" t="inlineStr">
        <is>
          <t>football-club, film, cinema, entertainment, documentary, indigenous, brazil, hand-painted-animation, 16mm, cultural-identity, analog</t>
        </is>
      </c>
    </row>
    <row r="14">
      <c r="A14" s="127" t="n">
        <v>2025</v>
      </c>
      <c r="B14" s="132" t="inlineStr">
        <is>
          <t>Silver</t>
        </is>
      </c>
      <c r="C14" s="127" t="inlineStr">
        <is>
          <t>Jordan Can't Ban Greatness</t>
        </is>
      </c>
      <c r="D14" s="127" t="inlineStr">
        <is>
          <t>Nike</t>
        </is>
      </c>
      <c r="E14" s="127" t="inlineStr">
        <is>
          <t>Nike</t>
        </is>
      </c>
      <c r="F14" s="127" t="inlineStr">
        <is>
          <t>Wieden+Kennedy</t>
        </is>
      </c>
      <c r="G14" s="127" t="inlineStr">
        <is>
          <t>United States</t>
        </is>
      </c>
      <c r="H14" s="113" t="inlineStr">
        <is>
          <t>Brand Storytelling</t>
        </is>
      </c>
      <c r="I14" s="128" t="inlineStr">
        <is>
          <t>https://ascentialcdn.filespin.io/api/v1/conversion/7954f7f7cb2f4db5865a8948faec77c0</t>
        </is>
      </c>
      <c r="J14" s="127" t="inlineStr">
        <is>
          <t>vimeo:1096009769</t>
        </is>
      </c>
      <c r="K14" s="127" t="n"/>
      <c r="L14" s="128" t="inlineStr">
        <is>
          <t>https://www.lovethework.com/work/entries/jordan-cant-ban-greatness-757287</t>
        </is>
      </c>
      <c r="M14" s="113" t="inlineStr">
        <is>
          <t>A staged "ban" rollout launched on NBA Christmas Day 2024, using the 40th anniversary of the NBA's 1985 fine on the Air Jordan I as its premise — asking what the world would look like if Nike had never paid it. Over the following weeks, Jordan Brand's own Instagram account disappeared, Air Jordans were pulled from Nike.com, Jalen Hurts was positioned as fined by the NFL for wearing "unapproved colors," the Jumpman was blacked out on Michael Jordan's Chicago statue, lyrics referencing Air Jordan were removed from Genius, the shoe was banned from NBA2K, a Jordan NASCAR wrap carried a "Banned" theme, and the Jumpman logo was projected into the sky via drone show above the Jordan Brand fan fest in Oakland.</t>
        </is>
      </c>
      <c r="N14" s="113" t="inlineStr">
        <is>
          <t>footwear, integrated-campaign, social-media, stunt, sports-marketing, united-states, basketball, film, cinema, entertainment</t>
        </is>
      </c>
    </row>
    <row r="15">
      <c r="A15" s="127" t="n">
        <v>2025</v>
      </c>
      <c r="B15" s="132" t="inlineStr">
        <is>
          <t>Silver</t>
        </is>
      </c>
      <c r="C15" s="127" t="inlineStr">
        <is>
          <t>Saving Pelotica De Goma</t>
        </is>
      </c>
      <c r="D15" s="127" t="inlineStr">
        <is>
          <t>Vacílate Esto</t>
        </is>
      </c>
      <c r="E15" s="127" t="inlineStr">
        <is>
          <t>Vacãlate Esto</t>
        </is>
      </c>
      <c r="F15" s="127" t="inlineStr">
        <is>
          <t>The Web</t>
        </is>
      </c>
      <c r="G15" s="127" t="inlineStr">
        <is>
          <t>Venezuela</t>
        </is>
      </c>
      <c r="H15" s="113" t="inlineStr">
        <is>
          <t>Influencer &amp; Co-Creation</t>
        </is>
      </c>
      <c r="I15" s="128" t="inlineStr">
        <is>
          <t>https://ascentialcdn.filespin.io/api/v1/conversion/c41e8e08644c46d1aa1edaeb702267bd</t>
        </is>
      </c>
      <c r="J15" s="127" t="inlineStr">
        <is>
          <t>177jg-ARY5Y</t>
        </is>
      </c>
      <c r="K15" s="127" t="n"/>
      <c r="L15" s="128" t="inlineStr">
        <is>
          <t>https://www.lovethework.com/work/entries/saving-pelotica-de-goma-757522</t>
        </is>
      </c>
      <c r="M15" s="113" t="inlineStr">
        <is>
          <t>A social and influencer campaign launched in Colombia and Venezuela to revive Pelotica de Goma, a Venezuelan children's TV character that had been off air for years, by mobilizing creators and audiences to publicly call for its return. Developed by agencies LaWeb and Buentipo across Caracas and Bogotá, the campaign turned nostalgia for a local cultural figure into a coordinated co-creation movement.</t>
        </is>
      </c>
      <c r="N15" s="113" t="inlineStr">
        <is>
          <t>influencer, co-creation, social-media, entertainment, venezuela, colombia, childrens-media, cultural-revival</t>
        </is>
      </c>
    </row>
    <row r="16">
      <c r="A16" s="127" t="n">
        <v>2025</v>
      </c>
      <c r="B16" s="133" t="inlineStr">
        <is>
          <t>Bronze</t>
        </is>
      </c>
      <c r="C16" s="127" t="inlineStr">
        <is>
          <t>Paid Through Parents</t>
        </is>
      </c>
      <c r="D16" s="127" t="inlineStr">
        <is>
          <t>Coors Brewing Company</t>
        </is>
      </c>
      <c r="E16" s="127" t="inlineStr">
        <is>
          <t>Molson Coors</t>
        </is>
      </c>
      <c r="F16" s="127" t="inlineStr">
        <is>
          <t>Rethink</t>
        </is>
      </c>
      <c r="G16" s="127" t="inlineStr">
        <is>
          <t>Canada</t>
        </is>
      </c>
      <c r="H16" s="113" t="inlineStr">
        <is>
          <t>Influencer &amp; Co-Creation</t>
        </is>
      </c>
      <c r="I16" s="128" t="inlineStr">
        <is>
          <t>https://ascentialcdn.filespin.io/api/v1/conversion/a5629a97973948f688643981b63ac56e</t>
        </is>
      </c>
      <c r="J16" s="127" t="inlineStr">
        <is>
          <t>8urf8-B-xrE</t>
        </is>
      </c>
      <c r="K16" s="127" t="n"/>
      <c r="L16" s="128" t="inlineStr">
        <is>
          <t>https://www.lovethework.com/work/entries/paid-through-parents-757417</t>
        </is>
      </c>
      <c r="M16" s="113" t="inlineStr">
        <is>
          <t>An endorsement deal structure Molson Coors created to sponsor Canadian athletes who compete in sports where drinking-age rules prevent the brand from paying them directly — by routing the sponsorship payments through their parents instead. Rethink built the campaign around the legal workaround itself, making the contract mechanic the creative idea.</t>
        </is>
      </c>
      <c r="N16" s="113" t="inlineStr">
        <is>
          <t>beer, alcohol, brand-partnership, sponsorship, sports, integrated, canada, talent-deal, legal-mechanic</t>
        </is>
      </c>
    </row>
    <row r="17">
      <c r="A17" s="127" t="n">
        <v>2025</v>
      </c>
      <c r="B17" s="133" t="inlineStr">
        <is>
          <t>Bronze</t>
        </is>
      </c>
      <c r="C17" s="127" t="inlineStr">
        <is>
          <t>Coors Light, Coors Light</t>
        </is>
      </c>
      <c r="D17" s="127" t="inlineStr">
        <is>
          <t>Coors Brewing Company</t>
        </is>
      </c>
      <c r="E17" s="127" t="inlineStr">
        <is>
          <t>Coors Light</t>
        </is>
      </c>
      <c r="F17" s="127" t="inlineStr">
        <is>
          <t>Molson Coors Beverage Company</t>
        </is>
      </c>
      <c r="G17" s="127" t="inlineStr">
        <is>
          <t>United States</t>
        </is>
      </c>
      <c r="H17" s="113" t="inlineStr">
        <is>
          <t>Challenger Brand</t>
        </is>
      </c>
      <c r="I17" s="128" t="inlineStr">
        <is>
          <t>https://ascentialcdn.filespin.io/api/v1/conversion/801ddebed5f640bdbb9533426b87109b</t>
        </is>
      </c>
      <c r="J17" s="127" t="inlineStr">
        <is>
          <t>vimeo:1064154466</t>
        </is>
      </c>
      <c r="K17" s="127" t="n"/>
      <c r="L17" s="128" t="inlineStr">
        <is>
          <t>https://www.lovethework.com/work/entries/coors-light-coors-light-757682</t>
        </is>
      </c>
      <c r="M17" s="113" t="inlineStr">
        <is>
          <t>Coors Light turned an unexpected Sunday Night Football play call into a citywide campaign after Russell Wilson shouted 'Coors Light, Coors Light' to millions of viewers. Moving in under 24 hours, the brand sidestepped NFL sponsorship limits with Pittsburgh OOH, bar deals and tailgate activations, making it the unofficial beer of Steelers Nation.</t>
        </is>
      </c>
      <c r="N17" s="113" t="inlineStr">
        <is>
          <t>beer, alcohol, sport, football, soccer, ooh, real-time, partnership, united-states</t>
        </is>
      </c>
    </row>
    <row r="18">
      <c r="A18" s="127" t="n">
        <v>2025</v>
      </c>
      <c r="B18" s="133" t="inlineStr">
        <is>
          <t>Bronze</t>
        </is>
      </c>
      <c r="C18" s="127" t="inlineStr">
        <is>
          <t>Football Lover Fm</t>
        </is>
      </c>
      <c r="D18" s="127" t="inlineStr">
        <is>
          <t>So Foot</t>
        </is>
      </c>
      <c r="E18" s="127" t="inlineStr">
        <is>
          <t>So Foot</t>
        </is>
      </c>
      <c r="F18" s="127" t="inlineStr">
        <is>
          <t>BETC</t>
        </is>
      </c>
      <c r="G18" s="127" t="inlineStr">
        <is>
          <t>France</t>
        </is>
      </c>
      <c r="H18" s="113" t="inlineStr">
        <is>
          <t>Use of Humour</t>
        </is>
      </c>
      <c r="I18" s="128" t="inlineStr">
        <is>
          <t>https://ascentialcdn.filespin.io/api/v1/conversion/0b397234b3d74a5aa798ad871042c23c</t>
        </is>
      </c>
      <c r="J18" s="127" t="inlineStr">
        <is>
          <t>j0eeoSEDFn0</t>
        </is>
      </c>
      <c r="K18" s="127" t="n"/>
      <c r="L18" s="128" t="inlineStr">
        <is>
          <t>https://www.lovethework.com/work/entries/football-lover-fm-757706</t>
        </is>
      </c>
      <c r="M18" s="113" t="inlineStr">
        <is>
          <t>A pop-up radio station created by BETC Paris for So Foot, France's football magazine, that transformed live match commentary into romantic love songs in real time on Valentine's Day. The station was designed to resolve the conflict fans face when a fixture falls on February 14th — letting them watch the game while their partner hears it as a love song.</t>
        </is>
      </c>
      <c r="N18" s="113" t="inlineStr">
        <is>
          <t>magazine, radio, live-event, valentines-day, football, soccer, sport, france, humour, audio</t>
        </is>
      </c>
    </row>
    <row r="19">
      <c r="A19" s="127" t="n">
        <v>2025</v>
      </c>
      <c r="B19" s="133" t="inlineStr">
        <is>
          <t>Bronze</t>
        </is>
      </c>
      <c r="C19" s="127" t="inlineStr">
        <is>
          <t>The Impossible Drive</t>
        </is>
      </c>
      <c r="D19" s="127" t="inlineStr">
        <is>
          <t>LEGO</t>
        </is>
      </c>
      <c r="E19" s="127" t="inlineStr">
        <is>
          <t>LEGO Technic</t>
        </is>
      </c>
      <c r="F19" s="127" t="inlineStr">
        <is>
          <t>M&amp;C Saatchi</t>
        </is>
      </c>
      <c r="G19" s="127" t="inlineStr">
        <is>
          <t>United Kingdom</t>
        </is>
      </c>
      <c r="H19" s="113" t="inlineStr">
        <is>
          <t>Brand Partnerships, Sponsorships &amp; Collaborations</t>
        </is>
      </c>
      <c r="I19" s="128" t="inlineStr">
        <is>
          <t>https://ascentialcdn.filespin.io/api/v1/conversion/943f4b70d83740e6add888e6112aab73</t>
        </is>
      </c>
      <c r="J19" s="127" t="inlineStr">
        <is>
          <t>vimeo:1178908888</t>
        </is>
      </c>
      <c r="K19" s="127" t="n"/>
      <c r="L19" s="128" t="inlineStr">
        <is>
          <t>https://www.lovethework.com/work/entries/the-impossible-drive-757483</t>
        </is>
      </c>
      <c r="M19" s="113" t="inlineStr">
        <is>
          <t>A partnership between LEGO Technic and McLaren in which a full-scale, driveable car was built from LEGO Technic pieces — engineered to function as an actual vehicle on a real track. The build directly embodies LEGO Technic's brand proposition of authenticity, functionality, and challenge through a McLaren-grade engineering brief.</t>
        </is>
      </c>
      <c r="N19" s="113" t="inlineStr">
        <is>
          <t>lego-technic, brand-partnership, automotive, cars, transport, experiential, build, motorsport, sport, racing, united-kingdom</t>
        </is>
      </c>
    </row>
    <row r="20">
      <c r="A20" s="127" t="n">
        <v>2025</v>
      </c>
      <c r="B20" s="133" t="inlineStr">
        <is>
          <t>Bronze</t>
        </is>
      </c>
      <c r="C20" s="127" t="inlineStr">
        <is>
          <t>Aeromexicanos</t>
        </is>
      </c>
      <c r="D20" s="127" t="inlineStr">
        <is>
          <t>Aeromexico</t>
        </is>
      </c>
      <c r="E20" s="127" t="inlineStr">
        <is>
          <t>Aeromexico</t>
        </is>
      </c>
      <c r="F20" s="127" t="inlineStr">
        <is>
          <t>Ogilvy</t>
        </is>
      </c>
      <c r="G20" s="127" t="inlineStr">
        <is>
          <t>Mexico</t>
        </is>
      </c>
      <c r="H20" s="113" t="inlineStr">
        <is>
          <t>Cultural Engagement</t>
        </is>
      </c>
      <c r="I20" s="128" t="inlineStr">
        <is>
          <t>https://ascentialcdn.filespin.io/api/v1/conversion/05665843413b4b8a80ba1017cabcdac1</t>
        </is>
      </c>
      <c r="J20" s="127" t="inlineStr">
        <is>
          <t>6MDBJbej100</t>
        </is>
      </c>
      <c r="K20" s="127" t="n"/>
      <c r="L20" s="128" t="inlineStr">
        <is>
          <t>https://www.lovethework.com/work/entries/aeromexicanos-762363</t>
        </is>
      </c>
      <c r="M20" s="113" t="inlineStr">
        <is>
          <t>A campaign pairing Aeromexico with luchadores — Mexican wrestlers — to draw a parallel between the athleticism and artistry of lucha libre and the experience of flight. Created by Ogilvy Mexico City, the work used advanced audience segmentation to tailor messaging across multiple touchpoints.</t>
        </is>
      </c>
      <c r="N20" s="113" t="inlineStr">
        <is>
          <t>airline, sport, cultural-engagement, lucha-libre, mexico, ooh, audience-segmentation, entertainment</t>
        </is>
      </c>
    </row>
    <row r="21">
      <c r="A21" s="127" t="n">
        <v>2025</v>
      </c>
      <c r="B21" s="133" t="inlineStr">
        <is>
          <t>Bronze</t>
        </is>
      </c>
      <c r="C21" s="127" t="inlineStr">
        <is>
          <t>Bad Luck Reverser</t>
        </is>
      </c>
      <c r="D21" s="127" t="inlineStr">
        <is>
          <t>Refisal</t>
        </is>
      </c>
      <c r="E21" s="127" t="inlineStr">
        <is>
          <t>Refisal</t>
        </is>
      </c>
      <c r="F21" s="127" t="inlineStr">
        <is>
          <t>Name</t>
        </is>
      </c>
      <c r="G21" s="127" t="inlineStr">
        <is>
          <t>Colombia</t>
        </is>
      </c>
      <c r="H21" s="113" t="inlineStr">
        <is>
          <t>Fan Engagement/Distribution Strategy</t>
        </is>
      </c>
      <c r="I21" s="128" t="inlineStr">
        <is>
          <t>https://ascentialcdn.filespin.io/api/v1/conversion/7e95f656b693443d8d4e60f0a4c9b853</t>
        </is>
      </c>
      <c r="J21" s="127" t="inlineStr">
        <is>
          <t>4OaN00EWwWg</t>
        </is>
      </c>
      <c r="K21" s="127" t="n"/>
      <c r="L21" s="128" t="inlineStr">
        <is>
          <t>https://www.lovethework.com/work/entries/bad-luck-reverser-757468</t>
        </is>
      </c>
      <c r="M21" s="113" t="inlineStr">
        <is>
          <t>A line of team-branded salt packets — one for each of Colombia's 20 top-flight football clubs, plus a national-team edition — built around the local superstition of tossing salt over your shoulder to reverse bad luck. Distributed through bodegas and stadiums, the pack put a pantry staple inside the matchday ritual.</t>
        </is>
      </c>
      <c r="N21" s="113" t="inlineStr">
        <is>
          <t>packaging, sport, football, soccer, packaged-goods, cpg, fmcg, retail, colombia, partnership, social-behaviour</t>
        </is>
      </c>
    </row>
    <row r="22">
      <c r="A22" s="127" t="n">
        <v>2025</v>
      </c>
      <c r="B22" s="133" t="inlineStr">
        <is>
          <t>Bronze</t>
        </is>
      </c>
      <c r="C22" s="127" t="inlineStr">
        <is>
          <t>Hey Jude</t>
        </is>
      </c>
      <c r="D22" s="127" t="inlineStr">
        <is>
          <t>Adidas</t>
        </is>
      </c>
      <c r="E22" s="127" t="inlineStr">
        <is>
          <t>Adidas</t>
        </is>
      </c>
      <c r="F22" s="127" t="inlineStr">
        <is>
          <t>Johannes Leonardo</t>
        </is>
      </c>
      <c r="G22" s="127" t="inlineStr">
        <is>
          <t>United States</t>
        </is>
      </c>
      <c r="H22" s="113" t="inlineStr">
        <is>
          <t>Fan Engagement/Distribution Strategy</t>
        </is>
      </c>
      <c r="I22" s="128" t="inlineStr">
        <is>
          <t>https://ascentialcdn.filespin.io/api/v1/conversion/c5b4d99a1f714aea8f5124ebd5d701f7</t>
        </is>
      </c>
      <c r="J22" s="127" t="inlineStr">
        <is>
          <t>aoOfn_W8PWg</t>
        </is>
      </c>
      <c r="K22" s="127" t="n"/>
      <c r="L22" s="128" t="inlineStr">
        <is>
          <t>https://www.lovethework.com/work/entries/hey-jude-757188</t>
        </is>
      </c>
      <c r="M22" s="113" t="inlineStr">
        <is>
          <t>A film built around The Beatles' "Hey Jude," tracing 58 years of England football tournament losses and heartbreak through period footage and cameos from former England players including Frank Lampard and David Beckham — before arriving at Jude Bellingham, whose name the song had always seemed to carry. Made by Johannes Leonardo with production by Spindle London ahead of Euro 2024, the film imagines England erupting in celebration as Bellingham scores, crowds in stadiums, neighborhoods, and pubs singing the chorus as a cheer of hope.</t>
        </is>
      </c>
      <c r="N22" s="113" t="inlineStr">
        <is>
          <t>sportswear, film, cinema, entertainment, licensed-music, football, soccer, sport, united-states, united-kingdom</t>
        </is>
      </c>
    </row>
    <row r="23">
      <c r="A23" s="127" t="n">
        <v>2025</v>
      </c>
      <c r="B23" s="133" t="inlineStr">
        <is>
          <t>Bronze</t>
        </is>
      </c>
      <c r="C23" s="127" t="inlineStr">
        <is>
          <t>The Flame That Wasn't a Flame</t>
        </is>
      </c>
      <c r="D23" s="127" t="inlineStr">
        <is>
          <t>EDF</t>
        </is>
      </c>
      <c r="E23" s="127" t="inlineStr">
        <is>
          <t>EDF</t>
        </is>
      </c>
      <c r="F23" s="127" t="inlineStr">
        <is>
          <t>BETC</t>
        </is>
      </c>
      <c r="G23" s="127" t="inlineStr">
        <is>
          <t>France</t>
        </is>
      </c>
      <c r="H23" s="113" t="inlineStr">
        <is>
          <t>Sports Live Experience</t>
        </is>
      </c>
      <c r="I23" s="128" t="inlineStr">
        <is>
          <t>https://ascentialcdn.filespin.io/api/v1/conversion/59c61cb1e6984e748ed9ff58ce4d2280</t>
        </is>
      </c>
      <c r="J23" s="127" t="inlineStr">
        <is>
          <t>sXFFpanPbNE</t>
        </is>
      </c>
      <c r="K23" s="127" t="n"/>
      <c r="L23" s="128" t="inlineStr">
        <is>
          <t>https://www.lovethework.com/work/entries/the-flame-that-wasnt-a-flame-757294</t>
        </is>
      </c>
      <c r="M23" s="113" t="inlineStr">
        <is>
          <t>The Paris 2024 Olympic cauldron reimagined as an entirely electric flame — a halo of vapor and light driven by EDF's grid, with no combustion at all. Part of Paris 2024's commitment to halve the Games' carbon footprint, the cauldron rose above the Tuileries on a hot-air balloon for the run of the Olympics and Paralympics.</t>
        </is>
      </c>
      <c r="N23" s="113" t="inlineStr">
        <is>
          <t>olympics, sport, sustainability, energy, ceremony, paris, partnership, live-event, corporate-purpose</t>
        </is>
      </c>
    </row>
    <row r="24">
      <c r="A24" s="127" t="n">
        <v>2025</v>
      </c>
      <c r="B24" s="133" t="inlineStr">
        <is>
          <t>Bronze</t>
        </is>
      </c>
      <c r="C24" s="127" t="inlineStr">
        <is>
          <t>Excuses Bars</t>
        </is>
      </c>
      <c r="D24" s="127" t="inlineStr">
        <is>
          <t>Heineken</t>
        </is>
      </c>
      <c r="E24" s="127" t="inlineStr">
        <is>
          <t>Heineken</t>
        </is>
      </c>
      <c r="F24" s="127" t="inlineStr">
        <is>
          <t>LePub</t>
        </is>
      </c>
      <c r="G24" s="127" t="inlineStr">
        <is>
          <t>Italy</t>
        </is>
      </c>
      <c r="H24" s="113" t="inlineStr">
        <is>
          <t>Fan Engagement/Distribution Strategy</t>
        </is>
      </c>
      <c r="I24" s="128" t="inlineStr">
        <is>
          <t>https://ascentialcdn.filespin.io/api/v1/conversion/f219a00eceb44153993b72462c35b6bc</t>
        </is>
      </c>
      <c r="J24" s="127" t="inlineStr">
        <is>
          <t>vimeo:1103062284</t>
        </is>
      </c>
      <c r="K24" s="127" t="n"/>
      <c r="L24" s="128" t="inlineStr">
        <is>
          <t>https://www.lovethework.com/work/entries/excuses-bars-762239</t>
        </is>
      </c>
      <c r="M24" s="113" t="inlineStr">
        <is>
          <t>A network of bars positioned near football stadiums in Italy where Heineken invited fans to watch away matches they had used excuses to skip — the bars gave those fans a plausible alibi location while still watching the game live. LePub Milan built the concept around the well-documented habit of football fans inventing reasons to miss matches they'd rather watch from a bar than attend in person.</t>
        </is>
      </c>
      <c r="N24" s="113" t="inlineStr">
        <is>
          <t>beer, alcohol, fan-engagement, bar-activation, sports-marketing, football, soccer, sport, italy, branded-venue, lepub</t>
        </is>
      </c>
    </row>
    <row r="25">
      <c r="A25" s="127" t="n">
        <v>2025</v>
      </c>
      <c r="B25" s="133" t="inlineStr">
        <is>
          <t>Bronze</t>
        </is>
      </c>
      <c r="C25" s="127" t="inlineStr">
        <is>
          <t>Senna's Cut</t>
        </is>
      </c>
      <c r="D25" s="127" t="inlineStr">
        <is>
          <t>Netflix</t>
        </is>
      </c>
      <c r="E25" s="127" t="inlineStr">
        <is>
          <t>Senna</t>
        </is>
      </c>
      <c r="F25" s="127" t="inlineStr">
        <is>
          <t>Monks</t>
        </is>
      </c>
      <c r="G25" s="127" t="inlineStr">
        <is>
          <t>Argentina</t>
        </is>
      </c>
      <c r="H25" s="113" t="inlineStr">
        <is>
          <t>Fan Engagement/Distribution Strategy</t>
        </is>
      </c>
      <c r="I25" s="127" t="inlineStr">
        <is>
          <t>digital-presentation-images/entertainment-lions-for-sport-netflix-sennas-cut.webp</t>
        </is>
      </c>
      <c r="J25" s="127" t="inlineStr">
        <is>
          <t>5lDse7WCVUU</t>
        </is>
      </c>
      <c r="K25" s="127" t="n"/>
      <c r="L25" s="128" t="inlineStr">
        <is>
          <t>https://www.lovethework.com/work/entries/sennas-cut-757380</t>
        </is>
      </c>
      <c r="M25" s="113" t="inlineStr">
        <is>
          <t>A 1-minute-21.314-second edit of Netflix's six-hour Senna biopic, cut to mirror every move of Ayrton Senna's record-breaking 1990 Monaco lap — 19 curves, 50-plus gear changes, 3,337 meters of track, and 2,245 individual clips and layers compressed into the exact lap time. Built by Monks Buenos Aires, it was premiered outside the Netflix platform, broadcast publicly so anyone could watch at Senna's pace.</t>
        </is>
      </c>
      <c r="N25" s="113" t="inlineStr">
        <is>
          <t>streaming, tv, entertainment, film-tv-promotion, video, fan-engagement, motorsport, sport, racing, argentina, editing-craft, social</t>
        </is>
      </c>
    </row>
    <row r="26">
      <c r="A26" s="127" t="n">
        <v>2025</v>
      </c>
      <c r="B26" s="133" t="inlineStr">
        <is>
          <t>Bronze</t>
        </is>
      </c>
      <c r="C26" s="127" t="inlineStr">
        <is>
          <t>The Fan Remote</t>
        </is>
      </c>
      <c r="D26" s="127" t="inlineStr">
        <is>
          <t>Claro</t>
        </is>
      </c>
      <c r="E26" s="127" t="inlineStr">
        <is>
          <t>Claro TV+</t>
        </is>
      </c>
      <c r="F26" s="127" t="inlineStr">
        <is>
          <t>Talent Marcel</t>
        </is>
      </c>
      <c r="G26" s="127" t="inlineStr">
        <is>
          <t>Brazil</t>
        </is>
      </c>
      <c r="H26" s="113" t="inlineStr">
        <is>
          <t>Innovation in Sport</t>
        </is>
      </c>
      <c r="I26" s="128" t="inlineStr">
        <is>
          <t>https://ascentialcdn.filespin.io/api/v1/conversion/4789c727ab0e4e79bc0a89252cc425d9</t>
        </is>
      </c>
      <c r="J26" s="127" t="inlineStr">
        <is>
          <t>vimeo:1081509339</t>
        </is>
      </c>
      <c r="K26" s="127" t="n"/>
      <c r="L26" s="128" t="inlineStr">
        <is>
          <t>https://www.lovethework.com/work/entries/the-fan-remote-757600</t>
        </is>
      </c>
      <c r="M26" s="113" t="inlineStr">
        <is>
          <t>A physical TV remote control produced by Claro TV+ with a dedicated hardware button that locates and tunes directly to a Corinthians match with a single press, regardless of which channel is carrying the broadcast. The button was designed to eliminate the frustration fans face hunting across fragmented sports rights to find where a specific team's game is airing.</t>
        </is>
      </c>
      <c r="N26" s="113" t="inlineStr">
        <is>
          <t>pay-tv, product-design, sports, brazil, remote-control, football, soccer, sport, hardware</t>
        </is>
      </c>
    </row>
    <row r="27">
      <c r="A27" s="127" t="n">
        <v>2025</v>
      </c>
      <c r="B27" s="133" t="inlineStr">
        <is>
          <t>Bronze</t>
        </is>
      </c>
      <c r="C27" s="127" t="inlineStr">
        <is>
          <t>Fields of Glory</t>
        </is>
      </c>
      <c r="D27" s="127" t="inlineStr">
        <is>
          <t>Pilsen Beer</t>
        </is>
      </c>
      <c r="E27" s="127" t="inlineStr">
        <is>
          <t>Pilsen Beer</t>
        </is>
      </c>
      <c r="F27" s="127" t="inlineStr">
        <is>
          <t>Monks</t>
        </is>
      </c>
      <c r="G27" s="127" t="inlineStr">
        <is>
          <t>Colombia</t>
        </is>
      </c>
      <c r="H27" s="113" t="inlineStr">
        <is>
          <t>Brand Partnerships, Sponsorships &amp; Collaborations</t>
        </is>
      </c>
      <c r="I27" s="128" t="inlineStr">
        <is>
          <t>https://ascentialcdn.filespin.io/api/v1/conversion/3c8c2a1d775049aeb067fb493759f83d</t>
        </is>
      </c>
      <c r="J27" s="127" t="inlineStr">
        <is>
          <t>3nAP3n43rok</t>
        </is>
      </c>
      <c r="K27" s="127" t="n"/>
      <c r="L27" s="128" t="inlineStr">
        <is>
          <t>https://www.lovethework.com/work/entries/fields-of-glory-757481</t>
        </is>
      </c>
      <c r="M27" s="113" t="inlineStr">
        <is>
          <t>A biostimulant fertilizer developed with biotech firm Ecosphaira using Pilsen beer's own brewing ingredients — malt, hops, and yeast byproducts — applied to regenerate the degraded pitch at a Colombian football stadium. Pilsen, a long-time sponsor of Colombian football, used the activation to move beyond logo placement and position the brand's ingredients as a functional solution to a visible, emotionally charged problem for fans.</t>
        </is>
      </c>
      <c r="N27" s="113" t="inlineStr">
        <is>
          <t>beer, alcohol, brand-partnership, sports-sponsorship, football, soccer, sport, biotechnology, colombia, experiential, b2b, business</t>
        </is>
      </c>
    </row>
    <row r="28">
      <c r="A28" s="33" t="n">
        <v>2026</v>
      </c>
      <c r="B28" s="167" t="inlineStr">
        <is>
          <t>Grand Prix</t>
        </is>
      </c>
      <c r="C28" s="107" t="inlineStr">
        <is>
          <t>The Thousand Sponsors of Muni</t>
        </is>
      </c>
      <c r="D28" s="33" t="inlineStr">
        <is>
          <t>Club Deportivo Municipal</t>
        </is>
      </c>
      <c r="E28" s="33" t="inlineStr">
        <is>
          <t>Club Deportivo Municipal</t>
        </is>
      </c>
      <c r="F28" s="33" t="inlineStr">
        <is>
          <t>McCann Lima</t>
        </is>
      </c>
      <c r="G28" s="33" t="inlineStr">
        <is>
          <t>Peru</t>
        </is>
      </c>
      <c r="H28" s="33" t="inlineStr">
        <is>
          <t>Brand Partnerships, Sponsorships &amp; Collaborations</t>
        </is>
      </c>
      <c r="I28" s="33" t="inlineStr">
        <is>
          <t>https://ascentialcdn.filespin.io/api/v1/conversion/6d9f46b8091b49698485fd0b422787b4</t>
        </is>
      </c>
      <c r="J28" s="33" t="inlineStr">
        <is>
          <t>tq775MZGE48</t>
        </is>
      </c>
      <c r="L28" s="33" t="inlineStr">
        <is>
          <t>https://www.lovethework.com/work/entries/the-thousand-sponsors-of-muni-792238</t>
        </is>
      </c>
      <c r="M28" s="33" t="inlineStr">
        <is>
          <t>A promotional design idea for Peruvian football club Deportivo Municipal that turns its supporters into sponsors. In place of a single corporate logo, the club's kit and materials carry the names of a thousand fans, redefining who gets to back the team.</t>
        </is>
      </c>
      <c r="N28" s="33" t="inlineStr">
        <is>
          <t>club deportivo municipal, deportivo municipal, football, soccer, sport, peru, promotional, sponsorship, fans, jersey, kit, design, mccann lima</t>
        </is>
      </c>
    </row>
    <row r="29">
      <c r="A29" s="33" t="n">
        <v>2026</v>
      </c>
      <c r="B29" s="164" t="inlineStr">
        <is>
          <t>Gold</t>
        </is>
      </c>
      <c r="C29" s="107" t="inlineStr">
        <is>
          <t>Lucky Fan Index</t>
        </is>
      </c>
      <c r="D29" s="33" t="inlineStr">
        <is>
          <t>Wisła Kraków Football Club</t>
        </is>
      </c>
      <c r="E29" s="33" t="inlineStr">
        <is>
          <t>Wisła Kraków Football Club</t>
        </is>
      </c>
      <c r="F29" s="33" t="inlineStr">
        <is>
          <t>VML</t>
        </is>
      </c>
      <c r="G29" s="33" t="inlineStr">
        <is>
          <t>Poland</t>
        </is>
      </c>
      <c r="H29" s="33" t="inlineStr">
        <is>
          <t>Fan Engagement/Distribution Strategy</t>
        </is>
      </c>
      <c r="I29" s="33" t="inlineStr">
        <is>
          <t>https://ascentialcdn.filespin.io/api/v1/conversion/0c49c9d60a944a37add314890bbff7bb</t>
        </is>
      </c>
      <c r="J29" s="33" t="inlineStr">
        <is>
          <t>vimeo:1182366532</t>
        </is>
      </c>
      <c r="L29" s="33" t="inlineStr">
        <is>
          <t>https://www.lovethework.com/work/entries/lucky-fan-index-792196</t>
        </is>
      </c>
      <c r="M29" s="33" t="inlineStr">
        <is>
          <t>An AI-driven analytical tool for Polish football club Wisła Kraków that quantifies the 'luck' fans bring to the team, mining match and supporter data to turn the intangible feeling of fan influence into a measurable index fans could follow and share.</t>
        </is>
      </c>
      <c r="N29" s="33" t="inlineStr">
        <is>
          <t>wisla krakow, football, soccer, sport, sports, sports club, poland, fans, supporters, ai, technology, artificial intelligence, data storytelling, analytics, data, vml, gold</t>
        </is>
      </c>
    </row>
    <row r="30">
      <c r="A30" s="33" t="n">
        <v>2026</v>
      </c>
      <c r="B30" s="164" t="inlineStr">
        <is>
          <t>Gold</t>
        </is>
      </c>
      <c r="C30" s="107" t="inlineStr">
        <is>
          <t>Resize the Price</t>
        </is>
      </c>
      <c r="D30" s="33" t="inlineStr">
        <is>
          <t>Aguila</t>
        </is>
      </c>
      <c r="E30" s="33" t="inlineStr">
        <is>
          <t>Beer</t>
        </is>
      </c>
      <c r="F30" s="33" t="inlineStr">
        <is>
          <t>David</t>
        </is>
      </c>
      <c r="G30" s="33" t="inlineStr">
        <is>
          <t>Colombia</t>
        </is>
      </c>
      <c r="H30" s="33" t="inlineStr">
        <is>
          <t>Brand Partnerships, Sponsorships &amp; Collaborations</t>
        </is>
      </c>
      <c r="I30" s="33" t="inlineStr">
        <is>
          <t>https://ascentialcdn.filespin.io/api/v1/conversion/87169f0d7c434ec5877ae8c9a5aeab45</t>
        </is>
      </c>
      <c r="J30" s="33" t="inlineStr">
        <is>
          <t>vimeo:1203767931</t>
        </is>
      </c>
      <c r="L30" s="33" t="inlineStr">
        <is>
          <t>https://www.lovethework.com/work/entries/resize-the-price-792889</t>
        </is>
      </c>
      <c r="M30" s="33" t="inlineStr">
        <is>
          <t>A Small-Scale Media Bronze for Águila beer by David, Bogotá and Madrid. Responding to the rising cost of football jerseys in Colombia, the campaign tied the retail price of the shirts to the size of Águila's sponsor logo — shrink the logo, shrink the price.</t>
        </is>
      </c>
      <c r="N30" s="33" t="inlineStr">
        <is>
          <t>aguila, beer, alcohol, drinks, lager, football, soccer, sport, jersey, sponsorship, sports, pricing, retail, small-scale media, colombia, spain, direct, david, gold</t>
        </is>
      </c>
    </row>
    <row r="31">
      <c r="A31" s="33" t="n">
        <v>2026</v>
      </c>
      <c r="B31" s="164" t="inlineStr">
        <is>
          <t>Gold</t>
        </is>
      </c>
      <c r="C31" s="107" t="inlineStr">
        <is>
          <t>CeraVe - The New Face of Legs</t>
        </is>
      </c>
      <c r="D31" s="33" t="inlineStr">
        <is>
          <t>CeraVe</t>
        </is>
      </c>
      <c r="E31" s="33" t="inlineStr">
        <is>
          <t>CeraVe</t>
        </is>
      </c>
      <c r="F31" s="33" t="inlineStr">
        <is>
          <t>L'Oréal + Bolded</t>
        </is>
      </c>
      <c r="G31" s="33" t="inlineStr">
        <is>
          <t>United States</t>
        </is>
      </c>
      <c r="H31" s="33" t="inlineStr">
        <is>
          <t>Use of Humour</t>
        </is>
      </c>
      <c r="I31" s="33" t="inlineStr">
        <is>
          <t>https://ascentialcdn.filespin.io/api/v1/conversion/65f596aa9b584ef18846f7952595fa9b</t>
        </is>
      </c>
      <c r="J31" s="33" t="inlineStr">
        <is>
          <t>vimeo:1205275541</t>
        </is>
      </c>
      <c r="L31" s="33" t="inlineStr">
        <is>
          <t>https://www.lovethework.com/work/entries/cerave-the-new-face-of-legs-792922</t>
        </is>
      </c>
      <c r="M31" s="33" t="inlineStr">
        <is>
          <t>A skincare campaign for CeraVe casting NBA star Kevin Durant as 'The New Face of Legs' after his notably unmoisturised ankles went viral, using humour and a transformation story to position CeraVe as the fix and announce Durant as a brand ambassador.</t>
        </is>
      </c>
      <c r="N31" s="33" t="inlineStr">
        <is>
          <t>cerave, skincare, personal-care, beauty, healthcare, personal care, loreal, kevin durant, nba, basketball, sports, celebrity, humour, legs, united states, beauty co-lab, gold</t>
        </is>
      </c>
    </row>
    <row r="32">
      <c r="A32" s="33" t="n">
        <v>2026</v>
      </c>
      <c r="B32" s="165" t="inlineStr">
        <is>
          <t>Silver</t>
        </is>
      </c>
      <c r="C32" s="107" t="inlineStr">
        <is>
          <t>AXA – Nothing Stops Women’s Rugby</t>
        </is>
      </c>
      <c r="D32" s="33" t="inlineStr">
        <is>
          <t>AXA France</t>
        </is>
      </c>
      <c r="E32" s="33" t="inlineStr">
        <is>
          <t>Partnership AXA x Women’s Rugby</t>
        </is>
      </c>
      <c r="F32" s="33" t="inlineStr">
        <is>
          <t>Publicis Conseil</t>
        </is>
      </c>
      <c r="G32" s="33" t="inlineStr">
        <is>
          <t>France</t>
        </is>
      </c>
      <c r="H32" s="33" t="inlineStr">
        <is>
          <t>Film Series and Audio</t>
        </is>
      </c>
      <c r="I32" s="33" t="inlineStr">
        <is>
          <t>https://ascentialcdn.filespin.io/api/v1/conversion/2a6b2b4859824eca99522c5972d31625</t>
        </is>
      </c>
      <c r="L32" s="33" t="inlineStr">
        <is>
          <t>https://www.lovethework.com/work/entries/axa-nothing-stops-womens-rugby-777707</t>
        </is>
      </c>
      <c r="M32" s="33" t="inlineStr">
        <is>
          <t>A three-minute manifesto film aired on France Télévisions, directed by Julien &amp; Quentin, championing women's rugby as a fight against stereotypes and AXA's stance on women's rights.</t>
        </is>
      </c>
      <c r="N32" s="33" t="inlineStr">
        <is>
          <t>axa, insurance, financial-services, finance, womens rugby, sport, rugby, women, gender, france, editing, publicis conseil, film craft, manifesto</t>
        </is>
      </c>
    </row>
    <row r="33">
      <c r="A33" s="33" t="n">
        <v>2026</v>
      </c>
      <c r="B33" s="165" t="inlineStr">
        <is>
          <t>Silver</t>
        </is>
      </c>
      <c r="C33" s="107" t="inlineStr">
        <is>
          <t>A Mother's Commentary</t>
        </is>
      </c>
      <c r="D33" s="33" t="inlineStr">
        <is>
          <t>Reporters Without Borders (RSF)</t>
        </is>
      </c>
      <c r="E33" s="33" t="inlineStr">
        <is>
          <t>Press Freedom Advocacy</t>
        </is>
      </c>
      <c r="F33" s="33" t="inlineStr">
        <is>
          <t>The Good Company</t>
        </is>
      </c>
      <c r="G33" s="33" t="inlineStr">
        <is>
          <t>France</t>
        </is>
      </c>
      <c r="H33" s="33" t="inlineStr">
        <is>
          <t>Broadcast/Live Streaming</t>
        </is>
      </c>
      <c r="I33" s="33" t="inlineStr">
        <is>
          <t>https://ascentialcdn.filespin.io/api/v1/conversion/e5b4c80d95974dff83d0dba8bc80f740</t>
        </is>
      </c>
      <c r="J33" s="33" t="inlineStr">
        <is>
          <t>a4ZCQDgxW0U</t>
        </is>
      </c>
      <c r="L33" s="33" t="inlineStr">
        <is>
          <t>https://www.lovethework.com/work/entries/a-mothers-commentary-792584</t>
        </is>
      </c>
      <c r="M33" s="33" t="inlineStr">
        <is>
          <t>During a Paris Saint-Germain match on beIN Sports, the broadcast's live commentary cut out at the seventh minute - one minute for each year of his sentence - and was replaced by the voice of Sylvie Godard, mother of detained French sports journalist Christophe Gleizes. She spoke to viewers and then to her son, who can only follow football from his Algerian prison cell, as part of RSF's push for his release.</t>
        </is>
      </c>
      <c r="N33" s="33" t="inlineStr">
        <is>
          <t>non-profit, ngo, not-for-profit, charity, social-good, press-freedom, journalism, human-rights, advocacy, audio, radio, broadcast, entertainment, sports, football, soccer, sport, rsf, france</t>
        </is>
      </c>
    </row>
    <row r="34">
      <c r="A34" s="33" t="n">
        <v>2026</v>
      </c>
      <c r="B34" s="165" t="inlineStr">
        <is>
          <t>Silver</t>
        </is>
      </c>
      <c r="C34" s="107" t="inlineStr">
        <is>
          <t>The Switch Hit by Mikkeller</t>
        </is>
      </c>
      <c r="D34" s="33" t="inlineStr">
        <is>
          <t>Mikkeller &amp; Ugly Half Beer</t>
        </is>
      </c>
      <c r="E34" s="33" t="inlineStr">
        <is>
          <t>Alcoholic Beverage</t>
        </is>
      </c>
      <c r="F34" s="33" t="inlineStr">
        <is>
          <t>Ogilvy</t>
        </is>
      </c>
      <c r="G34" s="33" t="inlineStr">
        <is>
          <t>Chinese Taipei</t>
        </is>
      </c>
      <c r="H34" s="33" t="inlineStr">
        <is>
          <t>Sports Live Experience</t>
        </is>
      </c>
      <c r="I34" s="33" t="inlineStr">
        <is>
          <t>https://ascentialcdn.filespin.io/api/v1/conversion/efcf536147ad45849ec421c413d79f7b</t>
        </is>
      </c>
      <c r="J34" s="33" t="inlineStr">
        <is>
          <t>vimeo:1203778752</t>
        </is>
      </c>
      <c r="L34" s="33" t="inlineStr">
        <is>
          <t>https://www.lovethework.com/work/entries/the-switch-hit-by-mikkeller-777497</t>
        </is>
      </c>
      <c r="M34" s="33" t="inlineStr">
        <is>
          <t>For craft beer brand Mikkeller &amp; Ugly Half Beer, Ogilvy Taipei tapped a superstition among Taiwanese baseball fans who refuse to watch Team Taiwan play live for fear of jinxing them. During the World Baseball Classic, 'The Switch Hit' staged an 'unwatch party' where these fans gathered to watch classic past games instead of the live match.</t>
        </is>
      </c>
      <c r="N34" s="33" t="inlineStr">
        <is>
          <t>mikkeller, ugly half beer, craft beer, beer, alcohol, drinks, beverage, chinese taipei, taiwan, baseball, sport, sports, world baseball classic, superstition, fans, live experience, entertainment, ogilvy, silver</t>
        </is>
      </c>
    </row>
    <row r="35">
      <c r="A35" s="33" t="n">
        <v>2026</v>
      </c>
      <c r="B35" s="165" t="inlineStr">
        <is>
          <t>Silver</t>
        </is>
      </c>
      <c r="C35" s="107" t="inlineStr">
        <is>
          <t>Kyle F*cking Connor</t>
        </is>
      </c>
      <c r="D35" s="33" t="inlineStr">
        <is>
          <t>KFC Canada</t>
        </is>
      </c>
      <c r="E35" s="33" t="inlineStr">
        <is>
          <t>KFC Brand</t>
        </is>
      </c>
      <c r="F35" s="33" t="inlineStr">
        <is>
          <t>Courage</t>
        </is>
      </c>
      <c r="G35" s="33" t="inlineStr">
        <is>
          <t>Canada</t>
        </is>
      </c>
      <c r="H35" s="33" t="inlineStr">
        <is>
          <t>Fan Engagement/Distribution Strategy</t>
        </is>
      </c>
      <c r="I35" s="33" t="inlineStr">
        <is>
          <t>https://ascentialcdn.filespin.io/api/v1/conversion/4be82aa0a3cf460fbb7f0872b0609115</t>
        </is>
      </c>
      <c r="J35" s="33" t="inlineStr">
        <is>
          <t>bSL1iz37-Gg</t>
        </is>
      </c>
      <c r="L35" s="33" t="inlineStr">
        <is>
          <t>https://www.lovethework.com/work/entries/kyle-fcking-connor-779587</t>
        </is>
      </c>
      <c r="M35" s="33" t="inlineStr">
        <is>
          <t>For KFC Canada, Courage turned the shared initials of Winnipeg Jets star Kyle Connor — K.F.C. — into a playoff-hockey ownership play. Tied to the brand's team sponsorship, the campaign claimed the player's 'KFC' nickname and built a limited menu around him, giving the chain an entry point into crowded NHL playoff season that no rival could replicate.</t>
        </is>
      </c>
      <c r="N35" s="33" t="inlineStr">
        <is>
          <t>kfc, kentucky fried chicken, qsr, fast-food, restaurant, food, fast food, chicken, canada, hockey, nhl, kyle connor, winnipeg jets, sports sponsorship, single market, public relations, pr, courage, silver</t>
        </is>
      </c>
    </row>
    <row r="36">
      <c r="A36" s="33" t="n">
        <v>2026</v>
      </c>
      <c r="B36" s="165" t="inlineStr">
        <is>
          <t>Silver</t>
        </is>
      </c>
      <c r="C36" s="107" t="inlineStr">
        <is>
          <t>CeraVe - The New Face of Legs</t>
        </is>
      </c>
      <c r="D36" s="33" t="inlineStr">
        <is>
          <t>CeraVe</t>
        </is>
      </c>
      <c r="E36" s="33" t="inlineStr">
        <is>
          <t>CeraVe</t>
        </is>
      </c>
      <c r="F36" s="33" t="inlineStr">
        <is>
          <t>L'Oréal + Bolded</t>
        </is>
      </c>
      <c r="G36" s="33" t="inlineStr">
        <is>
          <t>United States</t>
        </is>
      </c>
      <c r="H36" s="33" t="inlineStr">
        <is>
          <t>Partnerships with Sports Talent</t>
        </is>
      </c>
      <c r="I36" s="33" t="inlineStr">
        <is>
          <t>https://ascentialcdn.filespin.io/api/v1/conversion/65f596aa9b584ef18846f7952595fa9b</t>
        </is>
      </c>
      <c r="J36" s="33" t="inlineStr">
        <is>
          <t>vimeo:1205275541</t>
        </is>
      </c>
      <c r="L36" s="33" t="inlineStr">
        <is>
          <t>https://www.lovethework.com/work/entries/cerave-the-new-face-of-legs-792897</t>
        </is>
      </c>
      <c r="M36" s="33" t="inlineStr">
        <is>
          <t>A skincare campaign for CeraVe casting NBA star Kevin Durant as 'The New Face of Legs' after his notably unmoisturised ankles went viral, using humour and a transformation story to position CeraVe as the fix and announce Durant as a brand ambassador.</t>
        </is>
      </c>
      <c r="N36" s="33" t="inlineStr">
        <is>
          <t>cerave, skincare, personal-care, beauty, healthcare, personal care, loreal, kevin durant, nba, basketball, sports, celebrity, humour, legs, united states, beauty co-lab, silver</t>
        </is>
      </c>
    </row>
    <row r="37">
      <c r="A37" s="33" t="n">
        <v>2026</v>
      </c>
      <c r="B37" s="165" t="inlineStr">
        <is>
          <t>Silver</t>
        </is>
      </c>
      <c r="C37" s="107" t="inlineStr">
        <is>
          <t>Supernova Adaptive</t>
        </is>
      </c>
      <c r="D37" s="33" t="inlineStr">
        <is>
          <t>Adidas</t>
        </is>
      </c>
      <c r="E37" s="33" t="inlineStr">
        <is>
          <t>Adidas</t>
        </is>
      </c>
      <c r="F37" s="33" t="inlineStr">
        <is>
          <t>TBWA\Canada</t>
        </is>
      </c>
      <c r="G37" s="33" t="inlineStr">
        <is>
          <t>Canada</t>
        </is>
      </c>
      <c r="H37" s="33" t="inlineStr">
        <is>
          <t>Diversity &amp; Inclusion in Sport</t>
        </is>
      </c>
      <c r="I37" s="33" t="inlineStr">
        <is>
          <t>https://ascentialcdn.filespin.io/api/v1/conversion/1e629829a1314891907fcdf2e45ced1c</t>
        </is>
      </c>
      <c r="J37" s="33" t="inlineStr">
        <is>
          <t>vimeo:1203657943</t>
        </is>
      </c>
      <c r="L37" s="33" t="inlineStr">
        <is>
          <t>https://www.lovethework.com/work/entries/supernova-adaptive-778654</t>
        </is>
      </c>
      <c r="M37" s="33" t="inlineStr">
        <is>
          <t>An adaptive running shoe designed by Adidas for runners with disabilities, reengineering the Supernova for easier, more independent entry and a secure fit without compromising performance — bringing inclusive design to mainstream running footwear.</t>
        </is>
      </c>
      <c r="N37" s="33" t="inlineStr">
        <is>
          <t>adidas, supernova, running shoe, footwear, sportswear, product design, adaptive, inclusive design, accessibility, disability, sport, tbwa canada, canada</t>
        </is>
      </c>
    </row>
    <row r="38">
      <c r="A38" s="33" t="n">
        <v>2026</v>
      </c>
      <c r="B38" s="166" t="inlineStr">
        <is>
          <t>Bronze</t>
        </is>
      </c>
      <c r="C38" s="107" t="inlineStr">
        <is>
          <t>Curfew Hostels</t>
        </is>
      </c>
      <c r="D38" s="33" t="inlineStr">
        <is>
          <t>Tiger Beer</t>
        </is>
      </c>
      <c r="E38" s="33" t="inlineStr">
        <is>
          <t>Tiger Beer</t>
        </is>
      </c>
      <c r="F38" s="33" t="inlineStr">
        <is>
          <t>LePub</t>
        </is>
      </c>
      <c r="G38" s="33" t="inlineStr">
        <is>
          <t>Singapore</t>
        </is>
      </c>
      <c r="H38" s="33" t="inlineStr">
        <is>
          <t>Sports Live Experience</t>
        </is>
      </c>
      <c r="I38" s="33" t="inlineStr">
        <is>
          <t>https://ascentialcdn.filespin.io/api/v1/conversion/8fae71e4582f43ecb75b5a5384142cc6</t>
        </is>
      </c>
      <c r="J38" s="33" t="inlineStr">
        <is>
          <t>NgC64fRa9j4</t>
        </is>
      </c>
      <c r="L38" s="33" t="inlineStr">
        <is>
          <t>https://www.lovethework.com/work/entries/curfew-hostels-792850</t>
        </is>
      </c>
      <c r="M38" s="33" t="inlineStr">
        <is>
          <t>For Tiger Beer, LePub Singapore created Curfew Hostels in Myanmar, where a nighttime curfew kept football fans from gathering to watch late-airing matches. The brand set up hostels where supporters could stay overnight together and watch the games without breaking curfew.</t>
        </is>
      </c>
      <c r="N38" s="33" t="inlineStr">
        <is>
          <t>tiger beer, beer, alcohol, drinks, beverage, fmcg, singapore, myanmar, football, soccer, sport, sports, curfew, fans, live experience, entertainment, lepub, bronze</t>
        </is>
      </c>
    </row>
    <row r="39">
      <c r="A39" s="33" t="n">
        <v>2026</v>
      </c>
      <c r="B39" s="166" t="inlineStr">
        <is>
          <t>Bronze</t>
        </is>
      </c>
      <c r="C39" s="107" t="inlineStr">
        <is>
          <t>Fragmental Medal</t>
        </is>
      </c>
      <c r="D39" s="33" t="inlineStr">
        <is>
          <t>Gatorade</t>
        </is>
      </c>
      <c r="E39" s="33" t="inlineStr">
        <is>
          <t>Beverages</t>
        </is>
      </c>
      <c r="F39" s="33" t="inlineStr">
        <is>
          <t>Tombras</t>
        </is>
      </c>
      <c r="G39" s="33" t="inlineStr">
        <is>
          <t>Argentina</t>
        </is>
      </c>
      <c r="H39" s="33" t="inlineStr">
        <is>
          <t>Sports Live Experience</t>
        </is>
      </c>
      <c r="I39" s="33" t="inlineStr">
        <is>
          <t>https://ascentialcdn.filespin.io/api/v1/conversion/0f9b1cc683f04ba18ecb6dbf0c2fb361</t>
        </is>
      </c>
      <c r="J39" s="33" t="inlineStr">
        <is>
          <t>sAJ2MBpqQWc</t>
        </is>
      </c>
      <c r="L39" s="33" t="inlineStr">
        <is>
          <t>https://www.lovethework.com/work/entries/fragmental-medal-792851</t>
        </is>
      </c>
      <c r="M39" s="33" t="inlineStr">
        <is>
          <t>For Gatorade, Tombras Buenos Aires created 'Fragmental Medal,' a sports live experience built around the symbolism of the athlete's medal.</t>
        </is>
      </c>
      <c r="N39" s="33" t="inlineStr">
        <is>
          <t>gatorade, sports drink, beverage, drinks, pepsico, argentina, sport, sports, athletes, medal, live experience, entertainment, tombras, bronze</t>
        </is>
      </c>
    </row>
    <row r="40">
      <c r="A40" s="33" t="n">
        <v>2026</v>
      </c>
      <c r="B40" s="166" t="inlineStr">
        <is>
          <t>Bronze</t>
        </is>
      </c>
      <c r="C40" s="107" t="inlineStr">
        <is>
          <t>Jell-Ometer</t>
        </is>
      </c>
      <c r="D40" s="33" t="inlineStr">
        <is>
          <t>Jell-O</t>
        </is>
      </c>
      <c r="E40" s="33" t="inlineStr">
        <is>
          <t>Jell-O</t>
        </is>
      </c>
      <c r="F40" s="33" t="inlineStr">
        <is>
          <t>GUT</t>
        </is>
      </c>
      <c r="G40" s="33" t="inlineStr">
        <is>
          <t>United States</t>
        </is>
      </c>
      <c r="H40" s="33" t="inlineStr">
        <is>
          <t>Sports Live Experience</t>
        </is>
      </c>
      <c r="I40" s="33" t="inlineStr">
        <is>
          <t>https://ascentialcdn.filespin.io/api/v1/conversion/6fc1c88e4c3342b38d0b7adcbfb1977c</t>
        </is>
      </c>
      <c r="J40" s="33" t="inlineStr">
        <is>
          <t>vimeo:1187941041</t>
        </is>
      </c>
      <c r="L40" s="33" t="inlineStr">
        <is>
          <t>https://www.lovethework.com/work/entries/jell-ometer-792958</t>
        </is>
      </c>
      <c r="M40" s="33" t="inlineStr">
        <is>
          <t>For Jell-O, GUT Miami built the Jell-Ometer, a first-of-its-kind device that turns crowd noise, movement and excitement at live sports events into a real-time metric of fan intensity measured in 'Jell-O Jiggles.' Fans could request the device be brought to their stadium via the brand's social channels.</t>
        </is>
      </c>
      <c r="N40" s="33" t="inlineStr">
        <is>
          <t>jell-o, jello, dessert, food, kraft heinz, fmcg, united states, sport, sports, fans, stadium, device, measurement, live experience, entertainment, gut, bronze</t>
        </is>
      </c>
    </row>
    <row r="41">
      <c r="A41" s="33" t="n">
        <v>2026</v>
      </c>
      <c r="B41" s="166" t="inlineStr">
        <is>
          <t>Bronze</t>
        </is>
      </c>
      <c r="C41" s="107" t="inlineStr">
        <is>
          <t>Missing Managers</t>
        </is>
      </c>
      <c r="D41" s="33" t="inlineStr">
        <is>
          <t>Xbox</t>
        </is>
      </c>
      <c r="E41" s="33" t="inlineStr">
        <is>
          <t>Football Manager 2026 Launch</t>
        </is>
      </c>
      <c r="F41" s="33" t="inlineStr">
        <is>
          <t>McCann London</t>
        </is>
      </c>
      <c r="G41" s="33" t="inlineStr">
        <is>
          <t>United Kingdom</t>
        </is>
      </c>
      <c r="H41" s="33" t="inlineStr">
        <is>
          <t>Esports &amp; Gaming</t>
        </is>
      </c>
      <c r="I41" s="33" t="inlineStr">
        <is>
          <t>https://ascentialcdn.filespin.io/api/v1/conversion/3a2204c0125246989fe529eec864ec80</t>
        </is>
      </c>
      <c r="J41" s="33" t="inlineStr">
        <is>
          <t>Z7zomJ1eVSw</t>
        </is>
      </c>
      <c r="L41" s="33" t="inlineStr">
        <is>
          <t>https://www.lovethework.com/work/entries/missing-managers-792186</t>
        </is>
      </c>
      <c r="M41" s="33" t="inlineStr">
        <is>
          <t>To launch Football Manager 2026, McCann London and Xbox confronted the absence of women in football coaching. 'Missing Managers' used the game to back real women aspiring to manage, pairing the launch with a multi-year programme leading to genuine coaching certification and supported by Sky Sports, to show gaming can open doors in the real sport.</t>
        </is>
      </c>
      <c r="N41" s="33" t="inlineStr">
        <is>
          <t>xbox, microsoft, football manager, gaming, video-games, entertainment, video games, games, united kingdom, women, football, soccer, sport, coaching, gender gap, corporate purpose, social responsibility, public relations, pr, mccann, bronze</t>
        </is>
      </c>
    </row>
    <row r="42">
      <c r="A42" s="33" t="n">
        <v>2026</v>
      </c>
      <c r="B42" s="166" t="inlineStr">
        <is>
          <t>Bronze</t>
        </is>
      </c>
      <c r="C42" s="107" t="inlineStr">
        <is>
          <t>Dirt Is Glory</t>
        </is>
      </c>
      <c r="D42" s="33" t="inlineStr">
        <is>
          <t>OMO (Dirt is Good)</t>
        </is>
      </c>
      <c r="E42" s="33" t="inlineStr">
        <is>
          <t>OMO</t>
        </is>
      </c>
      <c r="F42" s="33" t="inlineStr">
        <is>
          <t>Frank + Drum + MullenLowe Design Studio + Area 23 + Unilever</t>
        </is>
      </c>
      <c r="G42" s="33" t="inlineStr">
        <is>
          <t>United Kingdom</t>
        </is>
      </c>
      <c r="H42" s="33" t="inlineStr">
        <is>
          <t>Influencer &amp; Co-Creation</t>
        </is>
      </c>
      <c r="I42" s="33" t="inlineStr">
        <is>
          <t>https://ascentialcdn.filespin.io/api/v1/conversion/929bbc31458248dca736c94984471ff4</t>
        </is>
      </c>
      <c r="J42" s="33" t="inlineStr">
        <is>
          <t>vimeo:1185869830</t>
        </is>
      </c>
      <c r="L42" s="33" t="inlineStr">
        <is>
          <t>https://www.lovethework.com/work/entries/dirt-is-glory-793104</t>
        </is>
      </c>
      <c r="M42" s="33" t="inlineStr">
        <is>
          <t>For laundry brand Dirt is Good (OMO), a content series co-created with Arsenal FC and Brazilian creator Kondzilla followed eight amateur Brazilian teams united by their love of Arsenal as they competed in the OMO Varzenal Cup for the chance to play their final in London.</t>
        </is>
      </c>
      <c r="N42" s="33" t="inlineStr">
        <is>
          <t>omo, dirt is good, unilever, laundry, detergent, fmcg, cleaning, united kingdom, brazil, football, soccer, sport, arsenal, kondzilla, amateur, co-creation, influencer, entertainment, frank, bronze</t>
        </is>
      </c>
    </row>
    <row r="43">
      <c r="A43" s="33" t="n">
        <v>2026</v>
      </c>
      <c r="B43" s="166" t="inlineStr">
        <is>
          <t>Bronze</t>
        </is>
      </c>
      <c r="C43" s="107" t="inlineStr">
        <is>
          <t>The Triangle Theory</t>
        </is>
      </c>
      <c r="D43" s="33" t="inlineStr">
        <is>
          <t>Doritos</t>
        </is>
      </c>
      <c r="E43" s="33" t="inlineStr">
        <is>
          <t>Doritos</t>
        </is>
      </c>
      <c r="F43" s="33" t="inlineStr">
        <is>
          <t>AlmapBBDO</t>
        </is>
      </c>
      <c r="G43" s="33" t="inlineStr">
        <is>
          <t>Brazil</t>
        </is>
      </c>
      <c r="H43" s="33" t="inlineStr">
        <is>
          <t>Partnerships with Sports Talent</t>
        </is>
      </c>
      <c r="I43" s="33" t="inlineStr">
        <is>
          <t>https://ascentialcdn.filespin.io/api/v1/conversion/be0b7d9b1a1d409f9ba09da2a96a545e</t>
        </is>
      </c>
      <c r="J43" s="33" t="inlineStr">
        <is>
          <t>vimeo:1195946969</t>
        </is>
      </c>
      <c r="L43" s="33" t="inlineStr">
        <is>
          <t>https://www.lovethework.com/work/entries/the-triangle-theory-792257</t>
        </is>
      </c>
      <c r="M43" s="33" t="inlineStr">
        <is>
          <t>For Doritos, AlmapBBDO built 'The Triangle Theory' around the chip's signature triangular shape, partnering with talent to spin a playful theory that connects the brand's icon to culture.</t>
        </is>
      </c>
      <c r="N43" s="33" t="inlineStr">
        <is>
          <t>doritos, snacks, chips, crisps, food, fmcg, pepsico, brazil, talent, partnership, humour, triangle, culture, entertainment, almapbbdo, bronze</t>
        </is>
      </c>
    </row>
    <row r="44">
      <c r="A44" s="33" t="n">
        <v>2026</v>
      </c>
      <c r="B44" s="166" t="inlineStr">
        <is>
          <t>Bronze</t>
        </is>
      </c>
      <c r="C44" s="107" t="inlineStr">
        <is>
          <t>Two-Way Deal</t>
        </is>
      </c>
      <c r="D44" s="33" t="inlineStr">
        <is>
          <t>Clash of Clans</t>
        </is>
      </c>
      <c r="E44" s="33" t="inlineStr">
        <is>
          <t>Clash of Clans</t>
        </is>
      </c>
      <c r="F44" s="33" t="inlineStr">
        <is>
          <t>David</t>
        </is>
      </c>
      <c r="G44" s="33" t="inlineStr">
        <is>
          <t>United States</t>
        </is>
      </c>
      <c r="H44" s="33" t="inlineStr">
        <is>
          <t>Partnerships with Sports Talent</t>
        </is>
      </c>
      <c r="I44" s="33" t="inlineStr">
        <is>
          <t>https://ascentialcdn.filespin.io/api/v1/conversion/8c9b591de16b44b483c01b1eb71e5f50</t>
        </is>
      </c>
      <c r="J44" s="33" t="inlineStr">
        <is>
          <t>vimeo:1168852605</t>
        </is>
      </c>
      <c r="L44" s="33" t="inlineStr">
        <is>
          <t>https://www.lovethework.com/work/entries/two-way-deal-792890</t>
        </is>
      </c>
      <c r="M44" s="33" t="inlineStr">
        <is>
          <t>For mobile game Clash of Clans, DAVID New York signed NFL rookie Travis Hunter to the first-ever 'two-way deal' in the game's history, mirroring his real two-way role on the field by giving him a presence on both sides of the game and turning a viral NFL Draft moment into a real-time talent partnership.</t>
        </is>
      </c>
      <c r="N44" s="33" t="inlineStr">
        <is>
          <t>clash of clans, supercell, mobile game, gaming, video-games, entertainment, united states, nfl, football, soccer, sport, american football, travis hunter, talent, partnership, david, bronze</t>
        </is>
      </c>
    </row>
    <row r="45">
      <c r="A45" s="33" t="n">
        <v>2026</v>
      </c>
      <c r="B45" s="166" t="inlineStr">
        <is>
          <t>Bronze</t>
        </is>
      </c>
      <c r="C45" s="107" t="inlineStr">
        <is>
          <t>Game On Ball</t>
        </is>
      </c>
      <c r="D45" s="33" t="inlineStr">
        <is>
          <t>True Hockey</t>
        </is>
      </c>
      <c r="E45" s="33" t="inlineStr">
        <is>
          <t>True Hockey Ball</t>
        </is>
      </c>
      <c r="F45" s="33" t="inlineStr">
        <is>
          <t>Dentsu Creative</t>
        </is>
      </c>
      <c r="G45" s="33" t="inlineStr">
        <is>
          <t>Canada</t>
        </is>
      </c>
      <c r="H45" s="33" t="inlineStr">
        <is>
          <t>Social Behaviour</t>
        </is>
      </c>
      <c r="I45" s="33" t="inlineStr">
        <is>
          <t>https://ascentialcdn.filespin.io/api/v1/conversion/d4c63aa0c937443090a0260bd63eac20</t>
        </is>
      </c>
      <c r="J45" s="33" t="inlineStr">
        <is>
          <t>vimeo:1200437924</t>
        </is>
      </c>
      <c r="L45" s="33" t="inlineStr">
        <is>
          <t>https://www.lovethework.com/work/entries/game-on-ball-792293</t>
        </is>
      </c>
      <c r="M45" s="33" t="inlineStr">
        <is>
          <t>For hockey brand True Hockey, Dentsu Creative Canada built 'Game On Ball,' a prototype street-hockey ball that signals navigation apps a street is in use. When played with, the ball simulates a traffic jam so routing algorithms redirect drivers away from residential streets, reclaiming road space for Canadian street hockey.</t>
        </is>
      </c>
      <c r="N45" s="33" t="inlineStr">
        <is>
          <t>true hockey, hockey, street hockey, sporting goods, sports equipment, sport, canada, navigation, technology, traffic, social behaviour, play, product innovation, entertainment, dentsu creative, bronze</t>
        </is>
      </c>
    </row>
    <row r="46">
      <c r="A46" s="33" t="n">
        <v>2026</v>
      </c>
      <c r="B46" s="166" t="inlineStr">
        <is>
          <t>Bronze</t>
        </is>
      </c>
      <c r="C46" s="107" t="inlineStr">
        <is>
          <t>Fair Play</t>
        </is>
      </c>
      <c r="D46" s="33" t="inlineStr">
        <is>
          <t>Ministério Público do Distrito Federal</t>
        </is>
      </c>
      <c r="E46" s="33" t="inlineStr">
        <is>
          <t>Fair Play</t>
        </is>
      </c>
      <c r="F46" s="33" t="inlineStr">
        <is>
          <t>Ogilvy Health</t>
        </is>
      </c>
      <c r="G46" s="33" t="inlineStr">
        <is>
          <t>United States</t>
        </is>
      </c>
      <c r="H46" s="33" t="inlineStr">
        <is>
          <t>Social Behaviour</t>
        </is>
      </c>
      <c r="I46" s="33" t="inlineStr">
        <is>
          <t>https://ascentialcdn.filespin.io/api/v1/conversion/d482281e84fd4e5184d263e19a5e12c2</t>
        </is>
      </c>
      <c r="J46" s="33" t="inlineStr">
        <is>
          <t>ukSi-EQd5Ao</t>
        </is>
      </c>
      <c r="L46" s="33" t="inlineStr">
        <is>
          <t>https://www.lovethework.com/work/entries/fair-play-792914</t>
        </is>
      </c>
      <c r="M46" s="33" t="inlineStr">
        <is>
          <t>For Brazil's Public Prosecutor's Office of the Federal District (MPDFT), Ogilvy Health built 'Fair Play,' an AI 'digital prosecutor' trained on Brazilian and international law that lets people paste a potentially racist or hateful post and receive an analysis of whether it constitutes hate speech, with the option to refer the case to authorities — applied to the racism that surfaces around sport.</t>
        </is>
      </c>
      <c r="N46" s="33" t="inlineStr">
        <is>
          <t>mpdft, public prosecutor, government, public sector, justice, brazil, racism, hate speech, sport, sports, football, soccer, ai, technology, artificial intelligence, social behaviour, entertainment, ogilvy health, bronze</t>
        </is>
      </c>
    </row>
    <row r="47">
      <c r="A47" s="33" t="n">
        <v>2026</v>
      </c>
      <c r="B47" s="166" t="inlineStr">
        <is>
          <t>Bronze</t>
        </is>
      </c>
      <c r="C47" s="107" t="inlineStr">
        <is>
          <t>Discount Chants</t>
        </is>
      </c>
      <c r="D47" s="33" t="inlineStr">
        <is>
          <t>Mercado Libre</t>
        </is>
      </c>
      <c r="E47" s="33" t="inlineStr">
        <is>
          <t>Mercado Libre</t>
        </is>
      </c>
      <c r="F47" s="33" t="inlineStr">
        <is>
          <t>GUT</t>
        </is>
      </c>
      <c r="G47" s="33" t="inlineStr">
        <is>
          <t>Argentina</t>
        </is>
      </c>
      <c r="H47" s="33" t="inlineStr">
        <is>
          <t>Social Behaviour</t>
        </is>
      </c>
      <c r="I47" s="33" t="inlineStr">
        <is>
          <t>https://ascentialcdn.filespin.io/api/v1/conversion/6f517e3917a04fb19738c49af7c9f4c2</t>
        </is>
      </c>
      <c r="J47" s="33" t="inlineStr">
        <is>
          <t>k2JGGB1tPEA</t>
        </is>
      </c>
      <c r="L47" s="33" t="inlineStr">
        <is>
          <t>https://www.lovethework.com/work/entries/discount-chants-792965</t>
        </is>
      </c>
      <c r="M47" s="33" t="inlineStr">
        <is>
          <t>Mercado Libre turned the chants of football crowds into a live discount mechanic, with dynamic digital screens responding to fans' chanting to unlock deals during matches.</t>
        </is>
      </c>
      <c r="N47" s="33" t="inlineStr">
        <is>
          <t>mercado libre, ecommerce, retail, online-shopping, marketplace, football, soccer, sport, sports, digital screens, dooh, interactive, gut, argentina</t>
        </is>
      </c>
    </row>
    <row r="48">
      <c r="A48" s="33" t="n">
        <v>2026</v>
      </c>
      <c r="B48" s="166" t="inlineStr">
        <is>
          <t>Bronze</t>
        </is>
      </c>
      <c r="C48" s="107" t="inlineStr">
        <is>
          <t>Marseille C'est Nous.</t>
        </is>
      </c>
      <c r="D48" s="33" t="inlineStr">
        <is>
          <t>Puma</t>
        </is>
      </c>
      <c r="E48" s="33" t="inlineStr">
        <is>
          <t>Olympique de Marseille</t>
        </is>
      </c>
      <c r="F48" s="33" t="inlineStr">
        <is>
          <t>Way Agency</t>
        </is>
      </c>
      <c r="G48" s="33" t="inlineStr">
        <is>
          <t>France</t>
        </is>
      </c>
      <c r="H48" s="33" t="inlineStr">
        <is>
          <t>Cultural Engagement</t>
        </is>
      </c>
      <c r="I48" s="33" t="inlineStr">
        <is>
          <t>https://ascentialcdn.filespin.io/api/v1/conversion/25e445cbb56a41c8aa3dd5cb44764313</t>
        </is>
      </c>
      <c r="J48" s="33" t="inlineStr">
        <is>
          <t>8aVYID0-at8</t>
        </is>
      </c>
      <c r="L48" s="33" t="inlineStr">
        <is>
          <t>https://www.lovethework.com/work/entries/marseille-cest-nous-776572</t>
        </is>
      </c>
      <c r="M48" s="33" t="inlineStr">
        <is>
          <t>For Puma and football club Olympique de Marseille, Way Agency created 'Marseille c'est nous,' a kit and cultural platform celebrating the city's identity and its fans' deep bond with the club.</t>
        </is>
      </c>
      <c r="N48" s="33" t="inlineStr">
        <is>
          <t>puma, sportswear, apparel, footwear, football, soccer, sport, olympique de marseille, marseille, france, kit, jersey, fans, culture, cultural engagement, entertainment, way agency, bronze</t>
        </is>
      </c>
    </row>
  </sheetData>
  <autoFilter ref="A1:N27"/>
  <hyperlinks>
    <hyperlink xmlns:r="http://schemas.openxmlformats.org/officeDocument/2006/relationships" ref="I2" r:id="rId1"/>
    <hyperlink xmlns:r="http://schemas.openxmlformats.org/officeDocument/2006/relationships" ref="L2" r:id="rId2"/>
    <hyperlink xmlns:r="http://schemas.openxmlformats.org/officeDocument/2006/relationships" ref="I3" r:id="rId3"/>
    <hyperlink xmlns:r="http://schemas.openxmlformats.org/officeDocument/2006/relationships" ref="L3" r:id="rId4"/>
    <hyperlink xmlns:r="http://schemas.openxmlformats.org/officeDocument/2006/relationships" ref="I4" r:id="rId5"/>
    <hyperlink xmlns:r="http://schemas.openxmlformats.org/officeDocument/2006/relationships" ref="L4" r:id="rId6"/>
    <hyperlink xmlns:r="http://schemas.openxmlformats.org/officeDocument/2006/relationships" ref="L5" r:id="rId7"/>
    <hyperlink xmlns:r="http://schemas.openxmlformats.org/officeDocument/2006/relationships" ref="I6" r:id="rId8"/>
    <hyperlink xmlns:r="http://schemas.openxmlformats.org/officeDocument/2006/relationships" ref="L6" r:id="rId9"/>
    <hyperlink xmlns:r="http://schemas.openxmlformats.org/officeDocument/2006/relationships" ref="L7" r:id="rId10"/>
    <hyperlink xmlns:r="http://schemas.openxmlformats.org/officeDocument/2006/relationships" ref="I8" r:id="rId11"/>
    <hyperlink xmlns:r="http://schemas.openxmlformats.org/officeDocument/2006/relationships" ref="L8" r:id="rId12"/>
    <hyperlink xmlns:r="http://schemas.openxmlformats.org/officeDocument/2006/relationships" ref="I9" r:id="rId13"/>
    <hyperlink xmlns:r="http://schemas.openxmlformats.org/officeDocument/2006/relationships" ref="L9" r:id="rId14"/>
    <hyperlink xmlns:r="http://schemas.openxmlformats.org/officeDocument/2006/relationships" ref="I10" r:id="rId15"/>
    <hyperlink xmlns:r="http://schemas.openxmlformats.org/officeDocument/2006/relationships" ref="L10" r:id="rId16"/>
    <hyperlink xmlns:r="http://schemas.openxmlformats.org/officeDocument/2006/relationships" ref="I11" r:id="rId17"/>
    <hyperlink xmlns:r="http://schemas.openxmlformats.org/officeDocument/2006/relationships" ref="L11" r:id="rId18"/>
    <hyperlink xmlns:r="http://schemas.openxmlformats.org/officeDocument/2006/relationships" ref="I12" r:id="rId19"/>
    <hyperlink xmlns:r="http://schemas.openxmlformats.org/officeDocument/2006/relationships" ref="L12" r:id="rId20"/>
    <hyperlink xmlns:r="http://schemas.openxmlformats.org/officeDocument/2006/relationships" ref="L13" r:id="rId21"/>
    <hyperlink xmlns:r="http://schemas.openxmlformats.org/officeDocument/2006/relationships" ref="I14" r:id="rId22"/>
    <hyperlink xmlns:r="http://schemas.openxmlformats.org/officeDocument/2006/relationships" ref="L14" r:id="rId23"/>
    <hyperlink xmlns:r="http://schemas.openxmlformats.org/officeDocument/2006/relationships" ref="I15" r:id="rId24"/>
    <hyperlink xmlns:r="http://schemas.openxmlformats.org/officeDocument/2006/relationships" ref="L15" r:id="rId25"/>
    <hyperlink xmlns:r="http://schemas.openxmlformats.org/officeDocument/2006/relationships" ref="I16" r:id="rId26"/>
    <hyperlink xmlns:r="http://schemas.openxmlformats.org/officeDocument/2006/relationships" ref="L16" r:id="rId27"/>
    <hyperlink xmlns:r="http://schemas.openxmlformats.org/officeDocument/2006/relationships" ref="I17" r:id="rId28"/>
    <hyperlink xmlns:r="http://schemas.openxmlformats.org/officeDocument/2006/relationships" ref="L17" r:id="rId29"/>
    <hyperlink xmlns:r="http://schemas.openxmlformats.org/officeDocument/2006/relationships" ref="I18" r:id="rId30"/>
    <hyperlink xmlns:r="http://schemas.openxmlformats.org/officeDocument/2006/relationships" ref="L18" r:id="rId31"/>
    <hyperlink xmlns:r="http://schemas.openxmlformats.org/officeDocument/2006/relationships" ref="I19" r:id="rId32"/>
    <hyperlink xmlns:r="http://schemas.openxmlformats.org/officeDocument/2006/relationships" ref="L19" r:id="rId33"/>
    <hyperlink xmlns:r="http://schemas.openxmlformats.org/officeDocument/2006/relationships" ref="I20" r:id="rId34"/>
    <hyperlink xmlns:r="http://schemas.openxmlformats.org/officeDocument/2006/relationships" ref="L20" r:id="rId35"/>
    <hyperlink xmlns:r="http://schemas.openxmlformats.org/officeDocument/2006/relationships" ref="I21" r:id="rId36"/>
    <hyperlink xmlns:r="http://schemas.openxmlformats.org/officeDocument/2006/relationships" ref="L21" r:id="rId37"/>
    <hyperlink xmlns:r="http://schemas.openxmlformats.org/officeDocument/2006/relationships" ref="I22" r:id="rId38"/>
    <hyperlink xmlns:r="http://schemas.openxmlformats.org/officeDocument/2006/relationships" ref="L22" r:id="rId39"/>
    <hyperlink xmlns:r="http://schemas.openxmlformats.org/officeDocument/2006/relationships" ref="I23" r:id="rId40"/>
    <hyperlink xmlns:r="http://schemas.openxmlformats.org/officeDocument/2006/relationships" ref="L23" r:id="rId41"/>
    <hyperlink xmlns:r="http://schemas.openxmlformats.org/officeDocument/2006/relationships" ref="I24" r:id="rId42"/>
    <hyperlink xmlns:r="http://schemas.openxmlformats.org/officeDocument/2006/relationships" ref="L24" r:id="rId43"/>
    <hyperlink xmlns:r="http://schemas.openxmlformats.org/officeDocument/2006/relationships" ref="L25" r:id="rId44"/>
    <hyperlink xmlns:r="http://schemas.openxmlformats.org/officeDocument/2006/relationships" ref="I26" r:id="rId45"/>
    <hyperlink xmlns:r="http://schemas.openxmlformats.org/officeDocument/2006/relationships" ref="L26" r:id="rId46"/>
    <hyperlink xmlns:r="http://schemas.openxmlformats.org/officeDocument/2006/relationships" ref="I27" r:id="rId47"/>
    <hyperlink xmlns:r="http://schemas.openxmlformats.org/officeDocument/2006/relationships" ref="L27" r:id="rId48"/>
    <hyperlink xmlns:r="http://schemas.openxmlformats.org/officeDocument/2006/relationships" ref="I28" r:id="rId49"/>
    <hyperlink xmlns:r="http://schemas.openxmlformats.org/officeDocument/2006/relationships" ref="L28" r:id="rId50"/>
    <hyperlink xmlns:r="http://schemas.openxmlformats.org/officeDocument/2006/relationships" ref="I29" r:id="rId51"/>
    <hyperlink xmlns:r="http://schemas.openxmlformats.org/officeDocument/2006/relationships" ref="L29" r:id="rId52"/>
    <hyperlink xmlns:r="http://schemas.openxmlformats.org/officeDocument/2006/relationships" ref="I30" r:id="rId53"/>
    <hyperlink xmlns:r="http://schemas.openxmlformats.org/officeDocument/2006/relationships" ref="L30" r:id="rId54"/>
    <hyperlink xmlns:r="http://schemas.openxmlformats.org/officeDocument/2006/relationships" ref="I31" r:id="rId55"/>
    <hyperlink xmlns:r="http://schemas.openxmlformats.org/officeDocument/2006/relationships" ref="L31" r:id="rId56"/>
    <hyperlink xmlns:r="http://schemas.openxmlformats.org/officeDocument/2006/relationships" ref="I32" r:id="rId57"/>
    <hyperlink xmlns:r="http://schemas.openxmlformats.org/officeDocument/2006/relationships" ref="L32" r:id="rId58"/>
    <hyperlink xmlns:r="http://schemas.openxmlformats.org/officeDocument/2006/relationships" ref="I33" r:id="rId59"/>
    <hyperlink xmlns:r="http://schemas.openxmlformats.org/officeDocument/2006/relationships" ref="L33" r:id="rId60"/>
    <hyperlink xmlns:r="http://schemas.openxmlformats.org/officeDocument/2006/relationships" ref="I34" r:id="rId61"/>
    <hyperlink xmlns:r="http://schemas.openxmlformats.org/officeDocument/2006/relationships" ref="L34" r:id="rId62"/>
    <hyperlink xmlns:r="http://schemas.openxmlformats.org/officeDocument/2006/relationships" ref="I35" r:id="rId63"/>
    <hyperlink xmlns:r="http://schemas.openxmlformats.org/officeDocument/2006/relationships" ref="L35" r:id="rId64"/>
    <hyperlink xmlns:r="http://schemas.openxmlformats.org/officeDocument/2006/relationships" ref="I36" r:id="rId65"/>
    <hyperlink xmlns:r="http://schemas.openxmlformats.org/officeDocument/2006/relationships" ref="L36" r:id="rId66"/>
    <hyperlink xmlns:r="http://schemas.openxmlformats.org/officeDocument/2006/relationships" ref="I37" r:id="rId67"/>
    <hyperlink xmlns:r="http://schemas.openxmlformats.org/officeDocument/2006/relationships" ref="L37" r:id="rId68"/>
    <hyperlink xmlns:r="http://schemas.openxmlformats.org/officeDocument/2006/relationships" ref="I38" r:id="rId69"/>
    <hyperlink xmlns:r="http://schemas.openxmlformats.org/officeDocument/2006/relationships" ref="L38" r:id="rId70"/>
    <hyperlink xmlns:r="http://schemas.openxmlformats.org/officeDocument/2006/relationships" ref="I39" r:id="rId71"/>
    <hyperlink xmlns:r="http://schemas.openxmlformats.org/officeDocument/2006/relationships" ref="L39" r:id="rId72"/>
    <hyperlink xmlns:r="http://schemas.openxmlformats.org/officeDocument/2006/relationships" ref="I40" r:id="rId73"/>
    <hyperlink xmlns:r="http://schemas.openxmlformats.org/officeDocument/2006/relationships" ref="L40" r:id="rId74"/>
    <hyperlink xmlns:r="http://schemas.openxmlformats.org/officeDocument/2006/relationships" ref="I41" r:id="rId75"/>
    <hyperlink xmlns:r="http://schemas.openxmlformats.org/officeDocument/2006/relationships" ref="L41" r:id="rId76"/>
    <hyperlink xmlns:r="http://schemas.openxmlformats.org/officeDocument/2006/relationships" ref="I42" r:id="rId77"/>
    <hyperlink xmlns:r="http://schemas.openxmlformats.org/officeDocument/2006/relationships" ref="L42" r:id="rId78"/>
    <hyperlink xmlns:r="http://schemas.openxmlformats.org/officeDocument/2006/relationships" ref="I43" r:id="rId79"/>
    <hyperlink xmlns:r="http://schemas.openxmlformats.org/officeDocument/2006/relationships" ref="L43" r:id="rId80"/>
    <hyperlink xmlns:r="http://schemas.openxmlformats.org/officeDocument/2006/relationships" ref="I44" r:id="rId81"/>
    <hyperlink xmlns:r="http://schemas.openxmlformats.org/officeDocument/2006/relationships" ref="L44" r:id="rId82"/>
    <hyperlink xmlns:r="http://schemas.openxmlformats.org/officeDocument/2006/relationships" ref="I45" r:id="rId83"/>
    <hyperlink xmlns:r="http://schemas.openxmlformats.org/officeDocument/2006/relationships" ref="L45" r:id="rId84"/>
    <hyperlink xmlns:r="http://schemas.openxmlformats.org/officeDocument/2006/relationships" ref="I46" r:id="rId85"/>
    <hyperlink xmlns:r="http://schemas.openxmlformats.org/officeDocument/2006/relationships" ref="L46" r:id="rId86"/>
    <hyperlink xmlns:r="http://schemas.openxmlformats.org/officeDocument/2006/relationships" ref="I47" r:id="rId87"/>
    <hyperlink xmlns:r="http://schemas.openxmlformats.org/officeDocument/2006/relationships" ref="L47" r:id="rId88"/>
    <hyperlink xmlns:r="http://schemas.openxmlformats.org/officeDocument/2006/relationships" ref="I48" r:id="rId89"/>
    <hyperlink xmlns:r="http://schemas.openxmlformats.org/officeDocument/2006/relationships" ref="L48" r:id="rId90"/>
  </hyperlinks>
  <pageMargins left="0.75" right="0.75" top="1" bottom="1" header="0.5" footer="0.5"/>
</worksheet>
</file>

<file path=xl/worksheets/sheet21.xml><?xml version="1.0" encoding="utf-8"?>
<worksheet xmlns="http://schemas.openxmlformats.org/spreadsheetml/2006/main">
  <sheetPr filterMode="0">
    <outlinePr summaryBelow="1" summaryRight="1"/>
    <pageSetUpPr fitToPage="0"/>
  </sheetPr>
  <dimension ref="A1:N115"/>
  <sheetViews>
    <sheetView showFormulas="0" showGridLines="1" showRowColHeaders="1" showZeros="1" rightToLeft="0" tabSelected="1" showOutlineSymbols="1" defaultGridColor="1" view="normal" topLeftCell="A1" colorId="64" zoomScale="100" zoomScaleNormal="100" zoomScalePageLayoutView="100" workbookViewId="0">
      <pane ySplit="1" topLeftCell="A2" activePane="bottomLeft" state="frozen"/>
      <selection pane="bottomLeft" activeCell="A1" activeCellId="0" sqref="A1"/>
      <selection pane="bottomLeft" activeCell="A1" activeCellId="0" sqref="A1"/>
    </sheetView>
  </sheetViews>
  <sheetFormatPr baseColWidth="8" defaultColWidth="8.6796875" defaultRowHeight="15" customHeight="0" zeroHeight="0" outlineLevelRow="0"/>
  <cols>
    <col width="6" customWidth="1" style="33" min="1" max="1"/>
    <col width="16" customWidth="1" style="33" min="2" max="2"/>
    <col width="34" customWidth="1" style="33" min="3" max="4"/>
    <col width="22" customWidth="1" style="34" min="4" max="4"/>
    <col width="26" customWidth="1" style="33" min="5" max="5"/>
    <col width="28" customWidth="1" style="33" min="6" max="6"/>
    <col width="16" customWidth="1" style="33" min="7" max="7"/>
    <col width="34" customWidth="1" style="33" min="8" max="8"/>
    <col width="18" customWidth="1" style="33" min="9" max="9"/>
    <col width="16" customWidth="1" style="34" min="10" max="10"/>
    <col width="22" customWidth="1" style="34" min="11" max="11"/>
    <col hidden="1" width="20" customWidth="1" style="34" min="12" max="12"/>
    <col width="60" customWidth="1" style="34" min="13" max="13"/>
    <col width="40" customWidth="1" style="34" min="14" max="14"/>
  </cols>
  <sheetData>
    <row r="1" ht="22" customHeight="1" s="34">
      <c r="A1" s="148" t="inlineStr">
        <is>
          <t>Year</t>
        </is>
      </c>
      <c r="B1" s="148" t="inlineStr">
        <is>
          <t>Tier</t>
        </is>
      </c>
      <c r="C1" s="148" t="inlineStr">
        <is>
          <t>Campaign</t>
        </is>
      </c>
      <c r="D1" s="148" t="inlineStr">
        <is>
          <t>Brand</t>
        </is>
      </c>
      <c r="E1" s="148" t="inlineStr">
        <is>
          <t>Product/Service</t>
        </is>
      </c>
      <c r="F1" s="148" t="inlineStr">
        <is>
          <t>Agency</t>
        </is>
      </c>
      <c r="G1" s="148" t="inlineStr">
        <is>
          <t>Country</t>
        </is>
      </c>
      <c r="H1" s="148" t="inlineStr">
        <is>
          <t>Subcategory</t>
        </is>
      </c>
      <c r="I1" s="148" t="inlineStr">
        <is>
          <t>Image URL</t>
        </is>
      </c>
      <c r="J1" s="122" t="inlineStr">
        <is>
          <t>YouTube ID</t>
        </is>
      </c>
      <c r="K1" s="122" t="inlineStr">
        <is>
          <t>Campaign Group</t>
        </is>
      </c>
      <c r="L1" s="122" t="inlineStr">
        <is>
          <t>Entry URL</t>
        </is>
      </c>
      <c r="M1" s="122" t="inlineStr">
        <is>
          <t>Description</t>
        </is>
      </c>
      <c r="N1" s="122" t="inlineStr">
        <is>
          <t>Keywords</t>
        </is>
      </c>
    </row>
    <row r="2" ht="34.5" customHeight="1" s="34">
      <c r="A2" s="149" t="n">
        <v>2025</v>
      </c>
      <c r="B2" s="150" t="inlineStr">
        <is>
          <t>Grand Prix</t>
        </is>
      </c>
      <c r="C2" s="151" t="inlineStr">
        <is>
          <t>Caption with Intention</t>
        </is>
      </c>
      <c r="D2" s="149" t="inlineStr">
        <is>
          <t>Academy of Motion Picture Arts &amp; Sciences</t>
        </is>
      </c>
      <c r="E2" s="149" t="inlineStr">
        <is>
          <t>Closed Captioning</t>
        </is>
      </c>
      <c r="F2" s="149" t="inlineStr">
        <is>
          <t>FCB Chicago</t>
        </is>
      </c>
      <c r="G2" s="149" t="inlineStr">
        <is>
          <t>United States</t>
        </is>
      </c>
      <c r="H2" s="152" t="inlineStr">
        <is>
          <t>A05 - Media/Entertainment</t>
        </is>
      </c>
      <c r="I2" s="153" t="inlineStr">
        <is>
          <t>https://ascentialcdn.filespin.io/api/v1/conversion/ae51c3c9f04d452e914dba0555d8b029</t>
        </is>
      </c>
      <c r="J2" s="127" t="inlineStr">
        <is>
          <t>F48khKZhKHM</t>
        </is>
      </c>
      <c r="K2" s="127" t="n"/>
      <c r="L2" s="128" t="inlineStr">
        <is>
          <t>https://www.lovethework.com/work/entries/caption-with-intention-746864</t>
        </is>
      </c>
      <c r="M2" s="113" t="inlineStr">
        <is>
          <t>A design system for film and television captions that pairs word-by-word sync with expressive typography — type weight, color, and motion communicate volume, tone, and which character is speaking. Built over six years in partnership with the Deaf and Hard of Hearing community, it was adopted by the Academy as the standard for Oscar submissions and earned a technology Oscar.</t>
        </is>
      </c>
      <c r="N2" s="113" t="inlineStr">
        <is>
          <t>accessibility, captioning, film, cinema, entertainment, typography, deaf-and-hard-of-hearing, product-design, inclusion, united-states</t>
        </is>
      </c>
    </row>
    <row r="3" ht="34.5" customHeight="1" s="34">
      <c r="A3" s="149" t="n">
        <v>2025</v>
      </c>
      <c r="B3" s="154" t="inlineStr">
        <is>
          <t>Gold</t>
        </is>
      </c>
      <c r="C3" s="151" t="inlineStr">
        <is>
          <t>ADS Cover Rents</t>
        </is>
      </c>
      <c r="D3" s="149" t="inlineStr">
        <is>
          <t>Brahma</t>
        </is>
      </c>
      <c r="E3" s="149" t="inlineStr">
        <is>
          <t>Beer</t>
        </is>
      </c>
      <c r="F3" s="149" t="inlineStr">
        <is>
          <t>Africa Creative DDB Sao Paulo</t>
        </is>
      </c>
      <c r="G3" s="149" t="inlineStr">
        <is>
          <t>Brazil</t>
        </is>
      </c>
      <c r="H3" s="152" t="inlineStr">
        <is>
          <t>D02 - Guerrilla Marketing</t>
        </is>
      </c>
      <c r="I3" s="153" t="inlineStr">
        <is>
          <t>https://ascentialcdn.filespin.io/api/v1/conversion/17a255fb4a7d40d79616736a9ee7914c</t>
        </is>
      </c>
      <c r="J3" s="127" t="inlineStr">
        <is>
          <t>8R2TckoklzM</t>
        </is>
      </c>
      <c r="K3" s="127" t="n"/>
      <c r="L3" s="128" t="inlineStr">
        <is>
          <t>https://www.lovethework.com/work/entries/ads-cover-rents-747640</t>
        </is>
      </c>
      <c r="M3" s="113" t="inlineStr">
        <is>
          <t>A Carnival-season activation where Brahma paid part of Brazilian tourists' Airbnb rent in exchange for hanging beer-branded banners on the balconies. The deal turned thousands of apartments across five cities into temporary outdoor ad space while easing one of Carnival's most-griped-about costs.</t>
        </is>
      </c>
      <c r="N3" s="113" t="inlineStr">
        <is>
          <t>guerrilla, ooh, partnership, beer, alcohol, airbnb, carnival, brazil, ambient</t>
        </is>
      </c>
    </row>
    <row r="4" ht="34.5" customHeight="1" s="34">
      <c r="A4" s="149" t="n">
        <v>2025</v>
      </c>
      <c r="B4" s="154" t="inlineStr">
        <is>
          <t>Gold</t>
        </is>
      </c>
      <c r="C4" s="151" t="inlineStr">
        <is>
          <t>Drops of Hope</t>
        </is>
      </c>
      <c r="D4" s="149" t="inlineStr">
        <is>
          <t>Kimberly-Clark</t>
        </is>
      </c>
      <c r="E4" s="149" t="inlineStr">
        <is>
          <t>Poise</t>
        </is>
      </c>
      <c r="F4" s="149" t="inlineStr">
        <is>
          <t>FCB New York</t>
        </is>
      </c>
      <c r="G4" s="149" t="inlineStr">
        <is>
          <t>United States</t>
        </is>
      </c>
      <c r="H4" s="152" t="inlineStr">
        <is>
          <t>A01 - Consumer Goods</t>
        </is>
      </c>
      <c r="I4" s="153" t="inlineStr">
        <is>
          <t>https://ascentialcdn.filespin.io/api/v1/conversion/6b9aa5b716a6476ca0f016a3c2a0dd62</t>
        </is>
      </c>
      <c r="J4" s="127" t="inlineStr">
        <is>
          <t>MnF0kip489Y</t>
        </is>
      </c>
      <c r="K4" s="127" t="n"/>
      <c r="L4" s="128" t="inlineStr">
        <is>
          <t>https://www.lovethework.com/work/entries/drops-of-hope-748188</t>
        </is>
      </c>
      <c r="M4" s="113" t="inlineStr">
        <is>
          <t>A mail-back diagnostic service that turns Poise's incontinence pads into a preventive-health tool. Women in U.S. healthcare deserts can send a used pad to a doctor, who extracts urine for screening — extending basic check-ups to people who don't live near a clinic.</t>
        </is>
      </c>
      <c r="N4" s="113" t="inlineStr">
        <is>
          <t>healthcare, diagnostics, medical, womens-health, mail-back, product-innovation, social-good, rural, united-states</t>
        </is>
      </c>
    </row>
    <row r="5" ht="34.5" customHeight="1" s="34">
      <c r="A5" s="149" t="n">
        <v>2025</v>
      </c>
      <c r="B5" s="154" t="inlineStr">
        <is>
          <t>Gold</t>
        </is>
      </c>
      <c r="C5" s="151" t="inlineStr">
        <is>
          <t>Drops of Hope</t>
        </is>
      </c>
      <c r="D5" s="149" t="inlineStr">
        <is>
          <t>Kimberly-Clark</t>
        </is>
      </c>
      <c r="E5" s="149" t="inlineStr">
        <is>
          <t>Poise</t>
        </is>
      </c>
      <c r="F5" s="149" t="inlineStr">
        <is>
          <t>FCB New York</t>
        </is>
      </c>
      <c r="G5" s="149" t="inlineStr">
        <is>
          <t>United States</t>
        </is>
      </c>
      <c r="H5" s="152" t="inlineStr">
        <is>
          <t>E07 - Corporate Purpose</t>
        </is>
      </c>
      <c r="I5" s="153" t="inlineStr">
        <is>
          <t>https://ascentialcdn.filespin.io/api/v1/conversion/b6b3814255234c3596fcb99868c0fbb7</t>
        </is>
      </c>
      <c r="J5" s="127" t="inlineStr">
        <is>
          <t>MnF0kip489Y</t>
        </is>
      </c>
      <c r="K5" s="127" t="n"/>
      <c r="L5" s="128" t="inlineStr">
        <is>
          <t>https://www.lovethework.com/work/entries/drops-of-hope-748188</t>
        </is>
      </c>
      <c r="M5" s="113" t="inlineStr">
        <is>
          <t>A mail-back diagnostic service that turns Poise's incontinence pads into a preventive-health tool. Women in U.S. healthcare deserts can send a used pad to a doctor, who extracts urine for screening — extending basic check-ups to people who don't live near a clinic.</t>
        </is>
      </c>
      <c r="N5" s="113" t="inlineStr">
        <is>
          <t>healthcare, diagnostics, medical, womens-health, mail-back, product-innovation, social-good, rural, united-states</t>
        </is>
      </c>
    </row>
    <row r="6" ht="34.5" customHeight="1" s="34">
      <c r="A6" s="149" t="n">
        <v>2025</v>
      </c>
      <c r="B6" s="154" t="inlineStr">
        <is>
          <t>Gold</t>
        </is>
      </c>
      <c r="C6" s="151" t="inlineStr">
        <is>
          <t>Fictional Insurance</t>
        </is>
      </c>
      <c r="D6" s="149" t="inlineStr">
        <is>
          <t>RCN/Prime</t>
        </is>
      </c>
      <c r="E6" s="149" t="inlineStr">
        <is>
          <t>Insurance</t>
        </is>
      </c>
      <c r="F6" s="149" t="inlineStr">
        <is>
          <t>DDB Colombia Bogota</t>
        </is>
      </c>
      <c r="G6" s="149" t="inlineStr">
        <is>
          <t>Colombia</t>
        </is>
      </c>
      <c r="H6" s="152" t="inlineStr">
        <is>
          <t>C03 - Customer Acquisition</t>
        </is>
      </c>
      <c r="I6" s="153" t="inlineStr">
        <is>
          <t>https://ascentialcdn.filespin.io/api/v1/conversion/8466955db96a4c52b6813e12a8c63226</t>
        </is>
      </c>
      <c r="J6" s="127" t="inlineStr">
        <is>
          <t>OctiVcwaiXI</t>
        </is>
      </c>
      <c r="K6" s="127" t="n"/>
      <c r="L6" s="128" t="inlineStr">
        <is>
          <t>https://www.lovethework.com/work/entries/fictional-insurance-747450</t>
        </is>
      </c>
      <c r="M6" s="113" t="inlineStr">
        <is>
          <t>A platform that lets soap-opera viewers buy 'insurance' on their favorite characters before an episode airs. Pick a character and a policy type — life, health, or accident — and if the on-screen tragedy lands, the viewer collects a real-world payout. Built with insurer Seguros del Estado as a paid product tied to the broadcast schedule.</t>
        </is>
      </c>
      <c r="N6" s="113" t="inlineStr">
        <is>
          <t>streaming, tv, entertainment, gamification, soap-opera, telenovela, partnership, insurance, financial-services, finance, latin-america, colombia, integrated</t>
        </is>
      </c>
    </row>
    <row r="7" ht="34.5" customHeight="1" s="34">
      <c r="A7" s="149" t="n">
        <v>2025</v>
      </c>
      <c r="B7" s="154" t="inlineStr">
        <is>
          <t>Gold</t>
        </is>
      </c>
      <c r="C7" s="151" t="inlineStr">
        <is>
          <t>Gulf of Mexico (Bar)</t>
        </is>
      </c>
      <c r="D7" s="149" t="inlineStr">
        <is>
          <t>Tecate</t>
        </is>
      </c>
      <c r="E7" s="149" t="inlineStr">
        <is>
          <t>Tecate Light</t>
        </is>
      </c>
      <c r="F7" s="149" t="inlineStr">
        <is>
          <t>LePub Mexico City</t>
        </is>
      </c>
      <c r="G7" s="149" t="inlineStr">
        <is>
          <t>Mexico</t>
        </is>
      </c>
      <c r="H7" s="152" t="inlineStr">
        <is>
          <t>E01 - Local Brand</t>
        </is>
      </c>
      <c r="I7" s="153" t="inlineStr">
        <is>
          <t>https://ascentialcdn.filespin.io/api/v1/conversion/afa88aa8421b41a18c68b9863bb6926c</t>
        </is>
      </c>
      <c r="J7" s="127" t="inlineStr">
        <is>
          <t>TFbAS7weMR8</t>
        </is>
      </c>
      <c r="K7" s="127" t="n"/>
      <c r="L7" s="128" t="inlineStr">
        <is>
          <t>https://www.lovethework.com/work/entries/gulf-of-mexico-bar-747778</t>
        </is>
      </c>
      <c r="M7" s="113" t="inlineStr">
        <is>
          <t>A floating bar built on a boat in the Gulf of Mexico, accessible only by sea and named 'Golfo de México' — a response to a U.S. proposal to rename the gulf the 'Gulf of America.' To pair, Tecate launched a special-edition Tecate Light brewed with salt harvested from the disputed waters.</t>
        </is>
      </c>
      <c r="N7" s="113" t="inlineStr">
        <is>
          <t>ooh, brand-stunt, political-commentary, beer, alcohol, packaging, mexico, branded-venue, special-edition</t>
        </is>
      </c>
    </row>
    <row r="8" ht="34.5" customHeight="1" s="34">
      <c r="A8" s="149" t="n">
        <v>2025</v>
      </c>
      <c r="B8" s="154" t="inlineStr">
        <is>
          <t>Gold</t>
        </is>
      </c>
      <c r="C8" s="151" t="inlineStr">
        <is>
          <t>Lessons of Shame</t>
        </is>
      </c>
      <c r="D8" s="149" t="inlineStr">
        <is>
          <t>World Vision</t>
        </is>
      </c>
      <c r="E8" s="149" t="inlineStr">
        <is>
          <t>Institutional</t>
        </is>
      </c>
      <c r="F8" s="149" t="inlineStr">
        <is>
          <t>Havas Costa Rica</t>
        </is>
      </c>
      <c r="G8" s="149" t="inlineStr">
        <is>
          <t>Costa Rica</t>
        </is>
      </c>
      <c r="H8" s="152" t="inlineStr">
        <is>
          <t>A07 - Not-for-Profit</t>
        </is>
      </c>
      <c r="I8" s="153" t="inlineStr">
        <is>
          <t>https://ascentialcdn.filespin.io/api/v1/conversion/71112ff9b2324f9b8f9338c809483684</t>
        </is>
      </c>
      <c r="J8" s="127" t="inlineStr">
        <is>
          <t>YrNH2-6vqZo</t>
        </is>
      </c>
      <c r="K8" s="127" t="n"/>
      <c r="L8" s="128" t="inlineStr">
        <is>
          <t>https://www.lovethework.com/work/entries/lessons-of-shame-746863</t>
        </is>
      </c>
      <c r="M8" s="113" t="inlineStr">
        <is>
          <t>A staged in-person protest where 20 high-school and college students set up a makeshift classroom in the public gallery of Costa Rica's Legislative Assembly on the day lawmakers debated cuts to the national education budget. The act framed neglected school infrastructure as a public-shame issue and put students physically in the room where the decision was being made.</t>
        </is>
      </c>
      <c r="N8" s="113" t="inlineStr">
        <is>
          <t>not-for-profit, charity, ngo, social-good, protest, stunt, education, costa-rica, public-affairs</t>
        </is>
      </c>
    </row>
    <row r="9" ht="34.5" customHeight="1" s="34">
      <c r="A9" s="149" t="n">
        <v>2025</v>
      </c>
      <c r="B9" s="154" t="inlineStr">
        <is>
          <t>Gold</t>
        </is>
      </c>
      <c r="C9" s="151" t="inlineStr">
        <is>
          <t>Lucky Yatra</t>
        </is>
      </c>
      <c r="D9" s="149" t="inlineStr">
        <is>
          <t>Indian Railways</t>
        </is>
      </c>
      <c r="E9" s="149" t="inlineStr">
        <is>
          <t>Railway Service</t>
        </is>
      </c>
      <c r="F9" s="149" t="inlineStr">
        <is>
          <t>FCB India Mumbai</t>
        </is>
      </c>
      <c r="G9" s="149" t="inlineStr">
        <is>
          <t>India</t>
        </is>
      </c>
      <c r="H9" s="152" t="inlineStr">
        <is>
          <t>C03 - Customer Acquisition</t>
        </is>
      </c>
      <c r="I9" s="153" t="inlineStr">
        <is>
          <t>https://ascentialcdn.filespin.io/api/v1/conversion/2e252d74f69d4889b7886d241255186a</t>
        </is>
      </c>
      <c r="J9" s="127" t="inlineStr">
        <is>
          <t>IYJlZRbvMEw</t>
        </is>
      </c>
      <c r="K9" s="127" t="n"/>
      <c r="L9" s="128" t="inlineStr">
        <is>
          <t>https://www.lovethework.com/work/entries/lucky-yatra-747400</t>
        </is>
      </c>
      <c r="M9" s="113" t="inlineStr">
        <is>
          <t>A loyalty program built into the ticketing system of Indian Railways: every valid ticket carries a unique number that's auto-entered into daily and weekly cash prize draws. Designed to turn ticketless travel — an entrenched habit on one of the world's largest rail networks — into a paid behavior worth doing.</t>
        </is>
      </c>
      <c r="N9" s="113" t="inlineStr">
        <is>
          <t>transit, transport, public-service, behavioral, lottery, gamification, india, customer-acquisition</t>
        </is>
      </c>
    </row>
    <row r="10" ht="34.5" customHeight="1" s="34">
      <c r="A10" s="149" t="n">
        <v>2025</v>
      </c>
      <c r="B10" s="154" t="inlineStr">
        <is>
          <t>Gold</t>
        </is>
      </c>
      <c r="C10" s="151" t="inlineStr">
        <is>
          <t>Price Packs</t>
        </is>
      </c>
      <c r="D10" s="149" t="inlineStr">
        <is>
          <t>Penny</t>
        </is>
      </c>
      <c r="E10" s="149" t="inlineStr">
        <is>
          <t>Food/Non-Food</t>
        </is>
      </c>
      <c r="F10" s="149" t="inlineStr">
        <is>
          <t>Serviceplan Germany</t>
        </is>
      </c>
      <c r="G10" s="149" t="inlineStr">
        <is>
          <t>Germany</t>
        </is>
      </c>
      <c r="H10" s="152" t="inlineStr">
        <is>
          <t>E08 - Market Disruption</t>
        </is>
      </c>
      <c r="I10" s="153" t="inlineStr">
        <is>
          <t>https://ascentialcdn.filespin.io/api/v1/conversion/67b6df2a0fe64deeb274c91d50040c54</t>
        </is>
      </c>
      <c r="J10" s="127" t="inlineStr">
        <is>
          <t>cnAXR4lk6R0</t>
        </is>
      </c>
      <c r="K10" s="127" t="n"/>
      <c r="L10" s="128" t="inlineStr">
        <is>
          <t>https://www.lovethework.com/work/entries/price-packs-748536</t>
        </is>
      </c>
      <c r="M10" s="113" t="inlineStr">
        <is>
          <t>A packaging redesign for five Penny staples — oatmeal, toast, salt, crisps, mayonnaise — that swaps standard product graphics for the locked-in low price rendered enormous on the front of the pack. The shelf becomes its own price-stability ad, with the same visual extended to outdoor across all 2,100 stores.</t>
        </is>
      </c>
      <c r="N10" s="113" t="inlineStr">
        <is>
          <t>packaging, retail, ooh, supermarket, grocery, design, price, germany, market-disruption</t>
        </is>
      </c>
    </row>
    <row r="11" ht="34.5" customHeight="1" s="34">
      <c r="A11" s="149" t="n">
        <v>2025</v>
      </c>
      <c r="B11" s="154" t="inlineStr">
        <is>
          <t>Gold</t>
        </is>
      </c>
      <c r="C11" s="151" t="inlineStr">
        <is>
          <t>The Kimberly Price</t>
        </is>
      </c>
      <c r="D11" s="149" t="inlineStr">
        <is>
          <t>Plaza Vea</t>
        </is>
      </c>
      <c r="E11" s="149" t="inlineStr">
        <is>
          <t>Plaza Vea</t>
        </is>
      </c>
      <c r="F11" s="149" t="inlineStr">
        <is>
          <t>Fahrenheit DDB Lima</t>
        </is>
      </c>
      <c r="G11" s="149" t="inlineStr">
        <is>
          <t>Peru</t>
        </is>
      </c>
      <c r="H11" s="152" t="inlineStr">
        <is>
          <t>B01 - Social Engagement</t>
        </is>
      </c>
      <c r="I11" s="153" t="inlineStr">
        <is>
          <t>https://ascentialcdn.filespin.io/api/v1/conversion/dd37e163320440a58d69763c047eec03</t>
        </is>
      </c>
      <c r="J11" s="127" t="inlineStr">
        <is>
          <t>pPAGka7S4_o</t>
        </is>
      </c>
      <c r="K11" s="127" t="n"/>
      <c r="L11" s="128" t="inlineStr">
        <is>
          <t>https://www.lovethework.com/work/entries/the-kimberly-price-746894</t>
        </is>
      </c>
      <c r="M11" s="113" t="inlineStr">
        <is>
          <t>An overnight promotion timed to Olympic race-walker Kimberly García's Paris 2024 final, which aired at 2:20 a.m. in Peru. Plaza Vea — García's sponsor — turned her competition bib number into the price of exclusive appliance deals, available only while she was on the course, to keep Peruvian viewers awake and watching a sport that rarely gets attention.</t>
        </is>
      </c>
      <c r="N11" s="113" t="inlineStr">
        <is>
          <t>retail, sponsorship, sport, social-engagement, supermarket, grocery, peru, olympics, partnership</t>
        </is>
      </c>
    </row>
    <row r="12" ht="34.5" customHeight="1" s="34">
      <c r="A12" s="149" t="n">
        <v>2025</v>
      </c>
      <c r="B12" s="154" t="inlineStr">
        <is>
          <t>Gold</t>
        </is>
      </c>
      <c r="C12" s="151" t="inlineStr">
        <is>
          <t>Winter Takes on Colors</t>
        </is>
      </c>
      <c r="D12" s="149" t="inlineStr">
        <is>
          <t>McDonald's Polska</t>
        </is>
      </c>
      <c r="E12" s="149" t="inlineStr">
        <is>
          <t>Drwala Burger</t>
        </is>
      </c>
      <c r="F12" s="149" t="inlineStr">
        <is>
          <t>DDB Warsaw</t>
        </is>
      </c>
      <c r="G12" s="149" t="inlineStr">
        <is>
          <t>Poland</t>
        </is>
      </c>
      <c r="H12" s="152" t="inlineStr">
        <is>
          <t>C01 - Customer Retail</t>
        </is>
      </c>
      <c r="I12" s="153" t="inlineStr">
        <is>
          <t>https://ascentialcdn.filespin.io/api/v1/conversion/4ff9778738a146549164d3153acb8808</t>
        </is>
      </c>
      <c r="J12" s="127" t="inlineStr">
        <is>
          <t>qcSHtBgAB6o</t>
        </is>
      </c>
      <c r="K12" s="127" t="n"/>
      <c r="L12" s="128" t="inlineStr">
        <is>
          <t>https://www.lovethework.com/work/entries/winter-takes-on-colors-747343</t>
        </is>
      </c>
      <c r="M12" s="113" t="inlineStr">
        <is>
          <t>A McDonald's restaurant in the Polish ski town of Ustroń wrapped — inside and out — in five months of hand-knit wool, paired with a 'Hot N Cold' apparel line of branded fleeces, balaclavas, and trousers. Both built around the Polish winter return of the Drwala lumberjack burger, turning a seasonal menu item into a destination.</t>
        </is>
      </c>
      <c r="N12" s="113" t="inlineStr">
        <is>
          <t>qsr, fast-food, restaurant, food, retail-experience, branded-merch, craft, fashion, poland, seasonal, ooh</t>
        </is>
      </c>
    </row>
    <row r="13" ht="34.5" customHeight="1" s="34">
      <c r="A13" s="149" t="n">
        <v>2025</v>
      </c>
      <c r="B13" s="155" t="inlineStr">
        <is>
          <t>Silver</t>
        </is>
      </c>
      <c r="C13" s="151" t="inlineStr">
        <is>
          <t>855-How-to-Quit-(Opioids)</t>
        </is>
      </c>
      <c r="D13" s="149" t="inlineStr">
        <is>
          <t>Anzen Health</t>
        </is>
      </c>
      <c r="E13" s="149" t="inlineStr">
        <is>
          <t>855-How-to-Quit-Helpline</t>
        </is>
      </c>
      <c r="F13" s="149" t="inlineStr">
        <is>
          <t>Serviceplan Germany</t>
        </is>
      </c>
      <c r="G13" s="149" t="inlineStr">
        <is>
          <t>Germany</t>
        </is>
      </c>
      <c r="H13" s="152" t="inlineStr">
        <is>
          <t>A02 - Healthcare</t>
        </is>
      </c>
      <c r="I13" s="153" t="inlineStr">
        <is>
          <t>https://ascentialcdn.filespin.io/api/v1/conversion/650a86946acf45c9946d15c4d5f10c86</t>
        </is>
      </c>
      <c r="J13" s="127" t="inlineStr">
        <is>
          <t>I_xvPLZ9DDk</t>
        </is>
      </c>
      <c r="K13" s="127" t="n"/>
      <c r="L13" s="128" t="inlineStr">
        <is>
          <t>https://www.lovethework.com/work/entries/855-how-to-quit-opioids-746670</t>
        </is>
      </c>
      <c r="M13" s="113" t="inlineStr">
        <is>
          <t>A helpline whose extensions are the imprint codes printed on every U.S.-mandated opioid pill — IP33 for codeine routes to extension 4733, K9 for oxycodone to 59. Callers dial the code on whatever pill they're holding and are connected to someone who quit that exact drug, live when survivors are available and recorded otherwise.</t>
        </is>
      </c>
      <c r="N13" s="113" t="inlineStr">
        <is>
          <t>healthcare, helpline, addiction, medical, opioid, social-good, public-service, telephony, telecom, technology, united-states</t>
        </is>
      </c>
    </row>
    <row r="14" ht="34.5" customHeight="1" s="34">
      <c r="A14" s="149" t="n">
        <v>2025</v>
      </c>
      <c r="B14" s="155" t="inlineStr">
        <is>
          <t>Silver</t>
        </is>
      </c>
      <c r="C14" s="151" t="inlineStr">
        <is>
          <t>Caption with Intention</t>
        </is>
      </c>
      <c r="D14" s="149" t="inlineStr">
        <is>
          <t>Academy of Motion Picture Arts &amp; Sciences</t>
        </is>
      </c>
      <c r="E14" s="149" t="inlineStr">
        <is>
          <t>Closed Captioning</t>
        </is>
      </c>
      <c r="F14" s="149" t="inlineStr">
        <is>
          <t>FCB Chicago</t>
        </is>
      </c>
      <c r="G14" s="149" t="inlineStr">
        <is>
          <t>United States</t>
        </is>
      </c>
      <c r="H14" s="152" t="inlineStr">
        <is>
          <t>E09 - Cultural Engagement</t>
        </is>
      </c>
      <c r="I14" s="153" t="inlineStr">
        <is>
          <t>https://ascentialcdn.filespin.io/api/v1/conversion/ae51c3c9f04d452e914dba0555d8b029</t>
        </is>
      </c>
      <c r="J14" s="127" t="inlineStr">
        <is>
          <t>F48khKZhKHM</t>
        </is>
      </c>
      <c r="K14" s="127" t="n"/>
      <c r="L14" s="128" t="inlineStr">
        <is>
          <t>https://www.lovethework.com/work/entries/caption-with-intention-748520</t>
        </is>
      </c>
      <c r="M14" s="113" t="inlineStr">
        <is>
          <t>A design system for film and television captions that pairs word-by-word sync with expressive typography — type weight, color, and motion communicate volume, tone, and which character is speaking. Built over six years in partnership with the Deaf and Hard of Hearing community, it was adopted by the Academy as the standard for Oscar submissions and earned a technology Oscar.</t>
        </is>
      </c>
      <c r="N14" s="113" t="inlineStr">
        <is>
          <t>accessibility, captioning, film, cinema, entertainment, typography, deaf-and-hard-of-hearing, product-design, inclusion, united-states</t>
        </is>
      </c>
    </row>
    <row r="15" ht="34.5" customHeight="1" s="34">
      <c r="A15" s="149" t="n">
        <v>2025</v>
      </c>
      <c r="B15" s="155" t="inlineStr">
        <is>
          <t>Silver</t>
        </is>
      </c>
      <c r="C15" s="151" t="inlineStr">
        <is>
          <t>Clandestination</t>
        </is>
      </c>
      <c r="D15" s="149" t="inlineStr">
        <is>
          <t>ProColombia</t>
        </is>
      </c>
      <c r="E15" s="149" t="inlineStr">
        <is>
          <t>Colombia, The Country of Beauty</t>
        </is>
      </c>
      <c r="F15" s="149" t="inlineStr">
        <is>
          <t>DDB Colombia Bogota</t>
        </is>
      </c>
      <c r="G15" s="149" t="inlineStr">
        <is>
          <t>Colombia</t>
        </is>
      </c>
      <c r="H15" s="152" t="inlineStr">
        <is>
          <t>D03 - Brand-Owned Experiences</t>
        </is>
      </c>
      <c r="I15" s="153" t="inlineStr">
        <is>
          <t>https://ascentialcdn.filespin.io/api/v1/conversion/082d90b5df624d84b427b48c82cd3dce</t>
        </is>
      </c>
      <c r="J15" s="127" t="inlineStr">
        <is>
          <t>mp4:videos/clandestination.mp4</t>
        </is>
      </c>
      <c r="K15" s="127" t="n"/>
      <c r="L15" s="128" t="inlineStr">
        <is>
          <t>https://www.lovethework.com/work/entries/clandestination-747740</t>
        </is>
      </c>
      <c r="M15" s="113" t="inlineStr">
        <is>
          <t>A tourism platform built on top of the hundreds of clandestine drug-trafficking airstrips carved into Colombia's remote regions in the 1990s. The campaign rehabilitated those strips into functioning commercial airfields and routed Satena passenger flights to them, opening previously-unreachable areas — Bahía Solano and Tolú first — to ecotourism. Built with the President's Office, ProColombia, and the country's civil-aviation authority.</t>
        </is>
      </c>
      <c r="N15" s="113" t="inlineStr">
        <is>
          <t>tourism, travel, nation-branding, partnership, ecotourism, aviation, colombia, government, brand-experience</t>
        </is>
      </c>
    </row>
    <row r="16" ht="34.5" customHeight="1" s="34">
      <c r="A16" s="149" t="n">
        <v>2025</v>
      </c>
      <c r="B16" s="155" t="inlineStr">
        <is>
          <t>Silver</t>
        </is>
      </c>
      <c r="C16" s="151" t="inlineStr">
        <is>
          <t>Drops of Hope</t>
        </is>
      </c>
      <c r="D16" s="149" t="inlineStr">
        <is>
          <t>Kimberly-Clark</t>
        </is>
      </c>
      <c r="E16" s="149" t="inlineStr">
        <is>
          <t>Poise</t>
        </is>
      </c>
      <c r="F16" s="149" t="inlineStr">
        <is>
          <t>FCB New York</t>
        </is>
      </c>
      <c r="G16" s="149" t="inlineStr">
        <is>
          <t>United States</t>
        </is>
      </c>
      <c r="H16" s="152" t="inlineStr">
        <is>
          <t>C03 - Customer Acquisition</t>
        </is>
      </c>
      <c r="I16" s="153" t="inlineStr">
        <is>
          <t>https://ascentialcdn.filespin.io/api/v1/conversion/7a3d4cfbc07f4dd9b273dbdd4d3cdd28</t>
        </is>
      </c>
      <c r="J16" s="127" t="inlineStr">
        <is>
          <t>MnF0kip489Y</t>
        </is>
      </c>
      <c r="K16" s="127" t="n"/>
      <c r="L16" s="128" t="inlineStr">
        <is>
          <t>https://www.lovethework.com/work/entries/drops-of-hope-747475</t>
        </is>
      </c>
      <c r="M16" s="113" t="inlineStr">
        <is>
          <t>A mail-back diagnostic service that turns Poise's incontinence pads into a preventive-health tool. Women in U.S. healthcare deserts can send a used pad to a doctor, who extracts urine for screening — extending basic check-ups to people who don't live near a clinic.</t>
        </is>
      </c>
      <c r="N16" s="113" t="inlineStr">
        <is>
          <t>healthcare, diagnostics, medical, womens-health, mail-back, product-innovation, social-good, rural, united-states</t>
        </is>
      </c>
    </row>
    <row r="17" ht="34.5" customHeight="1" s="34">
      <c r="A17" s="149" t="n">
        <v>2025</v>
      </c>
      <c r="B17" s="155" t="inlineStr">
        <is>
          <t>Silver</t>
        </is>
      </c>
      <c r="C17" s="151" t="inlineStr">
        <is>
          <t>Fictional Insurance</t>
        </is>
      </c>
      <c r="D17" s="149" t="inlineStr">
        <is>
          <t>RCN/Prime</t>
        </is>
      </c>
      <c r="E17" s="149" t="inlineStr">
        <is>
          <t>Insurance</t>
        </is>
      </c>
      <c r="F17" s="149" t="inlineStr">
        <is>
          <t>DDB Colombia Bogota</t>
        </is>
      </c>
      <c r="G17" s="149" t="inlineStr">
        <is>
          <t>Colombia</t>
        </is>
      </c>
      <c r="H17" s="152" t="inlineStr">
        <is>
          <t>C02 - Retail Promotions</t>
        </is>
      </c>
      <c r="I17" s="153" t="inlineStr">
        <is>
          <t>https://ascentialcdn.filespin.io/api/v1/conversion/8466955db96a4c52b6813e12a8c63226</t>
        </is>
      </c>
      <c r="J17" s="127" t="inlineStr">
        <is>
          <t>OctiVcwaiXI</t>
        </is>
      </c>
      <c r="K17" s="127" t="n"/>
      <c r="L17" s="128" t="inlineStr">
        <is>
          <t>https://www.lovethework.com/work/entries/fictional-insurance-747304</t>
        </is>
      </c>
      <c r="M17" s="113" t="inlineStr">
        <is>
          <t>A platform that lets soap-opera viewers buy 'insurance' on their favorite characters before an episode airs. Pick a character and a policy type — life, health, or accident — and if the on-screen tragedy lands, the viewer collects a real-world payout. Built with insurer Seguros del Estado as a paid product tied to the broadcast schedule.</t>
        </is>
      </c>
      <c r="N17" s="113" t="inlineStr">
        <is>
          <t>streaming, tv, entertainment, gamification, soap-opera, telenovela, partnership, insurance, financial-services, finance, latin-america, colombia, integrated</t>
        </is>
      </c>
    </row>
    <row r="18" ht="34.5" customHeight="1" s="34">
      <c r="A18" s="149" t="n">
        <v>2025</v>
      </c>
      <c r="B18" s="155" t="inlineStr">
        <is>
          <t>Silver</t>
        </is>
      </c>
      <c r="C18" s="151" t="inlineStr">
        <is>
          <t>Fishermen Storytellers</t>
        </is>
      </c>
      <c r="D18" s="149" t="inlineStr">
        <is>
          <t>Corona</t>
        </is>
      </c>
      <c r="E18" s="149" t="inlineStr">
        <is>
          <t>Beer</t>
        </is>
      </c>
      <c r="F18" s="149" t="inlineStr">
        <is>
          <t>Africa Creative DDB Sao Paulo</t>
        </is>
      </c>
      <c r="G18" s="149" t="inlineStr">
        <is>
          <t>Brazil</t>
        </is>
      </c>
      <c r="H18" s="152" t="inlineStr">
        <is>
          <t>D01 - Live Brand Experience</t>
        </is>
      </c>
      <c r="I18" s="153" t="inlineStr">
        <is>
          <t>https://ascentialcdn.filespin.io/api/v1/conversion/ab9557517f1d4976963059cf5434ae7a</t>
        </is>
      </c>
      <c r="J18" s="127" t="inlineStr">
        <is>
          <t>vimeo:1090130974</t>
        </is>
      </c>
      <c r="K18" s="127" t="n"/>
      <c r="L18" s="128" t="inlineStr">
        <is>
          <t>https://www.lovethework.com/work/entries/fishermen-storytellers-747530</t>
        </is>
      </c>
      <c r="M18" s="113" t="inlineStr">
        <is>
          <t>A documentary and design project that helps Brazilian fishing communities replace lost income during the annual fishing ban by training fishermen as tour guides for their own folklore. The work culminates in a stop-motion film made from hand-carved wooden scenes and a book bound in salvaged boat wood, fishing nets, and cement.</t>
        </is>
      </c>
      <c r="N18" s="113" t="inlineStr">
        <is>
          <t>branded-content, social-good, craft, storytelling, beer, alcohol, brazil, sustainability, stop-motion</t>
        </is>
      </c>
    </row>
    <row r="19" ht="34.5" customHeight="1" s="34">
      <c r="A19" s="149" t="n">
        <v>2025</v>
      </c>
      <c r="B19" s="155" t="inlineStr">
        <is>
          <t>Silver</t>
        </is>
      </c>
      <c r="C19" s="151" t="inlineStr">
        <is>
          <t>Gulf of Mexico (Bar)</t>
        </is>
      </c>
      <c r="D19" s="149" t="inlineStr">
        <is>
          <t>Tecate</t>
        </is>
      </c>
      <c r="E19" s="149" t="inlineStr">
        <is>
          <t>Tecate Light</t>
        </is>
      </c>
      <c r="F19" s="149" t="inlineStr">
        <is>
          <t>LePub Mexico City</t>
        </is>
      </c>
      <c r="G19" s="149" t="inlineStr">
        <is>
          <t>Mexico</t>
        </is>
      </c>
      <c r="H19" s="152" t="inlineStr">
        <is>
          <t>E08 - Market Disruption</t>
        </is>
      </c>
      <c r="I19" s="153" t="inlineStr">
        <is>
          <t>https://ascentialcdn.filespin.io/api/v1/conversion/afa88aa8421b41a18c68b9863bb6926c</t>
        </is>
      </c>
      <c r="J19" s="127" t="inlineStr">
        <is>
          <t>TFbAS7weMR8</t>
        </is>
      </c>
      <c r="K19" s="127" t="n"/>
      <c r="L19" s="128" t="inlineStr">
        <is>
          <t>https://www.lovethework.com/work/entries/gulf-of-mexico-bar-748404</t>
        </is>
      </c>
      <c r="M19" s="113" t="inlineStr">
        <is>
          <t>A floating bar built on a boat in the Gulf of Mexico, accessible only by sea and named 'Golfo de México' — a response to a U.S. proposal to rename the gulf the 'Gulf of America.' To pair, Tecate launched a special-edition Tecate Light brewed with salt harvested from the disputed waters.</t>
        </is>
      </c>
      <c r="N19" s="113" t="inlineStr">
        <is>
          <t>ooh, brand-stunt, political-commentary, beer, alcohol, packaging, mexico, branded-venue, special-edition</t>
        </is>
      </c>
    </row>
    <row r="20" ht="34.5" customHeight="1" s="34">
      <c r="A20" s="149" t="n">
        <v>2025</v>
      </c>
      <c r="B20" s="155" t="inlineStr">
        <is>
          <t>Silver</t>
        </is>
      </c>
      <c r="C20" s="151" t="inlineStr">
        <is>
          <t>Haaland Payback Time</t>
        </is>
      </c>
      <c r="D20" s="149" t="inlineStr">
        <is>
          <t>Clash of Clans</t>
        </is>
      </c>
      <c r="E20" s="149" t="inlineStr">
        <is>
          <t>Clash of Clans</t>
        </is>
      </c>
      <c r="F20" s="149" t="inlineStr">
        <is>
          <t>DAVID New York</t>
        </is>
      </c>
      <c r="G20" s="149" t="inlineStr">
        <is>
          <t>United States</t>
        </is>
      </c>
      <c r="H20" s="152" t="inlineStr">
        <is>
          <t>A05 - Media/Entertainment</t>
        </is>
      </c>
      <c r="I20" s="153" t="inlineStr">
        <is>
          <t>https://ascentialcdn.filespin.io/api/v1/conversion/e56e744cd3594eceb82733246e9035b2</t>
        </is>
      </c>
      <c r="J20" s="127" t="inlineStr">
        <is>
          <t>TcQ--NtSQ9s</t>
        </is>
      </c>
      <c r="K20" s="127" t="n"/>
      <c r="L20" s="128" t="inlineStr">
        <is>
          <t>https://www.lovethework.com/work/entries/haaland-payback-time-763780</t>
        </is>
      </c>
      <c r="M20" s="113" t="inlineStr">
        <is>
          <t>An in-game challenge built around Erling Haaland — the first real person ever to appear inside Clash of Clans — that invited rival football fans to raid the village he'd spent over a decade building. Out-of-home near rival stadiums and real-time ad reads from competing players kept the rivalry running outside the game.</t>
        </is>
      </c>
      <c r="N20" s="113" t="inlineStr">
        <is>
          <t>gaming, video-games, entertainment, sport, mobile-game, integrated, ooh, real-time, football, soccer, partnership</t>
        </is>
      </c>
    </row>
    <row r="21" ht="34.5" customHeight="1" s="34">
      <c r="A21" s="149" t="n">
        <v>2025</v>
      </c>
      <c r="B21" s="155" t="inlineStr">
        <is>
          <t>Silver</t>
        </is>
      </c>
      <c r="C21" s="151" t="inlineStr">
        <is>
          <t>Harmoniser</t>
        </is>
      </c>
      <c r="D21" s="149" t="inlineStr">
        <is>
          <t>Twix</t>
        </is>
      </c>
      <c r="E21" s="149" t="inlineStr">
        <is>
          <t>Twix</t>
        </is>
      </c>
      <c r="F21" s="149" t="inlineStr">
        <is>
          <t>adam&amp;eveDDB London</t>
        </is>
      </c>
      <c r="G21" s="149" t="inlineStr">
        <is>
          <t>United Kingdom</t>
        </is>
      </c>
      <c r="H21" s="152" t="inlineStr">
        <is>
          <t>E05 - Use of Humour</t>
        </is>
      </c>
      <c r="I21" s="156" t="inlineStr">
        <is>
          <t>digital-presentation-images/brand-experience-and-activation-twix-harmoniser.webp</t>
        </is>
      </c>
      <c r="J21" s="127" t="inlineStr">
        <is>
          <t>OFY3DkMtpEk</t>
        </is>
      </c>
      <c r="K21" s="127" t="n"/>
      <c r="L21" s="128" t="inlineStr">
        <is>
          <t>https://www.lovethework.com/work/entries/harmoniser-748338</t>
        </is>
      </c>
      <c r="M21" s="113" t="inlineStr">
        <is>
          <t>A WhatsApp feature, built with Meta, that detects when a voicenote is being recorded and harmonises the speaker's voice with itself — turning ordinary 18-to-34 voice messaging into impromptu duets. Launched across Europe as part of Twix's 'Two is more than One' platform.</t>
        </is>
      </c>
      <c r="N21" s="113" t="inlineStr">
        <is>
          <t>social, mobile, audio, ai, technology, voice, partnership, confectionery, candy, snack, packaged-goods, food, cpg, fmcg, europe</t>
        </is>
      </c>
    </row>
    <row r="22" ht="34.5" customHeight="1" s="34">
      <c r="A22" s="149" t="n">
        <v>2025</v>
      </c>
      <c r="B22" s="155" t="inlineStr">
        <is>
          <t>Silver</t>
        </is>
      </c>
      <c r="C22" s="151" t="inlineStr">
        <is>
          <t>IKEA Hidden Tags</t>
        </is>
      </c>
      <c r="D22" s="149" t="inlineStr">
        <is>
          <t>IKEA</t>
        </is>
      </c>
      <c r="E22" s="149" t="inlineStr">
        <is>
          <t>IKEA</t>
        </is>
      </c>
      <c r="F22" s="149" t="inlineStr">
        <is>
          <t>Uzina Lisbon</t>
        </is>
      </c>
      <c r="G22" s="149" t="inlineStr">
        <is>
          <t>Portugal</t>
        </is>
      </c>
      <c r="H22" s="152" t="inlineStr">
        <is>
          <t>C03 - Customer Acquisition</t>
        </is>
      </c>
      <c r="I22" s="153" t="inlineStr">
        <is>
          <t>https://ascentialcdn.filespin.io/api/v1/conversion/237ade5924eb407898bf58d19f58a52a</t>
        </is>
      </c>
      <c r="J22" s="127" t="inlineStr">
        <is>
          <t>oKWkHqlt7yA</t>
        </is>
      </c>
      <c r="K22" s="127" t="n"/>
      <c r="L22" s="128" t="inlineStr">
        <is>
          <t>https://www.lovethework.com/work/entries/ikea-hidden-tags-747253</t>
        </is>
      </c>
      <c r="M22" s="113" t="inlineStr">
        <is>
          <t>A national treasure hunt that asked Portuguese households to find and photograph the small printed tags hidden inside their IKEA furniture, then upload them to see whose piece was oldest. The activation, marking IKEA's 20 years in Portugal, used the brand's own quality-control tags as proof that the furniture is built to last.</t>
        </is>
      </c>
      <c r="N22" s="113" t="inlineStr">
        <is>
          <t>retail, ugc, gamification, anniversary, furniture, home, portugal, product-design, direct</t>
        </is>
      </c>
    </row>
    <row r="23" ht="34.5" customHeight="1" s="34">
      <c r="A23" s="149" t="n">
        <v>2025</v>
      </c>
      <c r="B23" s="155" t="inlineStr">
        <is>
          <t>Silver</t>
        </is>
      </c>
      <c r="C23" s="151" t="inlineStr">
        <is>
          <t>Lessons of Shame</t>
        </is>
      </c>
      <c r="D23" s="149" t="inlineStr">
        <is>
          <t>World Vision</t>
        </is>
      </c>
      <c r="E23" s="149" t="inlineStr">
        <is>
          <t>Institutional</t>
        </is>
      </c>
      <c r="F23" s="149" t="inlineStr">
        <is>
          <t>Havas Costa Rica</t>
        </is>
      </c>
      <c r="G23" s="149" t="inlineStr">
        <is>
          <t>Costa Rica</t>
        </is>
      </c>
      <c r="H23" s="152" t="inlineStr">
        <is>
          <t>D02 - Guerrilla Marketing</t>
        </is>
      </c>
      <c r="I23" s="153" t="inlineStr">
        <is>
          <t>https://ascentialcdn.filespin.io/api/v1/conversion/71112ff9b2324f9b8f9338c809483684</t>
        </is>
      </c>
      <c r="J23" s="127" t="inlineStr">
        <is>
          <t>YrNH2-6vqZo</t>
        </is>
      </c>
      <c r="K23" s="127" t="n"/>
      <c r="L23" s="128" t="inlineStr">
        <is>
          <t>https://www.lovethework.com/work/entries/lessons-of-shame-747535</t>
        </is>
      </c>
      <c r="M23" s="113" t="inlineStr">
        <is>
          <t>A staged in-person protest where 20 high-school and college students set up a makeshift classroom in the public gallery of Costa Rica's Legislative Assembly on the day lawmakers debated cuts to the national education budget. The act framed neglected school infrastructure as a public-shame issue and put students physically in the room where the decision was being made.</t>
        </is>
      </c>
      <c r="N23" s="113" t="inlineStr">
        <is>
          <t>not-for-profit, charity, ngo, social-good, protest, stunt, education, costa-rica, public-affairs</t>
        </is>
      </c>
    </row>
    <row r="24" ht="34.5" customHeight="1" s="34">
      <c r="A24" s="149" t="n">
        <v>2025</v>
      </c>
      <c r="B24" s="155" t="inlineStr">
        <is>
          <t>Silver</t>
        </is>
      </c>
      <c r="C24" s="151" t="inlineStr">
        <is>
          <t>Life Donor Card</t>
        </is>
      </c>
      <c r="D24" s="149" t="inlineStr">
        <is>
          <t>Mastercard</t>
        </is>
      </c>
      <c r="E24" s="149" t="inlineStr">
        <is>
          <t>Life Donor Feature</t>
        </is>
      </c>
      <c r="F24" s="149" t="inlineStr">
        <is>
          <t>MRM Germany Frankfurt</t>
        </is>
      </c>
      <c r="G24" s="149" t="inlineStr">
        <is>
          <t>Germany</t>
        </is>
      </c>
      <c r="H24" s="152" t="inlineStr">
        <is>
          <t>E07 - Corporate Purpose</t>
        </is>
      </c>
      <c r="I24" s="153" t="inlineStr">
        <is>
          <t>https://ascentialcdn.filespin.io/api/v1/conversion/5801ee4249af49b0aa23167f0d131de4</t>
        </is>
      </c>
      <c r="J24" s="127" t="inlineStr">
        <is>
          <t>pe-7cdkH2dA</t>
        </is>
      </c>
      <c r="K24" s="127" t="n"/>
      <c r="L24" s="128" t="inlineStr">
        <is>
          <t>https://www.lovethework.com/work/entries/life-donor-card-759456</t>
        </is>
      </c>
      <c r="M24" s="113" t="inlineStr">
        <is>
          <t>A Mastercard product update in Germany — built with prepaid issuer PayCenter — that lets cardholders document their organ-donor consent on the front of their payment card. The card becomes a portable, always-on donor record in a country with the lowest organ-donation rate in Europe.</t>
        </is>
      </c>
      <c r="N24" s="113" t="inlineStr">
        <is>
          <t>credit-card, credit, payments, fintech, financial-services, finance, healthcare, social-good, product-innovation, organ-donation, medical, germany, partnership</t>
        </is>
      </c>
    </row>
    <row r="25" ht="34.5" customHeight="1" s="34">
      <c r="A25" s="149" t="n">
        <v>2025</v>
      </c>
      <c r="B25" s="155" t="inlineStr">
        <is>
          <t>Silver</t>
        </is>
      </c>
      <c r="C25" s="151" t="inlineStr">
        <is>
          <t>Olympic Games Opening Ceremony Paris 2024</t>
        </is>
      </c>
      <c r="D25" s="149" t="inlineStr">
        <is>
          <t>Paris 2024</t>
        </is>
      </c>
      <c r="E25" s="149" t="inlineStr">
        <is>
          <t>Paris 2024</t>
        </is>
      </c>
      <c r="F25" s="149" t="inlineStr">
        <is>
          <t>Paname 24 Paris</t>
        </is>
      </c>
      <c r="G25" s="149" t="inlineStr">
        <is>
          <t>France</t>
        </is>
      </c>
      <c r="H25" s="152" t="inlineStr">
        <is>
          <t>E07 - Corporate Purpose</t>
        </is>
      </c>
      <c r="I25" s="153" t="inlineStr">
        <is>
          <t>https://ascentialcdn.filespin.io/api/v1/conversion/60aa1888e5b6444381b060dc1801de84</t>
        </is>
      </c>
      <c r="J25" s="127" t="inlineStr">
        <is>
          <t>t8o4ulxT1Cc</t>
        </is>
      </c>
      <c r="K25" s="127" t="n"/>
      <c r="L25" s="128" t="inlineStr">
        <is>
          <t>https://www.lovethework.com/work/entries/olympic-games-opening-ceremony-paris-2024-748278</t>
        </is>
      </c>
      <c r="M25" s="113" t="inlineStr">
        <is>
          <t>The official opening ceremony of the Paris 2024 Olympics, produced for the IOC and Paris 2024 by the Paname 24 collective — the first Olympic opener staged outside a stadium, sending 6,800 athletes down the Seine on 85 boats and ending with a hot-air-balloon cauldron lifted above the city.</t>
        </is>
      </c>
      <c r="N25" s="113" t="inlineStr">
        <is>
          <t>live-event, olympics, sport, ceremony, paris, large-scale, broadcast, entertainment, partnership, france</t>
        </is>
      </c>
    </row>
    <row r="26" ht="34.5" customHeight="1" s="34">
      <c r="A26" s="149" t="n">
        <v>2025</v>
      </c>
      <c r="B26" s="155" t="inlineStr">
        <is>
          <t>Silver</t>
        </is>
      </c>
      <c r="C26" s="151" t="inlineStr">
        <is>
          <t>Price Packs</t>
        </is>
      </c>
      <c r="D26" s="149" t="inlineStr">
        <is>
          <t>Penny</t>
        </is>
      </c>
      <c r="E26" s="149" t="inlineStr">
        <is>
          <t>Food/Non-Food</t>
        </is>
      </c>
      <c r="F26" s="149" t="inlineStr">
        <is>
          <t>Serviceplan Germany</t>
        </is>
      </c>
      <c r="G26" s="149" t="inlineStr">
        <is>
          <t>Germany</t>
        </is>
      </c>
      <c r="H26" s="152" t="inlineStr">
        <is>
          <t>E03 - Single-Market</t>
        </is>
      </c>
      <c r="I26" s="153" t="inlineStr">
        <is>
          <t>https://ascentialcdn.filespin.io/api/v1/conversion/67b6df2a0fe64deeb274c91d50040c54</t>
        </is>
      </c>
      <c r="J26" s="127" t="inlineStr">
        <is>
          <t>cnAXR4lk6R0</t>
        </is>
      </c>
      <c r="K26" s="127" t="n"/>
      <c r="L26" s="128" t="inlineStr">
        <is>
          <t>https://www.lovethework.com/work/entries/price-packs-748036</t>
        </is>
      </c>
      <c r="M26" s="113" t="inlineStr">
        <is>
          <t>A packaging redesign for five Penny staples — oatmeal, toast, salt, crisps, mayonnaise — that swaps standard product graphics for the locked-in low price rendered enormous on the front of the pack. The shelf becomes its own price-stability ad, with the same visual extended to outdoor across all 2,100 stores.</t>
        </is>
      </c>
      <c r="N26" s="113" t="inlineStr">
        <is>
          <t>packaging, retail, ooh, supermarket, grocery, design, price, germany, market-disruption</t>
        </is>
      </c>
    </row>
    <row r="27" ht="34.5" customHeight="1" s="34">
      <c r="A27" s="149" t="n">
        <v>2025</v>
      </c>
      <c r="B27" s="155" t="inlineStr">
        <is>
          <t>Silver</t>
        </is>
      </c>
      <c r="C27" s="151" t="inlineStr">
        <is>
          <t>Progresso Soup Drops</t>
        </is>
      </c>
      <c r="D27" s="149" t="inlineStr">
        <is>
          <t>Progresso</t>
        </is>
      </c>
      <c r="E27" s="149" t="inlineStr">
        <is>
          <t>Progresso Canned Soups</t>
        </is>
      </c>
      <c r="F27" s="149" t="inlineStr">
        <is>
          <t>Edelman Chicago</t>
        </is>
      </c>
      <c r="G27" s="149" t="inlineStr">
        <is>
          <t>United States</t>
        </is>
      </c>
      <c r="H27" s="152" t="inlineStr">
        <is>
          <t>D02 - Guerrilla Marketing</t>
        </is>
      </c>
      <c r="I27" s="153" t="inlineStr">
        <is>
          <t>https://ascentialcdn.filespin.io/api/v1/conversion/8a8d409a0e954a6b8f0df7b07bba8cc9</t>
        </is>
      </c>
      <c r="J27" s="127" t="inlineStr">
        <is>
          <t>vimeo:1153574180</t>
        </is>
      </c>
      <c r="K27" s="127" t="n"/>
      <c r="L27" s="128" t="inlineStr">
        <is>
          <t>https://www.lovethework.com/work/entries/progresso-soup-drops-747467</t>
        </is>
      </c>
      <c r="M27" s="113" t="inlineStr">
        <is>
          <t>A limited-edition hard candy made to taste like Progresso Chicken Noodle Soup, released only during National Soup Month at the peak of cold-and-flu season. Sold direct-to-consumer in a custom 'soup you can suck on' format that moved the brand out of the soup aisle and into the candy and lozenge conversation.</t>
        </is>
      </c>
      <c r="N27" s="113" t="inlineStr">
        <is>
          <t>product-launch, packaged-goods, cpg, fmcg, pr-stunt, limited-edition, food, dtc, ecommerce, retail, online-shopping, united-states, seasonal</t>
        </is>
      </c>
    </row>
    <row r="28" ht="34.5" customHeight="1" s="34">
      <c r="A28" s="149" t="n">
        <v>2025</v>
      </c>
      <c r="B28" s="155" t="inlineStr">
        <is>
          <t>Silver</t>
        </is>
      </c>
      <c r="C28" s="151" t="inlineStr">
        <is>
          <t>Pub Succession</t>
        </is>
      </c>
      <c r="D28" s="149" t="inlineStr">
        <is>
          <t>Heineken</t>
        </is>
      </c>
      <c r="E28" s="149" t="inlineStr">
        <is>
          <t>Heineken</t>
        </is>
      </c>
      <c r="F28" s="149" t="inlineStr">
        <is>
          <t>LePub Milan</t>
        </is>
      </c>
      <c r="G28" s="149" t="inlineStr">
        <is>
          <t>Italy</t>
        </is>
      </c>
      <c r="H28" s="152" t="inlineStr">
        <is>
          <t>D03 - Brand-Owned Experiences</t>
        </is>
      </c>
      <c r="I28" s="153" t="inlineStr">
        <is>
          <t>https://ascentialcdn.filespin.io/api/v1/conversion/a8d4e72bb1ce47508dcea8db73d16b01</t>
        </is>
      </c>
      <c r="J28" s="127" t="inlineStr">
        <is>
          <t>Cu0FLBdZrcM</t>
        </is>
      </c>
      <c r="K28" s="127" t="n"/>
      <c r="L28" s="128" t="inlineStr">
        <is>
          <t>https://www.lovethework.com/work/entries/pub-succession-747631</t>
        </is>
      </c>
      <c r="M28" s="113" t="inlineStr">
        <is>
          <t>A global recruitment campaign to find a new owner for McLoughlin's Bar, a 155-year-old family pub on Ireland's Achill Island whose fourth-generation publican is retiring with no successor — but only candidates named McLoughlin can apply. Launched on St Patrick's Day and pushed everywhere from Times Square to The New York Times.</t>
        </is>
      </c>
      <c r="N28" s="113" t="inlineStr">
        <is>
          <t>pr, integrated, ooh, beer, alcohol, ireland, recruitment, cultural-engagement, partnership</t>
        </is>
      </c>
    </row>
    <row r="29" ht="34.5" customHeight="1" s="34">
      <c r="A29" s="149" t="n">
        <v>2025</v>
      </c>
      <c r="B29" s="155" t="inlineStr">
        <is>
          <t>Silver</t>
        </is>
      </c>
      <c r="C29" s="151" t="inlineStr">
        <is>
          <t>Public Money ATM</t>
        </is>
      </c>
      <c r="D29" s="149" t="inlineStr">
        <is>
          <t>Mastercard</t>
        </is>
      </c>
      <c r="E29" s="149" t="inlineStr">
        <is>
          <t>Mastercard</t>
        </is>
      </c>
      <c r="F29" s="149" t="inlineStr">
        <is>
          <t>McCann Poland Warsaw</t>
        </is>
      </c>
      <c r="G29" s="149" t="inlineStr">
        <is>
          <t>Poland</t>
        </is>
      </c>
      <c r="H29" s="152" t="inlineStr">
        <is>
          <t>B06 - Digital Installations</t>
        </is>
      </c>
      <c r="I29" s="153" t="inlineStr">
        <is>
          <t>https://ascentialcdn.filespin.io/api/v1/conversion/faa00cc4c0b94e1ea53f6e9be2461987</t>
        </is>
      </c>
      <c r="J29" s="127" t="inlineStr">
        <is>
          <t>laOOyNw0dyI</t>
        </is>
      </c>
      <c r="K29" s="127" t="n"/>
      <c r="L29" s="128" t="inlineStr">
        <is>
          <t>https://www.lovethework.com/work/entries/public-money-atm-760036</t>
        </is>
      </c>
      <c r="M29" s="113" t="inlineStr">
        <is>
          <t>A pilot in Ełk, Poland that turned everyday Mastercard ATMs into voting terminals for the city's participatory-budget program. Residents inserted the card they use to withdraw cash and picked which neighborhood projects got funded, with the bank network handling identity and one-vote-per-citizen enforcement.</t>
        </is>
      </c>
      <c r="N29" s="113" t="inlineStr">
        <is>
          <t>credit-card, credit, payments, fintech, financial-services, finance, civic-tech, participatory-democracy, atm, banking, poland, public-service, digital-installation</t>
        </is>
      </c>
    </row>
    <row r="30" ht="34.5" customHeight="1" s="34">
      <c r="A30" s="149" t="n">
        <v>2025</v>
      </c>
      <c r="B30" s="155" t="inlineStr">
        <is>
          <t>Silver</t>
        </is>
      </c>
      <c r="C30" s="151" t="inlineStr">
        <is>
          <t>Recipe for Change</t>
        </is>
      </c>
      <c r="D30" s="149" t="inlineStr">
        <is>
          <t>Arla</t>
        </is>
      </c>
      <c r="E30" s="149" t="inlineStr">
        <is>
          <t>Puck</t>
        </is>
      </c>
      <c r="F30" s="149" t="inlineStr">
        <is>
          <t>FP7 McCann Dubai</t>
        </is>
      </c>
      <c r="G30" s="149" t="inlineStr">
        <is>
          <t>United Arab Emirates</t>
        </is>
      </c>
      <c r="H30" s="152" t="inlineStr">
        <is>
          <t>E08 - Market Disruption</t>
        </is>
      </c>
      <c r="I30" s="153" t="inlineStr">
        <is>
          <t>https://ascentialcdn.filespin.io/api/v1/conversion/945d141f6a13498e8ad127f4cbbf0caf</t>
        </is>
      </c>
      <c r="J30" s="127" t="inlineStr">
        <is>
          <t>vimeo:1078926878</t>
        </is>
      </c>
      <c r="K30" s="127" t="n"/>
      <c r="L30" s="128" t="inlineStr">
        <is>
          <t>https://www.lovethework.com/work/entries/recipe-for-change-748366</t>
        </is>
      </c>
      <c r="M30" s="113" t="inlineStr">
        <is>
          <t>A licensing program that turned Lebanese women's family recipes into restaurant intellectual property. Lebanese and fusion restaurants across the UAE served the dishes through March 2025 with half of each dish's profit flowing back to the cook, framing home cooking as an export and a source of income for displaced families.</t>
        </is>
      </c>
      <c r="N30" s="113" t="inlineStr">
        <is>
          <t>food, sdg, partnership, restaurant, social-good, middle-east, lebanon, licensing</t>
        </is>
      </c>
    </row>
    <row r="31" ht="34.5" customHeight="1" s="34">
      <c r="A31" s="149" t="n">
        <v>2025</v>
      </c>
      <c r="B31" s="155" t="inlineStr">
        <is>
          <t>Silver</t>
        </is>
      </c>
      <c r="C31" s="151" t="inlineStr">
        <is>
          <t>RooBadge</t>
        </is>
      </c>
      <c r="D31" s="149" t="inlineStr">
        <is>
          <t>Volkswagen</t>
        </is>
      </c>
      <c r="E31" s="149" t="inlineStr">
        <is>
          <t>Automotive Accessory</t>
        </is>
      </c>
      <c r="F31" s="149" t="inlineStr">
        <is>
          <t>DDB Sydney</t>
        </is>
      </c>
      <c r="G31" s="149" t="inlineStr">
        <is>
          <t>Australia</t>
        </is>
      </c>
      <c r="H31" s="152" t="inlineStr">
        <is>
          <t>A03 - Automotive</t>
        </is>
      </c>
      <c r="I31" s="153" t="inlineStr">
        <is>
          <t>https://ascentialcdn.filespin.io/api/v1/conversion/fcd0be35220a46cbbcee1dada7201da9</t>
        </is>
      </c>
      <c r="J31" s="127" t="inlineStr">
        <is>
          <t>vimeo:1093418498</t>
        </is>
      </c>
      <c r="K31" s="127" t="n"/>
      <c r="L31" s="128" t="inlineStr">
        <is>
          <t>https://www.lovethework.com/work/entries/roobadge-746668</t>
        </is>
      </c>
      <c r="M31" s="113" t="inlineStr">
        <is>
          <t>A drop-in replacement Volkswagen badge that doubles as a directional ultrasound speaker. A paired app cross-references the car's GPS with kangaroo distribution data, identifies which species you're driving through, and plays a deterrent sound tuned to that species' hearing. Developed with the University of Melbourne and wildlife group WIRES.</t>
        </is>
      </c>
      <c r="N31" s="113" t="inlineStr">
        <is>
          <t>automotive, cars, transport, product-innovation, wildlife, audio, machine-learning, ai, technology, australia, road-safety, partnership</t>
        </is>
      </c>
    </row>
    <row r="32" ht="34.5" customHeight="1" s="34">
      <c r="A32" s="149" t="n">
        <v>2025</v>
      </c>
      <c r="B32" s="155" t="inlineStr">
        <is>
          <t>Silver</t>
        </is>
      </c>
      <c r="C32" s="151" t="inlineStr">
        <is>
          <t>Spreadbeats</t>
        </is>
      </c>
      <c r="D32" s="149" t="inlineStr">
        <is>
          <t>Spotify</t>
        </is>
      </c>
      <c r="E32" s="149" t="inlineStr">
        <is>
          <t>Spotify</t>
        </is>
      </c>
      <c r="F32" s="149" t="inlineStr">
        <is>
          <t>FCB New York</t>
        </is>
      </c>
      <c r="G32" s="149" t="inlineStr">
        <is>
          <t>United States</t>
        </is>
      </c>
      <c r="H32" s="152" t="inlineStr">
        <is>
          <t>A06 - Consumer Services/B2B</t>
        </is>
      </c>
      <c r="I32" s="153" t="inlineStr">
        <is>
          <t>https://ascentialcdn.filespin.io/api/v1/conversion/3ad6c6826a8c471190e7d97b6003c486</t>
        </is>
      </c>
      <c r="J32" s="127" t="inlineStr">
        <is>
          <t>vimeo:1000498095</t>
        </is>
      </c>
      <c r="K32" s="127" t="n"/>
      <c r="L32" s="128" t="inlineStr">
        <is>
          <t>https://www.lovethework.com/work/entries/spreadbeats-746959</t>
        </is>
      </c>
      <c r="M32" s="113" t="inlineStr">
        <is>
          <t>A music video coded entirely inside the Excel sales decks Spotify sends to media planners — a character bouncing around the cells of a working spreadsheet, scored to a John Summit track, built using only formulas and conditional formatting. The recipient opens the file expecting numbers and the spreadsheet itself starts performing.</t>
        </is>
      </c>
      <c r="N32" s="113" t="inlineStr">
        <is>
          <t>b2b, business, sales-enablement, digital-craft, music, entertainment, spreadsheet, united-states, audio-platform, streaming, tv, design</t>
        </is>
      </c>
    </row>
    <row r="33" ht="34.5" customHeight="1" s="34">
      <c r="A33" s="149" t="n">
        <v>2025</v>
      </c>
      <c r="B33" s="155" t="inlineStr">
        <is>
          <t>Silver</t>
        </is>
      </c>
      <c r="C33" s="151" t="inlineStr">
        <is>
          <t>The Athletes Code</t>
        </is>
      </c>
      <c r="D33" s="149" t="inlineStr">
        <is>
          <t>Powerade</t>
        </is>
      </c>
      <c r="E33" s="149" t="inlineStr">
        <is>
          <t>Powerade</t>
        </is>
      </c>
      <c r="F33" s="149" t="inlineStr">
        <is>
          <t>Ogilvy New York</t>
        </is>
      </c>
      <c r="G33" s="149" t="inlineStr">
        <is>
          <t>United States</t>
        </is>
      </c>
      <c r="H33" s="152" t="inlineStr">
        <is>
          <t>E07 - Corporate Purpose</t>
        </is>
      </c>
      <c r="I33" s="153" t="inlineStr">
        <is>
          <t>https://ascentialcdn.filespin.io/api/v1/conversion/fb3c12787a614e6380d825b91a317ee9</t>
        </is>
      </c>
      <c r="J33" s="127" t="inlineStr">
        <is>
          <t>z7EwJIUlr-g</t>
        </is>
      </c>
      <c r="K33" s="127" t="n"/>
      <c r="L33" s="128" t="inlineStr">
        <is>
          <t>https://www.lovethework.com/work/entries/the-athletes-code-748210</t>
        </is>
      </c>
      <c r="M33" s="113" t="inlineStr">
        <is>
          <t>A new clause Powerade added to every athlete sponsorship contract that legally protects the athlete's right to pause their career — for mental health, injury, or family reasons — without losing the deal. Built with the IOC, mental-health advocates, and contract lawyers, and rolled out across Powerade's full roster.</t>
        </is>
      </c>
      <c r="N33" s="113" t="inlineStr">
        <is>
          <t>sports-drink, drinks, beverage, cpg, fmcg, sport, sponsorship, mental-health, healthcare, medical, contract, partnership, corporate-purpose, united-states, integrated</t>
        </is>
      </c>
    </row>
    <row r="34" ht="34.5" customHeight="1" s="34">
      <c r="A34" s="149" t="n">
        <v>2025</v>
      </c>
      <c r="B34" s="155" t="inlineStr">
        <is>
          <t>Silver</t>
        </is>
      </c>
      <c r="C34" s="151" t="inlineStr">
        <is>
          <t>The Kimberly Price</t>
        </is>
      </c>
      <c r="D34" s="149" t="inlineStr">
        <is>
          <t>Plaza Vea</t>
        </is>
      </c>
      <c r="E34" s="149" t="inlineStr">
        <is>
          <t>Plaza Vea</t>
        </is>
      </c>
      <c r="F34" s="149" t="inlineStr">
        <is>
          <t>Fahrenheit DDB Lima</t>
        </is>
      </c>
      <c r="G34" s="149" t="inlineStr">
        <is>
          <t>Peru</t>
        </is>
      </c>
      <c r="H34" s="152" t="inlineStr">
        <is>
          <t>A04 - Travel/Retail</t>
        </is>
      </c>
      <c r="I34" s="153" t="inlineStr">
        <is>
          <t>https://ascentialcdn.filespin.io/api/v1/conversion/bf4eb691b7e04919bfdbea7a218c286a</t>
        </is>
      </c>
      <c r="J34" s="127" t="inlineStr">
        <is>
          <t>pPAGka7S4_o</t>
        </is>
      </c>
      <c r="K34" s="127" t="n"/>
      <c r="L34" s="128" t="inlineStr">
        <is>
          <t>https://www.lovethework.com/work/entries/the-kimberly-price-746828</t>
        </is>
      </c>
      <c r="M34" s="113" t="inlineStr">
        <is>
          <t>An overnight promotion timed to Olympic race-walker Kimberly García's Paris 2024 final, which aired at 2:20 a.m. in Peru. Plaza Vea — García's sponsor — turned her competition bib number into the price of exclusive appliance deals, available only while she was on the course, to keep Peruvian viewers awake and watching a sport that rarely gets attention.</t>
        </is>
      </c>
      <c r="N34" s="113" t="inlineStr">
        <is>
          <t>retail, sponsorship, sport, social-engagement, supermarket, grocery, peru, olympics, partnership</t>
        </is>
      </c>
    </row>
    <row r="35" ht="34.5" customHeight="1" s="34">
      <c r="A35" s="149" t="n">
        <v>2025</v>
      </c>
      <c r="B35" s="155" t="inlineStr">
        <is>
          <t>Silver</t>
        </is>
      </c>
      <c r="C35" s="151" t="inlineStr">
        <is>
          <t>The Kimberly Price</t>
        </is>
      </c>
      <c r="D35" s="149" t="inlineStr">
        <is>
          <t>Plaza Vea</t>
        </is>
      </c>
      <c r="E35" s="149" t="inlineStr">
        <is>
          <t>Plaza Vea</t>
        </is>
      </c>
      <c r="F35" s="149" t="inlineStr">
        <is>
          <t>Fahrenheit DDB Lima</t>
        </is>
      </c>
      <c r="G35" s="149" t="inlineStr">
        <is>
          <t>Peru</t>
        </is>
      </c>
      <c r="H35" s="152" t="inlineStr">
        <is>
          <t>E01 - Local Brand</t>
        </is>
      </c>
      <c r="I35" s="153" t="inlineStr">
        <is>
          <t>https://ascentialcdn.filespin.io/api/v1/conversion/dc69ba18c3b64ddfa564f09dc300d7e0</t>
        </is>
      </c>
      <c r="J35" s="127" t="inlineStr">
        <is>
          <t>pPAGka7S4_o</t>
        </is>
      </c>
      <c r="K35" s="127" t="n"/>
      <c r="L35" s="128" t="inlineStr">
        <is>
          <t>https://www.lovethework.com/work/entries/the-kimberly-price-746828</t>
        </is>
      </c>
      <c r="M35" s="113" t="inlineStr">
        <is>
          <t>An overnight promotion timed to Olympic race-walker Kimberly García's Paris 2024 final, which aired at 2:20 a.m. in Peru. Plaza Vea — García's sponsor — turned her competition bib number into the price of exclusive appliance deals, available only while she was on the course, to keep Peruvian viewers awake and watching a sport that rarely gets attention.</t>
        </is>
      </c>
      <c r="N35" s="113" t="inlineStr">
        <is>
          <t>retail, sponsorship, sport, social-engagement, supermarket, grocery, peru, olympics, partnership</t>
        </is>
      </c>
    </row>
    <row r="36" ht="34.5" customHeight="1" s="34">
      <c r="A36" s="149" t="n">
        <v>2025</v>
      </c>
      <c r="B36" s="155" t="inlineStr">
        <is>
          <t>Silver</t>
        </is>
      </c>
      <c r="C36" s="151" t="inlineStr">
        <is>
          <t>Time to Live</t>
        </is>
      </c>
      <c r="D36" s="149" t="inlineStr">
        <is>
          <t>Australian Cancer Research Foundation</t>
        </is>
      </c>
      <c r="E36" s="149" t="inlineStr">
        <is>
          <t>ACRF Awareness Campaign</t>
        </is>
      </c>
      <c r="F36" s="149" t="inlineStr">
        <is>
          <t>The Ministry for Communication &amp; the Arts</t>
        </is>
      </c>
      <c r="G36" s="149" t="inlineStr">
        <is>
          <t>Australia</t>
        </is>
      </c>
      <c r="H36" s="152" t="inlineStr">
        <is>
          <t>E06 - Breakthrough on a Budget</t>
        </is>
      </c>
      <c r="I36" s="153" t="inlineStr">
        <is>
          <t>https://ascentialcdn.filespin.io/api/v1/conversion/837e21468aac4c1e902d0113ac141af1</t>
        </is>
      </c>
      <c r="J36" s="127" t="inlineStr">
        <is>
          <t>vimeo:1078276871</t>
        </is>
      </c>
      <c r="K36" s="127" t="n"/>
      <c r="L36" s="128" t="inlineStr">
        <is>
          <t>https://www.lovethework.com/work/entries/time-to-live-748191</t>
        </is>
      </c>
      <c r="M36" s="113" t="inlineStr">
        <is>
          <t>An immersive exhibition at Sydney's Carriageworks where visitors sat one-on-one with Emily — a terminally ill woman — for the three minutes a projected countdown clock gave them, before having to leave. The setup forced strangers into the experience of running out of time with someone who is dying, and routed donations to the Australian Cancer Research Foundation.</t>
        </is>
      </c>
      <c r="N36" s="113" t="inlineStr">
        <is>
          <t>not-for-profit, charity, ngo, social-good, exhibition, immersive, cancer, healthcare, medical, fundraising, australia, live-experience</t>
        </is>
      </c>
    </row>
    <row r="37" ht="34.5" customHeight="1" s="34">
      <c r="A37" s="149" t="n">
        <v>2025</v>
      </c>
      <c r="B37" s="157" t="inlineStr">
        <is>
          <t>Bronze</t>
        </is>
      </c>
      <c r="C37" s="151" t="inlineStr">
        <is>
          <t>Acko Tailor Test</t>
        </is>
      </c>
      <c r="D37" s="149" t="inlineStr">
        <is>
          <t>Acko</t>
        </is>
      </c>
      <c r="E37" s="149" t="inlineStr">
        <is>
          <t>Health Insurance</t>
        </is>
      </c>
      <c r="F37" s="149" t="inlineStr">
        <is>
          <t>Leo Mumbai</t>
        </is>
      </c>
      <c r="G37" s="149" t="inlineStr">
        <is>
          <t>India</t>
        </is>
      </c>
      <c r="H37" s="152" t="inlineStr">
        <is>
          <t>E07 - Corporate Purpose</t>
        </is>
      </c>
      <c r="I37" s="153" t="inlineStr">
        <is>
          <t>https://ascentialcdn.filespin.io/api/v1/conversion/a8a20a31dcb844ebad5ef04afca8370b</t>
        </is>
      </c>
      <c r="J37" s="127" t="inlineStr">
        <is>
          <t>alezIXsk0So</t>
        </is>
      </c>
      <c r="K37" s="127" t="n"/>
      <c r="L37" s="128" t="inlineStr">
        <is>
          <t>https://www.lovethework.com/work/entries/acko-tailor-test-748463</t>
        </is>
      </c>
      <c r="M37" s="113" t="inlineStr">
        <is>
          <t>A training program for Indian tailors that turns the routine fitting into an early-warning heart screen. When a customer's waist or hip measurement crosses a clinical threshold, the tailor gently suggests a check-up — using a moment of trusted physical contact to reach under-insured customers who'd otherwise never get screened.</t>
        </is>
      </c>
      <c r="N37" s="113" t="inlineStr">
        <is>
          <t>healthcare, insurance, financial-services, finance, partnership, preventive-care, medical, social-good, india, behavioral, retail</t>
        </is>
      </c>
    </row>
    <row r="38" ht="34.5" customHeight="1" s="34">
      <c r="A38" s="149" t="n">
        <v>2025</v>
      </c>
      <c r="B38" s="157" t="inlineStr">
        <is>
          <t>Bronze</t>
        </is>
      </c>
      <c r="C38" s="151" t="inlineStr">
        <is>
          <t>Airbnb Icons</t>
        </is>
      </c>
      <c r="D38" s="149" t="inlineStr">
        <is>
          <t>Airbnb</t>
        </is>
      </c>
      <c r="E38" s="149" t="inlineStr">
        <is>
          <t>Airbnb Icons</t>
        </is>
      </c>
      <c r="F38" s="149" t="inlineStr">
        <is>
          <t>Weber Shandwick San Francisco</t>
        </is>
      </c>
      <c r="G38" s="149" t="inlineStr">
        <is>
          <t>United States</t>
        </is>
      </c>
      <c r="H38" s="152" t="inlineStr">
        <is>
          <t>D04 - Sponsorship</t>
        </is>
      </c>
      <c r="I38" s="153" t="inlineStr">
        <is>
          <t>https://ascentialcdn.filespin.io/api/v1/conversion/db51bea9a01d40108f74e1fa9bd7ad3f</t>
        </is>
      </c>
      <c r="J38" s="127" t="inlineStr">
        <is>
          <t>Rz2FWiJq4Mw</t>
        </is>
      </c>
      <c r="K38" s="127" t="n"/>
      <c r="L38" s="128" t="inlineStr">
        <is>
          <t>https://www.lovethework.com/work/entries/airbnb-icons-747925</t>
        </is>
      </c>
      <c r="M38" s="113" t="inlineStr">
        <is>
          <t>A permanent Airbnb category of pop-culture stays built with film studios and celebrities — Pixar's Up house lifted by balloons, the X-Men mansion, a serenade from Doja Cat. The 11 launch experiences were either free or priced under $100, recasting media partnerships as bookable places to spend the night.</t>
        </is>
      </c>
      <c r="N38" s="113" t="inlineStr">
        <is>
          <t>travel, tourism, sponsorship, partnership, ip, celebrity, branded-experience, united-states, platform</t>
        </is>
      </c>
    </row>
    <row r="39" ht="34.5" customHeight="1" s="34">
      <c r="A39" s="149" t="n">
        <v>2025</v>
      </c>
      <c r="B39" s="157" t="inlineStr">
        <is>
          <t>Bronze</t>
        </is>
      </c>
      <c r="C39" s="151" t="inlineStr">
        <is>
          <t>Bad Luck Reverser</t>
        </is>
      </c>
      <c r="D39" s="149" t="inlineStr">
        <is>
          <t>Refisal</t>
        </is>
      </c>
      <c r="E39" s="149" t="inlineStr">
        <is>
          <t>Refisal</t>
        </is>
      </c>
      <c r="F39" s="149" t="inlineStr">
        <is>
          <t>VML New York</t>
        </is>
      </c>
      <c r="G39" s="149" t="inlineStr">
        <is>
          <t>Colombia</t>
        </is>
      </c>
      <c r="H39" s="152" t="inlineStr">
        <is>
          <t>E04 - Social Behaviour</t>
        </is>
      </c>
      <c r="I39" s="153" t="inlineStr">
        <is>
          <t>https://ascentialcdn.filespin.io/api/v1/conversion/7e95f656b693443d8d4e60f0a4c9b853</t>
        </is>
      </c>
      <c r="J39" s="127" t="inlineStr">
        <is>
          <t>4OaN00EWwWg</t>
        </is>
      </c>
      <c r="K39" s="127" t="n"/>
      <c r="L39" s="128" t="inlineStr">
        <is>
          <t>https://www.lovethework.com/work/entries/bad-luck-reverser-748147</t>
        </is>
      </c>
      <c r="M39" s="113" t="inlineStr">
        <is>
          <t>A line of team-branded salt packets — one for each of Colombia's 20 top-flight football clubs, plus a national-team edition — built around the local superstition of tossing salt over your shoulder to reverse bad luck. Distributed through bodegas and stadiums, the pack put a pantry staple inside the matchday ritual.</t>
        </is>
      </c>
      <c r="N39" s="113" t="inlineStr">
        <is>
          <t>packaging, sport, football, soccer, packaged-goods, cpg, fmcg, retail, colombia, partnership, social-behaviour</t>
        </is>
      </c>
    </row>
    <row r="40" ht="34.5" customHeight="1" s="34">
      <c r="A40" s="149" t="n">
        <v>2025</v>
      </c>
      <c r="B40" s="157" t="inlineStr">
        <is>
          <t>Bronze</t>
        </is>
      </c>
      <c r="C40" s="151" t="inlineStr">
        <is>
          <t>Building Futures</t>
        </is>
      </c>
      <c r="D40" s="149" t="inlineStr">
        <is>
          <t>MRV</t>
        </is>
      </c>
      <c r="E40" s="149" t="inlineStr">
        <is>
          <t>MRV Construction</t>
        </is>
      </c>
      <c r="F40" s="149" t="inlineStr">
        <is>
          <t>DM9 Sao Paulo</t>
        </is>
      </c>
      <c r="G40" s="149" t="inlineStr">
        <is>
          <t>Brazil</t>
        </is>
      </c>
      <c r="H40" s="152" t="inlineStr">
        <is>
          <t>E07 - Corporate Purpose</t>
        </is>
      </c>
      <c r="I40" s="153" t="inlineStr">
        <is>
          <t>https://ascentialcdn.filespin.io/api/v1/conversion/68d1cb58e31142a3ad6142f7ac03f65e</t>
        </is>
      </c>
      <c r="J40" s="127" t="inlineStr">
        <is>
          <t>vimeo:1086909960</t>
        </is>
      </c>
      <c r="K40" s="127" t="n"/>
      <c r="L40" s="128" t="inlineStr">
        <is>
          <t>https://www.lovethework.com/work/entries/building-futures-748173</t>
        </is>
      </c>
      <c r="M40" s="113" t="inlineStr">
        <is>
          <t>Brazil's largest residential homebuilder turned its active construction sites into schools for its own workers. The 24-month on-site curriculum covers reading, financial education, and digital skills — addressing the fact that nearly a third of Brazil's 10 million illiterate adults are employed in construction.</t>
        </is>
      </c>
      <c r="N40" s="113" t="inlineStr">
        <is>
          <t>construction, real-estate, education, literacy, social-good, corporate-purpose, brazil, workforce, partnership</t>
        </is>
      </c>
    </row>
    <row r="41" ht="34.5" customHeight="1" s="34">
      <c r="A41" s="149" t="n">
        <v>2025</v>
      </c>
      <c r="B41" s="157" t="inlineStr">
        <is>
          <t>Bronze</t>
        </is>
      </c>
      <c r="C41" s="151" t="inlineStr">
        <is>
          <t>Camdom</t>
        </is>
      </c>
      <c r="D41" s="149" t="inlineStr">
        <is>
          <t>Billy Boy</t>
        </is>
      </c>
      <c r="E41" s="149" t="inlineStr">
        <is>
          <t>The First Digital Condom</t>
        </is>
      </c>
      <c r="F41" s="149" t="inlineStr">
        <is>
          <t>Innocean Berlin</t>
        </is>
      </c>
      <c r="G41" s="149" t="inlineStr">
        <is>
          <t>Germany</t>
        </is>
      </c>
      <c r="H41" s="152" t="inlineStr">
        <is>
          <t>A02 - Healthcare</t>
        </is>
      </c>
      <c r="I41" s="153" t="inlineStr">
        <is>
          <t>https://ascentialcdn.filespin.io/api/v1/conversion/abab04c347304d2a9a3b75bd9d3a0a79</t>
        </is>
      </c>
      <c r="J41" s="127" t="inlineStr">
        <is>
          <t>95RGWYXNq70</t>
        </is>
      </c>
      <c r="K41" s="127" t="n"/>
      <c r="L41" s="128" t="inlineStr">
        <is>
          <t>https://www.lovethework.com/work/entries/camdom-746733</t>
        </is>
      </c>
      <c r="M41" s="113" t="inlineStr">
        <is>
          <t>A smartphone app that pairs two phones via proximity, then locks down camera and microphone access on both devices for the duration of sex. If either user exits the app mid-session, the other phone alarms — built by German condom brand Billy Boy as a counter to non-consensual intimate recording.</t>
        </is>
      </c>
      <c r="N41" s="113" t="inlineStr">
        <is>
          <t>mobile-app, privacy, sexual-health, healthcare, medical, consent, germany, product-innovation, social-good</t>
        </is>
      </c>
    </row>
    <row r="42" ht="34.5" customHeight="1" s="34">
      <c r="A42" s="149" t="n">
        <v>2025</v>
      </c>
      <c r="B42" s="157" t="inlineStr">
        <is>
          <t>Bronze</t>
        </is>
      </c>
      <c r="C42" s="151" t="inlineStr">
        <is>
          <t>Caption with Intention</t>
        </is>
      </c>
      <c r="D42" s="149" t="inlineStr">
        <is>
          <t>Academy of Motion Picture Arts &amp; Sciences</t>
        </is>
      </c>
      <c r="E42" s="149" t="inlineStr">
        <is>
          <t>Closed Captioning</t>
        </is>
      </c>
      <c r="F42" s="149" t="inlineStr">
        <is>
          <t>FCB Chicago</t>
        </is>
      </c>
      <c r="G42" s="149" t="inlineStr">
        <is>
          <t>United States</t>
        </is>
      </c>
      <c r="H42" s="152" t="inlineStr">
        <is>
          <t>E07 - Corporate Purpose</t>
        </is>
      </c>
      <c r="I42" s="153" t="inlineStr">
        <is>
          <t>https://ascentialcdn.filespin.io/api/v1/conversion/d5e8778a86514f2bb1586343132de626</t>
        </is>
      </c>
      <c r="J42" s="127" t="inlineStr">
        <is>
          <t>F48khKZhKHM</t>
        </is>
      </c>
      <c r="K42" s="127" t="n"/>
      <c r="L42" s="128" t="inlineStr">
        <is>
          <t>https://www.lovethework.com/work/entries/caption-with-intention-748489</t>
        </is>
      </c>
      <c r="M42" s="113" t="inlineStr">
        <is>
          <t>A design system for film and television captions that pairs word-by-word sync with expressive typography — type weight, color, and motion communicate volume, tone, and which character is speaking. Built over six years in partnership with the Deaf and Hard of Hearing community, it was adopted by the Academy as the standard for Oscar submissions and earned a technology Oscar.</t>
        </is>
      </c>
      <c r="N42" s="113" t="inlineStr">
        <is>
          <t>accessibility, captioning, film, cinema, entertainment, typography, deaf-and-hard-of-hearing, product-design, inclusion, united-states</t>
        </is>
      </c>
    </row>
    <row r="43" ht="34.5" customHeight="1" s="34">
      <c r="A43" s="149" t="n">
        <v>2025</v>
      </c>
      <c r="B43" s="157" t="inlineStr">
        <is>
          <t>Bronze</t>
        </is>
      </c>
      <c r="C43" s="151" t="inlineStr">
        <is>
          <t>Certified Toasters</t>
        </is>
      </c>
      <c r="D43" s="149" t="inlineStr">
        <is>
          <t>Goodman Fielder</t>
        </is>
      </c>
      <c r="E43" s="149" t="inlineStr">
        <is>
          <t>Vogel's</t>
        </is>
      </c>
      <c r="F43" s="149" t="inlineStr">
        <is>
          <t>DDB New Zealand Auckland</t>
        </is>
      </c>
      <c r="G43" s="149" t="inlineStr">
        <is>
          <t>New Zealand</t>
        </is>
      </c>
      <c r="H43" s="152" t="inlineStr">
        <is>
          <t>C03 - Customer Acquisition</t>
        </is>
      </c>
      <c r="I43" s="153" t="inlineStr">
        <is>
          <t>https://ascentialcdn.filespin.io/api/v1/conversion/063b28ff666842b6ba0f2b6972cdd489</t>
        </is>
      </c>
      <c r="J43" s="127" t="inlineStr">
        <is>
          <t>5NNhDRF-BUY</t>
        </is>
      </c>
      <c r="K43" s="127" t="n"/>
      <c r="L43" s="128" t="inlineStr">
        <is>
          <t>https://www.lovethework.com/work/entries/certified-toasters-747325</t>
        </is>
      </c>
      <c r="M43" s="113" t="inlineStr">
        <is>
          <t>Vogel's bread tested every toaster sold at New Zealand's largest discount retailer, The Warehouse, to find the exact setting for a slice of Vogel's on each model. The result was a 'Certified Toasters' sticker applied in-store, listing the right time and dial position for that specific toaster — turning the retail aisle into a usage guide.</t>
        </is>
      </c>
      <c r="N43" s="113" t="inlineStr">
        <is>
          <t>retail, partnership, packaged-goods, cpg, fmcg, ooh, bread, food, new-zealand, customer-acquisition, in-store</t>
        </is>
      </c>
    </row>
    <row r="44" ht="34.5" customHeight="1" s="34">
      <c r="A44" s="149" t="n">
        <v>2025</v>
      </c>
      <c r="B44" s="157" t="inlineStr">
        <is>
          <t>Bronze</t>
        </is>
      </c>
      <c r="C44" s="151" t="inlineStr">
        <is>
          <t>Choose Uber</t>
        </is>
      </c>
      <c r="D44" s="149" t="inlineStr">
        <is>
          <t>Heetch</t>
        </is>
      </c>
      <c r="E44" s="149" t="inlineStr">
        <is>
          <t>Heetch</t>
        </is>
      </c>
      <c r="F44" s="149" t="inlineStr">
        <is>
          <t>BETC Paris</t>
        </is>
      </c>
      <c r="G44" s="149" t="inlineStr">
        <is>
          <t>France</t>
        </is>
      </c>
      <c r="H44" s="152" t="inlineStr">
        <is>
          <t>C03 - Customer Acquisition</t>
        </is>
      </c>
      <c r="I44" s="153" t="inlineStr">
        <is>
          <t>https://ascentialcdn.filespin.io/api/v1/conversion/fd2b448479ca41b7aa08b7d8a4bd8749</t>
        </is>
      </c>
      <c r="J44" s="127" t="inlineStr">
        <is>
          <t>O9A5do-GRG4</t>
        </is>
      </c>
      <c r="K44" s="127" t="n"/>
      <c r="L44" s="128" t="inlineStr">
        <is>
          <t>https://www.lovethework.com/work/entries/choose-uber-759808</t>
        </is>
      </c>
      <c r="M44" s="113" t="inlineStr">
        <is>
          <t>An ad campaign across Paris hotels, airports, and tourist sites during the 2024 Olympics — in 12 languages — that explicitly told visitors to choose Uber, Heetch's biggest competitor, for their rides. The deliberate hand-off kept Heetch's small fleet available for Parisian regulars during the summer surge.</t>
        </is>
      </c>
      <c r="N44" s="113" t="inlineStr">
        <is>
          <t>ride-share, mobility, transport, ooh, multilingual, paris, olympics, sport, customer-retention, france</t>
        </is>
      </c>
    </row>
    <row r="45" ht="34.5" customHeight="1" s="34">
      <c r="A45" s="149" t="n">
        <v>2025</v>
      </c>
      <c r="B45" s="157" t="inlineStr">
        <is>
          <t>Bronze</t>
        </is>
      </c>
      <c r="C45" s="151" t="inlineStr">
        <is>
          <t>Coupon Rain</t>
        </is>
      </c>
      <c r="D45" s="149" t="inlineStr">
        <is>
          <t>Mercado Livre</t>
        </is>
      </c>
      <c r="E45" s="149" t="inlineStr">
        <is>
          <t>Mercado Livre</t>
        </is>
      </c>
      <c r="F45" s="149" t="inlineStr">
        <is>
          <t>GUT Sao Paulo</t>
        </is>
      </c>
      <c r="G45" s="149" t="inlineStr">
        <is>
          <t>Brazil</t>
        </is>
      </c>
      <c r="H45" s="152" t="inlineStr">
        <is>
          <t>C02 - Retail Promotions</t>
        </is>
      </c>
      <c r="I45" s="153" t="inlineStr">
        <is>
          <t>https://ascentialcdn.filespin.io/api/v1/conversion/da2a035ff121404d908607d3ef09dfd2</t>
        </is>
      </c>
      <c r="J45" s="127" t="inlineStr">
        <is>
          <t>RXw_xdHILoU</t>
        </is>
      </c>
      <c r="K45" s="127" t="n"/>
      <c r="L45" s="128" t="inlineStr">
        <is>
          <t>https://www.lovethework.com/work/entries/coupon-rain-747356</t>
        </is>
      </c>
      <c r="M45" s="113" t="inlineStr">
        <is>
          <t>Mercado Livre sponsored the trophy lift at the final of one of Brazil's major football championships and replaced the customary confetti with thousands of branded discount coupons. The moment the winning captain raised the cup, the field rained with redeemable codes — putting the brand directly inside the photograph that ran on every front page.</t>
        </is>
      </c>
      <c r="N45" s="113" t="inlineStr">
        <is>
          <t>ecommerce, retail, online-shopping, sponsorship, football, soccer, sport, retail-promo, stunt, brazil, partnership</t>
        </is>
      </c>
    </row>
    <row r="46" ht="34.5" customHeight="1" s="34">
      <c r="A46" s="149" t="n">
        <v>2025</v>
      </c>
      <c r="B46" s="157" t="inlineStr">
        <is>
          <t>Bronze</t>
        </is>
      </c>
      <c r="C46" s="151" t="inlineStr">
        <is>
          <t>Eye Test Menu</t>
        </is>
      </c>
      <c r="D46" s="149" t="inlineStr">
        <is>
          <t>Titan Company Limited</t>
        </is>
      </c>
      <c r="E46" s="149" t="inlineStr">
        <is>
          <t>Eyewear</t>
        </is>
      </c>
      <c r="F46" s="149" t="inlineStr">
        <is>
          <t>Ogilvy Bangalore</t>
        </is>
      </c>
      <c r="G46" s="149" t="inlineStr">
        <is>
          <t>India</t>
        </is>
      </c>
      <c r="H46" s="152" t="inlineStr">
        <is>
          <t>D03 - Brand-Owned Experiences</t>
        </is>
      </c>
      <c r="I46" s="153" t="inlineStr">
        <is>
          <t>https://ascentialcdn.filespin.io/api/v1/conversion/423282a302ed4fe187b1a0b7b5eb8284</t>
        </is>
      </c>
      <c r="J46" s="127" t="inlineStr">
        <is>
          <t>vimeo:1093963149</t>
        </is>
      </c>
      <c r="K46" s="127" t="n"/>
      <c r="L46" s="128" t="inlineStr">
        <is>
          <t>https://www.lovethework.com/work/entries/eye-test-menu-747656</t>
        </is>
      </c>
      <c r="M46" s="113" t="inlineStr">
        <is>
          <t>A swap-out of the standard eye chart at Indian truck-stop diners ('dhabas') with food menus printed in the same diminishing point sizes. Long-haul truck drivers ordered a meal and unknowingly took an eyesight test — and any driver who struggled to read the lower lines got a free on-site exam from a Titan Eye+ optometrist.</t>
        </is>
      </c>
      <c r="N46" s="113" t="inlineStr">
        <is>
          <t>healthcare, eye-care, optometry, medical, ooh, partnership, road-safety, india, social-good, retail</t>
        </is>
      </c>
    </row>
    <row r="47" ht="34.5" customHeight="1" s="34">
      <c r="A47" s="149" t="n">
        <v>2025</v>
      </c>
      <c r="B47" s="157" t="inlineStr">
        <is>
          <t>Bronze</t>
        </is>
      </c>
      <c r="C47" s="151" t="inlineStr">
        <is>
          <t>Followers Store</t>
        </is>
      </c>
      <c r="D47" s="149" t="inlineStr">
        <is>
          <t>New Balance</t>
        </is>
      </c>
      <c r="E47" s="149" t="inlineStr">
        <is>
          <t>New Balance</t>
        </is>
      </c>
      <c r="F47" s="149" t="inlineStr">
        <is>
          <t>LePub Sao Paulo</t>
        </is>
      </c>
      <c r="G47" s="149" t="inlineStr">
        <is>
          <t>Brazil</t>
        </is>
      </c>
      <c r="H47" s="152" t="inlineStr">
        <is>
          <t>C02 - Retail Promotions</t>
        </is>
      </c>
      <c r="I47" s="153" t="inlineStr">
        <is>
          <t>https://ascentialcdn.filespin.io/api/v1/conversion/3f6078e96a9a4e17acada7c2ad04d652</t>
        </is>
      </c>
      <c r="J47" s="127" t="inlineStr">
        <is>
          <t>uYskstOPF4U</t>
        </is>
      </c>
      <c r="K47" s="127" t="n"/>
      <c r="L47" s="128" t="inlineStr">
        <is>
          <t>https://www.lovethework.com/work/entries/followers-store-747160</t>
        </is>
      </c>
      <c r="M47" s="113" t="inlineStr">
        <is>
          <t>A geo-fenced sales window for an exclusive São Paulo FC jersey, unlockable on the New Balance app only for fans physically near the team bus as it traveled to Morumbi Stadium ahead of a Brazilian Championship match. Outside that travel window, the jersey was unbuyable; inside it, fans had minutes to pre-order before the bus passed.</t>
        </is>
      </c>
      <c r="N47" s="113" t="inlineStr">
        <is>
          <t>ecommerce, retail, online-shopping, geolocation, football, soccer, sport, brazil, app, partnership</t>
        </is>
      </c>
    </row>
    <row r="48" ht="34.5" customHeight="1" s="34">
      <c r="A48" s="149" t="n">
        <v>2025</v>
      </c>
      <c r="B48" s="157" t="inlineStr">
        <is>
          <t>Bronze</t>
        </is>
      </c>
      <c r="C48" s="151" t="inlineStr">
        <is>
          <t>Hagelchup</t>
        </is>
      </c>
      <c r="D48" s="149" t="inlineStr">
        <is>
          <t>Kraft-Heinz</t>
        </is>
      </c>
      <c r="E48" s="149" t="inlineStr">
        <is>
          <t>Heinz Ketchup</t>
        </is>
      </c>
      <c r="F48" s="149" t="inlineStr">
        <is>
          <t>GUT Amsterdam</t>
        </is>
      </c>
      <c r="G48" s="149" t="inlineStr">
        <is>
          <t>Netherlands</t>
        </is>
      </c>
      <c r="H48" s="152" t="inlineStr">
        <is>
          <t>D05 - Launch/Relaunch</t>
        </is>
      </c>
      <c r="I48" s="153" t="inlineStr">
        <is>
          <t>https://ascentialcdn.filespin.io/api/v1/conversion/8e35da4f41d24cfba9b2b339c1dd1325</t>
        </is>
      </c>
      <c r="J48" s="127" t="inlineStr">
        <is>
          <t>vimeo:1149640616</t>
        </is>
      </c>
      <c r="K48" s="127" t="n"/>
      <c r="L48" s="128" t="inlineStr">
        <is>
          <t>https://www.lovethework.com/work/entries/hagelchup-761247</t>
        </is>
      </c>
      <c r="M48" s="113" t="inlineStr">
        <is>
          <t>A reformulation of Heinz ketchup into sprinkles — manufactured at De Ruijter, the same Dutch factory that produces the country's famous chocolate hagelslag — packaged in the iconic Heinz bottle and rolled out through a pop-up at an Amsterdam friet stand. A response to the local truth that the Dutch don't put ketchup on fries; they sprinkle.</t>
        </is>
      </c>
      <c r="N48" s="113" t="inlineStr">
        <is>
          <t>packaging, product-launch, packaged-goods, cpg, fmcg, food, cultural-engagement, netherlands, partnership, popup</t>
        </is>
      </c>
    </row>
    <row r="49" ht="34.5" customHeight="1" s="34">
      <c r="A49" s="149" t="n">
        <v>2025</v>
      </c>
      <c r="B49" s="157" t="inlineStr">
        <is>
          <t>Bronze</t>
        </is>
      </c>
      <c r="C49" s="151" t="inlineStr">
        <is>
          <t>Harmoniser</t>
        </is>
      </c>
      <c r="D49" s="149" t="inlineStr">
        <is>
          <t>Twix</t>
        </is>
      </c>
      <c r="E49" s="149" t="inlineStr">
        <is>
          <t>Twix</t>
        </is>
      </c>
      <c r="F49" s="149" t="inlineStr">
        <is>
          <t>adam&amp;eveDDB London</t>
        </is>
      </c>
      <c r="G49" s="149" t="inlineStr">
        <is>
          <t>United Kingdom</t>
        </is>
      </c>
      <c r="H49" s="152" t="inlineStr">
        <is>
          <t>B02 - Use of Mobile</t>
        </is>
      </c>
      <c r="I49" s="156" t="inlineStr">
        <is>
          <t>digital-presentation-images/brand-experience-and-activation-twix-harmoniser.webp</t>
        </is>
      </c>
      <c r="J49" s="127" t="inlineStr">
        <is>
          <t>OFY3DkMtpEk</t>
        </is>
      </c>
      <c r="K49" s="127" t="n"/>
      <c r="L49" s="128" t="inlineStr">
        <is>
          <t>https://www.lovethework.com/work/entries/harmoniser-746769</t>
        </is>
      </c>
      <c r="M49" s="113" t="inlineStr">
        <is>
          <t>A WhatsApp feature, built with Meta, that detects when a voicenote is being recorded and harmonises the speaker's voice with itself — turning ordinary 18-to-34 voice messaging into impromptu duets. Launched across Europe as part of Twix's 'Two is more than One' platform.</t>
        </is>
      </c>
      <c r="N49" s="113" t="inlineStr">
        <is>
          <t>social, mobile, audio, ai, technology, voice, partnership, confectionery, candy, snack, packaged-goods, food, cpg, fmcg, europe</t>
        </is>
      </c>
    </row>
    <row r="50" ht="34.5" customHeight="1" s="34">
      <c r="A50" s="149" t="n">
        <v>2025</v>
      </c>
      <c r="B50" s="157" t="inlineStr">
        <is>
          <t>Bronze</t>
        </is>
      </c>
      <c r="C50" s="151" t="inlineStr">
        <is>
          <t>Lap of Legends</t>
        </is>
      </c>
      <c r="D50" s="149" t="inlineStr">
        <is>
          <t>Michelob Ultra</t>
        </is>
      </c>
      <c r="E50" s="149" t="inlineStr">
        <is>
          <t>Michelob Ultra</t>
        </is>
      </c>
      <c r="F50" s="149" t="inlineStr">
        <is>
          <t>FCB New York</t>
        </is>
      </c>
      <c r="G50" s="149" t="inlineStr">
        <is>
          <t>United States</t>
        </is>
      </c>
      <c r="H50" s="152" t="inlineStr">
        <is>
          <t>B09 - Tech-Led Brand Experience</t>
        </is>
      </c>
      <c r="I50" s="153" t="inlineStr">
        <is>
          <t>https://ascentialcdn.filespin.io/api/v1/conversion/f6e7f0cb16774f6cb600e22c0c3bdfde</t>
        </is>
      </c>
      <c r="J50" s="127" t="inlineStr">
        <is>
          <t>0C3VQ6MwfIE</t>
        </is>
      </c>
      <c r="K50" s="127" t="n"/>
      <c r="L50" s="128" t="inlineStr">
        <is>
          <t>https://www.lovethework.com/work/entries/lap-of-legends-759515</t>
        </is>
      </c>
      <c r="M50" s="113" t="inlineStr">
        <is>
          <t>A real-versus-virtual Formula 1 race in which Williams driver Logan Sargeant drove his own car on a live track against AI avatars of Nigel Mansell and Mario Andretti — virtual drivers reconstructed from 45 years of historical race data, visible to Sargeant through an AR-equipped racing helmet. Broadcast on AMC, Roku, and BBC America.</t>
        </is>
      </c>
      <c r="N50" s="113" t="inlineStr">
        <is>
          <t>sport, ai, technology, ar, motorsport, racing, beer, alcohol, broadcast, entertainment, partnership, tech-led-experience</t>
        </is>
      </c>
    </row>
    <row r="51" ht="34.5" customHeight="1" s="34">
      <c r="A51" s="149" t="n">
        <v>2025</v>
      </c>
      <c r="B51" s="157" t="inlineStr">
        <is>
          <t>Bronze</t>
        </is>
      </c>
      <c r="C51" s="151" t="inlineStr">
        <is>
          <t>Lynx with Catnip</t>
        </is>
      </c>
      <c r="D51" s="149" t="inlineStr">
        <is>
          <t>Axe/Lynx</t>
        </is>
      </c>
      <c r="E51" s="149" t="inlineStr">
        <is>
          <t>Deodorant</t>
        </is>
      </c>
      <c r="F51" s="149" t="inlineStr">
        <is>
          <t>Lola MullenLowe Madrid</t>
        </is>
      </c>
      <c r="G51" s="149" t="inlineStr">
        <is>
          <t>Spain</t>
        </is>
      </c>
      <c r="H51" s="152" t="inlineStr">
        <is>
          <t>D05 - Launch/Relaunch</t>
        </is>
      </c>
      <c r="I51" s="153" t="inlineStr">
        <is>
          <t>https://ascentialcdn.filespin.io/api/v1/conversion/ea3dd481097345ee8090654d39e8e874</t>
        </is>
      </c>
      <c r="J51" s="127" t="inlineStr">
        <is>
          <t>CHHeZrjP87w</t>
        </is>
      </c>
      <c r="K51" s="127" t="n"/>
      <c r="L51" s="128" t="inlineStr">
        <is>
          <t>https://www.lovethework.com/work/entries/lynx-with-catnip-747829</t>
        </is>
      </c>
      <c r="M51" s="113" t="inlineStr">
        <is>
          <t>A limited-edition Lynx body spray infused with nepetalactone — the compound that makes cats roll on catnip — designed to win over a date's cat. Built around the insight that a majority of cat owners say a cat's reaction can break a dating prospect.</t>
        </is>
      </c>
      <c r="N51" s="113" t="inlineStr">
        <is>
          <t>fragrance, personal-care, beauty, product-launch, pets, packaged-goods, cpg, fmcg, humor, spain, social, gen-z</t>
        </is>
      </c>
    </row>
    <row r="52" ht="34.5" customHeight="1" s="34">
      <c r="A52" s="149" t="n">
        <v>2025</v>
      </c>
      <c r="B52" s="157" t="inlineStr">
        <is>
          <t>Bronze</t>
        </is>
      </c>
      <c r="C52" s="151" t="inlineStr">
        <is>
          <t>Mommyphone</t>
        </is>
      </c>
      <c r="D52" s="149" t="inlineStr">
        <is>
          <t>Laboratoire Gallia</t>
        </is>
      </c>
      <c r="E52" s="149" t="inlineStr">
        <is>
          <t>Careline</t>
        </is>
      </c>
      <c r="F52" s="149" t="inlineStr">
        <is>
          <t>BETC Paris</t>
        </is>
      </c>
      <c r="G52" s="149" t="inlineStr">
        <is>
          <t>France</t>
        </is>
      </c>
      <c r="H52" s="152" t="inlineStr">
        <is>
          <t>A02 - Healthcare</t>
        </is>
      </c>
      <c r="I52" s="153" t="inlineStr">
        <is>
          <t>https://ascentialcdn.filespin.io/api/v1/conversion/ad05d5ee96d64b4bbff51d2ad0b8ea59</t>
        </is>
      </c>
      <c r="J52" s="127" t="inlineStr">
        <is>
          <t>vimeo:1078438375</t>
        </is>
      </c>
      <c r="K52" s="127" t="n"/>
      <c r="L52" s="128" t="inlineStr">
        <is>
          <t>https://www.lovethework.com/work/entries/mommyphone-746686</t>
        </is>
      </c>
      <c r="M52" s="113" t="inlineStr">
        <is>
          <t>A baby monitor with two buttons instead of one. The standard button listens to the baby; the new button connects the parent directly to Laboratoire Gallia's 24/7 helpline, staffed by psychologists and former midwives. The physical product reframes a postpartum-support service as a piece of hardware that lives on the parent's bedside table.</t>
        </is>
      </c>
      <c r="N52" s="113" t="inlineStr">
        <is>
          <t>healthcare, parenting, family, helpline, product-design, mental-health, medical, france, social-good, hardware</t>
        </is>
      </c>
    </row>
    <row r="53" ht="34.5" customHeight="1" s="34">
      <c r="A53" s="149" t="n">
        <v>2025</v>
      </c>
      <c r="B53" s="157" t="inlineStr">
        <is>
          <t>Bronze</t>
        </is>
      </c>
      <c r="C53" s="151" t="inlineStr">
        <is>
          <t>Other Hand</t>
        </is>
      </c>
      <c r="D53" s="149" t="inlineStr">
        <is>
          <t>Cheetos</t>
        </is>
      </c>
      <c r="E53" s="149" t="inlineStr">
        <is>
          <t>Cheetos</t>
        </is>
      </c>
      <c r="F53" s="149" t="inlineStr">
        <is>
          <t>Goodby Silverstein &amp; Partners</t>
        </is>
      </c>
      <c r="G53" s="149" t="inlineStr">
        <is>
          <t>United States</t>
        </is>
      </c>
      <c r="H53" s="152" t="inlineStr">
        <is>
          <t>A01 - Consumer Goods</t>
        </is>
      </c>
      <c r="I53" s="153" t="inlineStr">
        <is>
          <t>https://ascentialcdn.filespin.io/api/v1/conversion/c26e38ccd1ea4f2eae3e55a7d0c74a7c</t>
        </is>
      </c>
      <c r="J53" s="127" t="inlineStr">
        <is>
          <t>5xRoKPmsEDI</t>
        </is>
      </c>
      <c r="K53" s="127" t="n"/>
      <c r="L53" s="128" t="inlineStr">
        <is>
          <t>https://www.lovethework.com/work/entries/other-hand-746730</t>
        </is>
      </c>
      <c r="M53" s="113" t="inlineStr">
        <is>
          <t>A custom Cheetos font drawn entirely with the designer's non-dominant hand, built around the data point that 99% of people eat Cheetos with their dominant hand. Goodby Silverstein founder Rich Silverstein and his team drew the letterforms left-handed; the typeface shipped as a free download on National Handwriting Day.</t>
        </is>
      </c>
      <c r="N53" s="113" t="inlineStr">
        <is>
          <t>snack, food, packaged-goods, cpg, fmcg, typography, design, font, social, united-states, consumer-goods, integrated</t>
        </is>
      </c>
    </row>
    <row r="54" ht="34.5" customHeight="1" s="34">
      <c r="A54" s="149" t="n">
        <v>2025</v>
      </c>
      <c r="B54" s="157" t="inlineStr">
        <is>
          <t>Bronze</t>
        </is>
      </c>
      <c r="C54" s="151" t="inlineStr">
        <is>
          <t>Other Hand</t>
        </is>
      </c>
      <c r="D54" s="149" t="inlineStr">
        <is>
          <t>Cheetos</t>
        </is>
      </c>
      <c r="E54" s="149" t="inlineStr">
        <is>
          <t>Cheetos</t>
        </is>
      </c>
      <c r="F54" s="149" t="inlineStr">
        <is>
          <t>Goodby Silverstein &amp; Partners</t>
        </is>
      </c>
      <c r="G54" s="149" t="inlineStr">
        <is>
          <t>United States</t>
        </is>
      </c>
      <c r="H54" s="152" t="inlineStr">
        <is>
          <t>D06 - 360 Integrated</t>
        </is>
      </c>
      <c r="I54" s="153" t="inlineStr">
        <is>
          <t>https://ascentialcdn.filespin.io/api/v1/conversion/5fbcea0cb26e47f685f6856daa7051fb</t>
        </is>
      </c>
      <c r="J54" s="127" t="inlineStr">
        <is>
          <t>5xRoKPmsEDI</t>
        </is>
      </c>
      <c r="K54" s="127" t="n"/>
      <c r="L54" s="128" t="inlineStr">
        <is>
          <t>https://www.lovethework.com/work/entries/other-hand-746730</t>
        </is>
      </c>
      <c r="M54" s="113" t="inlineStr">
        <is>
          <t>A custom Cheetos font drawn entirely with the designer's non-dominant hand, built around the data point that 99% of people eat Cheetos with their dominant hand. Goodby Silverstein founder Rich Silverstein and his team drew the letterforms left-handed; the typeface shipped as a free download on National Handwriting Day.</t>
        </is>
      </c>
      <c r="N54" s="113" t="inlineStr">
        <is>
          <t>snack, food, packaged-goods, cpg, fmcg, typography, design, font, social, united-states, consumer-goods, integrated</t>
        </is>
      </c>
    </row>
    <row r="55" ht="34.5" customHeight="1" s="34">
      <c r="A55" s="149" t="n">
        <v>2025</v>
      </c>
      <c r="B55" s="157" t="inlineStr">
        <is>
          <t>Bronze</t>
        </is>
      </c>
      <c r="C55" s="151" t="inlineStr">
        <is>
          <t>Prize on the Bone</t>
        </is>
      </c>
      <c r="D55" s="149" t="inlineStr">
        <is>
          <t>KFC</t>
        </is>
      </c>
      <c r="E55" s="149" t="inlineStr">
        <is>
          <t>KFC Ice-Cream</t>
        </is>
      </c>
      <c r="F55" s="149" t="inlineStr">
        <is>
          <t>DM9 Sao Paulo</t>
        </is>
      </c>
      <c r="G55" s="149" t="inlineStr">
        <is>
          <t>Brazil</t>
        </is>
      </c>
      <c r="H55" s="152" t="inlineStr">
        <is>
          <t>D05 - Launch/Relaunch</t>
        </is>
      </c>
      <c r="I55" s="153" t="inlineStr">
        <is>
          <t>https://ascentialcdn.filespin.io/api/v1/conversion/32ef7021bdbd4c4392fa51fb240d45e6</t>
        </is>
      </c>
      <c r="J55" s="127" t="inlineStr">
        <is>
          <t>h4Kl5THlsYw</t>
        </is>
      </c>
      <c r="K55" s="127" t="n"/>
      <c r="L55" s="128" t="inlineStr">
        <is>
          <t>https://www.lovethework.com/work/entries/prize-on-the-bone-747788</t>
        </is>
      </c>
      <c r="M55" s="113" t="inlineStr">
        <is>
          <t>A launch promotion for KFC's then-unknown Brazilian ice-cream product that laser-etched 'Você ganhou um sorvete' — 'You won an ice cream' — into the bones of 3,000 chicken pieces served across São Paulo. The hidden prize, revealed only after the bone was cleaned, deliberately echoed a beloved Brazilian ice-cream-stick promo from the 90s.</t>
        </is>
      </c>
      <c r="N55" s="113" t="inlineStr">
        <is>
          <t>qsr, fast-food, restaurant, food, product-launch, retail-promo, packaging, integrated, brazil, partnership</t>
        </is>
      </c>
    </row>
    <row r="56" ht="34.5" customHeight="1" s="34">
      <c r="A56" s="149" t="n">
        <v>2025</v>
      </c>
      <c r="B56" s="157" t="inlineStr">
        <is>
          <t>Bronze</t>
        </is>
      </c>
      <c r="C56" s="151" t="inlineStr">
        <is>
          <t>Report This Ad</t>
        </is>
      </c>
      <c r="D56" s="149" t="inlineStr">
        <is>
          <t>Veris</t>
        </is>
      </c>
      <c r="E56" s="149" t="inlineStr">
        <is>
          <t>Online Mental Health Institution</t>
        </is>
      </c>
      <c r="F56" s="149" t="inlineStr">
        <is>
          <t>Paradais DDB Guayaquil</t>
        </is>
      </c>
      <c r="G56" s="149" t="inlineStr">
        <is>
          <t>Ecuador</t>
        </is>
      </c>
      <c r="H56" s="152" t="inlineStr">
        <is>
          <t>D02 - Guerrilla Marketing</t>
        </is>
      </c>
      <c r="I56" s="153" t="inlineStr">
        <is>
          <t>https://ascentialcdn.filespin.io/api/v1/conversion/acbb86d466734cc4890607c8d8d33696</t>
        </is>
      </c>
      <c r="J56" s="127" t="inlineStr">
        <is>
          <t>hyWYqBMUTk8</t>
        </is>
      </c>
      <c r="K56" s="127" t="n"/>
      <c r="L56" s="128" t="inlineStr">
        <is>
          <t>https://www.lovethework.com/work/entries/report-this-ad-747650</t>
        </is>
      </c>
      <c r="M56" s="113" t="inlineStr">
        <is>
          <t>An ad campaign engineered to be reported by social-media users — over 500 deliberately flag-bait ads uploaded across platforms. When the content moderator behind the report opened the post for review, they were the one being addressed, with a hidden message offering free, anonymous psychological support from Ecuadorian health network Veris.</t>
        </is>
      </c>
      <c r="N56" s="113" t="inlineStr">
        <is>
          <t>healthcare, mental-health, medical, social-media, hidden-message, ecuador, social-good, content-moderation, guerrilla</t>
        </is>
      </c>
    </row>
    <row r="57" ht="34.5" customHeight="1" s="34">
      <c r="A57" s="149" t="n">
        <v>2025</v>
      </c>
      <c r="B57" s="157" t="inlineStr">
        <is>
          <t>Bronze</t>
        </is>
      </c>
      <c r="C57" s="151" t="inlineStr">
        <is>
          <t>Returning Creativity</t>
        </is>
      </c>
      <c r="D57" s="149" t="inlineStr">
        <is>
          <t>Crayola</t>
        </is>
      </c>
      <c r="E57" s="149" t="inlineStr">
        <is>
          <t>Crayola Crayons</t>
        </is>
      </c>
      <c r="F57" s="149" t="inlineStr">
        <is>
          <t>Dentsu Creative New York</t>
        </is>
      </c>
      <c r="G57" s="149" t="inlineStr">
        <is>
          <t>United States</t>
        </is>
      </c>
      <c r="H57" s="152" t="inlineStr">
        <is>
          <t>D06 - 360 Integrated</t>
        </is>
      </c>
      <c r="I57" s="153" t="inlineStr">
        <is>
          <t>https://ascentialcdn.filespin.io/api/v1/conversion/17be9285972743a1b234168fb6440ddb</t>
        </is>
      </c>
      <c r="J57" s="127" t="inlineStr">
        <is>
          <t>p8IHkizfvVE</t>
        </is>
      </c>
      <c r="K57" s="127" t="n"/>
      <c r="L57" s="128" t="inlineStr">
        <is>
          <t>https://www.lovethework.com/work/entries/returning-creativity-747841</t>
        </is>
      </c>
      <c r="M57" s="113" t="inlineStr">
        <is>
          <t>A documentary project that opened Crayola's archive of decades-old children's drawings and physically returned each piece to its now-adult creator. The film followed reunions across the country — including one staged on a Times Square billboard with the artist's former teacher — to argue that creativity is a habit adults stop practicing.</t>
        </is>
      </c>
      <c r="N57" s="113" t="inlineStr">
        <is>
          <t>consumer-goods, cpg, fmcg, art, integrated, documentary, film, entertainment, cinema, ooh, united-states, partnership, social-engagement</t>
        </is>
      </c>
    </row>
    <row r="58" ht="34.5" customHeight="1" s="34">
      <c r="A58" s="149" t="n">
        <v>2025</v>
      </c>
      <c r="B58" s="157" t="inlineStr">
        <is>
          <t>Bronze</t>
        </is>
      </c>
      <c r="C58" s="151" t="inlineStr">
        <is>
          <t>Shades of Red</t>
        </is>
      </c>
      <c r="D58" s="149" t="inlineStr">
        <is>
          <t>Coca-Cola</t>
        </is>
      </c>
      <c r="E58" s="149" t="inlineStr">
        <is>
          <t>Coca-Cola</t>
        </is>
      </c>
      <c r="F58" s="149" t="inlineStr">
        <is>
          <t>DAVID Madrid</t>
        </is>
      </c>
      <c r="G58" s="149" t="inlineStr">
        <is>
          <t>Spain</t>
        </is>
      </c>
      <c r="H58" s="152" t="inlineStr">
        <is>
          <t>E03 - Single-Market</t>
        </is>
      </c>
      <c r="I58" s="153" t="inlineStr">
        <is>
          <t>https://ascentialcdn.filespin.io/api/v1/conversion/6823017bae93485e8872b6f02baedf4b</t>
        </is>
      </c>
      <c r="J58" s="127" t="inlineStr">
        <is>
          <t>vimeo:1083484983</t>
        </is>
      </c>
      <c r="K58" s="127" t="n"/>
      <c r="L58" s="128" t="inlineStr">
        <is>
          <t>https://www.lovethework.com/work/entries/shades-of-red-748102</t>
        </is>
      </c>
      <c r="M58" s="113" t="inlineStr">
        <is>
          <t>A program that retired 12,700 sun-faded red awnings from Mexico's small 'tiendita' corner stores and replaced them. Each shop's old awning was repurposed into branded billboards and merch, and Coca-Cola pressed a limited run of cans whose label color matched the exact, faded shade of red on each shop's awning.</t>
        </is>
      </c>
      <c r="N58" s="113" t="inlineStr">
        <is>
          <t>retail, ooh, packaging, partnership, small-business, mexico, beverage, drinks, single-market</t>
        </is>
      </c>
    </row>
    <row r="59" ht="34.5" customHeight="1" s="34">
      <c r="A59" s="149" t="n">
        <v>2025</v>
      </c>
      <c r="B59" s="157" t="inlineStr">
        <is>
          <t>Bronze</t>
        </is>
      </c>
      <c r="C59" s="151" t="inlineStr">
        <is>
          <t>Sights of Tomorrow</t>
        </is>
      </c>
      <c r="D59" s="149" t="inlineStr">
        <is>
          <t>Letzte Generation Austria</t>
        </is>
      </c>
      <c r="E59" s="149" t="inlineStr">
        <is>
          <t>Letzte Generation Austria</t>
        </is>
      </c>
      <c r="F59" s="149" t="inlineStr">
        <is>
          <t>Demner Merlicek &amp; Bergmann Vienna</t>
        </is>
      </c>
      <c r="G59" s="149" t="inlineStr">
        <is>
          <t>Austria</t>
        </is>
      </c>
      <c r="H59" s="152" t="inlineStr">
        <is>
          <t>E06 - Breakthrough on a Budget</t>
        </is>
      </c>
      <c r="I59" s="153" t="inlineStr">
        <is>
          <t>https://ascentialcdn.filespin.io/api/v1/conversion/a542046c9e4a4704b0c1f7f075a95f4c</t>
        </is>
      </c>
      <c r="J59" s="127" t="inlineStr">
        <is>
          <t>vimeo:1152835840</t>
        </is>
      </c>
      <c r="K59" s="127" t="n"/>
      <c r="L59" s="128" t="inlineStr">
        <is>
          <t>https://www.lovethework.com/work/entries/sights-of-tomorrow-748200</t>
        </is>
      </c>
      <c r="M59" s="113" t="inlineStr">
        <is>
          <t>A climate protest staged inside Google Maps, exploiting a moderation gap that let activists upload AI-generated images of Austrian landmarks — the Alps, Hallstatt, the Wienerwald — as they're projected to appear in 2070, snowless and stripped. Anyone searching the locations encountered the future-state photos alongside the present-day ones.</t>
        </is>
      </c>
      <c r="N59" s="113" t="inlineStr">
        <is>
          <t>activism, social-good, climate, sustainability, environment, ai, technology, digital-installation, austria, not-for-profit, charity, ngo, low-budget</t>
        </is>
      </c>
    </row>
    <row r="60" ht="34.5" customHeight="1" s="34">
      <c r="A60" s="149" t="n">
        <v>2025</v>
      </c>
      <c r="B60" s="157" t="inlineStr">
        <is>
          <t>Bronze</t>
        </is>
      </c>
      <c r="C60" s="151" t="inlineStr">
        <is>
          <t>SupportBelt</t>
        </is>
      </c>
      <c r="D60" s="149" t="inlineStr">
        <is>
          <t>Ford</t>
        </is>
      </c>
      <c r="E60" s="149" t="inlineStr">
        <is>
          <t>Ford SupportBelt</t>
        </is>
      </c>
      <c r="F60" s="149" t="inlineStr">
        <is>
          <t>VML Detroit</t>
        </is>
      </c>
      <c r="G60" s="149" t="inlineStr">
        <is>
          <t>United States</t>
        </is>
      </c>
      <c r="H60" s="152" t="inlineStr">
        <is>
          <t>A03 - Automotive</t>
        </is>
      </c>
      <c r="I60" s="153" t="inlineStr">
        <is>
          <t>https://ascentialcdn.filespin.io/api/v1/conversion/325a5a7b867c43a7a400829c3a94a862</t>
        </is>
      </c>
      <c r="J60" s="127" t="inlineStr">
        <is>
          <t>BU0WI3A9bKQ</t>
        </is>
      </c>
      <c r="K60" s="127" t="n"/>
      <c r="L60" s="128" t="inlineStr">
        <is>
          <t>https://www.lovethework.com/work/entries/supportbelt-746697</t>
        </is>
      </c>
      <c r="M60" s="113" t="inlineStr">
        <is>
          <t>A free seat-belt accessory engineered to relieve the pressure of a standard shoulder belt across a mastectomy surgical site. Designed by VML creative director Lynn Simoncini after her own double mastectomy, and distributed at no cost through Ford's 3,200 U.S. dealerships and partner hospital networks.</t>
        </is>
      </c>
      <c r="N60" s="113" t="inlineStr">
        <is>
          <t>automotive, cars, transport, healthcare, product-innovation, breast-cancer, cancer, medical, corporate-purpose, united-states, social-good, partnership</t>
        </is>
      </c>
    </row>
    <row r="61" ht="34.5" customHeight="1" s="34">
      <c r="A61" s="149" t="n">
        <v>2025</v>
      </c>
      <c r="B61" s="157" t="inlineStr">
        <is>
          <t>Bronze</t>
        </is>
      </c>
      <c r="C61" s="151" t="inlineStr">
        <is>
          <t>Thanks for Coke-Creating</t>
        </is>
      </c>
      <c r="D61" s="149" t="inlineStr">
        <is>
          <t>Coca-Cola</t>
        </is>
      </c>
      <c r="E61" s="149" t="inlineStr">
        <is>
          <t>Coca-Cola</t>
        </is>
      </c>
      <c r="F61" s="149" t="inlineStr">
        <is>
          <t>VML New York</t>
        </is>
      </c>
      <c r="G61" s="149" t="inlineStr">
        <is>
          <t>United States</t>
        </is>
      </c>
      <c r="H61" s="152" t="inlineStr">
        <is>
          <t>E04 - Social Behaviour</t>
        </is>
      </c>
      <c r="I61" s="153" t="inlineStr">
        <is>
          <t>https://ascentialcdn.filespin.io/api/v1/conversion/e2d391a076394851ad0376152ece61bb</t>
        </is>
      </c>
      <c r="J61" s="127" t="inlineStr">
        <is>
          <t>gFQUmcwgoMg</t>
        </is>
      </c>
      <c r="K61" s="127" t="n"/>
      <c r="L61" s="128" t="inlineStr">
        <is>
          <t>https://www.lovethework.com/work/entries/thanks-for-coke-creating-748058</t>
        </is>
      </c>
      <c r="M61" s="113" t="inlineStr">
        <is>
          <t>A global campaign that surfaced the hand-painted, often imperfect versions of the Coca-Cola logo that shopkeepers and bodega owners around the world paint onto their own storefronts. Rather than enforce brand guidelines, Coca-Cola elevated those vernacular interpretations to its own out-of-home — including Times Square — as a tribute to the local craft that brings the brand to life.</t>
        </is>
      </c>
      <c r="N61" s="113" t="inlineStr">
        <is>
          <t>ooh, brand-identity, social-behavior, integrated, partnership, beverage, drinks, global, social-engagement</t>
        </is>
      </c>
    </row>
    <row r="62" ht="34.5" customHeight="1" s="34">
      <c r="A62" s="149" t="n">
        <v>2025</v>
      </c>
      <c r="B62" s="157" t="inlineStr">
        <is>
          <t>Bronze</t>
        </is>
      </c>
      <c r="C62" s="151" t="inlineStr">
        <is>
          <t>The Athletes Code</t>
        </is>
      </c>
      <c r="D62" s="149" t="inlineStr">
        <is>
          <t>Powerade</t>
        </is>
      </c>
      <c r="E62" s="149" t="inlineStr">
        <is>
          <t>Powerade</t>
        </is>
      </c>
      <c r="F62" s="149" t="inlineStr">
        <is>
          <t>Ogilvy New York</t>
        </is>
      </c>
      <c r="G62" s="149" t="inlineStr">
        <is>
          <t>United States</t>
        </is>
      </c>
      <c r="H62" s="152" t="inlineStr">
        <is>
          <t>D04 - Sponsorship</t>
        </is>
      </c>
      <c r="I62" s="153" t="inlineStr">
        <is>
          <t>https://ascentialcdn.filespin.io/api/v1/conversion/fb3c12787a614e6380d825b91a317ee9</t>
        </is>
      </c>
      <c r="J62" s="127" t="inlineStr">
        <is>
          <t>z7EwJIUlr-g</t>
        </is>
      </c>
      <c r="K62" s="127" t="n"/>
      <c r="L62" s="128" t="inlineStr">
        <is>
          <t>https://www.lovethework.com/work/entries/the-athletes-code-747839</t>
        </is>
      </c>
      <c r="M62" s="113" t="inlineStr">
        <is>
          <t>A new clause Powerade added to every athlete sponsorship contract that legally protects the athlete's right to pause their career — for mental health, injury, or family reasons — without losing the deal. Built with the IOC, mental-health advocates, and contract lawyers, and rolled out across Powerade's full roster.</t>
        </is>
      </c>
      <c r="N62" s="113" t="inlineStr">
        <is>
          <t>sports-drink, drinks, beverage, cpg, fmcg, sport, sponsorship, mental-health, healthcare, medical, contract, partnership, corporate-purpose, united-states, integrated</t>
        </is>
      </c>
    </row>
    <row r="63" ht="34.5" customHeight="1" s="34">
      <c r="A63" s="149" t="n">
        <v>2025</v>
      </c>
      <c r="B63" s="157" t="inlineStr">
        <is>
          <t>Bronze</t>
        </is>
      </c>
      <c r="C63" s="151" t="inlineStr">
        <is>
          <t>The Final Exam</t>
        </is>
      </c>
      <c r="D63" s="149" t="inlineStr">
        <is>
          <t>Change the Ref</t>
        </is>
      </c>
      <c r="E63" s="149" t="inlineStr">
        <is>
          <t>Pro Bono</t>
        </is>
      </c>
      <c r="F63" s="149" t="inlineStr">
        <is>
          <t>Energy BBDO Chicago</t>
        </is>
      </c>
      <c r="G63" s="149" t="inlineStr">
        <is>
          <t>United States</t>
        </is>
      </c>
      <c r="H63" s="152" t="inlineStr">
        <is>
          <t>A07 - Not-for-Profit</t>
        </is>
      </c>
      <c r="I63" s="153" t="inlineStr">
        <is>
          <t>https://ascentialcdn.filespin.io/api/v1/conversion/ccce75b37e6345528c0db780024c9818</t>
        </is>
      </c>
      <c r="J63" s="127" t="inlineStr">
        <is>
          <t>Ljsstj4eiko</t>
        </is>
      </c>
      <c r="K63" s="127" t="n"/>
      <c r="L63" s="128" t="inlineStr">
        <is>
          <t>https://www.lovethework.com/work/entries/the-final-exam-761168</t>
        </is>
      </c>
      <c r="M63" s="113" t="inlineStr">
        <is>
          <t>A playable PC game in which the player tries to survive a U.S. school shooting. Every level is reconstructed from real architectural layouts and eyewitness accounts from Columbine, Parkland, and Sandy Hook; survival depends on finding five actual U.S. gun-safety bills hidden as in-game items. Premiered at TwitchCon.</t>
        </is>
      </c>
      <c r="N63" s="113" t="inlineStr">
        <is>
          <t>gaming, video-games, entertainment, gun-violence, social-good, not-for-profit, charity, ngo, activism, united-states, twitch, advocacy</t>
        </is>
      </c>
    </row>
    <row r="64" ht="34.5" customHeight="1" s="34">
      <c r="A64" s="149" t="n">
        <v>2025</v>
      </c>
      <c r="B64" s="157" t="inlineStr">
        <is>
          <t>Bronze</t>
        </is>
      </c>
      <c r="C64" s="151" t="inlineStr">
        <is>
          <t>The Flame That Wasn't a Flame</t>
        </is>
      </c>
      <c r="D64" s="149" t="inlineStr">
        <is>
          <t>EDF</t>
        </is>
      </c>
      <c r="E64" s="149" t="inlineStr">
        <is>
          <t>EDF</t>
        </is>
      </c>
      <c r="F64" s="149" t="inlineStr">
        <is>
          <t>BETC Paris</t>
        </is>
      </c>
      <c r="G64" s="149" t="inlineStr">
        <is>
          <t>France</t>
        </is>
      </c>
      <c r="H64" s="152" t="inlineStr">
        <is>
          <t>D01 - Live Brand Experience</t>
        </is>
      </c>
      <c r="I64" s="153" t="inlineStr">
        <is>
          <t>https://ascentialcdn.filespin.io/api/v1/conversion/309901ab87bb4eabaa1bae30d983f38c</t>
        </is>
      </c>
      <c r="J64" s="127" t="inlineStr">
        <is>
          <t>sXFFpanPbNE</t>
        </is>
      </c>
      <c r="K64" s="127" t="n"/>
      <c r="L64" s="128" t="inlineStr">
        <is>
          <t>https://www.lovethework.com/work/entries/the-flame-that-wasnt-a-flame-747506</t>
        </is>
      </c>
      <c r="M64" s="113" t="inlineStr">
        <is>
          <t>The Paris 2024 Olympic cauldron reimagined as an entirely electric flame — a halo of vapor and light driven by EDF's grid, with no combustion at all. Part of Paris 2024's commitment to halve the Games' carbon footprint, the cauldron rose above the Tuileries on a hot-air balloon for the run of the Olympics and Paralympics.</t>
        </is>
      </c>
      <c r="N64" s="113" t="inlineStr">
        <is>
          <t>olympics, sport, sustainability, energy, ceremony, paris, partnership, live-event, corporate-purpose</t>
        </is>
      </c>
    </row>
    <row r="65" ht="34.5" customHeight="1" s="34">
      <c r="A65" s="149" t="n">
        <v>2025</v>
      </c>
      <c r="B65" s="157" t="inlineStr">
        <is>
          <t>Bronze</t>
        </is>
      </c>
      <c r="C65" s="151" t="inlineStr">
        <is>
          <t>The Meal</t>
        </is>
      </c>
      <c r="D65" s="149" t="inlineStr">
        <is>
          <t>McDonald's</t>
        </is>
      </c>
      <c r="E65" s="149" t="inlineStr">
        <is>
          <t>Happy Meal</t>
        </is>
      </c>
      <c r="F65" s="149" t="inlineStr">
        <is>
          <t>Leo London</t>
        </is>
      </c>
      <c r="G65" s="149" t="inlineStr">
        <is>
          <t>United Kingdom</t>
        </is>
      </c>
      <c r="H65" s="152" t="inlineStr">
        <is>
          <t>E07 - Corporate Purpose</t>
        </is>
      </c>
      <c r="I65" s="153" t="inlineStr">
        <is>
          <t>https://ascentialcdn.filespin.io/api/v1/conversion/5e2b835a636345e0a9110a3076d31dca</t>
        </is>
      </c>
      <c r="J65" s="127" t="inlineStr">
        <is>
          <t>YEPttzbn0Z0</t>
        </is>
      </c>
      <c r="K65" s="127" t="n"/>
      <c r="L65" s="128" t="inlineStr">
        <is>
          <t>https://www.lovethework.com/work/entries/the-meal-748307</t>
        </is>
      </c>
      <c r="M65" s="113" t="inlineStr">
        <is>
          <t>For UK Mental Health Awareness Week, McDonald's stripped the smile off the Happy Meal box — and renamed it simply 'The Meal' — to acknowledge it's normal for kids not to feel happy. Each box came with a strip of emotion stickers for children to express how they actually felt, with footballer Rio Ferdinand fronting the campaign in partnership with BBC Children in Need.</t>
        </is>
      </c>
      <c r="N65" s="113" t="inlineStr">
        <is>
          <t>qsr, fast-food, restaurant, food, mental-health, healthcare, medical, packaging, kids, partnership, united-kingdom, corporate-purpose, integrated</t>
        </is>
      </c>
    </row>
    <row r="66" ht="34.5" customHeight="1" s="34">
      <c r="A66" s="149" t="n">
        <v>2025</v>
      </c>
      <c r="B66" s="157" t="inlineStr">
        <is>
          <t>Bronze</t>
        </is>
      </c>
      <c r="C66" s="151" t="inlineStr">
        <is>
          <t>The Parental Leave Mortgage</t>
        </is>
      </c>
      <c r="D66" s="149" t="inlineStr">
        <is>
          <t>Nordea</t>
        </is>
      </c>
      <c r="E66" s="149" t="inlineStr">
        <is>
          <t>The Parental Leave Mortgage</t>
        </is>
      </c>
      <c r="F66" s="149" t="inlineStr">
        <is>
          <t>Nord DDB Stockholm</t>
        </is>
      </c>
      <c r="G66" s="149" t="inlineStr">
        <is>
          <t>Sweden</t>
        </is>
      </c>
      <c r="H66" s="152" t="inlineStr">
        <is>
          <t>C03 - Customer Acquisition</t>
        </is>
      </c>
      <c r="I66" s="153" t="inlineStr">
        <is>
          <t>https://ascentialcdn.filespin.io/api/v1/conversion/a8b9edfd44de47b893b950770030cf54</t>
        </is>
      </c>
      <c r="J66" s="127" t="inlineStr">
        <is>
          <t>9xzGRtPDwCU</t>
        </is>
      </c>
      <c r="K66" s="127" t="n"/>
      <c r="L66" s="128" t="inlineStr">
        <is>
          <t>https://www.lovethework.com/work/entries/the-parental-leave-mortgage-747202</t>
        </is>
      </c>
      <c r="M66" s="113" t="inlineStr">
        <is>
          <t>A Nordea mortgage product across Denmark, Norway, Finland, and Sweden that fully pauses payments — interest and principal, with no fees — for the duration of either parent's parental leave. Designed to remove the financial reason fathers in Finland, where 88% of leave days are taken by women, skip their statutory share.</t>
        </is>
      </c>
      <c r="N66" s="113" t="inlineStr">
        <is>
          <t>banking, financial-services, finance, parental-leave, gender-equality, social-good, mortgage, nordic, customer-acquisition, product-innovation</t>
        </is>
      </c>
    </row>
    <row r="67" ht="34.5" customHeight="1" s="34">
      <c r="A67" s="149" t="n">
        <v>2025</v>
      </c>
      <c r="B67" s="157" t="inlineStr">
        <is>
          <t>Bronze</t>
        </is>
      </c>
      <c r="C67" s="151" t="inlineStr">
        <is>
          <t>The Social Feed</t>
        </is>
      </c>
      <c r="D67" s="149" t="inlineStr">
        <is>
          <t>HungerStation</t>
        </is>
      </c>
      <c r="E67" s="149" t="inlineStr">
        <is>
          <t>Food Delivery App</t>
        </is>
      </c>
      <c r="F67" s="149" t="inlineStr">
        <is>
          <t>VML Dubai</t>
        </is>
      </c>
      <c r="G67" s="149" t="inlineStr">
        <is>
          <t>United Arab Emirates</t>
        </is>
      </c>
      <c r="H67" s="152" t="inlineStr">
        <is>
          <t>B01 - Social Engagement</t>
        </is>
      </c>
      <c r="I67" s="153" t="inlineStr">
        <is>
          <t>https://ascentialcdn.filespin.io/api/v1/conversion/eb0ad333e56946e5a9a52aed1980943d</t>
        </is>
      </c>
      <c r="J67" s="127" t="inlineStr">
        <is>
          <t>pPJWz8RBsoo</t>
        </is>
      </c>
      <c r="K67" s="127" t="n"/>
      <c r="L67" s="128" t="inlineStr">
        <is>
          <t>https://www.lovethework.com/work/entries/the-social-feed-746763</t>
        </is>
      </c>
      <c r="M67" s="113" t="inlineStr">
        <is>
          <t>A direct-message feature on Saudi food-delivery app HungerStation that lets users forward any food photo from Instagram, TikTok, or Snapchat into the app. AI identifies the dish, finds the nearest restaurant on the platform that serves it, and opens an order — converting a 135-times-a-day social-media food crave into a tap.</t>
        </is>
      </c>
      <c r="N67" s="113" t="inlineStr">
        <is>
          <t>food-delivery, food, restaurant, ecommerce, retail, online-shopping, ai, technology, social-media, mobile-app, saudi-arabia, partnership, mena</t>
        </is>
      </c>
    </row>
    <row r="68" ht="34.5" customHeight="1" s="34">
      <c r="A68" s="149" t="n">
        <v>2025</v>
      </c>
      <c r="B68" s="157" t="inlineStr">
        <is>
          <t>Bronze</t>
        </is>
      </c>
      <c r="C68" s="151" t="inlineStr">
        <is>
          <t>Worst Children's Library</t>
        </is>
      </c>
      <c r="D68" s="149" t="inlineStr">
        <is>
          <t>Samsung</t>
        </is>
      </c>
      <c r="E68" s="149" t="inlineStr">
        <is>
          <t>Samsung</t>
        </is>
      </c>
      <c r="F68" s="149" t="inlineStr">
        <is>
          <t>DDB New Zealand Auckland</t>
        </is>
      </c>
      <c r="G68" s="149" t="inlineStr">
        <is>
          <t>New Zealand</t>
        </is>
      </c>
      <c r="H68" s="152" t="inlineStr">
        <is>
          <t>E04 - Social Behaviour</t>
        </is>
      </c>
      <c r="I68" s="153" t="inlineStr">
        <is>
          <t>https://ascentialcdn.filespin.io/api/v1/conversion/24a4ad960f3c4ac8a1a86823848e8d17</t>
        </is>
      </c>
      <c r="J68" s="127" t="inlineStr">
        <is>
          <t>vimeo:1105993323</t>
        </is>
      </c>
      <c r="K68" s="127" t="n"/>
      <c r="L68" s="128" t="inlineStr">
        <is>
          <t>https://www.lovethework.com/work/entries/worst-childrens-library-748079</t>
        </is>
      </c>
      <c r="M68" s="113" t="inlineStr">
        <is>
          <t>A real school library at Auckland Normal Intermediate stripped of its usual books and replaced with 1,160 hand-bound titles — each one a piece of harmful digital content that children have actually encountered online. Topics ranged from toxic masculinity to self-harm to animal cruelty, catalogued in a custom 'Dewey Decimal System of Harm,' with parents invited to walk the shelves.</t>
        </is>
      </c>
      <c r="N68" s="113" t="inlineStr">
        <is>
          <t>social-good, online-safety, education, exhibition, kids, new-zealand, partnership, behaviour-change</t>
        </is>
      </c>
    </row>
    <row r="69">
      <c r="A69" s="33" t="n">
        <v>2026</v>
      </c>
      <c r="B69" s="160" t="inlineStr">
        <is>
          <t>Grand Prix</t>
        </is>
      </c>
      <c r="C69" s="175" t="inlineStr">
        <is>
          <t>Expedition Impossible</t>
        </is>
      </c>
      <c r="D69" s="33" t="inlineStr">
        <is>
          <t>Columbia Sportswear</t>
        </is>
      </c>
      <c r="E69" s="33" t="inlineStr">
        <is>
          <t>Sportswear</t>
        </is>
      </c>
      <c r="F69" s="33" t="inlineStr">
        <is>
          <t>adam&amp;eve\TBWA London</t>
        </is>
      </c>
      <c r="G69" s="33" t="inlineStr">
        <is>
          <t>United Kingdom</t>
        </is>
      </c>
      <c r="H69" s="33" t="inlineStr">
        <is>
          <t>C02 - Retail Promotions</t>
        </is>
      </c>
      <c r="I69" s="33" t="inlineStr">
        <is>
          <t>https://ascentialcdn.filespin.io/api/v1/conversion/bf27011e79f94826a41c286a1bbd22d5</t>
        </is>
      </c>
      <c r="J69" s="33" t="inlineStr">
        <is>
          <t>N0WxAUkBuQA</t>
        </is>
      </c>
      <c r="M69" s="33" t="inlineStr">
        <is>
          <t>A Use of Humour Gold for Columbia Sportswear by adam&amp;eve\TBWA, London. Since Columbia builds gear for the edges of the Earth, the brand challenged the flat-earth community to actually go and find one, funding an 'Expedition Impossible' to the supposed edge of a flat planet, kitted head to toe in Columbia.</t>
        </is>
      </c>
      <c r="N69" s="33" t="inlineStr">
        <is>
          <t>columbia sportswear, sportswear, apparel, clothing, outdoor gear, retail, flat earth, expedition, humour, comedy, use of humour, united kingdom, direct, adam&amp;eve tbwa, tbwa, grand prix</t>
        </is>
      </c>
    </row>
    <row r="70">
      <c r="A70" s="33" t="n">
        <v>2026</v>
      </c>
      <c r="B70" s="161" t="inlineStr">
        <is>
          <t>Gold</t>
        </is>
      </c>
      <c r="C70" s="175" t="inlineStr">
        <is>
          <t>Expensive Sh*t</t>
        </is>
      </c>
      <c r="D70" s="33" t="inlineStr">
        <is>
          <t>Huggies</t>
        </is>
      </c>
      <c r="E70" s="33" t="inlineStr">
        <is>
          <t>Diaper</t>
        </is>
      </c>
      <c r="F70" s="33" t="inlineStr">
        <is>
          <t>McCann New York</t>
        </is>
      </c>
      <c r="G70" s="33" t="inlineStr">
        <is>
          <t>United States</t>
        </is>
      </c>
      <c r="H70" s="33" t="inlineStr">
        <is>
          <t>A01 - Consumer Goods</t>
        </is>
      </c>
      <c r="I70" s="33" t="inlineStr">
        <is>
          <t>https://ascentialcdn.filespin.io/api/v1/conversion/27b40207d1994a2d89f4f84f56afde91</t>
        </is>
      </c>
      <c r="J70" s="33" t="inlineStr">
        <is>
          <t>mp4:videos/huggies-expensive-shit.mp4</t>
        </is>
      </c>
      <c r="M70" s="33" t="inlineStr">
        <is>
          <t>For Huggies, McCann told a candid brand story about the costly, messy reality of parenting, playing on 'expensive sh*t' to talk honestly about diapers through social content.</t>
        </is>
      </c>
      <c r="N70" s="33" t="inlineStr">
        <is>
          <t>huggies, diapers, baby care, kimberly-clark, fmcg, united states, parenting, family, babies, brand storytelling, humour, social, mccann, gold</t>
        </is>
      </c>
    </row>
    <row r="71">
      <c r="A71" s="33" t="n">
        <v>2026</v>
      </c>
      <c r="B71" s="161" t="inlineStr">
        <is>
          <t>Gold</t>
        </is>
      </c>
      <c r="C71" s="175" t="inlineStr">
        <is>
          <t>SOS POS</t>
        </is>
      </c>
      <c r="D71" s="33" t="inlineStr">
        <is>
          <t>BCP</t>
        </is>
      </c>
      <c r="E71" s="33" t="inlineStr">
        <is>
          <t>SOS POS</t>
        </is>
      </c>
      <c r="F71" s="33" t="inlineStr">
        <is>
          <t>Circus Grey Lima</t>
        </is>
      </c>
      <c r="G71" s="33" t="inlineStr">
        <is>
          <t>Peru</t>
        </is>
      </c>
      <c r="H71" s="33" t="inlineStr">
        <is>
          <t>B02 - Use of Mobile</t>
        </is>
      </c>
      <c r="I71" s="33" t="inlineStr">
        <is>
          <t>https://ascentialcdn.filespin.io/api/v1/conversion/1d46e6542c474e14a830761bec4b045a</t>
        </is>
      </c>
      <c r="J71" s="33" t="inlineStr">
        <is>
          <t>GVdCoJEhO6M</t>
        </is>
      </c>
      <c r="M71" s="33" t="inlineStr">
        <is>
          <t>The Creative Data Grand Prix. For Peruvian bank BCP, Circus Grey turned ordinary retail POS terminals into emergency account-blocking points: a phone-theft victim can walk into any participating shop, verify their identity at the checkout and instantly freeze their accounts, connecting front-end POS terminals to the bank's back-end via a purpose-built API.</t>
        </is>
      </c>
      <c r="N71" s="33" t="inlineStr">
        <is>
          <t>bcp, bank, banking, financial-services, finance, financial services, peru, phone theft, security, fraud prevention, pos terminal, payments, fintech, api, ethical data, privacy, data, circus grey, gold</t>
        </is>
      </c>
    </row>
    <row r="72">
      <c r="A72" s="33" t="n">
        <v>2026</v>
      </c>
      <c r="B72" s="161" t="inlineStr">
        <is>
          <t>Gold</t>
        </is>
      </c>
      <c r="C72" s="175" t="inlineStr">
        <is>
          <t>Lucky Fan Index</t>
        </is>
      </c>
      <c r="D72" s="33" t="inlineStr">
        <is>
          <t>Wisła Kraków Football Club</t>
        </is>
      </c>
      <c r="E72" s="33" t="inlineStr">
        <is>
          <t>Wisła Kraków Football Club</t>
        </is>
      </c>
      <c r="F72" s="33" t="inlineStr">
        <is>
          <t>VML Warsaw</t>
        </is>
      </c>
      <c r="G72" s="33" t="inlineStr">
        <is>
          <t>Poland</t>
        </is>
      </c>
      <c r="H72" s="33" t="inlineStr">
        <is>
          <t>B09 - Tech-Led Brand Experience</t>
        </is>
      </c>
      <c r="I72" s="33" t="inlineStr">
        <is>
          <t>https://ascentialcdn.filespin.io/api/v1/conversion/0c49c9d60a944a37add314890bbff7bb</t>
        </is>
      </c>
      <c r="J72" s="33" t="inlineStr">
        <is>
          <t>vimeo:1182366532</t>
        </is>
      </c>
      <c r="M72" s="33" t="inlineStr">
        <is>
          <t>An AI-driven analytical tool for Polish football club Wisła Kraków that quantifies the 'luck' fans bring to the team, mining match and supporter data to turn the intangible feeling of fan influence into a measurable index fans could follow and share.</t>
        </is>
      </c>
      <c r="N72" s="33" t="inlineStr">
        <is>
          <t>wisla krakow, football, soccer, sport, sports, sports club, poland, fans, supporters, ai, technology, artificial intelligence, data storytelling, analytics, data, vml, gold</t>
        </is>
      </c>
    </row>
    <row r="73">
      <c r="A73" s="33" t="n">
        <v>2026</v>
      </c>
      <c r="B73" s="161" t="inlineStr">
        <is>
          <t>Gold</t>
        </is>
      </c>
      <c r="C73" s="175" t="inlineStr">
        <is>
          <t>CIF Clean My Name</t>
        </is>
      </c>
      <c r="D73" s="33" t="inlineStr">
        <is>
          <t>CIF</t>
        </is>
      </c>
      <c r="E73" s="33" t="inlineStr">
        <is>
          <t>CIF Miracle</t>
        </is>
      </c>
      <c r="F73" s="33" t="inlineStr">
        <is>
          <t>Droga5 Sao Paulo</t>
        </is>
      </c>
      <c r="G73" s="33" t="inlineStr">
        <is>
          <t>Brazil</t>
        </is>
      </c>
      <c r="H73" s="33" t="inlineStr">
        <is>
          <t>C02 - Retail Promotions</t>
        </is>
      </c>
      <c r="I73" s="33" t="inlineStr">
        <is>
          <t>https://ascentialcdn.filespin.io/api/v1/conversion/cba776a1ce8442c7b1ce665e336e758e</t>
        </is>
      </c>
      <c r="J73" s="33" t="inlineStr">
        <is>
          <t>vimeo:1187492812</t>
        </is>
      </c>
      <c r="M73" s="33" t="inlineStr">
        <is>
          <t>For cleaning brand CIF, Droga5 Sao Paulo turned the CIF Miracle line into a service that helped Brazilians with debt-related 'dirty names' (negativado) clean their financial record, connecting the brand's promise of removing tough stains to clearing the stain of a bad credit score.</t>
        </is>
      </c>
      <c r="N73" s="33" t="inlineStr">
        <is>
          <t>cif, cif miracle, cleaning, cleaning products, household, home, fmcg, unilever, brazil, debt, credit, payments, fintech, financial-services, finance, financial inclusion, social behaviour, brand experience, activation, droga5, gold</t>
        </is>
      </c>
    </row>
    <row r="74">
      <c r="A74" s="33" t="n">
        <v>2026</v>
      </c>
      <c r="B74" s="161" t="inlineStr">
        <is>
          <t>Gold</t>
        </is>
      </c>
      <c r="C74" s="175" t="inlineStr">
        <is>
          <t>Kyle F*cking Connor</t>
        </is>
      </c>
      <c r="D74" s="33" t="inlineStr">
        <is>
          <t>KFC Canada</t>
        </is>
      </c>
      <c r="E74" s="33" t="inlineStr">
        <is>
          <t>KFC Brand</t>
        </is>
      </c>
      <c r="F74" s="33" t="inlineStr">
        <is>
          <t>Courage Toronto</t>
        </is>
      </c>
      <c r="G74" s="33" t="inlineStr">
        <is>
          <t>Canada</t>
        </is>
      </c>
      <c r="H74" s="33" t="inlineStr">
        <is>
          <t>D04 - Sponsorship</t>
        </is>
      </c>
      <c r="I74" s="33" t="inlineStr">
        <is>
          <t>https://ascentialcdn.filespin.io/api/v1/conversion/4be82aa0a3cf460fbb7f0872b0609115</t>
        </is>
      </c>
      <c r="J74" s="33" t="inlineStr">
        <is>
          <t>bSL1iz37-Gg</t>
        </is>
      </c>
      <c r="M74" s="33" t="inlineStr">
        <is>
          <t>For KFC Canada, Courage turned the shared initials of Winnipeg Jets star Kyle Connor — K.F.C. — into a playoff-hockey ownership play. Tied to the brand's team sponsorship, the campaign claimed the player's 'KFC' nickname and built a limited menu around him, giving the chain an entry point into crowded NHL playoff season that no rival could replicate.</t>
        </is>
      </c>
      <c r="N74" s="33" t="inlineStr">
        <is>
          <t>kfc, kentucky fried chicken, qsr, fast-food, restaurant, food, fast food, chicken, canada, hockey, nhl, kyle connor, winnipeg jets, sports sponsorship, single market, public relations, pr, courage, gold</t>
        </is>
      </c>
    </row>
    <row r="75">
      <c r="A75" s="33" t="n">
        <v>2026</v>
      </c>
      <c r="B75" s="161" t="inlineStr">
        <is>
          <t>Gold</t>
        </is>
      </c>
      <c r="C75" s="175" t="inlineStr">
        <is>
          <t>Oreo Cows</t>
        </is>
      </c>
      <c r="D75" s="33" t="inlineStr">
        <is>
          <t>Oreo</t>
        </is>
      </c>
      <c r="E75" s="33" t="inlineStr">
        <is>
          <t>Oreo</t>
        </is>
      </c>
      <c r="F75" s="33" t="inlineStr">
        <is>
          <t>VML New York</t>
        </is>
      </c>
      <c r="G75" s="33" t="inlineStr">
        <is>
          <t>United States</t>
        </is>
      </c>
      <c r="H75" s="33" t="inlineStr">
        <is>
          <t>D06 - 360 Integrated</t>
        </is>
      </c>
      <c r="I75" s="33" t="inlineStr">
        <is>
          <t>https://ascentialcdn.filespin.io/api/v1/conversion/f34bbf1c3b224a62a7b93946bce31756</t>
        </is>
      </c>
      <c r="J75" s="33" t="inlineStr">
        <is>
          <t>F2EjJgR0adE</t>
        </is>
      </c>
      <c r="M75" s="33" t="inlineStr">
        <is>
          <t>A Consumer Goods Gold for Oreo, created by VML New York and VML Mexico City. The campaign brings Oreo's black-and-white world to life through 'Oreo Cows', a playful idea rooted in the cookie's classic pairing with a glass of milk.</t>
        </is>
      </c>
      <c r="N75" s="33" t="inlineStr">
        <is>
          <t>oreo, cookies, biscuits, snacks, fmcg, food, mondelez, milk, dairy, cows, consumer goods, united states, mexico, direct, vml, gold</t>
        </is>
      </c>
    </row>
    <row r="76">
      <c r="A76" s="33" t="n">
        <v>2026</v>
      </c>
      <c r="B76" s="161" t="inlineStr">
        <is>
          <t>Gold</t>
        </is>
      </c>
      <c r="C76" s="175" t="inlineStr">
        <is>
          <t>Could Have Been a Heineken</t>
        </is>
      </c>
      <c r="D76" s="33" t="inlineStr">
        <is>
          <t>Heineken</t>
        </is>
      </c>
      <c r="E76" s="33" t="inlineStr">
        <is>
          <t>Heineken Beer</t>
        </is>
      </c>
      <c r="F76" s="33" t="inlineStr">
        <is>
          <t>LePub Milan</t>
        </is>
      </c>
      <c r="G76" s="33" t="inlineStr">
        <is>
          <t>Italy</t>
        </is>
      </c>
      <c r="H76" s="33" t="inlineStr">
        <is>
          <t>E04 - Social Behaviour</t>
        </is>
      </c>
      <c r="I76" s="33" t="inlineStr">
        <is>
          <t>https://ascentialcdn.filespin.io/api/v1/conversion/325cbd01df444a49a6a09ac2bc5dd3fa</t>
        </is>
      </c>
      <c r="J76" s="33" t="inlineStr">
        <is>
          <t>vimeo:1203492482</t>
        </is>
      </c>
      <c r="M76" s="33" t="inlineStr">
        <is>
          <t>The Social &amp; Creator Grand Prix. For Heineken, LePub turned the cultural annoyance of endlessly long WhatsApp voice notes into a reason to meet up in person. Creators and custom stickers reframed marathon voice messages with the line 'Could Have Been a Heineken,' nudging people to swap recorded monologues for a real conversation over a beer.</t>
        </is>
      </c>
      <c r="N76" s="33" t="inlineStr">
        <is>
          <t>heineken, beer, alcohol, drinks, lager, italy, whatsapp, voice notes, messaging, creators, culture, real-life connection, social behaviour, social, lepub, gold</t>
        </is>
      </c>
    </row>
    <row r="77">
      <c r="A77" s="33" t="n">
        <v>2026</v>
      </c>
      <c r="B77" s="161" t="inlineStr">
        <is>
          <t>Gold</t>
        </is>
      </c>
      <c r="C77" s="175" t="inlineStr">
        <is>
          <t>Welcome Back, Paisano</t>
        </is>
      </c>
      <c r="D77" s="33" t="inlineStr">
        <is>
          <t>Tecate</t>
        </is>
      </c>
      <c r="E77" s="33" t="inlineStr">
        <is>
          <t>Tecate</t>
        </is>
      </c>
      <c r="F77" s="33" t="inlineStr">
        <is>
          <t>LePub Mexico City</t>
        </is>
      </c>
      <c r="G77" s="33" t="inlineStr">
        <is>
          <t>Mexico</t>
        </is>
      </c>
      <c r="H77" s="33" t="inlineStr">
        <is>
          <t>E08 - Market Disruption</t>
        </is>
      </c>
      <c r="I77" s="33" t="inlineStr">
        <is>
          <t>https://ascentialcdn.filespin.io/api/v1/conversion/bbd54e3aeb9a442188d16599a29d25a5</t>
        </is>
      </c>
      <c r="J77" s="33" t="inlineStr">
        <is>
          <t>sFLMnLf2HeI</t>
        </is>
      </c>
      <c r="M77" s="33" t="inlineStr">
        <is>
          <t>For Heineken-owned beer brand Tecate, LePub Mexico responded to the wave of Mexicans repatriating from the United States with an employability platform. 'Welcome Back, Paisano' positioned returning workers as one of the world's best workforces and, partnering with employability NGO FUNDES, offered concrete support — jobs, training and reintegration — while taking a cheeky jab at the bias that undervalued them.</t>
        </is>
      </c>
      <c r="N77" s="33" t="inlineStr">
        <is>
          <t>tecate, heineken, beer, alcohol, drinks, beverage, fmcg, mexico, migration, repatriation, employment, jobs, paisano, corporate purpose, social responsibility, public relations, pr, lepub, gold</t>
        </is>
      </c>
    </row>
    <row r="78">
      <c r="A78" s="33" t="n">
        <v>2026</v>
      </c>
      <c r="B78" s="162" t="inlineStr">
        <is>
          <t>Silver</t>
        </is>
      </c>
      <c r="C78" s="175" t="inlineStr">
        <is>
          <t>Welcome Back, Paisano</t>
        </is>
      </c>
      <c r="D78" s="33" t="inlineStr">
        <is>
          <t>Tecate</t>
        </is>
      </c>
      <c r="E78" s="33" t="inlineStr">
        <is>
          <t>Tecate</t>
        </is>
      </c>
      <c r="F78" s="33" t="inlineStr">
        <is>
          <t>LePub Mexico City</t>
        </is>
      </c>
      <c r="G78" s="33" t="inlineStr">
        <is>
          <t>Mexico</t>
        </is>
      </c>
      <c r="H78" s="33" t="inlineStr">
        <is>
          <t>A01 - Consumer Goods</t>
        </is>
      </c>
      <c r="I78" s="33" t="inlineStr">
        <is>
          <t>https://ascentialcdn.filespin.io/api/v1/conversion/bbd54e3aeb9a442188d16599a29d25a5</t>
        </is>
      </c>
      <c r="J78" s="33" t="inlineStr">
        <is>
          <t>sFLMnLf2HeI</t>
        </is>
      </c>
      <c r="L78" s="33" t="inlineStr">
        <is>
          <t>https://www.lovethework.com/work/entries/welcome-back-paisano-780437</t>
        </is>
      </c>
      <c r="M78" s="33" t="inlineStr">
        <is>
          <t>For Heineken-owned beer brand Tecate, LePub Mexico responded to the wave of Mexicans repatriating from the United States with an employability platform. 'Welcome Back, Paisano' positioned returning workers as one of the world's best workforces and, partnering with employability NGO FUNDES, offered concrete support — jobs, training and reintegration — while taking a cheeky jab at the bias that undervalued them.</t>
        </is>
      </c>
      <c r="N78" s="33" t="inlineStr">
        <is>
          <t>tecate, heineken, beer, alcohol, drinks, beverage, fmcg, mexico, migration, repatriation, employment, jobs, paisano, corporate purpose, social responsibility, public relations, pr, lepub, silver</t>
        </is>
      </c>
    </row>
    <row r="79">
      <c r="A79" s="33" t="n">
        <v>2026</v>
      </c>
      <c r="B79" s="162" t="inlineStr">
        <is>
          <t>Silver</t>
        </is>
      </c>
      <c r="C79" s="175" t="inlineStr">
        <is>
          <t>Build Your Own Super Bowl Commercial</t>
        </is>
      </c>
      <c r="D79" s="33" t="inlineStr">
        <is>
          <t>Uber Eats</t>
        </is>
      </c>
      <c r="E79" s="33" t="inlineStr">
        <is>
          <t>Uber Eats</t>
        </is>
      </c>
      <c r="F79" s="33" t="inlineStr">
        <is>
          <t>Special Los Angeles</t>
        </is>
      </c>
      <c r="G79" s="33" t="inlineStr">
        <is>
          <t>United States</t>
        </is>
      </c>
      <c r="H79" s="33" t="inlineStr">
        <is>
          <t>A04 - Travel/Retail</t>
        </is>
      </c>
      <c r="I79" s="33" t="inlineStr">
        <is>
          <t>https://ascentialcdn.filespin.io/api/v1/conversion/0c51e833b78d477caad558bb2c0cb906</t>
        </is>
      </c>
      <c r="J79" s="33" t="inlineStr">
        <is>
          <t>vimeo:1204133679</t>
        </is>
      </c>
      <c r="L79" s="33" t="inlineStr">
        <is>
          <t>https://www.lovethework.com/work/entries/build-your-own-super-bowl-commercial-780476</t>
        </is>
      </c>
      <c r="M79" s="33" t="inlineStr">
        <is>
          <t>The Media Grand Prix. For Uber Eats, Special turned the year's biggest one-way broadcast moment into an interactive one inside the app: ahead of the Super Bowl, Uber Eats wrote and produced more than 1,000 bespoke clips and 36 hours of unaired footage with a roster of celebrity cameos, letting users mix and match scenes to assemble their own personalised commercial and unlock deals.</t>
        </is>
      </c>
      <c r="N79" s="33" t="inlineStr">
        <is>
          <t>uber eats, food delivery, delivery, qsr, fast-food, restaurant, food, fast food, app, super bowl, interactive, personalisation, celebrities, retail media, united states, special, silver</t>
        </is>
      </c>
    </row>
    <row r="80">
      <c r="A80" s="33" t="n">
        <v>2026</v>
      </c>
      <c r="B80" s="162" t="inlineStr">
        <is>
          <t>Silver</t>
        </is>
      </c>
      <c r="C80" s="175" t="inlineStr">
        <is>
          <t>Haven</t>
        </is>
      </c>
      <c r="D80" s="33" t="inlineStr">
        <is>
          <t>Suncorp Insurance</t>
        </is>
      </c>
      <c r="E80" s="33" t="inlineStr">
        <is>
          <t>Insurance</t>
        </is>
      </c>
      <c r="F80" s="33" t="inlineStr">
        <is>
          <t>Leo Australia Sydney</t>
        </is>
      </c>
      <c r="G80" s="33" t="inlineStr">
        <is>
          <t>Australia</t>
        </is>
      </c>
      <c r="H80" s="33" t="inlineStr">
        <is>
          <t>A06 - Consumer Services/B2B</t>
        </is>
      </c>
      <c r="I80" s="33" t="inlineStr">
        <is>
          <t>https://ascentialcdn.filespin.io/api/v1/conversion/77cfcfb8b3214196bb50aae00975065b</t>
        </is>
      </c>
      <c r="J80" s="33" t="inlineStr">
        <is>
          <t>Pwf50R9flkU</t>
        </is>
      </c>
      <c r="L80" s="33" t="inlineStr">
        <is>
          <t>https://www.lovethework.com/work/entries/haven-780371</t>
        </is>
      </c>
      <c r="M80" s="33" t="inlineStr">
        <is>
          <t>A digital platform for Suncorp Insurance, built by Leo Australia, that lets any Australian homeowner enter their address and receive a tailored report and video outlining the property's flood, bushfire, cyclone and storm risks, drawing on live weather, property and natural-peril data to deliver personalised resilience advice.</t>
        </is>
      </c>
      <c r="N80" s="33" t="inlineStr">
        <is>
          <t>suncorp insurance, insurance, financial-services, finance, financial services, australia, home, property, climate, sustainability, environment, natural disasters, flood, bushfire, cyclone, weather data, risk, resilience, platform, data, leo australia, silver</t>
        </is>
      </c>
    </row>
    <row r="81">
      <c r="A81" s="33" t="n">
        <v>2026</v>
      </c>
      <c r="B81" s="162" t="inlineStr">
        <is>
          <t>Silver</t>
        </is>
      </c>
      <c r="C81" s="175" t="inlineStr">
        <is>
          <t>SOS POS</t>
        </is>
      </c>
      <c r="D81" s="33" t="inlineStr">
        <is>
          <t>BCP</t>
        </is>
      </c>
      <c r="E81" s="33" t="inlineStr">
        <is>
          <t>SOS POS</t>
        </is>
      </c>
      <c r="F81" s="33" t="inlineStr">
        <is>
          <t>Circus Grey Lima</t>
        </is>
      </c>
      <c r="G81" s="33" t="inlineStr">
        <is>
          <t>Peru</t>
        </is>
      </c>
      <c r="H81" s="33" t="inlineStr">
        <is>
          <t>A06 - Consumer Services/B2B</t>
        </is>
      </c>
      <c r="I81" s="33" t="inlineStr">
        <is>
          <t>https://ascentialcdn.filespin.io/api/v1/conversion/1d46e6542c474e14a830761bec4b045a</t>
        </is>
      </c>
      <c r="J81" s="33" t="inlineStr">
        <is>
          <t>GVdCoJEhO6M</t>
        </is>
      </c>
      <c r="L81" s="33" t="inlineStr">
        <is>
          <t>https://www.lovethework.com/work/entries/sos-pos-780378</t>
        </is>
      </c>
      <c r="M81" s="33" t="inlineStr">
        <is>
          <t>The Creative Data Grand Prix. For Peruvian bank BCP, Circus Grey turned ordinary retail POS terminals into emergency account-blocking points: a phone-theft victim can walk into any participating shop, verify their identity at the checkout and instantly freeze their accounts, connecting front-end POS terminals to the bank's back-end via a purpose-built API.</t>
        </is>
      </c>
      <c r="N81" s="33" t="inlineStr">
        <is>
          <t>bcp, bank, banking, financial-services, finance, financial services, peru, phone theft, security, fraud prevention, pos terminal, payments, fintech, api, ethical data, privacy, data, circus grey, silver</t>
        </is>
      </c>
    </row>
    <row r="82">
      <c r="A82" s="33" t="n">
        <v>2026</v>
      </c>
      <c r="B82" s="162" t="inlineStr">
        <is>
          <t>Silver</t>
        </is>
      </c>
      <c r="C82" s="175" t="inlineStr">
        <is>
          <t>No Frame Missed</t>
        </is>
      </c>
      <c r="D82" s="33" t="inlineStr">
        <is>
          <t>Apple</t>
        </is>
      </c>
      <c r="E82" s="33" t="inlineStr">
        <is>
          <t>iPhone</t>
        </is>
      </c>
      <c r="F82" s="33" t="inlineStr">
        <is>
          <t>TBWA\Media Arts Lab Los Angeles</t>
        </is>
      </c>
      <c r="G82" s="33" t="inlineStr">
        <is>
          <t>United States</t>
        </is>
      </c>
      <c r="H82" s="33" t="inlineStr">
        <is>
          <t>B02 - Use of Mobile</t>
        </is>
      </c>
      <c r="I82" s="33" t="inlineStr">
        <is>
          <t>https://ascentialcdn.filespin.io/api/v1/conversion/62c0c233f40144d7970516cb87619496</t>
        </is>
      </c>
      <c r="J82" s="33" t="inlineStr">
        <is>
          <t>vimeo:1112735008</t>
        </is>
      </c>
      <c r="L82" s="33" t="inlineStr">
        <is>
          <t>https://www.lovethework.com/work/entries/no-frame-missed-777243</t>
        </is>
      </c>
      <c r="M82" s="33" t="inlineStr">
        <is>
          <t>A docu-style short film for Apple showing how the new iPhone's stabilisation helps people living with Parkinson's capture steady footage. The craft sits in the moving image — emotional, observational filmmaking shot on iPhone. (Video/Moving Image entry.)</t>
        </is>
      </c>
      <c r="N82" s="33" t="inlineStr">
        <is>
          <t>apple, iphone, smartphone, technology, parkinsons, accessibility, film, cinema, entertainment, moving image, documentary, video craft, digital craft, tbwa media arts lab, united states</t>
        </is>
      </c>
    </row>
    <row r="83">
      <c r="A83" s="33" t="n">
        <v>2026</v>
      </c>
      <c r="B83" s="162" t="inlineStr">
        <is>
          <t>Silver</t>
        </is>
      </c>
      <c r="C83" s="175" t="inlineStr">
        <is>
          <t>Dove R/eal Reviews</t>
        </is>
      </c>
      <c r="D83" s="33" t="inlineStr">
        <is>
          <t>Dove Hair</t>
        </is>
      </c>
      <c r="E83" s="33" t="inlineStr">
        <is>
          <t>Dove 10-in-1 Serum Mask</t>
        </is>
      </c>
      <c r="F83" s="33" t="inlineStr">
        <is>
          <t>DAVID London</t>
        </is>
      </c>
      <c r="G83" s="33" t="inlineStr">
        <is>
          <t>United Kingdom</t>
        </is>
      </c>
      <c r="H83" s="33" t="inlineStr">
        <is>
          <t>C03 - Customer Acquisition</t>
        </is>
      </c>
      <c r="I83" s="33" t="inlineStr">
        <is>
          <t>https://ascentialcdn.filespin.io/api/v1/conversion/3e59ad3ef8694b63bc7bfb791b7bd884</t>
        </is>
      </c>
      <c r="J83" s="33" t="inlineStr">
        <is>
          <t>vimeo:1204109832</t>
        </is>
      </c>
      <c r="L83" s="33" t="inlineStr">
        <is>
          <t>https://www.lovethework.com/work/entries/dove-real-reviews-780305</t>
        </is>
      </c>
      <c r="M83" s="33" t="inlineStr">
        <is>
          <t>For Dove Hair's 10-in-1 Serum Mask, David built the campaign out of the way shoppers actually talk, turning authentic, unpolished user reviews into the creative itself so real people's words about the product carried the message.</t>
        </is>
      </c>
      <c r="N83" s="33" t="inlineStr">
        <is>
          <t>dove, dove hair, haircare, personal-care, beauty, personal care, unilever, fmcg, united kingdom, reviews, user generated content, social listening, authenticity, serum mask, social, david, silver</t>
        </is>
      </c>
    </row>
    <row r="84">
      <c r="A84" s="33" t="n">
        <v>2026</v>
      </c>
      <c r="B84" s="162" t="inlineStr">
        <is>
          <t>Silver</t>
        </is>
      </c>
      <c r="C84" s="175" t="inlineStr">
        <is>
          <t>The Thousand Sponsors of Muni</t>
        </is>
      </c>
      <c r="D84" s="33" t="inlineStr">
        <is>
          <t>Club Deportivo Municipal</t>
        </is>
      </c>
      <c r="E84" s="33" t="inlineStr">
        <is>
          <t>Club Deportivo Municipal</t>
        </is>
      </c>
      <c r="F84" s="33" t="inlineStr">
        <is>
          <t>McCann Lima</t>
        </is>
      </c>
      <c r="G84" s="33" t="inlineStr">
        <is>
          <t>Peru</t>
        </is>
      </c>
      <c r="H84" s="33" t="inlineStr">
        <is>
          <t>D04 - Sponsorship</t>
        </is>
      </c>
      <c r="I84" s="33" t="inlineStr">
        <is>
          <t>https://ascentialcdn.filespin.io/api/v1/conversion/718674adf3534322b643122934609a64</t>
        </is>
      </c>
      <c r="J84" s="33" t="inlineStr">
        <is>
          <t>tq775MZGE48</t>
        </is>
      </c>
      <c r="L84" s="33" t="inlineStr">
        <is>
          <t>https://www.lovethework.com/work/entries/the-thousand-sponsors-of-muni-780401</t>
        </is>
      </c>
      <c r="M84" s="33" t="inlineStr">
        <is>
          <t>A promotional design idea for Peruvian football club Deportivo Municipal that turns its supporters into sponsors. In place of a single corporate logo, the club's kit and materials carry the names of a thousand fans, redefining who gets to back the team.</t>
        </is>
      </c>
      <c r="N84" s="33" t="inlineStr">
        <is>
          <t>club deportivo municipal, deportivo municipal, football, soccer, sport, peru, promotional, sponsorship, fans, jersey, kit, design, mccann lima</t>
        </is>
      </c>
    </row>
    <row r="85">
      <c r="A85" s="33" t="n">
        <v>2026</v>
      </c>
      <c r="B85" s="162" t="inlineStr">
        <is>
          <t>Silver</t>
        </is>
      </c>
      <c r="C85" s="175" t="inlineStr">
        <is>
          <t>The Filet-O-Fish Facebook Society of 2012</t>
        </is>
      </c>
      <c r="D85" s="33" t="inlineStr">
        <is>
          <t>McDonald's</t>
        </is>
      </c>
      <c r="E85" s="33" t="inlineStr">
        <is>
          <t>McDonald's</t>
        </is>
      </c>
      <c r="F85" s="33" t="inlineStr">
        <is>
          <t>Leo London</t>
        </is>
      </c>
      <c r="G85" s="33" t="inlineStr">
        <is>
          <t>United Kingdom</t>
        </is>
      </c>
      <c r="H85" s="33" t="inlineStr">
        <is>
          <t>D05 - Launch/Relaunch</t>
        </is>
      </c>
      <c r="I85" s="33" t="inlineStr">
        <is>
          <t>https://ascentialcdn.filespin.io/api/v1/conversion/891e92ac22304d769b6599ffa9bc2de6</t>
        </is>
      </c>
      <c r="J85" s="33" t="inlineStr">
        <is>
          <t>Qd2k250KMvo</t>
        </is>
      </c>
      <c r="L85" s="33" t="inlineStr">
        <is>
          <t>https://www.lovethework.com/work/entries/the-filet-o-fish-facebook-society-of-2012-780395</t>
        </is>
      </c>
      <c r="M85" s="33" t="inlineStr">
        <is>
          <t>A Co-Creation / User-Generated Content Bronze for McDonald's by Leo Burnett, London. The brand revived a forgotten fan-made Facebook group — the six-member 'Filet-O-Fish Society of 2012' — and turned this tiny piece of cult fandom into the spark for a national Filet-O-Fish campaign.</t>
        </is>
      </c>
      <c r="N85" s="33" t="inlineStr">
        <is>
          <t>mcdonalds, fast food, qsr, fast-food, restaurant, food, restaurants, filet-o-fish, facebook, fans, fandom, community, co-creation, user-generated content, united kingdom, direct, leo burnett, leo, silver</t>
        </is>
      </c>
    </row>
    <row r="86">
      <c r="A86" s="33" t="n">
        <v>2026</v>
      </c>
      <c r="B86" s="162" t="inlineStr">
        <is>
          <t>Silver</t>
        </is>
      </c>
      <c r="C86" s="175" t="inlineStr">
        <is>
          <t>Kyle F*cking Connor</t>
        </is>
      </c>
      <c r="D86" s="33" t="inlineStr">
        <is>
          <t>KFC Canada</t>
        </is>
      </c>
      <c r="E86" s="33" t="inlineStr">
        <is>
          <t>KFC Brand</t>
        </is>
      </c>
      <c r="F86" s="33" t="inlineStr">
        <is>
          <t>Courage Toronto</t>
        </is>
      </c>
      <c r="G86" s="33" t="inlineStr">
        <is>
          <t>Canada</t>
        </is>
      </c>
      <c r="H86" s="33" t="inlineStr">
        <is>
          <t>E03 - Single-Market</t>
        </is>
      </c>
      <c r="I86" s="33" t="inlineStr">
        <is>
          <t>https://ascentialcdn.filespin.io/api/v1/conversion/4be82aa0a3cf460fbb7f0872b0609115</t>
        </is>
      </c>
      <c r="J86" s="33" t="inlineStr">
        <is>
          <t>bSL1iz37-Gg</t>
        </is>
      </c>
      <c r="L86" s="33" t="inlineStr">
        <is>
          <t>https://www.lovethework.com/work/entries/kyle-fcking-connor-780441</t>
        </is>
      </c>
      <c r="M86" s="33" t="inlineStr">
        <is>
          <t>For KFC Canada, Courage turned the shared initials of Winnipeg Jets star Kyle Connor — K.F.C. — into a playoff-hockey ownership play. Tied to the brand's team sponsorship, the campaign claimed the player's 'KFC' nickname and built a limited menu around him, giving the chain an entry point into crowded NHL playoff season that no rival could replicate.</t>
        </is>
      </c>
      <c r="N86" s="33" t="inlineStr">
        <is>
          <t>kfc, kentucky fried chicken, qsr, fast-food, restaurant, food, fast food, chicken, canada, hockey, nhl, kyle connor, winnipeg jets, sports sponsorship, single market, public relations, pr, courage, silver</t>
        </is>
      </c>
    </row>
    <row r="87">
      <c r="A87" s="33" t="n">
        <v>2026</v>
      </c>
      <c r="B87" s="162" t="inlineStr">
        <is>
          <t>Silver</t>
        </is>
      </c>
      <c r="C87" s="175" t="inlineStr">
        <is>
          <t>Oreo Cows</t>
        </is>
      </c>
      <c r="D87" s="33" t="inlineStr">
        <is>
          <t>Oreo</t>
        </is>
      </c>
      <c r="E87" s="33" t="inlineStr">
        <is>
          <t>Oreo</t>
        </is>
      </c>
      <c r="F87" s="33" t="inlineStr">
        <is>
          <t>VML New York</t>
        </is>
      </c>
      <c r="G87" s="33" t="inlineStr">
        <is>
          <t>United States</t>
        </is>
      </c>
      <c r="H87" s="33" t="inlineStr">
        <is>
          <t>E03 - Single-Market</t>
        </is>
      </c>
      <c r="I87" s="33" t="inlineStr">
        <is>
          <t>https://ascentialcdn.filespin.io/api/v1/conversion/f34bbf1c3b224a62a7b93946bce31756</t>
        </is>
      </c>
      <c r="J87" s="33" t="inlineStr">
        <is>
          <t>F2EjJgR0adE</t>
        </is>
      </c>
      <c r="L87" s="33" t="inlineStr">
        <is>
          <t>https://www.lovethework.com/work/entries/oreo-cows-780004</t>
        </is>
      </c>
      <c r="M87" s="33" t="inlineStr">
        <is>
          <t>A Consumer Goods Gold for Oreo, created by VML New York and VML Mexico City. The campaign brings Oreo's black-and-white world to life through 'Oreo Cows', a playful idea rooted in the cookie's classic pairing with a glass of milk.</t>
        </is>
      </c>
      <c r="N87" s="33" t="inlineStr">
        <is>
          <t>oreo, cookies, biscuits, snacks, fmcg, food, mondelez, milk, dairy, cows, consumer goods, united states, mexico, direct, vml, silver</t>
        </is>
      </c>
    </row>
    <row r="88">
      <c r="A88" s="33" t="n">
        <v>2026</v>
      </c>
      <c r="B88" s="162" t="inlineStr">
        <is>
          <t>Silver</t>
        </is>
      </c>
      <c r="C88" s="175" t="inlineStr">
        <is>
          <t>The Last Coke in the Desert</t>
        </is>
      </c>
      <c r="D88" s="33" t="inlineStr">
        <is>
          <t>Coca-Cola</t>
        </is>
      </c>
      <c r="E88" s="33" t="inlineStr">
        <is>
          <t>Coca-Cola</t>
        </is>
      </c>
      <c r="F88" s="33" t="inlineStr">
        <is>
          <t>VML New York</t>
        </is>
      </c>
      <c r="G88" s="33" t="inlineStr">
        <is>
          <t>United States</t>
        </is>
      </c>
      <c r="H88" s="33" t="inlineStr">
        <is>
          <t>E03 - Single-Market</t>
        </is>
      </c>
      <c r="I88" s="33" t="inlineStr">
        <is>
          <t>https://ascentialcdn.filespin.io/api/v1/conversion/a18e0916d3454cea801962b1c26619dc</t>
        </is>
      </c>
      <c r="J88" s="33" t="inlineStr">
        <is>
          <t>vimeo:1194047275</t>
        </is>
      </c>
      <c r="L88" s="33" t="inlineStr">
        <is>
          <t>https://www.lovethework.com/work/entries/the-last-coke-in-the-desert-783279</t>
        </is>
      </c>
      <c r="M88" s="33" t="inlineStr">
        <is>
          <t>For Coca-Cola, VML created 'The Last Coke in the Desert,' a brand experience set in a remote desert location offering travellers a final ice-cold Coke before a long stretch with none, dramatising the lengths the brand goes to keep its product within reach.</t>
        </is>
      </c>
      <c r="N88" s="33" t="inlineStr">
        <is>
          <t>coca-cola, coke, soft drink, soda, beverage, drinks, the coca-cola company, united states, desert, travel, tourism, refreshment, brand experience, activation, vml, silver</t>
        </is>
      </c>
    </row>
    <row r="89">
      <c r="A89" s="33" t="n">
        <v>2026</v>
      </c>
      <c r="B89" s="162" t="inlineStr">
        <is>
          <t>Silver</t>
        </is>
      </c>
      <c r="C89" s="175" t="inlineStr">
        <is>
          <t>Tocayos</t>
        </is>
      </c>
      <c r="D89" s="33" t="inlineStr">
        <is>
          <t>Heineken</t>
        </is>
      </c>
      <c r="E89" s="33" t="inlineStr">
        <is>
          <t>Heineken Beer</t>
        </is>
      </c>
      <c r="F89" s="33" t="inlineStr">
        <is>
          <t>LePub Milan</t>
        </is>
      </c>
      <c r="G89" s="33" t="inlineStr">
        <is>
          <t>Italy</t>
        </is>
      </c>
      <c r="H89" s="33" t="inlineStr">
        <is>
          <t>E03 - Single-Market</t>
        </is>
      </c>
      <c r="I89" s="33" t="inlineStr">
        <is>
          <t>https://ascentialcdn.filespin.io/api/v1/conversion/f94212ccbc4f4a5bb5d68cee89cab74d</t>
        </is>
      </c>
      <c r="J89" s="33" t="inlineStr">
        <is>
          <t>r5M5spNm-fI</t>
        </is>
      </c>
      <c r="L89" s="33" t="inlineStr">
        <is>
          <t>https://www.lovethework.com/work/entries/tocayos-780497</t>
        </is>
      </c>
      <c r="M89" s="33" t="inlineStr">
        <is>
          <t>A Heineken campaign by LePub that connects independent neighbourhood bars which already share one thing in common, their name, rallying these 'namesake' bars to support one another and preserve traditional local bar culture.</t>
        </is>
      </c>
      <c r="N89" s="33" t="inlineStr">
        <is>
          <t>heineken, beer, alcohol, drinks, bars, pubs, hospitality, on-trade, b2b, business, targeting, engagement, community, namesakes, lepub, italy, silver</t>
        </is>
      </c>
    </row>
    <row r="90">
      <c r="A90" s="33" t="n">
        <v>2026</v>
      </c>
      <c r="B90" s="162" t="inlineStr">
        <is>
          <t>Silver</t>
        </is>
      </c>
      <c r="C90" s="175" t="inlineStr">
        <is>
          <t>CIF Clean My Name</t>
        </is>
      </c>
      <c r="D90" s="33" t="inlineStr">
        <is>
          <t>CIF</t>
        </is>
      </c>
      <c r="E90" s="33" t="inlineStr">
        <is>
          <t>CIF Miracle</t>
        </is>
      </c>
      <c r="F90" s="33" t="inlineStr">
        <is>
          <t>Droga5 Sao Paulo</t>
        </is>
      </c>
      <c r="G90" s="33" t="inlineStr">
        <is>
          <t>Brazil</t>
        </is>
      </c>
      <c r="H90" s="33" t="inlineStr">
        <is>
          <t>E04 - Social Behaviour</t>
        </is>
      </c>
      <c r="I90" s="33" t="inlineStr">
        <is>
          <t>https://ascentialcdn.filespin.io/api/v1/conversion/cba776a1ce8442c7b1ce665e336e758e</t>
        </is>
      </c>
      <c r="J90" s="33" t="inlineStr">
        <is>
          <t>vimeo:1187492812</t>
        </is>
      </c>
      <c r="L90" s="33" t="inlineStr">
        <is>
          <t>https://www.lovethework.com/work/entries/cif-clean-my-name-780337</t>
        </is>
      </c>
      <c r="M90" s="33" t="inlineStr">
        <is>
          <t>For cleaning brand CIF, Droga5 Sao Paulo turned the CIF Miracle line into a service that helped Brazilians with debt-related 'dirty names' (negativado) clean their financial record, connecting the brand's promise of removing tough stains to clearing the stain of a bad credit score.</t>
        </is>
      </c>
      <c r="N90" s="33" t="inlineStr">
        <is>
          <t>cif, cif miracle, cleaning, cleaning products, household, home, fmcg, unilever, brazil, debt, credit, payments, fintech, financial-services, finance, financial inclusion, social behaviour, brand experience, activation, droga5, gold</t>
        </is>
      </c>
    </row>
    <row r="91">
      <c r="A91" s="33" t="n">
        <v>2026</v>
      </c>
      <c r="B91" s="162" t="inlineStr">
        <is>
          <t>Silver</t>
        </is>
      </c>
      <c r="C91" s="175" t="inlineStr">
        <is>
          <t>Santa Maria Pueblo Hotel</t>
        </is>
      </c>
      <c r="D91" s="33" t="inlineStr">
        <is>
          <t>Senatur</t>
        </is>
      </c>
      <c r="E91" s="33" t="inlineStr">
        <is>
          <t>Pueblo Hotel</t>
        </is>
      </c>
      <c r="F91" s="33" t="inlineStr">
        <is>
          <t>Oniria\TBWA Asuncion</t>
        </is>
      </c>
      <c r="G91" s="33" t="inlineStr">
        <is>
          <t>Paraguay</t>
        </is>
      </c>
      <c r="H91" s="33" t="inlineStr">
        <is>
          <t>E06 - Breakthrough on a Budget</t>
        </is>
      </c>
      <c r="I91" s="33" t="inlineStr">
        <is>
          <t>https://ascentialcdn.filespin.io/api/v1/conversion/98fac48b166544d9afbedba9cb5fff27</t>
        </is>
      </c>
      <c r="J91" s="33" t="inlineStr">
        <is>
          <t>0qMWo7jbXdo</t>
        </is>
      </c>
      <c r="L91" s="33" t="inlineStr">
        <is>
          <t>https://www.lovethework.com/work/entries/santa-maria-pueblo-hotel-780421</t>
        </is>
      </c>
      <c r="M91" s="33" t="inlineStr">
        <is>
          <t>A Not-for-Profit / Government Bronze for Paraguay's national tourism board Senatur by Oniria\TBWA, Asunción. The campaign turns the town of Santa María de Fe into a distributed 'pueblo hotel', inviting travellers to stay across the community itself and spread tourism's benefits to local families.</t>
        </is>
      </c>
      <c r="N91" s="33" t="inlineStr">
        <is>
          <t>senatur, tourism, travel, government, paraguay, hospitality, hotel, community, rural, culture, not-for-profit, charity, ngo, social-good, direct, oniria, tbwa, silver</t>
        </is>
      </c>
    </row>
    <row r="92">
      <c r="A92" s="33" t="n">
        <v>2026</v>
      </c>
      <c r="B92" s="163" t="inlineStr">
        <is>
          <t>Bronze</t>
        </is>
      </c>
      <c r="C92" s="175" t="inlineStr">
        <is>
          <t>Heinz Dipper</t>
        </is>
      </c>
      <c r="D92" s="33" t="inlineStr">
        <is>
          <t>Heinz Ketchup</t>
        </is>
      </c>
      <c r="E92" s="33" t="inlineStr">
        <is>
          <t>Heinz Ketchup</t>
        </is>
      </c>
      <c r="F92" s="33" t="inlineStr">
        <is>
          <t>Rethink Toronto</t>
        </is>
      </c>
      <c r="G92" s="33" t="inlineStr">
        <is>
          <t>Canada</t>
        </is>
      </c>
      <c r="H92" s="33" t="inlineStr">
        <is>
          <t>A01 - Consumer Goods</t>
        </is>
      </c>
      <c r="I92" s="33" t="inlineStr">
        <is>
          <t>https://ascentialcdn.filespin.io/api/v1/conversion/b4ddfa7e0c144cea9fbdfa33ec8c46ad</t>
        </is>
      </c>
      <c r="J92" s="33" t="inlineStr">
        <is>
          <t>vimeo:1187334779</t>
        </is>
      </c>
      <c r="L92" s="33" t="inlineStr">
        <is>
          <t>https://www.lovethework.com/work/entries/heinz-dipper-780384</t>
        </is>
      </c>
      <c r="M92" s="33" t="inlineStr">
        <is>
          <t>An Experience Design Gold for Heinz Ketchup by Rethink, Toronto. The Heinz Dipper is a purpose-built product for the brand's most devoted fans — the people who care more about the ketchup than the fries — giving them a dedicated way to enjoy Heinz on its own terms.</t>
        </is>
      </c>
      <c r="N92" s="33" t="inlineStr">
        <is>
          <t>heinz, ketchup, condiments, sauce, fmcg, food, kraft heinz, product design, experience design, fans, canada, direct, rethink, bronze</t>
        </is>
      </c>
    </row>
    <row r="93">
      <c r="A93" s="33" t="n">
        <v>2026</v>
      </c>
      <c r="B93" s="163" t="inlineStr">
        <is>
          <t>Bronze</t>
        </is>
      </c>
      <c r="C93" s="175" t="inlineStr">
        <is>
          <t>Chupa Chups Impossible</t>
        </is>
      </c>
      <c r="D93" s="33" t="inlineStr">
        <is>
          <t>Perfetti</t>
        </is>
      </c>
      <c r="E93" s="33" t="inlineStr">
        <is>
          <t>Chupa Chups</t>
        </is>
      </c>
      <c r="F93" s="33" t="inlineStr">
        <is>
          <t>BBH London</t>
        </is>
      </c>
      <c r="G93" s="33" t="inlineStr">
        <is>
          <t>United Kingdom</t>
        </is>
      </c>
      <c r="H93" s="33" t="inlineStr">
        <is>
          <t>A01 - Consumer Goods</t>
        </is>
      </c>
      <c r="I93" s="33" t="inlineStr">
        <is>
          <t>https://ascentialcdn.filespin.io/api/v1/conversion/c7e2a25c44654c5caa84d82a88ea3c20</t>
        </is>
      </c>
      <c r="J93" s="33" t="inlineStr">
        <is>
          <t>vimeo:1185473956</t>
        </is>
      </c>
      <c r="L93" s="33" t="inlineStr">
        <is>
          <t>https://www.lovethework.com/work/entries/chupa-chups-impossible-780480</t>
        </is>
      </c>
      <c r="M93" s="33" t="inlineStr">
        <is>
          <t>For Perfetti Van Melle's Chupa Chups, BBH London created the 'Chupa Chups Impossible,' a deliberately near-impossible-to-open lollipop staged as a final-boss challenge to dramatise and promote the new easier-to-open wrapper, fuelled by a social #ChupaSpeedChallenge.</t>
        </is>
      </c>
      <c r="N93" s="33" t="inlineStr">
        <is>
          <t>chupa chups, perfetti van melle, lollipop, candy, confectionery, snack, packaged-goods, food, cpg, fmcg, sweets, united kingdom, packaging, challenge, gaming, video-games, entertainment, social, brand experience, activation, bbh, bronze</t>
        </is>
      </c>
    </row>
    <row r="94">
      <c r="A94" s="33" t="n">
        <v>2026</v>
      </c>
      <c r="B94" s="163" t="inlineStr">
        <is>
          <t>Bronze</t>
        </is>
      </c>
      <c r="C94" s="175" t="inlineStr">
        <is>
          <t>Santa Maria Pueblo Hotel</t>
        </is>
      </c>
      <c r="D94" s="33" t="inlineStr">
        <is>
          <t>Senatur</t>
        </is>
      </c>
      <c r="E94" s="33" t="inlineStr">
        <is>
          <t>Pueblo Hotel</t>
        </is>
      </c>
      <c r="F94" s="33" t="inlineStr">
        <is>
          <t>Oniria\TBWA Asuncion</t>
        </is>
      </c>
      <c r="G94" s="33" t="inlineStr">
        <is>
          <t>Paraguay</t>
        </is>
      </c>
      <c r="H94" s="33" t="inlineStr">
        <is>
          <t>A07 - Not-for-Profit</t>
        </is>
      </c>
      <c r="I94" s="33" t="inlineStr">
        <is>
          <t>https://ascentialcdn.filespin.io/api/v1/conversion/98fac48b166544d9afbedba9cb5fff27</t>
        </is>
      </c>
      <c r="J94" s="33" t="inlineStr">
        <is>
          <t>0qMWo7jbXdo</t>
        </is>
      </c>
      <c r="L94" s="33" t="inlineStr">
        <is>
          <t>https://www.lovethework.com/work/entries/santa-maria-pueblo-hotel-780389</t>
        </is>
      </c>
      <c r="M94" s="33" t="inlineStr">
        <is>
          <t>A Not-for-Profit / Government Bronze for Paraguay's national tourism board Senatur by Oniria\TBWA, Asunción. The campaign turns the town of Santa María de Fe into a distributed 'pueblo hotel', inviting travellers to stay across the community itself and spread tourism's benefits to local families.</t>
        </is>
      </c>
      <c r="N94" s="33" t="inlineStr">
        <is>
          <t>senatur, tourism, travel, government, paraguay, hospitality, hotel, community, rural, culture, not-for-profit, charity, ngo, social-good, direct, oniria, tbwa, bronze</t>
        </is>
      </c>
    </row>
    <row r="95">
      <c r="A95" s="33" t="n">
        <v>2026</v>
      </c>
      <c r="B95" s="163" t="inlineStr">
        <is>
          <t>Bronze</t>
        </is>
      </c>
      <c r="C95" s="175" t="inlineStr">
        <is>
          <t>Firecatchers</t>
        </is>
      </c>
      <c r="D95" s="33" t="inlineStr">
        <is>
          <t>Sapeurs Pompiers de France</t>
        </is>
      </c>
      <c r="E95" s="33" t="inlineStr">
        <is>
          <t>Sapeurs Pompiers de France</t>
        </is>
      </c>
      <c r="F95" s="33" t="inlineStr">
        <is>
          <t>Havas Play Paris</t>
        </is>
      </c>
      <c r="G95" s="33" t="inlineStr">
        <is>
          <t>France</t>
        </is>
      </c>
      <c r="H95" s="33" t="inlineStr">
        <is>
          <t>B01 - Social Engagement</t>
        </is>
      </c>
      <c r="I95" s="33" t="inlineStr">
        <is>
          <t>https://ascentialcdn.filespin.io/api/v1/conversion/824e93f2fb454ac78510e8a0096fad53</t>
        </is>
      </c>
      <c r="J95" s="33" t="inlineStr">
        <is>
          <t>YFSRJpoZHoU</t>
        </is>
      </c>
      <c r="L95" s="33" t="inlineStr">
        <is>
          <t>https://www.lovethework.com/work/entries/firecatchers-780399</t>
        </is>
      </c>
      <c r="M95" s="33" t="inlineStr">
        <is>
          <t>For the French firefighters (Sapeurs-Pompiers de France), Havas Play turned Twitch viewers into virtual fire spotters, streaming live cameras overlooking high-risk forest areas so gaming communities could help detect the first signs of smoke, supported by a music-video-style film.</t>
        </is>
      </c>
      <c r="N95" s="33" t="inlineStr">
        <is>
          <t>sapeurs pompiers de france, firefighters, emergency services, government, nonprofit, twitch, streaming, tv, entertainment, gaming, video-games, influencers, creators, wildfire, forest, france, havas play, bronze</t>
        </is>
      </c>
    </row>
    <row r="96">
      <c r="A96" s="33" t="n">
        <v>2026</v>
      </c>
      <c r="B96" s="163" t="inlineStr">
        <is>
          <t>Bronze</t>
        </is>
      </c>
      <c r="C96" s="175" t="inlineStr">
        <is>
          <t>Expensive Sh*t</t>
        </is>
      </c>
      <c r="D96" s="33" t="inlineStr">
        <is>
          <t>Huggies</t>
        </is>
      </c>
      <c r="E96" s="33" t="inlineStr">
        <is>
          <t>Diaper</t>
        </is>
      </c>
      <c r="F96" s="33" t="inlineStr">
        <is>
          <t>McCann New York</t>
        </is>
      </c>
      <c r="G96" s="33" t="inlineStr">
        <is>
          <t>United States</t>
        </is>
      </c>
      <c r="H96" s="33" t="inlineStr">
        <is>
          <t>B01 - Social Engagement</t>
        </is>
      </c>
      <c r="I96" s="33" t="inlineStr">
        <is>
          <t>https://ascentialcdn.filespin.io/api/v1/conversion/27b40207d1994a2d89f4f84f56afde91</t>
        </is>
      </c>
      <c r="J96" s="33" t="inlineStr">
        <is>
          <t>mp4:videos/huggies-expensive-shit.mp4</t>
        </is>
      </c>
      <c r="L96" s="33" t="inlineStr">
        <is>
          <t>https://www.lovethework.com/work/entries/expensive-sht-783055</t>
        </is>
      </c>
      <c r="M96" s="33" t="inlineStr">
        <is>
          <t>For Huggies, McCann told a candid brand story about the costly, messy reality of parenting, playing on 'expensive sh*t' to talk honestly about diapers through social content.</t>
        </is>
      </c>
      <c r="N96" s="33" t="inlineStr">
        <is>
          <t>huggies, diapers, baby care, kimberly-clark, fmcg, united states, parenting, family, babies, brand storytelling, humour, social, mccann, bronze</t>
        </is>
      </c>
    </row>
    <row r="97">
      <c r="A97" s="33" t="n">
        <v>2026</v>
      </c>
      <c r="B97" s="163" t="inlineStr">
        <is>
          <t>Bronze</t>
        </is>
      </c>
      <c r="C97" s="175" t="inlineStr">
        <is>
          <t>Could Have Been a Heineken</t>
        </is>
      </c>
      <c r="D97" s="33" t="inlineStr">
        <is>
          <t>Heineken</t>
        </is>
      </c>
      <c r="E97" s="33" t="inlineStr">
        <is>
          <t>Heineken Beer</t>
        </is>
      </c>
      <c r="F97" s="33" t="inlineStr">
        <is>
          <t>LePub Milan</t>
        </is>
      </c>
      <c r="G97" s="33" t="inlineStr">
        <is>
          <t>Italy</t>
        </is>
      </c>
      <c r="H97" s="33" t="inlineStr">
        <is>
          <t>B02 - Use of Mobile</t>
        </is>
      </c>
      <c r="I97" s="33" t="inlineStr">
        <is>
          <t>https://ascentialcdn.filespin.io/api/v1/conversion/325cbd01df444a49a6a09ac2bc5dd3fa</t>
        </is>
      </c>
      <c r="J97" s="33" t="inlineStr">
        <is>
          <t>vimeo:1203492482</t>
        </is>
      </c>
      <c r="L97" s="33" t="inlineStr">
        <is>
          <t>https://www.lovethework.com/work/entries/could-have-been-a-heineken-780307</t>
        </is>
      </c>
      <c r="M97" s="33" t="inlineStr">
        <is>
          <t>The Social &amp; Creator Grand Prix. For Heineken, LePub turned the cultural annoyance of endlessly long WhatsApp voice notes into a reason to meet up in person. Creators and custom stickers reframed marathon voice messages with the line 'Could Have Been a Heineken,' nudging people to swap recorded monologues for a real conversation over a beer.</t>
        </is>
      </c>
      <c r="N97" s="33" t="inlineStr">
        <is>
          <t>heineken, beer, alcohol, drinks, lager, italy, whatsapp, voice notes, messaging, creators, culture, real-life connection, social behaviour, social, lepub, bronze</t>
        </is>
      </c>
    </row>
    <row r="98">
      <c r="A98" s="33" t="n">
        <v>2026</v>
      </c>
      <c r="B98" s="163" t="inlineStr">
        <is>
          <t>Bronze</t>
        </is>
      </c>
      <c r="C98" s="175" t="inlineStr">
        <is>
          <t>IKEA Preowned/Second-Hand Marketplace</t>
        </is>
      </c>
      <c r="D98" s="33" t="inlineStr">
        <is>
          <t>IKEA</t>
        </is>
      </c>
      <c r="E98" s="33" t="inlineStr">
        <is>
          <t>IKEA Second Hand Marketplace</t>
        </is>
      </c>
      <c r="F98" s="33" t="inlineStr">
        <is>
          <t>McCann Spain Madrid</t>
        </is>
      </c>
      <c r="G98" s="33" t="inlineStr">
        <is>
          <t>Spain</t>
        </is>
      </c>
      <c r="H98" s="33" t="inlineStr">
        <is>
          <t>B03 - Use of Website/Microsites</t>
        </is>
      </c>
      <c r="I98" s="33" t="inlineStr">
        <is>
          <t>https://ascentialcdn.filespin.io/api/v1/conversion/46b16825f96a4c4dbcbcf9f0bdcea78b</t>
        </is>
      </c>
      <c r="J98" s="33" t="inlineStr">
        <is>
          <t>cIr4nVS258M</t>
        </is>
      </c>
      <c r="L98" s="33" t="inlineStr">
        <is>
          <t>https://www.lovethework.com/work/entries/ikea-preownedsecond-hand-marketplace-780316</t>
        </is>
      </c>
      <c r="M98" s="33" t="inlineStr">
        <is>
          <t>For IKEA, McCann Spain launched 'Preowned', a commission-free peer-to-peer marketplace for used IKEA furniture, and turned the brand's own advertising channels into classified ads for customers' second-hand pieces, advancing IKEA's circularity goal.</t>
        </is>
      </c>
      <c r="N98" s="33" t="inlineStr">
        <is>
          <t>ikea, furniture, home, retail, ingka, second hand, resale, circular economy, sustainability, marketplace, audience insights, spain, mccann spain, bronze</t>
        </is>
      </c>
    </row>
    <row r="99">
      <c r="A99" s="33" t="n">
        <v>2026</v>
      </c>
      <c r="B99" s="163" t="inlineStr">
        <is>
          <t>Bronze</t>
        </is>
      </c>
      <c r="C99" s="175" t="inlineStr">
        <is>
          <t>Gaming Flute</t>
        </is>
      </c>
      <c r="D99" s="33" t="inlineStr">
        <is>
          <t>Skittles</t>
        </is>
      </c>
      <c r="E99" s="33" t="inlineStr">
        <is>
          <t>Skittles</t>
        </is>
      </c>
      <c r="F99" s="33" t="inlineStr">
        <is>
          <t>TBWA\Chiat\Day Chicago</t>
        </is>
      </c>
      <c r="G99" s="33" t="inlineStr">
        <is>
          <t>United States</t>
        </is>
      </c>
      <c r="H99" s="33" t="inlineStr">
        <is>
          <t>B09 - Tech-Led Brand Experience</t>
        </is>
      </c>
      <c r="I99" s="33" t="inlineStr">
        <is>
          <t>https://ascentialcdn.filespin.io/api/v1/conversion/6c7de793b80f44288aa9f1b993cdbd5f</t>
        </is>
      </c>
      <c r="J99" s="33" t="inlineStr">
        <is>
          <t>mp4:videos/skittles-gaming-flute.mp4</t>
        </is>
      </c>
      <c r="L99" s="33" t="inlineStr">
        <is>
          <t>https://www.lovethework.com/work/entries/gaming-flute-780518</t>
        </is>
      </c>
      <c r="M99" s="33" t="inlineStr">
        <is>
          <t>A playable game controller shaped like a flute, sent by Skittles to streamers who livestreamed themselves learning to 'play' the instrument-controller across a weekend. The branded flute turned an absurd novelty input device into hours of comedic streaming content for the candy brand.</t>
        </is>
      </c>
      <c r="N99" s="33" t="inlineStr">
        <is>
          <t>skittles, mars, candy, confectionery, snack, packaged-goods, food, cpg, fmcg, sweets, gaming, video-games, entertainment, video games, games, streamers, twitch, livestream, controller, humour, gadget, united states, tbwa, chiat day, bronze</t>
        </is>
      </c>
    </row>
    <row r="100">
      <c r="A100" s="33" t="n">
        <v>2026</v>
      </c>
      <c r="B100" s="163" t="inlineStr">
        <is>
          <t>Bronze</t>
        </is>
      </c>
      <c r="C100" s="175" t="inlineStr">
        <is>
          <t>The Shakespeare BIC</t>
        </is>
      </c>
      <c r="D100" s="33" t="inlineStr">
        <is>
          <t>BIC</t>
        </is>
      </c>
      <c r="E100" s="33" t="inlineStr">
        <is>
          <t>BIC Pen</t>
        </is>
      </c>
      <c r="F100" s="33" t="inlineStr">
        <is>
          <t>VML Sao Paulo</t>
        </is>
      </c>
      <c r="G100" s="33" t="inlineStr">
        <is>
          <t>Brazil</t>
        </is>
      </c>
      <c r="H100" s="33" t="inlineStr">
        <is>
          <t>B09 - Tech-Led Brand Experience</t>
        </is>
      </c>
      <c r="I100" s="33" t="inlineStr">
        <is>
          <t>https://ascentialcdn.filespin.io/api/v1/conversion/be9bdaaa10594245a416ed1ba288e3f7</t>
        </is>
      </c>
      <c r="J100" s="33" t="inlineStr">
        <is>
          <t>vimeo:1153593001</t>
        </is>
      </c>
      <c r="L100" s="33" t="inlineStr">
        <is>
          <t>https://www.lovethework.com/work/entries/the-shakespeare-bic-777603</t>
        </is>
      </c>
      <c r="M100" s="33" t="inlineStr">
        <is>
          <t>For BIC Cristal's 75th anniversary, VML Sao Paulo built 'The Shakespeare BIC,' an AI-guided robotic arm that rewrote the entire text of Romeo and Juliet using a single BIC pen, proving the pen's durability through the feat.</t>
        </is>
      </c>
      <c r="N100" s="33" t="inlineStr">
        <is>
          <t>bic, bic cristal, pen, stationery, writing, anniversary, brazil, ai, technology, artificial intelligence, robotics, durability, product demonstration, brand experience, activation, vml, bronze</t>
        </is>
      </c>
    </row>
    <row r="101">
      <c r="A101" s="33" t="n">
        <v>2026</v>
      </c>
      <c r="B101" s="163" t="inlineStr">
        <is>
          <t>Bronze</t>
        </is>
      </c>
      <c r="C101" s="175" t="inlineStr">
        <is>
          <t>Lime Guides</t>
        </is>
      </c>
      <c r="D101" s="33" t="inlineStr">
        <is>
          <t>Corona</t>
        </is>
      </c>
      <c r="E101" s="33" t="inlineStr">
        <is>
          <t>Corona</t>
        </is>
      </c>
      <c r="F101" s="33" t="inlineStr">
        <is>
          <t>Grey New York</t>
        </is>
      </c>
      <c r="G101" s="33" t="inlineStr">
        <is>
          <t>United States</t>
        </is>
      </c>
      <c r="H101" s="33" t="inlineStr">
        <is>
          <t>C01 - Customer Retail</t>
        </is>
      </c>
      <c r="I101" s="33" t="inlineStr">
        <is>
          <t>https://ascentialcdn.filespin.io/api/v1/conversion/69614d6489d54169b37f9d4f29af9ce2</t>
        </is>
      </c>
      <c r="J101" s="33" t="inlineStr">
        <is>
          <t>vimeo:1188248881</t>
        </is>
      </c>
      <c r="L101" s="33" t="inlineStr">
        <is>
          <t>https://www.lovethework.com/work/entries/lime-guides-780368</t>
        </is>
      </c>
      <c r="M101" s="33" t="inlineStr">
        <is>
          <t>A Small-Scale Media Gold for Corona by Grey, New York. Built on the ritual of a lime wedge in every Corona, 'Lime Guides' turns the humble lime into a branded wayfinding device, using the fruit itself as media.</t>
        </is>
      </c>
      <c r="N101" s="33" t="inlineStr">
        <is>
          <t>corona, beer, alcohol, drinks, lager, ab inbev, lime, ritual, ambient, outdoor, small-scale media, united states, direct, grey, bronze</t>
        </is>
      </c>
    </row>
    <row r="102">
      <c r="A102" s="33" t="n">
        <v>2026</v>
      </c>
      <c r="B102" s="163" t="inlineStr">
        <is>
          <t>Bronze</t>
        </is>
      </c>
      <c r="C102" s="175" t="inlineStr">
        <is>
          <t>Sheep Happens</t>
        </is>
      </c>
      <c r="D102" s="33" t="inlineStr">
        <is>
          <t>Penny</t>
        </is>
      </c>
      <c r="E102" s="33" t="inlineStr">
        <is>
          <t>Penny</t>
        </is>
      </c>
      <c r="F102" s="33" t="inlineStr">
        <is>
          <t>Saint Elmos Munich</t>
        </is>
      </c>
      <c r="G102" s="33" t="inlineStr">
        <is>
          <t>Germany</t>
        </is>
      </c>
      <c r="H102" s="33" t="inlineStr">
        <is>
          <t>C01 - Customer Retail</t>
        </is>
      </c>
      <c r="I102" s="33" t="inlineStr">
        <is>
          <t>https://ascentialcdn.filespin.io/api/v1/conversion/e3798dc24e4f4692825234cfef776834</t>
        </is>
      </c>
      <c r="J102" s="33" t="inlineStr">
        <is>
          <t>vimeo:1195091152</t>
        </is>
      </c>
      <c r="L102" s="33" t="inlineStr">
        <is>
          <t>https://www.lovethework.com/work/entries/sheep-happens-783111</t>
        </is>
      </c>
      <c r="M102" s="33" t="inlineStr">
        <is>
          <t>When more than fifty sheep wandered into a PENNY supermarket in Bavaria, the retailer responded in real time with humour — simply saying 'Sheep happens' — and turned an odd incident into a participatory social moment.</t>
        </is>
      </c>
      <c r="N102" s="33" t="inlineStr">
        <is>
          <t>penny, supermarket, grocery, retail, germany, sheep, real-time response, humour, culture, social, saint elmos, bronze</t>
        </is>
      </c>
    </row>
    <row r="103">
      <c r="A103" s="33" t="n">
        <v>2026</v>
      </c>
      <c r="B103" s="163" t="inlineStr">
        <is>
          <t>Bronze</t>
        </is>
      </c>
      <c r="C103" s="175" t="inlineStr">
        <is>
          <t>Cancer Prevention Discounts</t>
        </is>
      </c>
      <c r="D103" s="33" t="inlineStr">
        <is>
          <t>Broadfork Produce</t>
        </is>
      </c>
      <c r="E103" s="33" t="inlineStr">
        <is>
          <t>Cancer Prevention Discounts</t>
        </is>
      </c>
      <c r="F103" s="33" t="inlineStr">
        <is>
          <t>Tank Worldwide Montreal</t>
        </is>
      </c>
      <c r="G103" s="33" t="inlineStr">
        <is>
          <t>Canada</t>
        </is>
      </c>
      <c r="H103" s="33" t="inlineStr">
        <is>
          <t>C02 - Retail Promotions</t>
        </is>
      </c>
      <c r="I103" s="33" t="inlineStr">
        <is>
          <t>https://ascentialcdn.filespin.io/api/v1/conversion/a73220337dcc45fb885d095bdf30e296</t>
        </is>
      </c>
      <c r="J103" s="33" t="inlineStr">
        <is>
          <t>OCWwHVcGozA</t>
        </is>
      </c>
      <c r="L103" s="33" t="inlineStr">
        <is>
          <t>https://www.lovethework.com/work/entries/cancer-prevention-discounts-780347</t>
        </is>
      </c>
      <c r="M103" s="33" t="inlineStr">
        <is>
          <t>For Broadfork Produce, TANK Worldwide Montreal partnered with a cancer foundation to translate the scientifically established cancer-risk-reduction percentages of fruits and vegetables into matching discounts applied at the point of purchase in grocery stores.</t>
        </is>
      </c>
      <c r="N103" s="33" t="inlineStr">
        <is>
          <t>broadfork produce, produce, fruit, vegetables, grocery, retail, food, canada, quebec, ontario, cancer, healthcare, medical, prevention, health, discount, point of sale, social behaviour, brand experience, activation, tank worldwide, bronze</t>
        </is>
      </c>
    </row>
    <row r="104">
      <c r="A104" s="33" t="n">
        <v>2026</v>
      </c>
      <c r="B104" s="163" t="inlineStr">
        <is>
          <t>Bronze</t>
        </is>
      </c>
      <c r="C104" s="175" t="inlineStr">
        <is>
          <t>The Big Redemption</t>
        </is>
      </c>
      <c r="D104" s="33" t="inlineStr">
        <is>
          <t>Frontier Airlines</t>
        </is>
      </c>
      <c r="E104" s="33" t="inlineStr">
        <is>
          <t>Frontier Airlines Loyalty Program</t>
        </is>
      </c>
      <c r="F104" s="33" t="inlineStr">
        <is>
          <t>BarkleyOKRP Kansas City</t>
        </is>
      </c>
      <c r="G104" s="33" t="inlineStr">
        <is>
          <t>United States</t>
        </is>
      </c>
      <c r="H104" s="33" t="inlineStr">
        <is>
          <t>C03 - Customer Acquisition</t>
        </is>
      </c>
      <c r="I104" s="33" t="inlineStr">
        <is>
          <t>https://ascentialcdn.filespin.io/api/v1/conversion/9146612da3c1423f93ec636912868671</t>
        </is>
      </c>
      <c r="J104" s="33" t="inlineStr">
        <is>
          <t>vimeo:1164767168</t>
        </is>
      </c>
      <c r="L104" s="33" t="inlineStr">
        <is>
          <t>https://www.lovethework.com/work/entries/the-big-redemption-780451</t>
        </is>
      </c>
      <c r="M104" s="33" t="inlineStr">
        <is>
          <t>For Frontier Airlines, BarkleyOKRP revived the 1996 Pepsi 'Harrier Jet' points stunt, tracking down the man who once sued over the unredeemable jet and giving him Frontier Miles to fly free for life, delivering the redemption the original promotion never honoured.</t>
        </is>
      </c>
      <c r="N104" s="33" t="inlineStr">
        <is>
          <t>frontier airlines, airline, air travel, aviation, travel, tourism, loyalty, miles, united states, pepsi, harrier jet, nostalgia, pop culture, brand experience, activation, barkleyokrp, bronze</t>
        </is>
      </c>
    </row>
    <row r="105">
      <c r="A105" s="33" t="n">
        <v>2026</v>
      </c>
      <c r="B105" s="163" t="inlineStr">
        <is>
          <t>Bronze</t>
        </is>
      </c>
      <c r="C105" s="175" t="inlineStr">
        <is>
          <t>Run Back the Miracle</t>
        </is>
      </c>
      <c r="D105" s="33" t="inlineStr">
        <is>
          <t>Michelob Ultra</t>
        </is>
      </c>
      <c r="E105" s="33" t="inlineStr">
        <is>
          <t>Michelob Ultra</t>
        </is>
      </c>
      <c r="F105" s="33" t="inlineStr">
        <is>
          <t>Wieden+Kennedy New York</t>
        </is>
      </c>
      <c r="G105" s="33" t="inlineStr">
        <is>
          <t>United States</t>
        </is>
      </c>
      <c r="H105" s="33" t="inlineStr">
        <is>
          <t>D01 - Live Brand Experience</t>
        </is>
      </c>
      <c r="I105" s="33" t="inlineStr">
        <is>
          <t>https://ascentialcdn.filespin.io/api/v1/conversion/35bdd48937ce43268f12d55e442a5e18</t>
        </is>
      </c>
      <c r="J105" s="33" t="inlineStr">
        <is>
          <t>twUi2ykMybw</t>
        </is>
      </c>
      <c r="L105" s="33" t="inlineStr">
        <is>
          <t>https://www.lovethework.com/work/entries/run-back-the-miracle-780415</t>
        </is>
      </c>
      <c r="M105" s="33" t="inlineStr">
        <is>
          <t>An experiential activation for Michelob Ultra that brings the 1980 'Miracle on Ice' hockey game back to life, letting fans relive and replay the iconic match through an emerging-tech experience. (Personalised Storytelling &amp; Experience entry.)</t>
        </is>
      </c>
      <c r="N105" s="33" t="inlineStr">
        <is>
          <t>michelob ultra, beer, alcohol, drinks, hockey, miracle on ice, sport, fandom, experiential, personalised, storytelling, digital craft, wieden kennedy, united states</t>
        </is>
      </c>
    </row>
    <row r="106">
      <c r="A106" s="33" t="n">
        <v>2026</v>
      </c>
      <c r="B106" s="163" t="inlineStr">
        <is>
          <t>Bronze</t>
        </is>
      </c>
      <c r="C106" s="175" t="inlineStr">
        <is>
          <t>KitKat Security Detail</t>
        </is>
      </c>
      <c r="D106" s="33" t="inlineStr">
        <is>
          <t>KitKat</t>
        </is>
      </c>
      <c r="E106" s="33" t="inlineStr">
        <is>
          <t>KitKat Five Fingers Chocolate Bar</t>
        </is>
      </c>
      <c r="F106" s="33" t="inlineStr">
        <is>
          <t>Courage Toronto</t>
        </is>
      </c>
      <c r="G106" s="33" t="inlineStr">
        <is>
          <t>Canada</t>
        </is>
      </c>
      <c r="H106" s="33" t="inlineStr">
        <is>
          <t>D02 - Guerrilla Marketing</t>
        </is>
      </c>
      <c r="I106" s="33" t="inlineStr">
        <is>
          <t>https://ascentialcdn.filespin.io/api/v1/conversion/46f64d59f4604dc6950738c6b5f5d7c6</t>
        </is>
      </c>
      <c r="J106" s="33" t="inlineStr">
        <is>
          <t>VfDoqCGYrms</t>
        </is>
      </c>
      <c r="L106" s="33" t="inlineStr">
        <is>
          <t>https://www.lovethework.com/work/entries/kitkat-security-detail-780502</t>
        </is>
      </c>
      <c r="M106" s="33" t="inlineStr">
        <is>
          <t>After KitKats kept getting stolen, KitKat Canada responded with "Security Detail," a tongue-in-cheek stunt that escorted chocolate deliveries like a high-stakes security operation.</t>
        </is>
      </c>
      <c r="N106" s="33" t="inlineStr">
        <is>
          <t>kitkat, chocolate, confectionery, candy, snack, packaged-goods, food, cpg, fmcg, stunt, humour, transit, transport, public-service, security, courage, canada</t>
        </is>
      </c>
    </row>
    <row r="107">
      <c r="A107" s="33" t="n">
        <v>2026</v>
      </c>
      <c r="B107" s="163" t="inlineStr">
        <is>
          <t>Bronze</t>
        </is>
      </c>
      <c r="C107" s="175" t="inlineStr">
        <is>
          <t>You Must Love Coke</t>
        </is>
      </c>
      <c r="D107" s="33" t="inlineStr">
        <is>
          <t>Coca-Cola</t>
        </is>
      </c>
      <c r="E107" s="33" t="inlineStr">
        <is>
          <t>Coca-Cola</t>
        </is>
      </c>
      <c r="F107" s="33" t="inlineStr">
        <is>
          <t>Grey New York</t>
        </is>
      </c>
      <c r="G107" s="33" t="inlineStr">
        <is>
          <t>United States</t>
        </is>
      </c>
      <c r="H107" s="33" t="inlineStr">
        <is>
          <t>D03 - Brand-Owned Experiences</t>
        </is>
      </c>
      <c r="I107" s="33" t="inlineStr">
        <is>
          <t>https://ascentialcdn.filespin.io/api/v1/conversion/e9b35c24142344298e846c3bb52c0595</t>
        </is>
      </c>
      <c r="J107" s="33" t="inlineStr">
        <is>
          <t>mp4:videos/outdoor-coca-cola-you-must-love-coke.mp4</t>
        </is>
      </c>
      <c r="L107" s="33" t="inlineStr">
        <is>
          <t>https://www.lovethework.com/work/entries/you-must-love-coke-780387</t>
        </is>
      </c>
      <c r="M107" s="33" t="inlineStr">
        <is>
          <t>For Coca-Cola, Grey New York created 'You Must Love Coke,' an out-of-home campaign built on perception science that uses optical illusions containing no actual red, prompting viewers' brains to generate Coke's iconic red themselves; launched around football stadiums where the brand's red is unwelcome.</t>
        </is>
      </c>
      <c r="N107" s="33" t="inlineStr">
        <is>
          <t>coca-cola, coke, soft drink, soda, beverage, drinks, the coca-cola company, united states, argentina, out of home, ooh, optical illusion, perception, neuroscience, football, soccer, sport, brand experience, activation, grey, bronze</t>
        </is>
      </c>
    </row>
    <row r="108">
      <c r="A108" s="33" t="n">
        <v>2026</v>
      </c>
      <c r="B108" s="163" t="inlineStr">
        <is>
          <t>Bronze</t>
        </is>
      </c>
      <c r="C108" s="175" t="inlineStr">
        <is>
          <t>Chupa Chups Impossible</t>
        </is>
      </c>
      <c r="D108" s="33" t="inlineStr">
        <is>
          <t>Perfetti</t>
        </is>
      </c>
      <c r="E108" s="33" t="inlineStr">
        <is>
          <t>Chupa Chups</t>
        </is>
      </c>
      <c r="F108" s="33" t="inlineStr">
        <is>
          <t>BBH London</t>
        </is>
      </c>
      <c r="G108" s="33" t="inlineStr">
        <is>
          <t>United Kingdom</t>
        </is>
      </c>
      <c r="H108" s="33" t="inlineStr">
        <is>
          <t>D05 - Launch/Relaunch</t>
        </is>
      </c>
      <c r="I108" s="33" t="inlineStr">
        <is>
          <t>https://ascentialcdn.filespin.io/api/v1/conversion/c7e2a25c44654c5caa84d82a88ea3c20</t>
        </is>
      </c>
      <c r="J108" s="33" t="inlineStr">
        <is>
          <t>vimeo:1185473956</t>
        </is>
      </c>
      <c r="L108" s="33" t="inlineStr">
        <is>
          <t>https://www.lovethework.com/work/entries/chupa-chups-impossible-780520</t>
        </is>
      </c>
      <c r="M108" s="33" t="inlineStr">
        <is>
          <t>For Perfetti Van Melle's Chupa Chups, BBH London created the 'Chupa Chups Impossible,' a deliberately near-impossible-to-open lollipop staged as a final-boss challenge to dramatise and promote the new easier-to-open wrapper, fuelled by a social #ChupaSpeedChallenge.</t>
        </is>
      </c>
      <c r="N108" s="33" t="inlineStr">
        <is>
          <t>chupa chups, perfetti van melle, lollipop, candy, confectionery, snack, packaged-goods, food, cpg, fmcg, sweets, united kingdom, packaging, challenge, gaming, video-games, entertainment, social, brand experience, activation, bbh, bronze</t>
        </is>
      </c>
    </row>
    <row r="109">
      <c r="A109" s="33" t="n">
        <v>2026</v>
      </c>
      <c r="B109" s="163" t="inlineStr">
        <is>
          <t>Bronze</t>
        </is>
      </c>
      <c r="C109" s="175" t="inlineStr">
        <is>
          <t>Pedigree Caramelo</t>
        </is>
      </c>
      <c r="D109" s="33" t="inlineStr">
        <is>
          <t>Pedigree</t>
        </is>
      </c>
      <c r="E109" s="33" t="inlineStr">
        <is>
          <t>Pedigree</t>
        </is>
      </c>
      <c r="F109" s="33" t="inlineStr">
        <is>
          <t>AlmapBBDO Sao Paulo</t>
        </is>
      </c>
      <c r="G109" s="33" t="inlineStr">
        <is>
          <t>Brazil</t>
        </is>
      </c>
      <c r="H109" s="33" t="inlineStr">
        <is>
          <t>D06 - 360 Integrated</t>
        </is>
      </c>
      <c r="I109" s="33" t="inlineStr">
        <is>
          <t>https://ascentialcdn.filespin.io/api/v1/conversion/77bffa760b15400e800358031e0ed3d6</t>
        </is>
      </c>
      <c r="J109" s="33" t="inlineStr">
        <is>
          <t>prMM0H9psRs</t>
        </is>
      </c>
      <c r="L109" s="33" t="inlineStr">
        <is>
          <t>https://www.lovethework.com/work/entries/pedigree-caramelo-780454</t>
        </is>
      </c>
      <c r="M109" s="33" t="inlineStr">
        <is>
          <t>For Pedigree, AlmapBBDO Sao Paulo built 'Caramelo' around the caramel-coated mixed-breed street dog that is a beloved Brazilian icon, giving the mongrel a full visual identity and brand platform to champion the adoption of mixed-breed dogs.</t>
        </is>
      </c>
      <c r="N109" s="33" t="inlineStr">
        <is>
          <t>pedigree, mars, dog food, pet food, pets, dogs, fmcg, brazil, caramelo, mixed breed, mongrel, street dog, adoption, identity, social behaviour, brand experience, activation, almapbbdo, bronze</t>
        </is>
      </c>
    </row>
    <row r="110">
      <c r="A110" s="33" t="n">
        <v>2026</v>
      </c>
      <c r="B110" s="163" t="inlineStr">
        <is>
          <t>Bronze</t>
        </is>
      </c>
      <c r="C110" s="175" t="inlineStr">
        <is>
          <t>Vaseline and the Real Nigerian Prince</t>
        </is>
      </c>
      <c r="D110" s="33" t="inlineStr">
        <is>
          <t>Vaseline</t>
        </is>
      </c>
      <c r="E110" s="33" t="inlineStr">
        <is>
          <t>Vaseline Body Oil</t>
        </is>
      </c>
      <c r="F110" s="33" t="inlineStr">
        <is>
          <t>Leo Singapore</t>
        </is>
      </c>
      <c r="G110" s="33" t="inlineStr">
        <is>
          <t>Singapore</t>
        </is>
      </c>
      <c r="H110" s="33" t="inlineStr">
        <is>
          <t>E03 - Single-Market</t>
        </is>
      </c>
      <c r="I110" s="33" t="inlineStr">
        <is>
          <t>https://ascentialcdn.filespin.io/api/v1/conversion/777fe8eeed3c422e8104f740b80e70ae</t>
        </is>
      </c>
      <c r="J110" s="33" t="inlineStr">
        <is>
          <t>eNYA89Z97Gs</t>
        </is>
      </c>
      <c r="L110" s="33" t="inlineStr">
        <is>
          <t>https://www.lovethework.com/work/entries/vaseline-and-the-real-nigerian-prince-779883</t>
        </is>
      </c>
      <c r="M110" s="33" t="inlineStr">
        <is>
          <t>For Vaseline Body Oil, Leo Singapore took the internet's most infamous scam cliché — the 'Nigerian prince' email — and flipped it by partnering with an actual Nigerian prince, turning a punchline about deception into a positive, creator-led brand story.</t>
        </is>
      </c>
      <c r="N110" s="33" t="inlineStr">
        <is>
          <t>vaseline, body oil, skincare, personal-care, beauty, personal care, unilever, fmcg, singapore, nigeria, scam, creator collaboration, storytelling, culture, social, leo, bronze</t>
        </is>
      </c>
    </row>
    <row r="111">
      <c r="A111" s="33" t="n">
        <v>2026</v>
      </c>
      <c r="B111" s="163" t="inlineStr">
        <is>
          <t>Bronze</t>
        </is>
      </c>
      <c r="C111" s="175" t="inlineStr">
        <is>
          <t>Vaseline Verified</t>
        </is>
      </c>
      <c r="D111" s="33" t="inlineStr">
        <is>
          <t>Vaseline</t>
        </is>
      </c>
      <c r="E111" s="33" t="inlineStr">
        <is>
          <t>Vaseline</t>
        </is>
      </c>
      <c r="F111" s="33" t="inlineStr">
        <is>
          <t>Ogilvy Singapore</t>
        </is>
      </c>
      <c r="G111" s="33" t="inlineStr">
        <is>
          <t>Singapore</t>
        </is>
      </c>
      <c r="H111" s="33" t="inlineStr">
        <is>
          <t>E04 - Social Behaviour</t>
        </is>
      </c>
      <c r="I111" s="33" t="inlineStr">
        <is>
          <t>https://ascentialcdn.filespin.io/api/v1/conversion/9d54a70f009d42e1a49944d1de6a39a0</t>
        </is>
      </c>
      <c r="J111" s="33" t="inlineStr">
        <is>
          <t>vimeo:1082798104</t>
        </is>
      </c>
      <c r="L111" s="33" t="inlineStr">
        <is>
          <t>https://www.lovethework.com/work/entries/vaseline-verified-780330</t>
        </is>
      </c>
      <c r="M111" s="33" t="inlineStr">
        <is>
          <t>For Vaseline, Ogilvy Singapore created 'Vaseline Verified,' taking viral user-generated Vaseline Jelly hacks circulating online and putting them through scientific and dermatological testing to validate which ones actually work, showcasing the product's versatility.</t>
        </is>
      </c>
      <c r="N111" s="33" t="inlineStr">
        <is>
          <t>vaseline, petroleum jelly, skincare, personal-care, beauty, personal care, fmcg, unilever, singapore, user generated content, social, hacks, science, dermatology, verification, brand experience, activation, ogilvy, bronze</t>
        </is>
      </c>
    </row>
    <row r="112">
      <c r="A112" s="33" t="n">
        <v>2026</v>
      </c>
      <c r="B112" s="163" t="inlineStr">
        <is>
          <t>Bronze</t>
        </is>
      </c>
      <c r="C112" s="175" t="inlineStr">
        <is>
          <t>Expedition Impossible</t>
        </is>
      </c>
      <c r="D112" s="33" t="inlineStr">
        <is>
          <t>Columbia Sportswear</t>
        </is>
      </c>
      <c r="E112" s="33" t="inlineStr">
        <is>
          <t>Sportswear</t>
        </is>
      </c>
      <c r="F112" s="33" t="inlineStr">
        <is>
          <t>adam&amp;eve\TBWA London</t>
        </is>
      </c>
      <c r="G112" s="33" t="inlineStr">
        <is>
          <t>United Kingdom</t>
        </is>
      </c>
      <c r="H112" s="33" t="inlineStr">
        <is>
          <t>E05 - Use of Humour</t>
        </is>
      </c>
      <c r="I112" s="33" t="inlineStr">
        <is>
          <t>https://ascentialcdn.filespin.io/api/v1/conversion/bf27011e79f94826a41c286a1bbd22d5</t>
        </is>
      </c>
      <c r="J112" s="33" t="inlineStr">
        <is>
          <t>N0WxAUkBuQA</t>
        </is>
      </c>
      <c r="L112" s="33" t="inlineStr">
        <is>
          <t>https://www.lovethework.com/work/entries/expedition-impossible-776498</t>
        </is>
      </c>
      <c r="M112" s="33" t="inlineStr">
        <is>
          <t>A Use of Humour Gold for Columbia Sportswear by adam&amp;eve\TBWA, London. Since Columbia builds gear for the edges of the Earth, the brand challenged the flat-earth community to actually go and find one, funding an 'Expedition Impossible' to the supposed edge of a flat planet, kitted head to toe in Columbia.</t>
        </is>
      </c>
      <c r="N112" s="33" t="inlineStr">
        <is>
          <t>columbia sportswear, sportswear, apparel, clothing, outdoor gear, retail, flat earth, expedition, humour, comedy, use of humour, united kingdom, direct, adam&amp;eve tbwa, tbwa, bronze</t>
        </is>
      </c>
    </row>
    <row r="113">
      <c r="A113" s="33" t="n">
        <v>2026</v>
      </c>
      <c r="B113" s="163" t="inlineStr">
        <is>
          <t>Bronze</t>
        </is>
      </c>
      <c r="C113" s="175" t="inlineStr">
        <is>
          <t>The Thousand Sponsors of Muni</t>
        </is>
      </c>
      <c r="D113" s="33" t="inlineStr">
        <is>
          <t>Club Deportivo Municipal</t>
        </is>
      </c>
      <c r="E113" s="33" t="inlineStr">
        <is>
          <t>Club Deportivo Municipal</t>
        </is>
      </c>
      <c r="F113" s="33" t="inlineStr">
        <is>
          <t>McCann Lima</t>
        </is>
      </c>
      <c r="G113" s="33" t="inlineStr">
        <is>
          <t>Peru</t>
        </is>
      </c>
      <c r="H113" s="33" t="inlineStr">
        <is>
          <t>E08 - Market Disruption</t>
        </is>
      </c>
      <c r="I113" s="33" t="inlineStr">
        <is>
          <t>https://ascentialcdn.filespin.io/api/v1/conversion/718674adf3534322b643122934609a64</t>
        </is>
      </c>
      <c r="J113" s="33" t="inlineStr">
        <is>
          <t>tq775MZGE48</t>
        </is>
      </c>
      <c r="L113" s="33" t="inlineStr">
        <is>
          <t>https://www.lovethework.com/work/entries/the-thousand-sponsors-of-muni-780397</t>
        </is>
      </c>
      <c r="M113" s="33" t="inlineStr">
        <is>
          <t>A promotional design idea for Peruvian football club Deportivo Municipal that turns its supporters into sponsors. In place of a single corporate logo, the club's kit and materials carry the names of a thousand fans, redefining who gets to back the team.</t>
        </is>
      </c>
      <c r="N113" s="33" t="inlineStr">
        <is>
          <t>club deportivo municipal, deportivo municipal, football, soccer, sport, peru, promotional, sponsorship, fans, jersey, kit, design, mccann lima</t>
        </is>
      </c>
    </row>
    <row r="114">
      <c r="A114" s="33" t="n">
        <v>2026</v>
      </c>
      <c r="B114" s="163" t="inlineStr">
        <is>
          <t>Bronze</t>
        </is>
      </c>
      <c r="C114" s="175" t="inlineStr">
        <is>
          <t>Hear in Hijab</t>
        </is>
      </c>
      <c r="D114" s="33" t="inlineStr">
        <is>
          <t>Wardah</t>
        </is>
      </c>
      <c r="E114" s="33" t="inlineStr">
        <is>
          <t>Wardah Hijab Expert Shampoo</t>
        </is>
      </c>
      <c r="F114" s="33" t="inlineStr">
        <is>
          <t>Dentsu Creative Jakarta</t>
        </is>
      </c>
      <c r="G114" s="33" t="inlineStr">
        <is>
          <t>Indonesia</t>
        </is>
      </c>
      <c r="H114" s="33" t="inlineStr">
        <is>
          <t>E09 - Cultural Engagement</t>
        </is>
      </c>
      <c r="I114" s="33" t="inlineStr">
        <is>
          <t>https://ascentialcdn.filespin.io/api/v1/conversion/62728405f3e6468bb74f06f22747e4e1</t>
        </is>
      </c>
      <c r="J114" s="33" t="inlineStr">
        <is>
          <t>7dWApCCI_Uo</t>
        </is>
      </c>
      <c r="L114" s="33" t="inlineStr">
        <is>
          <t>https://www.lovethework.com/work/entries/hear-in-hijab-780456</t>
        </is>
      </c>
      <c r="M114" s="33" t="inlineStr">
        <is>
          <t>For Wardah, Dentsu Creative Jakarta designed 'Hear in Hijab,' a hearing aid reimagined as a decorative brooch pin worn on the outside of the hijab, so hijab-wearing women can capture sound unobstructed by the fabric that normally muffles conventional in-ear devices.</t>
        </is>
      </c>
      <c r="N114" s="33" t="inlineStr">
        <is>
          <t>wardah, beauty, cosmetics, personal-care, personal care, fmcg, indonesia, hijab, hearing aid, hearing, accessibility, inclusion, muslim women, product innovation, brand experience, activation, dentsu creative, bronze</t>
        </is>
      </c>
    </row>
    <row r="115">
      <c r="A115" s="33" t="n">
        <v>2026</v>
      </c>
      <c r="B115" s="163" t="inlineStr">
        <is>
          <t>Bronze</t>
        </is>
      </c>
      <c r="C115" s="175" t="inlineStr">
        <is>
          <t>The Period Uniform</t>
        </is>
      </c>
      <c r="D115" s="33" t="inlineStr">
        <is>
          <t>Somos Martina</t>
        </is>
      </c>
      <c r="E115" s="33" t="inlineStr">
        <is>
          <t>Somos Martina</t>
        </is>
      </c>
      <c r="F115" s="33" t="inlineStr">
        <is>
          <t>Serviceplan Germany Munich</t>
        </is>
      </c>
      <c r="G115" s="33" t="inlineStr">
        <is>
          <t>Germany</t>
        </is>
      </c>
      <c r="H115" s="33" t="inlineStr">
        <is>
          <t>E09 - Cultural Engagement</t>
        </is>
      </c>
      <c r="I115" s="33" t="inlineStr">
        <is>
          <t>https://ascentialcdn.filespin.io/api/v1/conversion/1709928304da45eb95b6483c496484be</t>
        </is>
      </c>
      <c r="J115" s="33" t="inlineStr">
        <is>
          <t>J_lOZXpp9TI</t>
        </is>
      </c>
      <c r="L115" s="33" t="inlineStr">
        <is>
          <t>https://www.lovethework.com/work/entries/the-period-uniform-780440</t>
        </is>
      </c>
      <c r="M115" s="33" t="inlineStr">
        <is>
          <t>For Somos Martina, Serviceplan Germany created 'The Period Uniform,' integrating reusable period underwear into the standard Colombian school uniform system so menstruating students have built-in protection as part of their everyday uniform.</t>
        </is>
      </c>
      <c r="N115" s="33" t="inlineStr">
        <is>
          <t>somos martina, period underwear, menstruation, period care, femcare, apparel, colombia, germany, school, uniform, students, education, reusable, social behaviour, brand experience, activation, serviceplan, bronze</t>
        </is>
      </c>
    </row>
  </sheetData>
  <autoFilter ref="A1:N68"/>
  <hyperlinks>
    <hyperlink xmlns:r="http://schemas.openxmlformats.org/officeDocument/2006/relationships" ref="I2" r:id="rId1"/>
    <hyperlink xmlns:r="http://schemas.openxmlformats.org/officeDocument/2006/relationships" ref="L2" r:id="rId2"/>
    <hyperlink xmlns:r="http://schemas.openxmlformats.org/officeDocument/2006/relationships" ref="I3" r:id="rId3"/>
    <hyperlink xmlns:r="http://schemas.openxmlformats.org/officeDocument/2006/relationships" ref="L3" r:id="rId4"/>
    <hyperlink xmlns:r="http://schemas.openxmlformats.org/officeDocument/2006/relationships" ref="I4" r:id="rId5"/>
    <hyperlink xmlns:r="http://schemas.openxmlformats.org/officeDocument/2006/relationships" ref="L4" r:id="rId6"/>
    <hyperlink xmlns:r="http://schemas.openxmlformats.org/officeDocument/2006/relationships" ref="I5" r:id="rId7"/>
    <hyperlink xmlns:r="http://schemas.openxmlformats.org/officeDocument/2006/relationships" ref="L5" r:id="rId8"/>
    <hyperlink xmlns:r="http://schemas.openxmlformats.org/officeDocument/2006/relationships" ref="I6" r:id="rId9"/>
    <hyperlink xmlns:r="http://schemas.openxmlformats.org/officeDocument/2006/relationships" ref="L6" r:id="rId10"/>
    <hyperlink xmlns:r="http://schemas.openxmlformats.org/officeDocument/2006/relationships" ref="I7" r:id="rId11"/>
    <hyperlink xmlns:r="http://schemas.openxmlformats.org/officeDocument/2006/relationships" ref="L7" r:id="rId12"/>
    <hyperlink xmlns:r="http://schemas.openxmlformats.org/officeDocument/2006/relationships" ref="I8" r:id="rId13"/>
    <hyperlink xmlns:r="http://schemas.openxmlformats.org/officeDocument/2006/relationships" ref="L8" r:id="rId14"/>
    <hyperlink xmlns:r="http://schemas.openxmlformats.org/officeDocument/2006/relationships" ref="I9" r:id="rId15"/>
    <hyperlink xmlns:r="http://schemas.openxmlformats.org/officeDocument/2006/relationships" ref="L9" r:id="rId16"/>
    <hyperlink xmlns:r="http://schemas.openxmlformats.org/officeDocument/2006/relationships" ref="I10" r:id="rId17"/>
    <hyperlink xmlns:r="http://schemas.openxmlformats.org/officeDocument/2006/relationships" ref="L10" r:id="rId18"/>
    <hyperlink xmlns:r="http://schemas.openxmlformats.org/officeDocument/2006/relationships" ref="I11" r:id="rId19"/>
    <hyperlink xmlns:r="http://schemas.openxmlformats.org/officeDocument/2006/relationships" ref="L11" r:id="rId20"/>
    <hyperlink xmlns:r="http://schemas.openxmlformats.org/officeDocument/2006/relationships" ref="I12" r:id="rId21"/>
    <hyperlink xmlns:r="http://schemas.openxmlformats.org/officeDocument/2006/relationships" ref="L12" r:id="rId22"/>
    <hyperlink xmlns:r="http://schemas.openxmlformats.org/officeDocument/2006/relationships" ref="I13" r:id="rId23"/>
    <hyperlink xmlns:r="http://schemas.openxmlformats.org/officeDocument/2006/relationships" ref="L13" r:id="rId24"/>
    <hyperlink xmlns:r="http://schemas.openxmlformats.org/officeDocument/2006/relationships" ref="I14" r:id="rId25"/>
    <hyperlink xmlns:r="http://schemas.openxmlformats.org/officeDocument/2006/relationships" ref="L14" r:id="rId26"/>
    <hyperlink xmlns:r="http://schemas.openxmlformats.org/officeDocument/2006/relationships" ref="I15" r:id="rId27"/>
    <hyperlink xmlns:r="http://schemas.openxmlformats.org/officeDocument/2006/relationships" ref="L15" r:id="rId28"/>
    <hyperlink xmlns:r="http://schemas.openxmlformats.org/officeDocument/2006/relationships" ref="I16" r:id="rId29"/>
    <hyperlink xmlns:r="http://schemas.openxmlformats.org/officeDocument/2006/relationships" ref="L16" r:id="rId30"/>
    <hyperlink xmlns:r="http://schemas.openxmlformats.org/officeDocument/2006/relationships" ref="I17" r:id="rId31"/>
    <hyperlink xmlns:r="http://schemas.openxmlformats.org/officeDocument/2006/relationships" ref="L17" r:id="rId32"/>
    <hyperlink xmlns:r="http://schemas.openxmlformats.org/officeDocument/2006/relationships" ref="I18" r:id="rId33"/>
    <hyperlink xmlns:r="http://schemas.openxmlformats.org/officeDocument/2006/relationships" ref="L18" r:id="rId34"/>
    <hyperlink xmlns:r="http://schemas.openxmlformats.org/officeDocument/2006/relationships" ref="I19" r:id="rId35"/>
    <hyperlink xmlns:r="http://schemas.openxmlformats.org/officeDocument/2006/relationships" ref="L19" r:id="rId36"/>
    <hyperlink xmlns:r="http://schemas.openxmlformats.org/officeDocument/2006/relationships" ref="I20" r:id="rId37"/>
    <hyperlink xmlns:r="http://schemas.openxmlformats.org/officeDocument/2006/relationships" ref="L20" r:id="rId38"/>
    <hyperlink xmlns:r="http://schemas.openxmlformats.org/officeDocument/2006/relationships" ref="L21" r:id="rId39"/>
    <hyperlink xmlns:r="http://schemas.openxmlformats.org/officeDocument/2006/relationships" ref="I22" r:id="rId40"/>
    <hyperlink xmlns:r="http://schemas.openxmlformats.org/officeDocument/2006/relationships" ref="L22" r:id="rId41"/>
    <hyperlink xmlns:r="http://schemas.openxmlformats.org/officeDocument/2006/relationships" ref="I23" r:id="rId42"/>
    <hyperlink xmlns:r="http://schemas.openxmlformats.org/officeDocument/2006/relationships" ref="L23" r:id="rId43"/>
    <hyperlink xmlns:r="http://schemas.openxmlformats.org/officeDocument/2006/relationships" ref="I24" r:id="rId44"/>
    <hyperlink xmlns:r="http://schemas.openxmlformats.org/officeDocument/2006/relationships" ref="L24" r:id="rId45"/>
    <hyperlink xmlns:r="http://schemas.openxmlformats.org/officeDocument/2006/relationships" ref="I25" r:id="rId46"/>
    <hyperlink xmlns:r="http://schemas.openxmlformats.org/officeDocument/2006/relationships" ref="L25" r:id="rId47"/>
    <hyperlink xmlns:r="http://schemas.openxmlformats.org/officeDocument/2006/relationships" ref="I26" r:id="rId48"/>
    <hyperlink xmlns:r="http://schemas.openxmlformats.org/officeDocument/2006/relationships" ref="L26" r:id="rId49"/>
    <hyperlink xmlns:r="http://schemas.openxmlformats.org/officeDocument/2006/relationships" ref="I27" r:id="rId50"/>
    <hyperlink xmlns:r="http://schemas.openxmlformats.org/officeDocument/2006/relationships" ref="L27" r:id="rId51"/>
    <hyperlink xmlns:r="http://schemas.openxmlformats.org/officeDocument/2006/relationships" ref="I28" r:id="rId52"/>
    <hyperlink xmlns:r="http://schemas.openxmlformats.org/officeDocument/2006/relationships" ref="L28" r:id="rId53"/>
    <hyperlink xmlns:r="http://schemas.openxmlformats.org/officeDocument/2006/relationships" ref="I29" r:id="rId54"/>
    <hyperlink xmlns:r="http://schemas.openxmlformats.org/officeDocument/2006/relationships" ref="L29" r:id="rId55"/>
    <hyperlink xmlns:r="http://schemas.openxmlformats.org/officeDocument/2006/relationships" ref="I30" r:id="rId56"/>
    <hyperlink xmlns:r="http://schemas.openxmlformats.org/officeDocument/2006/relationships" ref="L30" r:id="rId57"/>
    <hyperlink xmlns:r="http://schemas.openxmlformats.org/officeDocument/2006/relationships" ref="I31" r:id="rId58"/>
    <hyperlink xmlns:r="http://schemas.openxmlformats.org/officeDocument/2006/relationships" ref="L31" r:id="rId59"/>
    <hyperlink xmlns:r="http://schemas.openxmlformats.org/officeDocument/2006/relationships" ref="I32" r:id="rId60"/>
    <hyperlink xmlns:r="http://schemas.openxmlformats.org/officeDocument/2006/relationships" ref="L32" r:id="rId61"/>
    <hyperlink xmlns:r="http://schemas.openxmlformats.org/officeDocument/2006/relationships" ref="I33" r:id="rId62"/>
    <hyperlink xmlns:r="http://schemas.openxmlformats.org/officeDocument/2006/relationships" ref="L33" r:id="rId63"/>
    <hyperlink xmlns:r="http://schemas.openxmlformats.org/officeDocument/2006/relationships" ref="I34" r:id="rId64"/>
    <hyperlink xmlns:r="http://schemas.openxmlformats.org/officeDocument/2006/relationships" ref="L34" r:id="rId65"/>
    <hyperlink xmlns:r="http://schemas.openxmlformats.org/officeDocument/2006/relationships" ref="I35" r:id="rId66"/>
    <hyperlink xmlns:r="http://schemas.openxmlformats.org/officeDocument/2006/relationships" ref="L35" r:id="rId67"/>
    <hyperlink xmlns:r="http://schemas.openxmlformats.org/officeDocument/2006/relationships" ref="I36" r:id="rId68"/>
    <hyperlink xmlns:r="http://schemas.openxmlformats.org/officeDocument/2006/relationships" ref="L36" r:id="rId69"/>
    <hyperlink xmlns:r="http://schemas.openxmlformats.org/officeDocument/2006/relationships" ref="I37" r:id="rId70"/>
    <hyperlink xmlns:r="http://schemas.openxmlformats.org/officeDocument/2006/relationships" ref="L37" r:id="rId71"/>
    <hyperlink xmlns:r="http://schemas.openxmlformats.org/officeDocument/2006/relationships" ref="I38" r:id="rId72"/>
    <hyperlink xmlns:r="http://schemas.openxmlformats.org/officeDocument/2006/relationships" ref="L38" r:id="rId73"/>
    <hyperlink xmlns:r="http://schemas.openxmlformats.org/officeDocument/2006/relationships" ref="I39" r:id="rId74"/>
    <hyperlink xmlns:r="http://schemas.openxmlformats.org/officeDocument/2006/relationships" ref="L39" r:id="rId75"/>
    <hyperlink xmlns:r="http://schemas.openxmlformats.org/officeDocument/2006/relationships" ref="I40" r:id="rId76"/>
    <hyperlink xmlns:r="http://schemas.openxmlformats.org/officeDocument/2006/relationships" ref="L40" r:id="rId77"/>
    <hyperlink xmlns:r="http://schemas.openxmlformats.org/officeDocument/2006/relationships" ref="I41" r:id="rId78"/>
    <hyperlink xmlns:r="http://schemas.openxmlformats.org/officeDocument/2006/relationships" ref="L41" r:id="rId79"/>
    <hyperlink xmlns:r="http://schemas.openxmlformats.org/officeDocument/2006/relationships" ref="I42" r:id="rId80"/>
    <hyperlink xmlns:r="http://schemas.openxmlformats.org/officeDocument/2006/relationships" ref="L42" r:id="rId81"/>
    <hyperlink xmlns:r="http://schemas.openxmlformats.org/officeDocument/2006/relationships" ref="I43" r:id="rId82"/>
    <hyperlink xmlns:r="http://schemas.openxmlformats.org/officeDocument/2006/relationships" ref="L43" r:id="rId83"/>
    <hyperlink xmlns:r="http://schemas.openxmlformats.org/officeDocument/2006/relationships" ref="I44" r:id="rId84"/>
    <hyperlink xmlns:r="http://schemas.openxmlformats.org/officeDocument/2006/relationships" ref="L44" r:id="rId85"/>
    <hyperlink xmlns:r="http://schemas.openxmlformats.org/officeDocument/2006/relationships" ref="I45" r:id="rId86"/>
    <hyperlink xmlns:r="http://schemas.openxmlformats.org/officeDocument/2006/relationships" ref="L45" r:id="rId87"/>
    <hyperlink xmlns:r="http://schemas.openxmlformats.org/officeDocument/2006/relationships" ref="I46" r:id="rId88"/>
    <hyperlink xmlns:r="http://schemas.openxmlformats.org/officeDocument/2006/relationships" ref="L46" r:id="rId89"/>
    <hyperlink xmlns:r="http://schemas.openxmlformats.org/officeDocument/2006/relationships" ref="I47" r:id="rId90"/>
    <hyperlink xmlns:r="http://schemas.openxmlformats.org/officeDocument/2006/relationships" ref="L47" r:id="rId91"/>
    <hyperlink xmlns:r="http://schemas.openxmlformats.org/officeDocument/2006/relationships" ref="I48" r:id="rId92"/>
    <hyperlink xmlns:r="http://schemas.openxmlformats.org/officeDocument/2006/relationships" ref="L48" r:id="rId93"/>
    <hyperlink xmlns:r="http://schemas.openxmlformats.org/officeDocument/2006/relationships" ref="L49" r:id="rId94"/>
    <hyperlink xmlns:r="http://schemas.openxmlformats.org/officeDocument/2006/relationships" ref="I50" r:id="rId95"/>
    <hyperlink xmlns:r="http://schemas.openxmlformats.org/officeDocument/2006/relationships" ref="L50" r:id="rId96"/>
    <hyperlink xmlns:r="http://schemas.openxmlformats.org/officeDocument/2006/relationships" ref="I51" r:id="rId97"/>
    <hyperlink xmlns:r="http://schemas.openxmlformats.org/officeDocument/2006/relationships" ref="L51" r:id="rId98"/>
    <hyperlink xmlns:r="http://schemas.openxmlformats.org/officeDocument/2006/relationships" ref="I52" r:id="rId99"/>
    <hyperlink xmlns:r="http://schemas.openxmlformats.org/officeDocument/2006/relationships" ref="L52" r:id="rId100"/>
    <hyperlink xmlns:r="http://schemas.openxmlformats.org/officeDocument/2006/relationships" ref="I53" r:id="rId101"/>
    <hyperlink xmlns:r="http://schemas.openxmlformats.org/officeDocument/2006/relationships" ref="L53" r:id="rId102"/>
    <hyperlink xmlns:r="http://schemas.openxmlformats.org/officeDocument/2006/relationships" ref="I54" r:id="rId103"/>
    <hyperlink xmlns:r="http://schemas.openxmlformats.org/officeDocument/2006/relationships" ref="L54" r:id="rId104"/>
    <hyperlink xmlns:r="http://schemas.openxmlformats.org/officeDocument/2006/relationships" ref="I55" r:id="rId105"/>
    <hyperlink xmlns:r="http://schemas.openxmlformats.org/officeDocument/2006/relationships" ref="L55" r:id="rId106"/>
    <hyperlink xmlns:r="http://schemas.openxmlformats.org/officeDocument/2006/relationships" ref="I56" r:id="rId107"/>
    <hyperlink xmlns:r="http://schemas.openxmlformats.org/officeDocument/2006/relationships" ref="L56" r:id="rId108"/>
    <hyperlink xmlns:r="http://schemas.openxmlformats.org/officeDocument/2006/relationships" ref="I57" r:id="rId109"/>
    <hyperlink xmlns:r="http://schemas.openxmlformats.org/officeDocument/2006/relationships" ref="L57" r:id="rId110"/>
    <hyperlink xmlns:r="http://schemas.openxmlformats.org/officeDocument/2006/relationships" ref="I58" r:id="rId111"/>
    <hyperlink xmlns:r="http://schemas.openxmlformats.org/officeDocument/2006/relationships" ref="L58" r:id="rId112"/>
    <hyperlink xmlns:r="http://schemas.openxmlformats.org/officeDocument/2006/relationships" ref="I59" r:id="rId113"/>
    <hyperlink xmlns:r="http://schemas.openxmlformats.org/officeDocument/2006/relationships" ref="L59" r:id="rId114"/>
    <hyperlink xmlns:r="http://schemas.openxmlformats.org/officeDocument/2006/relationships" ref="I60" r:id="rId115"/>
    <hyperlink xmlns:r="http://schemas.openxmlformats.org/officeDocument/2006/relationships" ref="L60" r:id="rId116"/>
    <hyperlink xmlns:r="http://schemas.openxmlformats.org/officeDocument/2006/relationships" ref="I61" r:id="rId117"/>
    <hyperlink xmlns:r="http://schemas.openxmlformats.org/officeDocument/2006/relationships" ref="L61" r:id="rId118"/>
    <hyperlink xmlns:r="http://schemas.openxmlformats.org/officeDocument/2006/relationships" ref="I62" r:id="rId119"/>
    <hyperlink xmlns:r="http://schemas.openxmlformats.org/officeDocument/2006/relationships" ref="L62" r:id="rId120"/>
    <hyperlink xmlns:r="http://schemas.openxmlformats.org/officeDocument/2006/relationships" ref="I63" r:id="rId121"/>
    <hyperlink xmlns:r="http://schemas.openxmlformats.org/officeDocument/2006/relationships" ref="L63" r:id="rId122"/>
    <hyperlink xmlns:r="http://schemas.openxmlformats.org/officeDocument/2006/relationships" ref="I64" r:id="rId123"/>
    <hyperlink xmlns:r="http://schemas.openxmlformats.org/officeDocument/2006/relationships" ref="L64" r:id="rId124"/>
    <hyperlink xmlns:r="http://schemas.openxmlformats.org/officeDocument/2006/relationships" ref="I65" r:id="rId125"/>
    <hyperlink xmlns:r="http://schemas.openxmlformats.org/officeDocument/2006/relationships" ref="L65" r:id="rId126"/>
    <hyperlink xmlns:r="http://schemas.openxmlformats.org/officeDocument/2006/relationships" ref="I66" r:id="rId127"/>
    <hyperlink xmlns:r="http://schemas.openxmlformats.org/officeDocument/2006/relationships" ref="L66" r:id="rId128"/>
    <hyperlink xmlns:r="http://schemas.openxmlformats.org/officeDocument/2006/relationships" ref="I67" r:id="rId129"/>
    <hyperlink xmlns:r="http://schemas.openxmlformats.org/officeDocument/2006/relationships" ref="L67" r:id="rId130"/>
    <hyperlink xmlns:r="http://schemas.openxmlformats.org/officeDocument/2006/relationships" ref="I68" r:id="rId131"/>
    <hyperlink xmlns:r="http://schemas.openxmlformats.org/officeDocument/2006/relationships" ref="L68" r:id="rId132"/>
    <hyperlink xmlns:r="http://schemas.openxmlformats.org/officeDocument/2006/relationships" ref="I69" r:id="rId133"/>
    <hyperlink xmlns:r="http://schemas.openxmlformats.org/officeDocument/2006/relationships" ref="I70" r:id="rId134"/>
    <hyperlink xmlns:r="http://schemas.openxmlformats.org/officeDocument/2006/relationships" ref="I71" r:id="rId135"/>
    <hyperlink xmlns:r="http://schemas.openxmlformats.org/officeDocument/2006/relationships" ref="I72" r:id="rId136"/>
    <hyperlink xmlns:r="http://schemas.openxmlformats.org/officeDocument/2006/relationships" ref="I73" r:id="rId137"/>
    <hyperlink xmlns:r="http://schemas.openxmlformats.org/officeDocument/2006/relationships" ref="I74" r:id="rId138"/>
    <hyperlink xmlns:r="http://schemas.openxmlformats.org/officeDocument/2006/relationships" ref="I75" r:id="rId139"/>
    <hyperlink xmlns:r="http://schemas.openxmlformats.org/officeDocument/2006/relationships" ref="I76" r:id="rId140"/>
    <hyperlink xmlns:r="http://schemas.openxmlformats.org/officeDocument/2006/relationships" ref="I77" r:id="rId141"/>
    <hyperlink xmlns:r="http://schemas.openxmlformats.org/officeDocument/2006/relationships" ref="I78" r:id="rId142"/>
    <hyperlink xmlns:r="http://schemas.openxmlformats.org/officeDocument/2006/relationships" ref="L78" r:id="rId143"/>
    <hyperlink xmlns:r="http://schemas.openxmlformats.org/officeDocument/2006/relationships" ref="I79" r:id="rId144"/>
    <hyperlink xmlns:r="http://schemas.openxmlformats.org/officeDocument/2006/relationships" ref="L79" r:id="rId145"/>
    <hyperlink xmlns:r="http://schemas.openxmlformats.org/officeDocument/2006/relationships" ref="I80" r:id="rId146"/>
    <hyperlink xmlns:r="http://schemas.openxmlformats.org/officeDocument/2006/relationships" ref="L80" r:id="rId147"/>
    <hyperlink xmlns:r="http://schemas.openxmlformats.org/officeDocument/2006/relationships" ref="I81" r:id="rId148"/>
    <hyperlink xmlns:r="http://schemas.openxmlformats.org/officeDocument/2006/relationships" ref="L81" r:id="rId149"/>
    <hyperlink xmlns:r="http://schemas.openxmlformats.org/officeDocument/2006/relationships" ref="I82" r:id="rId150"/>
    <hyperlink xmlns:r="http://schemas.openxmlformats.org/officeDocument/2006/relationships" ref="L82" r:id="rId151"/>
    <hyperlink xmlns:r="http://schemas.openxmlformats.org/officeDocument/2006/relationships" ref="I83" r:id="rId152"/>
    <hyperlink xmlns:r="http://schemas.openxmlformats.org/officeDocument/2006/relationships" ref="L83" r:id="rId153"/>
    <hyperlink xmlns:r="http://schemas.openxmlformats.org/officeDocument/2006/relationships" ref="I84" r:id="rId154"/>
    <hyperlink xmlns:r="http://schemas.openxmlformats.org/officeDocument/2006/relationships" ref="L84" r:id="rId155"/>
    <hyperlink xmlns:r="http://schemas.openxmlformats.org/officeDocument/2006/relationships" ref="I85" r:id="rId156"/>
    <hyperlink xmlns:r="http://schemas.openxmlformats.org/officeDocument/2006/relationships" ref="L85" r:id="rId157"/>
    <hyperlink xmlns:r="http://schemas.openxmlformats.org/officeDocument/2006/relationships" ref="I86" r:id="rId158"/>
    <hyperlink xmlns:r="http://schemas.openxmlformats.org/officeDocument/2006/relationships" ref="L86" r:id="rId159"/>
    <hyperlink xmlns:r="http://schemas.openxmlformats.org/officeDocument/2006/relationships" ref="I87" r:id="rId160"/>
    <hyperlink xmlns:r="http://schemas.openxmlformats.org/officeDocument/2006/relationships" ref="L87" r:id="rId161"/>
    <hyperlink xmlns:r="http://schemas.openxmlformats.org/officeDocument/2006/relationships" ref="I88" r:id="rId162"/>
    <hyperlink xmlns:r="http://schemas.openxmlformats.org/officeDocument/2006/relationships" ref="L88" r:id="rId163"/>
    <hyperlink xmlns:r="http://schemas.openxmlformats.org/officeDocument/2006/relationships" ref="I89" r:id="rId164"/>
    <hyperlink xmlns:r="http://schemas.openxmlformats.org/officeDocument/2006/relationships" ref="L89" r:id="rId165"/>
    <hyperlink xmlns:r="http://schemas.openxmlformats.org/officeDocument/2006/relationships" ref="I90" r:id="rId166"/>
    <hyperlink xmlns:r="http://schemas.openxmlformats.org/officeDocument/2006/relationships" ref="L90" r:id="rId167"/>
    <hyperlink xmlns:r="http://schemas.openxmlformats.org/officeDocument/2006/relationships" ref="I91" r:id="rId168"/>
    <hyperlink xmlns:r="http://schemas.openxmlformats.org/officeDocument/2006/relationships" ref="L91" r:id="rId169"/>
    <hyperlink xmlns:r="http://schemas.openxmlformats.org/officeDocument/2006/relationships" ref="I92" r:id="rId170"/>
    <hyperlink xmlns:r="http://schemas.openxmlformats.org/officeDocument/2006/relationships" ref="L92" r:id="rId171"/>
    <hyperlink xmlns:r="http://schemas.openxmlformats.org/officeDocument/2006/relationships" ref="I93" r:id="rId172"/>
    <hyperlink xmlns:r="http://schemas.openxmlformats.org/officeDocument/2006/relationships" ref="L93" r:id="rId173"/>
    <hyperlink xmlns:r="http://schemas.openxmlformats.org/officeDocument/2006/relationships" ref="I94" r:id="rId174"/>
    <hyperlink xmlns:r="http://schemas.openxmlformats.org/officeDocument/2006/relationships" ref="L94" r:id="rId175"/>
    <hyperlink xmlns:r="http://schemas.openxmlformats.org/officeDocument/2006/relationships" ref="I95" r:id="rId176"/>
    <hyperlink xmlns:r="http://schemas.openxmlformats.org/officeDocument/2006/relationships" ref="L95" r:id="rId177"/>
    <hyperlink xmlns:r="http://schemas.openxmlformats.org/officeDocument/2006/relationships" ref="I96" r:id="rId178"/>
    <hyperlink xmlns:r="http://schemas.openxmlformats.org/officeDocument/2006/relationships" ref="L96" r:id="rId179"/>
    <hyperlink xmlns:r="http://schemas.openxmlformats.org/officeDocument/2006/relationships" ref="I97" r:id="rId180"/>
    <hyperlink xmlns:r="http://schemas.openxmlformats.org/officeDocument/2006/relationships" ref="L97" r:id="rId181"/>
    <hyperlink xmlns:r="http://schemas.openxmlformats.org/officeDocument/2006/relationships" ref="I98" r:id="rId182"/>
    <hyperlink xmlns:r="http://schemas.openxmlformats.org/officeDocument/2006/relationships" ref="L98" r:id="rId183"/>
    <hyperlink xmlns:r="http://schemas.openxmlformats.org/officeDocument/2006/relationships" ref="I99" r:id="rId184"/>
    <hyperlink xmlns:r="http://schemas.openxmlformats.org/officeDocument/2006/relationships" ref="L99" r:id="rId185"/>
    <hyperlink xmlns:r="http://schemas.openxmlformats.org/officeDocument/2006/relationships" ref="I100" r:id="rId186"/>
    <hyperlink xmlns:r="http://schemas.openxmlformats.org/officeDocument/2006/relationships" ref="L100" r:id="rId187"/>
    <hyperlink xmlns:r="http://schemas.openxmlformats.org/officeDocument/2006/relationships" ref="I101" r:id="rId188"/>
    <hyperlink xmlns:r="http://schemas.openxmlformats.org/officeDocument/2006/relationships" ref="L101" r:id="rId189"/>
    <hyperlink xmlns:r="http://schemas.openxmlformats.org/officeDocument/2006/relationships" ref="I102" r:id="rId190"/>
    <hyperlink xmlns:r="http://schemas.openxmlformats.org/officeDocument/2006/relationships" ref="L102" r:id="rId191"/>
    <hyperlink xmlns:r="http://schemas.openxmlformats.org/officeDocument/2006/relationships" ref="I103" r:id="rId192"/>
    <hyperlink xmlns:r="http://schemas.openxmlformats.org/officeDocument/2006/relationships" ref="L103" r:id="rId193"/>
    <hyperlink xmlns:r="http://schemas.openxmlformats.org/officeDocument/2006/relationships" ref="I104" r:id="rId194"/>
    <hyperlink xmlns:r="http://schemas.openxmlformats.org/officeDocument/2006/relationships" ref="L104" r:id="rId195"/>
    <hyperlink xmlns:r="http://schemas.openxmlformats.org/officeDocument/2006/relationships" ref="I105" r:id="rId196"/>
    <hyperlink xmlns:r="http://schemas.openxmlformats.org/officeDocument/2006/relationships" ref="L105" r:id="rId197"/>
    <hyperlink xmlns:r="http://schemas.openxmlformats.org/officeDocument/2006/relationships" ref="I106" r:id="rId198"/>
    <hyperlink xmlns:r="http://schemas.openxmlformats.org/officeDocument/2006/relationships" ref="L106" r:id="rId199"/>
    <hyperlink xmlns:r="http://schemas.openxmlformats.org/officeDocument/2006/relationships" ref="I107" r:id="rId200"/>
    <hyperlink xmlns:r="http://schemas.openxmlformats.org/officeDocument/2006/relationships" ref="L107" r:id="rId201"/>
    <hyperlink xmlns:r="http://schemas.openxmlformats.org/officeDocument/2006/relationships" ref="I108" r:id="rId202"/>
    <hyperlink xmlns:r="http://schemas.openxmlformats.org/officeDocument/2006/relationships" ref="L108" r:id="rId203"/>
    <hyperlink xmlns:r="http://schemas.openxmlformats.org/officeDocument/2006/relationships" ref="I109" r:id="rId204"/>
    <hyperlink xmlns:r="http://schemas.openxmlformats.org/officeDocument/2006/relationships" ref="L109" r:id="rId205"/>
    <hyperlink xmlns:r="http://schemas.openxmlformats.org/officeDocument/2006/relationships" ref="I110" r:id="rId206"/>
    <hyperlink xmlns:r="http://schemas.openxmlformats.org/officeDocument/2006/relationships" ref="L110" r:id="rId207"/>
    <hyperlink xmlns:r="http://schemas.openxmlformats.org/officeDocument/2006/relationships" ref="I111" r:id="rId208"/>
    <hyperlink xmlns:r="http://schemas.openxmlformats.org/officeDocument/2006/relationships" ref="L111" r:id="rId209"/>
    <hyperlink xmlns:r="http://schemas.openxmlformats.org/officeDocument/2006/relationships" ref="I112" r:id="rId210"/>
    <hyperlink xmlns:r="http://schemas.openxmlformats.org/officeDocument/2006/relationships" ref="L112" r:id="rId211"/>
    <hyperlink xmlns:r="http://schemas.openxmlformats.org/officeDocument/2006/relationships" ref="I113" r:id="rId212"/>
    <hyperlink xmlns:r="http://schemas.openxmlformats.org/officeDocument/2006/relationships" ref="L113" r:id="rId213"/>
    <hyperlink xmlns:r="http://schemas.openxmlformats.org/officeDocument/2006/relationships" ref="I114" r:id="rId214"/>
    <hyperlink xmlns:r="http://schemas.openxmlformats.org/officeDocument/2006/relationships" ref="L114" r:id="rId215"/>
    <hyperlink xmlns:r="http://schemas.openxmlformats.org/officeDocument/2006/relationships" ref="I115" r:id="rId216"/>
    <hyperlink xmlns:r="http://schemas.openxmlformats.org/officeDocument/2006/relationships" ref="L115" r:id="rId217"/>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2.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6" customWidth="1" style="34" min="1" max="1"/>
    <col width="16" customWidth="1" style="34" min="2" max="2"/>
    <col width="34" customWidth="1" style="34" min="3" max="3"/>
    <col width="22" customWidth="1" style="34" min="4" max="4"/>
    <col width="26" customWidth="1" style="34" min="5" max="5"/>
    <col width="28" customWidth="1" style="34" min="6" max="6"/>
    <col width="16" customWidth="1" style="34" min="7" max="7"/>
    <col width="34" customWidth="1" style="34" min="8" max="8"/>
    <col width="18" customWidth="1" style="34" min="9" max="9"/>
    <col width="16" customWidth="1" style="34" min="10" max="10"/>
    <col width="22" customWidth="1" style="34" min="11" max="11"/>
    <col hidden="1" width="20" customWidth="1" style="34" min="12" max="12"/>
    <col width="60" customWidth="1" style="34" min="13" max="13"/>
    <col width="40" customWidth="1" style="34" min="14" max="14"/>
  </cols>
  <sheetData>
    <row r="1" ht="22" customHeight="1" s="34">
      <c r="A1" s="122" t="inlineStr">
        <is>
          <t>Year</t>
        </is>
      </c>
      <c r="B1" s="122" t="inlineStr">
        <is>
          <t>Tier</t>
        </is>
      </c>
      <c r="C1" s="122" t="inlineStr">
        <is>
          <t>Campaign</t>
        </is>
      </c>
      <c r="D1" s="122" t="inlineStr">
        <is>
          <t>Brand</t>
        </is>
      </c>
      <c r="E1" s="122" t="inlineStr">
        <is>
          <t>Product/Service</t>
        </is>
      </c>
      <c r="F1" s="122" t="inlineStr">
        <is>
          <t>Agency</t>
        </is>
      </c>
      <c r="G1" s="122" t="inlineStr">
        <is>
          <t>Country</t>
        </is>
      </c>
      <c r="H1" s="122" t="inlineStr">
        <is>
          <t>Subcategory</t>
        </is>
      </c>
      <c r="I1" s="122" t="inlineStr">
        <is>
          <t>Image URL</t>
        </is>
      </c>
      <c r="J1" s="122" t="inlineStr">
        <is>
          <t>YouTube ID</t>
        </is>
      </c>
      <c r="K1" s="122" t="inlineStr">
        <is>
          <t>Campaign Group</t>
        </is>
      </c>
      <c r="L1" s="122" t="inlineStr">
        <is>
          <t>Entry URL</t>
        </is>
      </c>
      <c r="M1" s="122" t="inlineStr">
        <is>
          <t>Description</t>
        </is>
      </c>
      <c r="N1" s="122" t="inlineStr">
        <is>
          <t>Keywords</t>
        </is>
      </c>
    </row>
    <row r="2">
      <c r="A2" s="127" t="n">
        <v>2025</v>
      </c>
      <c r="B2" s="139" t="inlineStr">
        <is>
          <t>Grand Prix</t>
        </is>
      </c>
      <c r="C2" s="127" t="inlineStr">
        <is>
          <t>AXA - Three Words</t>
        </is>
      </c>
      <c r="D2" s="127" t="inlineStr">
        <is>
          <t>AXA</t>
        </is>
      </c>
      <c r="E2" s="127" t="inlineStr">
        <is>
          <t>Insurance</t>
        </is>
      </c>
      <c r="F2" s="127" t="inlineStr">
        <is>
          <t>Publicis Conseil</t>
        </is>
      </c>
      <c r="G2" s="127" t="inlineStr">
        <is>
          <t>France</t>
        </is>
      </c>
      <c r="H2" s="113" t="inlineStr">
        <is>
          <t>Transformative Strategy</t>
        </is>
      </c>
      <c r="I2" s="127" t="inlineStr">
        <is>
          <t>digital-presentation-images/creative-business-transformation-axa-axa-three-words.webp</t>
        </is>
      </c>
      <c r="J2" s="127" t="inlineStr">
        <is>
          <t>pY-03zuV7mE</t>
        </is>
      </c>
      <c r="K2" s="127" t="n"/>
      <c r="L2" s="128" t="inlineStr">
        <is>
          <t>https://www.lovethework.com/work/entries/axa-three-words-757718</t>
        </is>
      </c>
      <c r="M2" s="113" t="inlineStr">
        <is>
          <t>AXA turned home insurance into a tool for escape by adding three words—“and domestic violence”—to its policies, making abuse a covered risk alongside fire and flood. The change gave victims emergency relocation support at no extra cost, updating 2.5 million contracts and helping women leave the most dangerous place they may face: their own home.</t>
        </is>
      </c>
      <c r="N2" s="113" t="inlineStr">
        <is>
          <t>insurance, financial-services, finance, france, domestic-violence, public-service, digital-platform, consumer-services, housing, publicis-conseil</t>
        </is>
      </c>
    </row>
    <row r="3">
      <c r="A3" s="127" t="n">
        <v>2025</v>
      </c>
      <c r="B3" s="140" t="inlineStr">
        <is>
          <t>Gold</t>
        </is>
      </c>
      <c r="C3" s="127" t="inlineStr">
        <is>
          <t>Lucky Yatra</t>
        </is>
      </c>
      <c r="D3" s="127" t="inlineStr">
        <is>
          <t>Indian Railways</t>
        </is>
      </c>
      <c r="E3" s="127" t="inlineStr">
        <is>
          <t>Railway Service</t>
        </is>
      </c>
      <c r="F3" s="127" t="inlineStr">
        <is>
          <t>FCB India</t>
        </is>
      </c>
      <c r="G3" s="127" t="inlineStr">
        <is>
          <t>India</t>
        </is>
      </c>
      <c r="H3" s="113" t="inlineStr">
        <is>
          <t>Targeting, Insights &amp; Personalisation</t>
        </is>
      </c>
      <c r="I3" s="127" t="inlineStr">
        <is>
          <t>digital-presentation-images/creative-business-transformation-indian-railways-lucky-yatra.webp</t>
        </is>
      </c>
      <c r="J3" s="127" t="inlineStr">
        <is>
          <t>19fzAvuFq0I</t>
        </is>
      </c>
      <c r="K3" s="127" t="n"/>
      <c r="L3" s="128" t="inlineStr">
        <is>
          <t>https://www.lovethework.com/work/entries/lucky-yatra-757794</t>
        </is>
      </c>
      <c r="M3" s="113" t="inlineStr">
        <is>
          <t>A loyalty program built into the ticketing system of Indian Railways: every valid ticket carries a unique number that's auto-entered into daily and weekly cash prize draws. Designed to turn ticketless travel — an entrenched habit on one of the world's largest rail networks — into a paid behavior worth doing.</t>
        </is>
      </c>
      <c r="N3" s="113" t="inlineStr">
        <is>
          <t>railway-service, loyalty-program, public-service, mobile-app, india, gamification, ticketing</t>
        </is>
      </c>
    </row>
    <row r="4">
      <c r="A4" s="127" t="n">
        <v>2025</v>
      </c>
      <c r="B4" s="132" t="inlineStr">
        <is>
          <t>Silver</t>
        </is>
      </c>
      <c r="C4" s="127" t="inlineStr">
        <is>
          <t>Building a More Resilient Australia</t>
        </is>
      </c>
      <c r="D4" s="127" t="inlineStr">
        <is>
          <t>Suncorp</t>
        </is>
      </c>
      <c r="E4" s="127" t="inlineStr">
        <is>
          <t>Insurance</t>
        </is>
      </c>
      <c r="F4" s="127" t="inlineStr">
        <is>
          <t>Leo</t>
        </is>
      </c>
      <c r="G4" s="127" t="inlineStr">
        <is>
          <t>Australia</t>
        </is>
      </c>
      <c r="H4" s="113" t="inlineStr">
        <is>
          <t>Long-Term Brand Platform</t>
        </is>
      </c>
      <c r="I4" s="127" t="inlineStr">
        <is>
          <t>digital-presentation-images/creative-business-transformation-suncorp-building-a-more-resilient-australia.webp</t>
        </is>
      </c>
      <c r="J4" s="127" t="inlineStr">
        <is>
          <t>vimeo:1094885092/740ca01ef6</t>
        </is>
      </c>
      <c r="K4" s="127" t="n"/>
      <c r="L4" s="128" t="inlineStr">
        <is>
          <t>https://www.lovethework.com/work/entries/building-a-more-resilient-australia-757856</t>
        </is>
      </c>
      <c r="M4" s="113" t="inlineStr">
        <is>
          <t>A five-year brand platform through which Suncorp Insurance shifted its public position from post-disaster recovery to pre-disaster resilience, rolling out a sequenced series of products, tools, and brand acts across Australia: a premium-reduction benefit for homeowners who add resilience features, a prototype home scientifically built to withstand extreme weather, a post-disaster rebuild product that folds resilience upgrades into insurance payouts, an education hub, a live street-level broadcast on one of Australia's most flood-vulnerable roads, a live insurance-update service during active weather events, and a digital risk platform that uses property-level data to surface each home's specific vulnerabilities. The programme was developed with Leo Sydney in response to the increasing frequency of extreme weather events making Australian homes progressively harder to insure.</t>
        </is>
      </c>
      <c r="N4" s="113" t="inlineStr">
        <is>
          <t>insurance, financial-services, finance, long-term-brand-platform, australia, climate-resilience, public-education, digital-platform, branded-content, product-innovation, home-insurance</t>
        </is>
      </c>
    </row>
    <row r="5">
      <c r="A5" s="127" t="n">
        <v>2025</v>
      </c>
      <c r="B5" s="132" t="inlineStr">
        <is>
          <t>Silver</t>
        </is>
      </c>
      <c r="C5" s="127" t="inlineStr">
        <is>
          <t>Renault - Long-Term</t>
        </is>
      </c>
      <c r="D5" s="127" t="inlineStr">
        <is>
          <t>Renault</t>
        </is>
      </c>
      <c r="E5" s="127" t="inlineStr">
        <is>
          <t>Automotive</t>
        </is>
      </c>
      <c r="F5" s="127" t="inlineStr">
        <is>
          <t>Publicis Conseil</t>
        </is>
      </c>
      <c r="G5" s="127" t="inlineStr">
        <is>
          <t>France</t>
        </is>
      </c>
      <c r="H5" s="113" t="inlineStr">
        <is>
          <t>Long-Term Brand Platform</t>
        </is>
      </c>
      <c r="I5" s="128" t="inlineStr">
        <is>
          <t>https://ascentialcdn.filespin.io/api/v1/storyboard/f4d05b0940354e91afbb9acbfc09d056/storyboard_000008.jpg</t>
        </is>
      </c>
      <c r="J5" s="127" t="inlineStr">
        <is>
          <t>GYWg2HktW-0</t>
        </is>
      </c>
      <c r="K5" s="127" t="n"/>
      <c r="L5" s="128" t="inlineStr">
        <is>
          <t>https://www.lovethework.com/work/entries/renault-long-term-757900</t>
        </is>
      </c>
      <c r="M5" s="113" t="inlineStr">
        <is>
          <t>Renault turned its 2020 crisis into an all-in electric transformation, using the five years before its new EV range launched to grow the market by attacking every barrier to adoption. From proving EVs could work in rural France to creating a shared charging network and making electric cars accessible to people with no income, Renault reframed electric mobility as practical, available and for everyone. The result: stronger brand love, 200,000+ EVs sold, market leadership in France and proof that the turnaround was only just beginning.</t>
        </is>
      </c>
      <c r="N5" s="113" t="inlineStr">
        <is>
          <t>automotive, cars, transport, ev, electric-vehicle, sustainability, business-transformation, france, brand-platform</t>
        </is>
      </c>
    </row>
    <row r="6">
      <c r="A6" s="127" t="n">
        <v>2025</v>
      </c>
      <c r="B6" s="133" t="inlineStr">
        <is>
          <t>Bronze</t>
        </is>
      </c>
      <c r="C6" s="127" t="inlineStr">
        <is>
          <t>Recipe for Growth</t>
        </is>
      </c>
      <c r="D6" s="127" t="inlineStr">
        <is>
          <t>Ifood</t>
        </is>
      </c>
      <c r="E6" s="127" t="inlineStr">
        <is>
          <t>Ifood B2b</t>
        </is>
      </c>
      <c r="F6" s="127" t="inlineStr">
        <is>
          <t>DM9</t>
        </is>
      </c>
      <c r="G6" s="127" t="inlineStr">
        <is>
          <t>Brazil</t>
        </is>
      </c>
      <c r="H6" s="113" t="inlineStr">
        <is>
          <t>Transformative Strategy</t>
        </is>
      </c>
      <c r="I6" s="127" t="inlineStr">
        <is>
          <t>digital-presentation-images/creative-business-transformation-ifood-recipe-for-growth.webp</t>
        </is>
      </c>
      <c r="J6" s="127" t="inlineStr">
        <is>
          <t>vimeo:1080197730</t>
        </is>
      </c>
      <c r="K6" s="127" t="n"/>
      <c r="L6" s="128" t="inlineStr">
        <is>
          <t>https://www.lovethework.com/work/entries/recipe-for-growth-757609</t>
        </is>
      </c>
      <c r="M6" s="113" t="inlineStr">
        <is>
          <t>A dashboard built into iFood's existing restaurant partner interface that converts the platform's order data — 120 million monthly transactions — into daily plain-language recommendations on pricing, menu positioning, ingredient purchasing, and local demand trends. Designed for the 64% of Brazilian restaurants that are family-owned and run by people with cooking skills but no formal business training, the tool surfaces geo-targeted insights directly in the app owners already use, with no separate login or technical setup required.</t>
        </is>
      </c>
      <c r="N6" s="113" t="inlineStr">
        <is>
          <t>food-delivery, food, restaurant, ecommerce, retail, online-shopping, b2b, business, mobile-app, data-driven, small-business, brazil, product-design</t>
        </is>
      </c>
    </row>
    <row r="7">
      <c r="A7" s="127" t="n">
        <v>2025</v>
      </c>
      <c r="B7" s="133" t="inlineStr">
        <is>
          <t>Bronze</t>
        </is>
      </c>
      <c r="C7" s="127" t="inlineStr">
        <is>
          <t>It's a Cheetos Thing</t>
        </is>
      </c>
      <c r="D7" s="127" t="inlineStr">
        <is>
          <t>Cheetos</t>
        </is>
      </c>
      <c r="E7" s="127" t="inlineStr">
        <is>
          <t>Cheetos</t>
        </is>
      </c>
      <c r="F7" s="127" t="inlineStr">
        <is>
          <t>Goodby Silverstein &amp; Partners</t>
        </is>
      </c>
      <c r="G7" s="127" t="inlineStr">
        <is>
          <t>United States</t>
        </is>
      </c>
      <c r="H7" s="113" t="inlineStr">
        <is>
          <t>Long-Term Brand Platform</t>
        </is>
      </c>
      <c r="I7" s="127" t="inlineStr">
        <is>
          <t>digital-presentation-images/creative-business-transformation-cheetos-pepsico-its-a-cheetos-thing.webp</t>
        </is>
      </c>
      <c r="J7" s="127" t="inlineStr">
        <is>
          <t>vimeo:1094791063/08d1ef48b6</t>
        </is>
      </c>
      <c r="K7" s="127" t="n"/>
      <c r="L7" s="128" t="inlineStr">
        <is>
          <t>https://www.lovethework.com/work/entries/its-a-cheetos-thing-765189</t>
        </is>
      </c>
      <c r="M7" s="113" t="inlineStr">
        <is>
          <t>A long-term brand platform built around the orange dust — "Cheetle" — that coats fingers after eating Cheetos, repositioning the mess as the reason fans eat with their non-dominant hand and leave orange prints on everything they touch. The platform spans Super Bowl TV spots featuring MC Hammer and Simu Liu, OOH highlighting left-handed Cheetos eaters, a hands-free experience at SXSW, and a courtside celebrity stunt, all anchored to the shared behavior as a badge of fandom.</t>
        </is>
      </c>
      <c r="N7" s="113" t="inlineStr">
        <is>
          <t>snack, food, packaged-goods, cpg, fmcg, brand-platform, television, ooh, experiential, united-states, celebrity, integrated-campaign, long-term-platform</t>
        </is>
      </c>
    </row>
    <row r="8">
      <c r="A8" s="127" t="n">
        <v>2025</v>
      </c>
      <c r="B8" s="133" t="inlineStr">
        <is>
          <t>Bronze</t>
        </is>
      </c>
      <c r="C8" s="127" t="inlineStr">
        <is>
          <t>Backing the Bars</t>
        </is>
      </c>
      <c r="D8" s="127" t="inlineStr">
        <is>
          <t>Heineken</t>
        </is>
      </c>
      <c r="E8" s="127" t="inlineStr">
        <is>
          <t>Heineken</t>
        </is>
      </c>
      <c r="F8" s="127" t="inlineStr">
        <is>
          <t>LePub</t>
        </is>
      </c>
      <c r="G8" s="127" t="inlineStr">
        <is>
          <t>Italy</t>
        </is>
      </c>
      <c r="H8" s="113" t="inlineStr">
        <is>
          <t>Long-Term Brand Platform</t>
        </is>
      </c>
      <c r="I8" s="128" t="inlineStr">
        <is>
          <t>https://ascentialcdn.filespin.io/api/v1/conversion/9d89a2d0441e4f1498beb7e41712ebbf</t>
        </is>
      </c>
      <c r="J8" s="127" t="inlineStr">
        <is>
          <t>r2mR8LV53PE</t>
        </is>
      </c>
      <c r="K8" s="127" t="n"/>
      <c r="L8" s="128" t="inlineStr">
        <is>
          <t>https://www.lovethework.com/work/entries/backing-the-bars-762510</t>
        </is>
      </c>
      <c r="M8" s="113" t="inlineStr">
        <is>
          <t>A long-term brand platform Heineken built to financially support bars during Covid-19 lockdowns, when on-premise venues were forced to close across multiple markets. Run across offices including LePub Milan, LePub São Paulo, LePub Amsterdam, Publicis Dublin, and Publicis Argentina, the program tied Heineken's brand activity directly to the survival of the bar industry it depends on.</t>
        </is>
      </c>
      <c r="N8" s="113" t="inlineStr">
        <is>
          <t>beer, alcohol, long-term-platform, brand-platform, covid-19, bars-and-hospitality, italy, multi-market, b2b, business</t>
        </is>
      </c>
    </row>
    <row r="9">
      <c r="A9" s="176" t="n">
        <v>2026</v>
      </c>
      <c r="B9" s="177" t="inlineStr">
        <is>
          <t>Grand Prix</t>
        </is>
      </c>
      <c r="C9" s="176" t="inlineStr">
        <is>
          <t>The Wedding Rice</t>
        </is>
      </c>
      <c r="D9" s="176" t="inlineStr">
        <is>
          <t>Wikifarmer</t>
        </is>
      </c>
      <c r="E9" s="176" t="inlineStr">
        <is>
          <t>Agriculture</t>
        </is>
      </c>
      <c r="F9" s="176" t="inlineStr">
        <is>
          <t>McCann Athens</t>
        </is>
      </c>
      <c r="G9" s="176" t="inlineStr">
        <is>
          <t>Greece</t>
        </is>
      </c>
      <c r="H9" s="126" t="inlineStr">
        <is>
          <t>Brand Purpose &amp; Impact</t>
        </is>
      </c>
      <c r="I9" s="176" t="inlineStr">
        <is>
          <t>https://resized-media.entries.clios.com/companies/141304/media/9909a73b-bebf-41c3-f9df-08de60387772-xlarge.jpg.webp</t>
        </is>
      </c>
      <c r="J9" s="176" t="inlineStr">
        <is>
          <t>Xop6AbopFeQ</t>
        </is>
      </c>
      <c r="K9" s="176" t="n"/>
      <c r="L9" s="176" t="inlineStr">
        <is>
          <t>https://www.lovethework.com/work/entries/the-wedding-rice-792806</t>
        </is>
      </c>
      <c r="M9" s="126" t="inlineStr">
        <is>
          <t>For Wikifarmer, an online agricultural marketplace, McCann Athens repurposed a Greek wedding tradition - showering newlyweds with rice - into a new revenue stream for farmers. EU regulations classify a large share of each rice harvest as 'broken' and unfit to sell as food, while weddings consume tonnes of edible rice as confetti. 'The Wedding Rice' redirects that demand: wedding planners buy farmers' broken rice in bulk through the Wikifarmer platform, giving otherwise-discarded grain a purpose and farmers a new market - with no new infrastructure, only a shift in how an existing tradition is sourced.</t>
        </is>
      </c>
      <c r="N9" s="126" t="inlineStr">
        <is>
          <t>wikifarmer, agriculture, farming, food, rice, marketplace, b2b, business, circular-economy, food-waste, sustainability, greece, mccann, wedding, tradition, transformative-strategy</t>
        </is>
      </c>
    </row>
    <row r="10">
      <c r="A10" s="176" t="n">
        <v>2026</v>
      </c>
      <c r="B10" s="178" t="inlineStr">
        <is>
          <t>Gold</t>
        </is>
      </c>
      <c r="C10" s="176" t="inlineStr">
        <is>
          <t>Protect the Peanut</t>
        </is>
      </c>
      <c r="D10" s="176" t="inlineStr">
        <is>
          <t>Mars Snacking</t>
        </is>
      </c>
      <c r="E10" s="176" t="inlineStr">
        <is>
          <t>M&amp;M's</t>
        </is>
      </c>
      <c r="F10" s="176" t="inlineStr">
        <is>
          <t>BBDO</t>
        </is>
      </c>
      <c r="G10" s="176" t="inlineStr">
        <is>
          <t>United States</t>
        </is>
      </c>
      <c r="H10" s="126" t="inlineStr">
        <is>
          <t>Product</t>
        </is>
      </c>
      <c r="I10" s="176" t="inlineStr">
        <is>
          <t>https://ascentialcdn.filespin.io/api/v1/conversion/babe4d0b35444d75921ae5d39f5d1deb</t>
        </is>
      </c>
      <c r="J10" s="176" t="inlineStr">
        <is>
          <t>vimeo:1190628293</t>
        </is>
      </c>
      <c r="K10" s="176" t="n"/>
      <c r="L10" s="176" t="inlineStr">
        <is>
          <t>https://www.lovethework.com/work/entries/protect-the-peanut-792970</t>
        </is>
      </c>
      <c r="M10" s="126" t="inlineStr">
        <is>
          <t>A Corporate Purpose Bronze for M&amp;M's (Mars Snacking) by BBDO, Chicago. Building on Mars's investment in peanut science, 'Protect the Peanut' is a documentary-style campaign that frames protecting the peanut — and the people who grow it — as a cause worth the brand's voice.</t>
        </is>
      </c>
      <c r="N10" s="126" t="inlineStr">
        <is>
          <t>mms, m&amp;ms, mars, mars snacking, chocolate, confectionery, candy, snack, packaged-goods, food, cpg, fmcg, snacks, peanut, agriculture, farming, sustainability, purpose, corporate social responsibility, united states, direct, bbdo, bronze</t>
        </is>
      </c>
    </row>
    <row r="11">
      <c r="A11" s="176" t="n">
        <v>2026</v>
      </c>
      <c r="B11" s="179" t="inlineStr">
        <is>
          <t>Silver</t>
        </is>
      </c>
      <c r="C11" s="176" t="inlineStr">
        <is>
          <t>Code for the Protection and Inclusion of Black Consumers</t>
        </is>
      </c>
      <c r="D11" s="176" t="inlineStr">
        <is>
          <t>L'Oreal Luxe</t>
        </is>
      </c>
      <c r="E11" s="176" t="inlineStr">
        <is>
          <t>Afroluxe</t>
        </is>
      </c>
      <c r="F11" s="176" t="inlineStr">
        <is>
          <t>Beta Collective</t>
        </is>
      </c>
      <c r="G11" s="176" t="inlineStr">
        <is>
          <t>Brazil</t>
        </is>
      </c>
      <c r="H11" s="126" t="inlineStr">
        <is>
          <t>Brand Purpose &amp; Impact</t>
        </is>
      </c>
      <c r="I11" s="176" t="inlineStr">
        <is>
          <t>https://ascentialcdn.filespin.io/api/v1/conversion/190b0c7b4ddb4beba117cdd69bd21a71</t>
        </is>
      </c>
      <c r="J11" s="176" t="inlineStr">
        <is>
          <t>IxltEOZhPpU</t>
        </is>
      </c>
      <c r="K11" s="176" t="n"/>
      <c r="L11" s="176" t="inlineStr">
        <is>
          <t>https://www.lovethework.com/work/entries/code-for-the-protection-and-inclusion-of-black-consumers-780130</t>
        </is>
      </c>
      <c r="M11" s="126" t="inlineStr">
        <is>
          <t>For L'Oreal Luxe's Afroluxe program, Beta Collective turned research into a governance tool. Building on a commissioned study of racism in the luxury beauty retail market - which catalogued the discriminatory practices Black consumers face across the shopping journey - the agency authored a Code of Conduct: a set of self-regulatory standards for the sector covering in-store treatment and the requirement to stock products that meet the needs of Black consumers, such as a full range of skin tones and hair types. The Code reframes inclusion as an operating standard the luxury market is asked to adopt.</t>
        </is>
      </c>
      <c r="N11" s="126" t="inlineStr">
        <is>
          <t>loreal, l'oreal-luxe, afroluxe, beauty, cosmetics, personal-care, luxury, retail, diversity, inclusion, anti-racism, dei, code-of-conduct, brazil, beta-collective, brand-purpose</t>
        </is>
      </c>
    </row>
    <row r="12">
      <c r="A12" s="176" t="n">
        <v>2026</v>
      </c>
      <c r="B12" s="179" t="inlineStr">
        <is>
          <t>Silver</t>
        </is>
      </c>
      <c r="C12" s="176" t="inlineStr">
        <is>
          <t>Vaseline Verified</t>
        </is>
      </c>
      <c r="D12" s="176" t="inlineStr">
        <is>
          <t>Vaseline</t>
        </is>
      </c>
      <c r="E12" s="176" t="inlineStr">
        <is>
          <t>Vaseline</t>
        </is>
      </c>
      <c r="F12" s="176" t="inlineStr">
        <is>
          <t>Ogilvy Singapore</t>
        </is>
      </c>
      <c r="G12" s="176" t="inlineStr">
        <is>
          <t>Singapore</t>
        </is>
      </c>
      <c r="H12" s="126" t="inlineStr">
        <is>
          <t>End-to-End Transformation</t>
        </is>
      </c>
      <c r="I12" s="176" t="inlineStr">
        <is>
          <t>https://ascentialcdn.filespin.io/api/v1/conversion/9d54a70f009d42e1a49944d1de6a39a0</t>
        </is>
      </c>
      <c r="J12" s="176" t="inlineStr">
        <is>
          <t>vimeo:1082798104</t>
        </is>
      </c>
      <c r="K12" s="176" t="n"/>
      <c r="L12" s="176" t="inlineStr">
        <is>
          <t>https://www.lovethework.com/work/entries/vaseline-verified-792581</t>
        </is>
      </c>
      <c r="M12" s="126" t="inlineStr">
        <is>
          <t>For Vaseline, Ogilvy Singapore created 'Vaseline Verified,' taking viral user-generated Vaseline Jelly hacks circulating online and putting them through scientific and dermatological testing to validate which ones actually work, showcasing the product's versatility.</t>
        </is>
      </c>
      <c r="N12" s="126" t="inlineStr">
        <is>
          <t>vaseline, petroleum jelly, skincare, personal-care, beauty, personal care, fmcg, unilever, singapore, user generated content, social, hacks, science, dermatology, verification, brand experience, activation, ogilvy, bronze</t>
        </is>
      </c>
    </row>
    <row r="13">
      <c r="A13" s="176" t="n">
        <v>2026</v>
      </c>
      <c r="B13" s="180" t="inlineStr">
        <is>
          <t>Bronze</t>
        </is>
      </c>
      <c r="C13" s="176" t="inlineStr">
        <is>
          <t>Vaseline Verified</t>
        </is>
      </c>
      <c r="D13" s="176" t="inlineStr">
        <is>
          <t>Vaseline</t>
        </is>
      </c>
      <c r="E13" s="176" t="inlineStr">
        <is>
          <t>Vaseline</t>
        </is>
      </c>
      <c r="F13" s="176" t="inlineStr">
        <is>
          <t>Ogilvy Singapore</t>
        </is>
      </c>
      <c r="G13" s="176" t="inlineStr">
        <is>
          <t>Singapore</t>
        </is>
      </c>
      <c r="H13" s="126" t="inlineStr">
        <is>
          <t>Transformative Strategy</t>
        </is>
      </c>
      <c r="I13" s="176" t="inlineStr">
        <is>
          <t>https://ascentialcdn.filespin.io/api/v1/conversion/9d54a70f009d42e1a49944d1de6a39a0</t>
        </is>
      </c>
      <c r="J13" s="176" t="inlineStr">
        <is>
          <t>vimeo:1082798104</t>
        </is>
      </c>
      <c r="K13" s="176" t="n"/>
      <c r="L13" s="176" t="inlineStr">
        <is>
          <t>https://www.lovethework.com/work/entries/vaseline-verified-792566</t>
        </is>
      </c>
      <c r="M13" s="126" t="inlineStr">
        <is>
          <t>For Vaseline, Ogilvy Singapore created 'Vaseline Verified,' taking viral user-generated Vaseline Jelly hacks circulating online and putting them through scientific and dermatological testing to validate which ones actually work, showcasing the product's versatility.</t>
        </is>
      </c>
      <c r="N13" s="126" t="inlineStr">
        <is>
          <t>vaseline, petroleum jelly, skincare, personal-care, beauty, personal care, fmcg, unilever, singapore, user generated content, social, hacks, science, dermatology, verification, brand experience, activation, ogilvy, bronze</t>
        </is>
      </c>
    </row>
    <row r="14">
      <c r="A14" s="176" t="n">
        <v>2026</v>
      </c>
      <c r="B14" s="180" t="inlineStr">
        <is>
          <t>Bronze</t>
        </is>
      </c>
      <c r="C14" s="176" t="inlineStr">
        <is>
          <t>Tocayos</t>
        </is>
      </c>
      <c r="D14" s="176" t="inlineStr">
        <is>
          <t>Heineken</t>
        </is>
      </c>
      <c r="E14" s="176" t="inlineStr">
        <is>
          <t>Heineken Beer</t>
        </is>
      </c>
      <c r="F14" s="176" t="inlineStr">
        <is>
          <t>LePub</t>
        </is>
      </c>
      <c r="G14" s="176" t="inlineStr">
        <is>
          <t>Italy</t>
        </is>
      </c>
      <c r="H14" s="126" t="inlineStr">
        <is>
          <t>Transformative Strategy</t>
        </is>
      </c>
      <c r="I14" s="176" t="inlineStr">
        <is>
          <t>https://ascentialcdn.filespin.io/api/v1/conversion/f94212ccbc4f4a5bb5d68cee89cab74d</t>
        </is>
      </c>
      <c r="J14" s="176" t="inlineStr">
        <is>
          <t>r5M5spNm-fI</t>
        </is>
      </c>
      <c r="K14" s="176" t="n"/>
      <c r="L14" s="176" t="inlineStr">
        <is>
          <t>https://www.lovethework.com/work/entries/tocayos-793119</t>
        </is>
      </c>
      <c r="M14" s="126" t="inlineStr">
        <is>
          <t>A Heineken campaign by LePub that connects independent neighbourhood bars which already share one thing in common, their name, rallying these 'namesake' bars to support one another and preserve traditional local bar culture.</t>
        </is>
      </c>
      <c r="N14" s="126" t="inlineStr">
        <is>
          <t>heineken, beer, alcohol, drinks, bars, pubs, hospitality, on-trade, b2b, business, targeting, engagement, community, namesakes, lepub, italy, gold</t>
        </is>
      </c>
    </row>
    <row r="15">
      <c r="A15" s="176" t="n">
        <v>2026</v>
      </c>
      <c r="B15" s="180" t="inlineStr">
        <is>
          <t>Bronze</t>
        </is>
      </c>
      <c r="C15" s="176" t="inlineStr">
        <is>
          <t>IKEA Preowned/Second-Hand Marketplace</t>
        </is>
      </c>
      <c r="D15" s="176" t="inlineStr">
        <is>
          <t>IKEA</t>
        </is>
      </c>
      <c r="E15" s="176" t="inlineStr">
        <is>
          <t>IKEA Second Hand Marketplace</t>
        </is>
      </c>
      <c r="F15" s="176" t="inlineStr">
        <is>
          <t>McCann Spain</t>
        </is>
      </c>
      <c r="G15" s="176" t="inlineStr">
        <is>
          <t>Spain</t>
        </is>
      </c>
      <c r="H15" s="126" t="inlineStr">
        <is>
          <t>New Relationship Models</t>
        </is>
      </c>
      <c r="I15" s="176" t="inlineStr">
        <is>
          <t>https://ascentialcdn.filespin.io/api/v1/storyboard/43f874bab64342b3a38f0915739273d3/storyboard_000008.jpg</t>
        </is>
      </c>
      <c r="J15" s="176" t="inlineStr">
        <is>
          <t>cIr4nVS258M</t>
        </is>
      </c>
      <c r="K15" s="176" t="n"/>
      <c r="L15" s="176" t="inlineStr">
        <is>
          <t>https://www.lovethework.com/work/entries/ikea-preownedsecond-hand-marketplace-792980</t>
        </is>
      </c>
      <c r="M15" s="126" t="inlineStr">
        <is>
          <t>For IKEA, McCann Spain launched 'Preowned', a commission-free peer-to-peer marketplace for used IKEA furniture, and turned the brand's own advertising channels into classified ads for customers' second-hand pieces, advancing IKEA's circularity goal.</t>
        </is>
      </c>
      <c r="N15" s="126" t="inlineStr">
        <is>
          <t>ikea, furniture, home, retail, ingka, second hand, resale, circular economy, sustainability, marketplace, audience insights, spain, mccann spain, silver</t>
        </is>
      </c>
    </row>
  </sheetData>
  <autoFilter ref="A1:N8"/>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I5" r:id="rId4"/>
    <hyperlink xmlns:r="http://schemas.openxmlformats.org/officeDocument/2006/relationships" ref="L5" r:id="rId5"/>
    <hyperlink xmlns:r="http://schemas.openxmlformats.org/officeDocument/2006/relationships" ref="L6" r:id="rId6"/>
    <hyperlink xmlns:r="http://schemas.openxmlformats.org/officeDocument/2006/relationships" ref="L7" r:id="rId7"/>
    <hyperlink xmlns:r="http://schemas.openxmlformats.org/officeDocument/2006/relationships" ref="I8" r:id="rId8"/>
    <hyperlink xmlns:r="http://schemas.openxmlformats.org/officeDocument/2006/relationships" ref="L8" r:id="rId9"/>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N35"/>
  <sheetViews>
    <sheetView workbookViewId="0">
      <pane ySplit="1" topLeftCell="A2" activePane="bottomLeft" state="frozen"/>
      <selection pane="bottomLeft" activeCell="A1" sqref="A1"/>
    </sheetView>
  </sheetViews>
  <sheetFormatPr baseColWidth="8" defaultRowHeight="15"/>
  <cols>
    <col width="6" customWidth="1" style="34" min="1" max="1"/>
    <col width="16" customWidth="1" style="34" min="2" max="2"/>
    <col width="34" customWidth="1" style="34" min="3" max="3"/>
    <col width="22" customWidth="1" style="34" min="4" max="4"/>
    <col width="26" customWidth="1" style="34" min="5" max="5"/>
    <col width="28" customWidth="1" style="34" min="6" max="6"/>
    <col width="16" customWidth="1" style="34" min="7" max="7"/>
    <col width="34" customWidth="1" style="34" min="8" max="8"/>
    <col width="18" customWidth="1" style="34" min="9" max="9"/>
    <col width="16" customWidth="1" style="34" min="10" max="10"/>
    <col width="22" customWidth="1" style="34" min="11" max="11"/>
    <col hidden="1" width="20" customWidth="1" style="34" min="12" max="12"/>
    <col width="60" customWidth="1" style="34" min="13" max="13"/>
    <col width="40" customWidth="1" style="34" min="14" max="14"/>
  </cols>
  <sheetData>
    <row r="1" ht="22" customHeight="1" s="34">
      <c r="A1" s="122" t="inlineStr">
        <is>
          <t>Year</t>
        </is>
      </c>
      <c r="B1" s="122" t="inlineStr">
        <is>
          <t>Tier</t>
        </is>
      </c>
      <c r="C1" s="122" t="inlineStr">
        <is>
          <t>Campaign</t>
        </is>
      </c>
      <c r="D1" s="122" t="inlineStr">
        <is>
          <t>Brand</t>
        </is>
      </c>
      <c r="E1" s="122" t="inlineStr">
        <is>
          <t>Product/Service</t>
        </is>
      </c>
      <c r="F1" s="122" t="inlineStr">
        <is>
          <t>Agency</t>
        </is>
      </c>
      <c r="G1" s="122" t="inlineStr">
        <is>
          <t>Country</t>
        </is>
      </c>
      <c r="H1" s="122" t="inlineStr">
        <is>
          <t>Subcategory</t>
        </is>
      </c>
      <c r="I1" s="122" t="inlineStr">
        <is>
          <t>Image URL</t>
        </is>
      </c>
      <c r="J1" s="122" t="inlineStr">
        <is>
          <t>YouTube ID</t>
        </is>
      </c>
      <c r="K1" s="122" t="inlineStr">
        <is>
          <t>Campaign Group</t>
        </is>
      </c>
      <c r="L1" s="122" t="inlineStr">
        <is>
          <t>Entry URL</t>
        </is>
      </c>
      <c r="M1" s="122" t="inlineStr">
        <is>
          <t>Description</t>
        </is>
      </c>
      <c r="N1" s="122" t="inlineStr">
        <is>
          <t>Keywords</t>
        </is>
      </c>
    </row>
    <row r="2">
      <c r="A2" s="127" t="n">
        <v>2025</v>
      </c>
      <c r="B2" s="139" t="inlineStr">
        <is>
          <t>Grand Prix</t>
        </is>
      </c>
      <c r="C2" s="127" t="inlineStr">
        <is>
          <t>Preserved Promos</t>
        </is>
      </c>
      <c r="D2" s="127" t="inlineStr">
        <is>
          <t>Ziploc</t>
        </is>
      </c>
      <c r="E2" s="127" t="inlineStr">
        <is>
          <t>Ziploc</t>
        </is>
      </c>
      <c r="F2" s="127" t="inlineStr">
        <is>
          <t>VML</t>
        </is>
      </c>
      <c r="G2" s="127" t="inlineStr">
        <is>
          <t>United States</t>
        </is>
      </c>
      <c r="H2" s="113" t="inlineStr">
        <is>
          <t>Brand Strategy</t>
        </is>
      </c>
      <c r="I2" s="128" t="inlineStr">
        <is>
          <t>https://ascentialcdn.filespin.io/api/v1/conversion/8223f25b769b40e3b665c4ec19e2e12c</t>
        </is>
      </c>
      <c r="J2" s="127" t="inlineStr">
        <is>
          <t>F9CTRsV3N7k</t>
        </is>
      </c>
      <c r="K2" s="127" t="n"/>
      <c r="L2" s="128" t="inlineStr">
        <is>
          <t>https://www.lovethework.com/work/entries/preserved-promos-756451</t>
        </is>
      </c>
      <c r="M2" s="113" t="inlineStr">
        <is>
          <t>A retail promotion mechanic that accepted expired food coupons as valid discounts on Ziploc products — shoppers uploaded a photo of any out-of-date food coupon and received savings on Ziploc bags in return. The mechanic ties directly to the brand's core proposition: if Ziploc preserves food, it can preserve a coupon's value too.</t>
        </is>
      </c>
      <c r="N2" s="113" t="inlineStr">
        <is>
          <t>food-storage, retail-media, coupon, commerce, mobile, united-states, sc-johnson, promotion</t>
        </is>
      </c>
    </row>
    <row r="3">
      <c r="A3" s="127" t="n">
        <v>2025</v>
      </c>
      <c r="B3" s="140" t="inlineStr">
        <is>
          <t>Gold</t>
        </is>
      </c>
      <c r="C3" s="127" t="inlineStr">
        <is>
          <t>Recipe for Growth</t>
        </is>
      </c>
      <c r="D3" s="127" t="inlineStr">
        <is>
          <t>Ifood</t>
        </is>
      </c>
      <c r="E3" s="127" t="inlineStr">
        <is>
          <t>Ifood B2b</t>
        </is>
      </c>
      <c r="F3" s="127" t="inlineStr">
        <is>
          <t>DM9</t>
        </is>
      </c>
      <c r="G3" s="127" t="inlineStr">
        <is>
          <t>Brazil</t>
        </is>
      </c>
      <c r="H3" s="113" t="inlineStr">
        <is>
          <t>Consumer Services/Business to Business</t>
        </is>
      </c>
      <c r="I3" s="128" t="inlineStr">
        <is>
          <t>https://ascentialcdn.filespin.io/api/v1/conversion/06ac79ad1b9840bdb3df3269a42d0933</t>
        </is>
      </c>
      <c r="J3" s="127" t="inlineStr">
        <is>
          <t>vimeo:1080197730</t>
        </is>
      </c>
      <c r="K3" s="127" t="n"/>
      <c r="L3" s="128" t="inlineStr">
        <is>
          <t>https://www.lovethework.com/work/entries/recipe-for-growth-756123</t>
        </is>
      </c>
      <c r="M3" s="113" t="inlineStr">
        <is>
          <t>A dashboard built into iFood's existing restaurant partner interface that converts the platform's order data — 120 million monthly transactions — into daily plain-language recommendations on pricing, menu positioning, ingredient purchasing, and local demand trends. Designed for the 64% of Brazilian restaurants that are family-owned and run by people with cooking skills but no formal business training, the tool surfaces geo-targeted insights directly in the app owners already use, with no separate login or technical setup required.</t>
        </is>
      </c>
      <c r="N3" s="113" t="inlineStr">
        <is>
          <t>food-delivery, food, restaurant, ecommerce, retail, online-shopping, b2b, business, mobile-app, data-driven, small-business, brazil, product-design</t>
        </is>
      </c>
    </row>
    <row r="4">
      <c r="A4" s="127" t="n">
        <v>2025</v>
      </c>
      <c r="B4" s="140" t="inlineStr">
        <is>
          <t>Gold</t>
        </is>
      </c>
      <c r="C4" s="127" t="inlineStr">
        <is>
          <t>Sad Kama-Chan</t>
        </is>
      </c>
      <c r="D4" s="127" t="inlineStr">
        <is>
          <t>B&amp;Q</t>
        </is>
      </c>
      <c r="E4" s="127" t="inlineStr">
        <is>
          <t>Bar B Q Plaza</t>
        </is>
      </c>
      <c r="F4" s="127" t="inlineStr">
        <is>
          <t>Grey Thailand</t>
        </is>
      </c>
      <c r="G4" s="127" t="inlineStr">
        <is>
          <t>Thailand</t>
        </is>
      </c>
      <c r="H4" s="113" t="inlineStr">
        <is>
          <t>Customer Acquisition &amp; Retention</t>
        </is>
      </c>
      <c r="I4" s="128" t="inlineStr">
        <is>
          <t>https://ascentialcdn.filespin.io/api/v1/conversion/b1a090f7c816487f8dcee01d4c656df9</t>
        </is>
      </c>
      <c r="J4" s="127" t="inlineStr">
        <is>
          <t>h7MYlQFAKMg</t>
        </is>
      </c>
      <c r="K4" s="127" t="n"/>
      <c r="L4" s="128" t="inlineStr">
        <is>
          <t>https://www.lovethework.com/work/entries/sad-kama-chan-756446</t>
        </is>
      </c>
      <c r="M4" s="113" t="inlineStr">
        <is>
          <t>A loyalty mechanic built around heartbreak: Bar B Q Plaza, a Thai barbecue restaurant chain, let customers who had just been through a breakup unlock exclusive discounts and offers by proving their sad status — turning post-breakup wallowing into a reason to visit the restaurant. "Kama-Chan" (กามะจัน) is a Thai term of endearment used by couples, so the campaign reframed the saddest moment of losing a partner as Bar B Q Plaza's prime acquisition window.</t>
        </is>
      </c>
      <c r="N4" s="113" t="inlineStr">
        <is>
          <t>restaurant, food, customer-acquisition, loyalty, thailand, creative-commerce, social, brand-design, emotional-targeting</t>
        </is>
      </c>
    </row>
    <row r="5">
      <c r="A5" s="127" t="n">
        <v>2025</v>
      </c>
      <c r="B5" s="140" t="inlineStr">
        <is>
          <t>Gold</t>
        </is>
      </c>
      <c r="C5" s="127" t="inlineStr">
        <is>
          <t>Lucky Yatra</t>
        </is>
      </c>
      <c r="D5" s="127" t="inlineStr">
        <is>
          <t>Indian Railways</t>
        </is>
      </c>
      <c r="E5" s="127" t="inlineStr">
        <is>
          <t>Railway Service</t>
        </is>
      </c>
      <c r="F5" s="127" t="inlineStr">
        <is>
          <t>FCB India</t>
        </is>
      </c>
      <c r="G5" s="127" t="inlineStr">
        <is>
          <t>India</t>
        </is>
      </c>
      <c r="H5" s="113" t="inlineStr">
        <is>
          <t>Customer Acquisition &amp; Retention</t>
        </is>
      </c>
      <c r="I5" s="128" t="inlineStr">
        <is>
          <t>https://ascentialcdn.filespin.io/api/v1/conversion/81cf5ad6f9074f6589edcf4736a3552b</t>
        </is>
      </c>
      <c r="J5" s="127" t="inlineStr">
        <is>
          <t>19fzAvuFq0I</t>
        </is>
      </c>
      <c r="K5" s="127" t="n"/>
      <c r="L5" s="128" t="inlineStr">
        <is>
          <t>https://www.lovethework.com/work/entries/lucky-yatra-756377</t>
        </is>
      </c>
      <c r="M5" s="113" t="inlineStr">
        <is>
          <t>A loyalty program built into the ticketing system of Indian Railways: every valid ticket carries a unique number that's auto-entered into daily and weekly cash prize draws. Designed to turn ticketless travel — an entrenched habit on one of the world's largest rail networks — into a paid behavior worth doing.</t>
        </is>
      </c>
      <c r="N5" s="113" t="inlineStr">
        <is>
          <t>railway-service, loyalty-program, public-service, mobile-app, india, gamification, ticketing</t>
        </is>
      </c>
    </row>
    <row r="6">
      <c r="A6" s="127" t="n">
        <v>2025</v>
      </c>
      <c r="B6" s="132" t="inlineStr">
        <is>
          <t>Silver</t>
        </is>
      </c>
      <c r="C6" s="127" t="inlineStr">
        <is>
          <t>Football Is for Food</t>
        </is>
      </c>
      <c r="D6" s="127" t="inlineStr">
        <is>
          <t>Uber Eats</t>
        </is>
      </c>
      <c r="E6" s="127" t="inlineStr">
        <is>
          <t>Uber Eats</t>
        </is>
      </c>
      <c r="F6" s="127" t="inlineStr">
        <is>
          <t>Special</t>
        </is>
      </c>
      <c r="G6" s="127" t="inlineStr">
        <is>
          <t>United States</t>
        </is>
      </c>
      <c r="H6" s="113" t="inlineStr">
        <is>
          <t>Travel, Leisure, Retail, Restaurants &amp; Fast-Food Chains</t>
        </is>
      </c>
      <c r="I6" s="128" t="inlineStr">
        <is>
          <t>https://ascentialcdn.filespin.io/api/v1/conversion/23d7c7eb3b1845ab821b2444f4366440</t>
        </is>
      </c>
      <c r="J6" s="127" t="inlineStr">
        <is>
          <t>Mi_cxUyqH4Q</t>
        </is>
      </c>
      <c r="K6" s="127" t="n"/>
      <c r="L6" s="128" t="inlineStr">
        <is>
          <t>https://www.lovethework.com/work/entries/football-is-for-food-756070</t>
        </is>
      </c>
      <c r="M6" s="113" t="inlineStr">
        <is>
          <t>A season-long campaign that reframed the entire NFL as a covert advertisement for food delivery — with a conspiracy theory, seeded across multiple spots, connecting football touchdowns, huddles, and tailgates to the act of ordering food. Matthew McConaughey and NFL star Christian McCaffrey fronted the launch film, which kicked off a rolling series of fabricated "evidence" uncovering hundreds of links between football and eating, created by Special US.</t>
        </is>
      </c>
      <c r="N6" s="113" t="inlineStr">
        <is>
          <t>food-delivery, food, restaurant, ecommerce, retail, online-shopping, television, brand-integration, nfl, united-states, conspiracy, humor, sports-sponsorship</t>
        </is>
      </c>
    </row>
    <row r="7">
      <c r="A7" s="127" t="n">
        <v>2025</v>
      </c>
      <c r="B7" s="132" t="inlineStr">
        <is>
          <t>Silver</t>
        </is>
      </c>
      <c r="C7" s="127" t="inlineStr">
        <is>
          <t>Makeup Payment</t>
        </is>
      </c>
      <c r="D7" s="127" t="inlineStr">
        <is>
          <t>Mastercard</t>
        </is>
      </c>
      <c r="E7" s="127" t="inlineStr">
        <is>
          <t>Mastercard</t>
        </is>
      </c>
      <c r="F7" s="127" t="inlineStr">
        <is>
          <t>MRM</t>
        </is>
      </c>
      <c r="G7" s="127" t="inlineStr">
        <is>
          <t>Brazil</t>
        </is>
      </c>
      <c r="H7" s="113" t="inlineStr">
        <is>
          <t>Innovative use of Commerce Channel</t>
        </is>
      </c>
      <c r="I7" s="128" t="inlineStr">
        <is>
          <t>https://ascentialcdn.filespin.io/api/v1/conversion/65f21a7641c4411ab901d5cc5854564a</t>
        </is>
      </c>
      <c r="J7" s="127" t="inlineStr">
        <is>
          <t>izZ-HPCDzy4</t>
        </is>
      </c>
      <c r="K7" s="127" t="n"/>
      <c r="L7" s="128" t="inlineStr">
        <is>
          <t>https://www.lovethework.com/work/entries/makeup-payment-756226</t>
        </is>
      </c>
      <c r="M7" s="113" t="inlineStr">
        <is>
          <t>A wearable payment mechanic built for Brazilian Carnival 2025, in which Mastercard embedded contactless payment technology into rhinestones designed to be applied directly as body makeup — turning a standard Carnival cosmetic into a tap-to-pay device for foliões with no pockets. Created with MRM Brazil, the activation addressed the gap between Carnival's near-total lack of pocket space and the billions of reais in transactions the festival generates each year.</t>
        </is>
      </c>
      <c r="N7" s="113" t="inlineStr">
        <is>
          <t>credit-card, credit, payments, fintech, financial-services, finance, wearable-tech, contactless-payment, carnival, brazil, experiential, fashion-beauty, commerce</t>
        </is>
      </c>
    </row>
    <row r="8">
      <c r="A8" s="127" t="n">
        <v>2025</v>
      </c>
      <c r="B8" s="132" t="inlineStr">
        <is>
          <t>Silver</t>
        </is>
      </c>
      <c r="C8" s="127" t="inlineStr">
        <is>
          <t>Coupon Rain</t>
        </is>
      </c>
      <c r="D8" s="127" t="inlineStr">
        <is>
          <t>Mercado Livre</t>
        </is>
      </c>
      <c r="E8" s="127" t="inlineStr">
        <is>
          <t>Mercado Livre</t>
        </is>
      </c>
      <c r="F8" s="127" t="inlineStr">
        <is>
          <t>Gut</t>
        </is>
      </c>
      <c r="G8" s="127" t="inlineStr">
        <is>
          <t>Brazil</t>
        </is>
      </c>
      <c r="H8" s="113" t="inlineStr">
        <is>
          <t>Travel, Leisure, Retail, Restaurants &amp; Fast-Food Chains</t>
        </is>
      </c>
      <c r="I8" s="128" t="inlineStr">
        <is>
          <t>https://ascentialcdn.filespin.io/api/v1/conversion/8782875c907847289e66a9d52a2b2ec8</t>
        </is>
      </c>
      <c r="J8" s="127" t="inlineStr">
        <is>
          <t>vimeo:1093414319</t>
        </is>
      </c>
      <c r="K8" s="127" t="n"/>
      <c r="L8" s="128" t="inlineStr">
        <is>
          <t>https://www.lovethework.com/work/entries/coupon-rain-756095</t>
        </is>
      </c>
      <c r="M8" s="113" t="inlineStr">
        <is>
          <t>Mercado Livre sponsored the trophy lift at the final of one of Brazil's major football championships and replaced the customary confetti with thousands of branded discount coupons. The moment the winning captain raised the cup, the field rained with redeemable codes — putting the brand directly inside the photograph that ran on every front page.</t>
        </is>
      </c>
      <c r="N8" s="113" t="inlineStr">
        <is>
          <t>ecommerce, retail, online-shopping, sponsorship, football, soccer, sport, retail-promo, stunt, brazil, partnership</t>
        </is>
      </c>
    </row>
    <row r="9">
      <c r="A9" s="127" t="n">
        <v>2025</v>
      </c>
      <c r="B9" s="132" t="inlineStr">
        <is>
          <t>Silver</t>
        </is>
      </c>
      <c r="C9" s="127" t="inlineStr">
        <is>
          <t>The Social Feed</t>
        </is>
      </c>
      <c r="D9" s="127" t="inlineStr">
        <is>
          <t>HungerStation</t>
        </is>
      </c>
      <c r="E9" s="127" t="inlineStr">
        <is>
          <t>Food Delivery App</t>
        </is>
      </c>
      <c r="F9" s="127" t="inlineStr">
        <is>
          <t>VML</t>
        </is>
      </c>
      <c r="G9" s="127" t="inlineStr">
        <is>
          <t>United Arab Emirates</t>
        </is>
      </c>
      <c r="H9" s="113" t="inlineStr">
        <is>
          <t>Social Behaviour</t>
        </is>
      </c>
      <c r="I9" s="128" t="inlineStr">
        <is>
          <t>https://ascentialcdn.filespin.io/api/v1/conversion/ed346dbf026441888562409343c9c149</t>
        </is>
      </c>
      <c r="J9" s="127" t="inlineStr">
        <is>
          <t>vimeo:1075735593</t>
        </is>
      </c>
      <c r="K9" s="127" t="n"/>
      <c r="L9" s="128" t="inlineStr">
        <is>
          <t>https://www.lovethework.com/work/entries/the-social-feed-756367</t>
        </is>
      </c>
      <c r="M9" s="113" t="inlineStr">
        <is>
          <t>A direct-message feature on Saudi food-delivery app HungerStation that lets users forward any food photo from Instagram, TikTok, or Snapchat into the app. AI identifies the dish, finds the nearest restaurant on the platform that serves it, and opens an order — converting a 135-times-a-day social-media food crave into a tap.</t>
        </is>
      </c>
      <c r="N9" s="113" t="inlineStr">
        <is>
          <t>food-delivery, food, restaurant, ecommerce, retail, online-shopping, ai, technology, social-media, mobile-app, saudi-arabia, partnership, mena</t>
        </is>
      </c>
    </row>
    <row r="10">
      <c r="A10" s="127" t="n">
        <v>2025</v>
      </c>
      <c r="B10" s="132" t="inlineStr">
        <is>
          <t>Silver</t>
        </is>
      </c>
      <c r="C10" s="127" t="inlineStr">
        <is>
          <t>Prize on the Bone</t>
        </is>
      </c>
      <c r="D10" s="127" t="inlineStr">
        <is>
          <t>KFC</t>
        </is>
      </c>
      <c r="E10" s="127" t="inlineStr">
        <is>
          <t>KFC Ice-Cream</t>
        </is>
      </c>
      <c r="F10" s="127" t="inlineStr">
        <is>
          <t>DM9</t>
        </is>
      </c>
      <c r="G10" s="127" t="inlineStr">
        <is>
          <t>Brazil</t>
        </is>
      </c>
      <c r="H10" s="113" t="inlineStr">
        <is>
          <t>Social Behaviour</t>
        </is>
      </c>
      <c r="I10" s="128" t="inlineStr">
        <is>
          <t>https://ascentialcdn.filespin.io/api/v1/conversion/32ef7021bdbd4c4392fa51fb240d45e6</t>
        </is>
      </c>
      <c r="J10" s="127" t="inlineStr">
        <is>
          <t>h4Kl5THlsYw</t>
        </is>
      </c>
      <c r="K10" s="127" t="n"/>
      <c r="L10" s="128" t="inlineStr">
        <is>
          <t>https://www.lovethework.com/work/entries/prize-on-the-bone-756514</t>
        </is>
      </c>
      <c r="M10" s="113" t="inlineStr">
        <is>
          <t>A launch promotion for KFC's then-unknown Brazilian ice-cream product that laser-etched 'Você ganhou um sorvete' — 'You won an ice cream' — into the bones of 3,000 chicken pieces served across São Paulo. The hidden prize, revealed only after the bone was cleaned, deliberately echoed a beloved Brazilian ice-cream-stick promo from the 90s.</t>
        </is>
      </c>
      <c r="N10" s="113" t="inlineStr">
        <is>
          <t>qsr, fast-food, restaurant, food, product-launch, retail-promo, packaging, integrated, brazil, partnership</t>
        </is>
      </c>
    </row>
    <row r="11">
      <c r="A11" s="127" t="n">
        <v>2025</v>
      </c>
      <c r="B11" s="132" t="inlineStr">
        <is>
          <t>Silver</t>
        </is>
      </c>
      <c r="C11" s="127" t="inlineStr">
        <is>
          <t>Price Packs</t>
        </is>
      </c>
      <c r="D11" s="127" t="inlineStr">
        <is>
          <t>Penny</t>
        </is>
      </c>
      <c r="E11" s="127" t="inlineStr">
        <is>
          <t>Food/non-Food</t>
        </is>
      </c>
      <c r="F11" s="127" t="inlineStr">
        <is>
          <t>Serviceplan Germany</t>
        </is>
      </c>
      <c r="G11" s="127" t="inlineStr">
        <is>
          <t>Germany</t>
        </is>
      </c>
      <c r="H11" s="113" t="inlineStr">
        <is>
          <t>Retail Media</t>
        </is>
      </c>
      <c r="I11" s="128" t="inlineStr">
        <is>
          <t>https://ascentialcdn.filespin.io/api/v1/conversion/67b6df2a0fe64deeb274c91d50040c54</t>
        </is>
      </c>
      <c r="J11" s="127" t="inlineStr">
        <is>
          <t>wXx6z3mDnVc</t>
        </is>
      </c>
      <c r="K11" s="127" t="n"/>
      <c r="L11" s="128" t="inlineStr">
        <is>
          <t>https://www.lovethework.com/work/entries/price-packs-756267</t>
        </is>
      </c>
      <c r="M11" s="113" t="inlineStr">
        <is>
          <t>A packaging redesign for five Penny staples — oatmeal, toast, salt, crisps, mayonnaise — that swaps standard product graphics for the locked-in low price rendered enormous on the front of the pack. The shelf becomes its own price-stability ad, with the same visual extended to outdoor across all 2,100 stores.</t>
        </is>
      </c>
      <c r="N11" s="113" t="inlineStr">
        <is>
          <t>packaging, retail, ooh, supermarket, grocery, design, price, germany, market-disruption</t>
        </is>
      </c>
    </row>
    <row r="12">
      <c r="A12" s="127" t="n">
        <v>2025</v>
      </c>
      <c r="B12" s="132" t="inlineStr">
        <is>
          <t>Silver</t>
        </is>
      </c>
      <c r="C12" s="127" t="inlineStr">
        <is>
          <t>Orange - Safer Phone</t>
        </is>
      </c>
      <c r="D12" s="127" t="inlineStr">
        <is>
          <t>Orange</t>
        </is>
      </c>
      <c r="E12" s="127" t="inlineStr">
        <is>
          <t>Safer Phones</t>
        </is>
      </c>
      <c r="F12" s="127" t="inlineStr">
        <is>
          <t>Publicis Conseil</t>
        </is>
      </c>
      <c r="G12" s="127" t="inlineStr">
        <is>
          <t>France</t>
        </is>
      </c>
      <c r="H12" s="113" t="inlineStr">
        <is>
          <t>Consumer Services/Business to Business</t>
        </is>
      </c>
      <c r="I12" s="128" t="inlineStr">
        <is>
          <t>https://ascentialcdn.filespin.io/api/v1/conversion/cb56a9988125417f960278fdeea26a5f</t>
        </is>
      </c>
      <c r="J12" s="127" t="inlineStr">
        <is>
          <t>fvFMlQwQJNk</t>
        </is>
      </c>
      <c r="K12" s="127" t="n"/>
      <c r="L12" s="128" t="inlineStr">
        <is>
          <t>https://www.lovethework.com/work/entries/orange-safer-phone-756150</t>
        </is>
      </c>
      <c r="M12" s="113" t="inlineStr">
        <is>
          <t>A phone offer from Orange, launched at Christmas in France, that packages parental controls and usage limits into a teen's plan — framed as a gift that parents and teenagers could agree on. Developed with Publicis Conseil, Paris, it positions safe-usage features as a selling point rather than a hidden restriction.</t>
        </is>
      </c>
      <c r="N12" s="113" t="inlineStr">
        <is>
          <t>telecom, consumer-services, parental-controls, christmas, france, mobile-app, youth-audience, publicis-conseil</t>
        </is>
      </c>
    </row>
    <row r="13">
      <c r="A13" s="127" t="n">
        <v>2025</v>
      </c>
      <c r="B13" s="132" t="inlineStr">
        <is>
          <t>Silver</t>
        </is>
      </c>
      <c r="C13" s="127" t="inlineStr">
        <is>
          <t>U Up?</t>
        </is>
      </c>
      <c r="D13" s="127" t="inlineStr">
        <is>
          <t>IKEA</t>
        </is>
      </c>
      <c r="E13" s="127" t="inlineStr">
        <is>
          <t>IKEA</t>
        </is>
      </c>
      <c r="F13" s="127" t="inlineStr">
        <is>
          <t>Rethink</t>
        </is>
      </c>
      <c r="G13" s="127" t="inlineStr">
        <is>
          <t>Canada</t>
        </is>
      </c>
      <c r="H13" s="113" t="inlineStr">
        <is>
          <t>Use of Humour</t>
        </is>
      </c>
      <c r="I13" s="128" t="inlineStr">
        <is>
          <t>https://ascentialcdn.filespin.io/api/v1/conversion/1d6f8cfcad1b47c9beaa5f403844ec8a</t>
        </is>
      </c>
      <c r="J13" s="127" t="inlineStr">
        <is>
          <t>VT02JDQuMxM</t>
        </is>
      </c>
      <c r="K13" s="127" t="n"/>
      <c r="L13" s="128" t="inlineStr">
        <is>
          <t>https://www.lovethework.com/work/entries/u-up-756513</t>
        </is>
      </c>
      <c r="M13" s="113" t="inlineStr">
        <is>
          <t>A late-night Instagram DM campaign that sent the message "u up?" to Canadians detected to be awake between 10 p.m. and 5 a.m., then offered anyone who replied a discounted or free mattress. The mechanic mimicked a late-night booty-call text to position IKEA as the reason you're still scrolling — and the solution to it.</t>
        </is>
      </c>
      <c r="N13" s="113" t="inlineStr">
        <is>
          <t>ikea, home-furnishings, social-media, instagram, direct-message, ooh, canada, use-of-humour, late-night</t>
        </is>
      </c>
    </row>
    <row r="14">
      <c r="A14" s="127" t="n">
        <v>2025</v>
      </c>
      <c r="B14" s="133" t="inlineStr">
        <is>
          <t>Bronze</t>
        </is>
      </c>
      <c r="C14" s="127" t="inlineStr">
        <is>
          <t>Bad Luck Reverser</t>
        </is>
      </c>
      <c r="D14" s="127" t="inlineStr">
        <is>
          <t>Refisal</t>
        </is>
      </c>
      <c r="E14" s="127" t="inlineStr">
        <is>
          <t>Refisal</t>
        </is>
      </c>
      <c r="F14" s="127" t="inlineStr">
        <is>
          <t>Name</t>
        </is>
      </c>
      <c r="G14" s="127" t="inlineStr">
        <is>
          <t>Colombia</t>
        </is>
      </c>
      <c r="H14" s="113" t="inlineStr">
        <is>
          <t>Targeting, Insights and Personalisation</t>
        </is>
      </c>
      <c r="I14" s="128" t="inlineStr">
        <is>
          <t>https://ascentialcdn.filespin.io/api/v1/conversion/7e95f656b693443d8d4e60f0a4c9b853</t>
        </is>
      </c>
      <c r="J14" s="127" t="inlineStr">
        <is>
          <t>4OaN00EWwWg</t>
        </is>
      </c>
      <c r="K14" s="127" t="n"/>
      <c r="L14" s="128" t="inlineStr">
        <is>
          <t>https://www.lovethework.com/work/entries/bad-luck-reverser-756277</t>
        </is>
      </c>
      <c r="M14" s="113" t="inlineStr">
        <is>
          <t>A line of team-branded salt packets — one for each of Colombia's 20 top-flight football clubs, plus a national-team edition — built around the local superstition of tossing salt over your shoulder to reverse bad luck. Distributed through bodegas and stadiums, the pack put a pantry staple inside the matchday ritual.</t>
        </is>
      </c>
      <c r="N14" s="113" t="inlineStr">
        <is>
          <t>packaging, sport, football, soccer, packaged-goods, cpg, fmcg, retail, colombia, partnership, social-behaviour</t>
        </is>
      </c>
    </row>
    <row r="15">
      <c r="A15" s="127" t="n">
        <v>2025</v>
      </c>
      <c r="B15" s="133" t="inlineStr">
        <is>
          <t>Bronze</t>
        </is>
      </c>
      <c r="C15" s="127" t="inlineStr">
        <is>
          <t>Certified Toasters</t>
        </is>
      </c>
      <c r="D15" s="127" t="inlineStr">
        <is>
          <t>Goodman Fielder Baking</t>
        </is>
      </c>
      <c r="E15" s="127" t="inlineStr">
        <is>
          <t>Vogel's</t>
        </is>
      </c>
      <c r="F15" s="127" t="inlineStr">
        <is>
          <t>DDB New Zealand</t>
        </is>
      </c>
      <c r="G15" s="127" t="inlineStr">
        <is>
          <t>New Zealand</t>
        </is>
      </c>
      <c r="H15" s="113" t="inlineStr">
        <is>
          <t>Social Behaviour</t>
        </is>
      </c>
      <c r="I15" s="128" t="inlineStr">
        <is>
          <t>https://ascentialcdn.filespin.io/api/v1/conversion/30f06e4e4ef440009490ba98305ec513</t>
        </is>
      </c>
      <c r="J15" s="127" t="inlineStr">
        <is>
          <t>S_gE7H2X8zw</t>
        </is>
      </c>
      <c r="K15" s="127" t="n"/>
      <c r="L15" s="128" t="inlineStr">
        <is>
          <t>https://www.lovethework.com/work/entries/certified-toasters-756382</t>
        </is>
      </c>
      <c r="M15" s="113" t="inlineStr">
        <is>
          <t>A product certification program Vogel's ran with The Warehouse, New Zealand's largest retailer, testing every Living &amp; Co and Kensington toaster model sold in-store and online to determine the optimal toasting setting for Vogel's bread on each specific unit. Each certified toaster was labeled with its verified Vogel's toasting method, giving shoppers a bread-specific guide at the point of purchase.</t>
        </is>
      </c>
      <c r="N15" s="113" t="inlineStr">
        <is>
          <t>bread, food, packaged-goods, cpg, fmcg, retail, in-store, new-zealand, product-certification, social-behaviour, partnership, packaging-adjacent</t>
        </is>
      </c>
    </row>
    <row r="16">
      <c r="A16" s="127" t="n">
        <v>2025</v>
      </c>
      <c r="B16" s="133" t="inlineStr">
        <is>
          <t>Bronze</t>
        </is>
      </c>
      <c r="C16" s="127" t="inlineStr">
        <is>
          <t>Gamepay</t>
        </is>
      </c>
      <c r="D16" s="127" t="inlineStr">
        <is>
          <t>Elgiganten</t>
        </is>
      </c>
      <c r="E16" s="127" t="inlineStr">
        <is>
          <t>Gamepay Payment Solution</t>
        </is>
      </c>
      <c r="F16" s="127" t="inlineStr">
        <is>
          <t>Leo Stockholm</t>
        </is>
      </c>
      <c r="G16" s="127" t="inlineStr">
        <is>
          <t>Sweden</t>
        </is>
      </c>
      <c r="H16" s="113" t="inlineStr">
        <is>
          <t>In-Store Experiences</t>
        </is>
      </c>
      <c r="I16" s="128" t="inlineStr">
        <is>
          <t>https://ascentialcdn.filespin.io/api/v1/conversion/0dd066245fc34dabbdcefcd302d6dec0</t>
        </is>
      </c>
      <c r="J16" s="127" t="inlineStr">
        <is>
          <t>yR9xtq0UcRQ</t>
        </is>
      </c>
      <c r="K16" s="127" t="n"/>
      <c r="L16" s="128" t="inlineStr">
        <is>
          <t>https://www.lovethework.com/work/entries/gamepay-756300</t>
        </is>
      </c>
      <c r="M16" s="113" t="inlineStr">
        <is>
          <t>A payment solution built for Elgiganten stores that lets customers buy physical products using in-game assets — skins, currency, and other gaming inventory — directly at checkout with no fees. It launched live at DreamHack Stockholm 2024 before rolling out to selected stores in Sweden, with expansion planned across Finland, Denmark, and Norway in 2025.</t>
        </is>
      </c>
      <c r="N16" s="113" t="inlineStr">
        <is>
          <t>electronics-retail, in-store-experience, fintech, financial-services, finance, gaming, video-games, entertainment, sweden, nordic, payment, dreamhack</t>
        </is>
      </c>
    </row>
    <row r="17">
      <c r="A17" s="127" t="n">
        <v>2025</v>
      </c>
      <c r="B17" s="133" t="inlineStr">
        <is>
          <t>Bronze</t>
        </is>
      </c>
      <c r="C17" s="127" t="inlineStr">
        <is>
          <t>Emoji Coke</t>
        </is>
      </c>
      <c r="D17" s="127" t="inlineStr">
        <is>
          <t>Coca-Cola</t>
        </is>
      </c>
      <c r="E17" s="127" t="inlineStr">
        <is>
          <t>Coca-Cola</t>
        </is>
      </c>
      <c r="F17" s="127" t="inlineStr">
        <is>
          <t>VML</t>
        </is>
      </c>
      <c r="G17" s="127" t="inlineStr">
        <is>
          <t>United States</t>
        </is>
      </c>
      <c r="H17" s="113" t="inlineStr">
        <is>
          <t>Consumer Goods</t>
        </is>
      </c>
      <c r="I17" s="128" t="inlineStr">
        <is>
          <t>https://ascentialcdn.filespin.io/api/v1/conversion/2feb6d1ff52a478c9a984b587364f7e7</t>
        </is>
      </c>
      <c r="J17" s="127" t="inlineStr">
        <is>
          <t>vimeo:1095764716</t>
        </is>
      </c>
      <c r="K17" s="127" t="n"/>
      <c r="L17" s="128" t="inlineStr">
        <is>
          <t>https://www.lovethework.com/work/entries/emoji-coke-755966</t>
        </is>
      </c>
      <c r="M17" s="113" t="inlineStr">
        <is>
          <t>A custom microsite where typing any combination of food and drink emojis generates a unique Coca-Cola pairing suggestion, unlocking redeemable vouchers from Coca-Cola's food and entertainment partners in Saudi Arabia. A limited-edition physical "Emoji Coke" cup — shaped like the generic soda cup emoji — was produced as a real-world prize, effectively staking a claim on the 🥤 emoji as a Coca-Cola signifier among Gen Z.</t>
        </is>
      </c>
      <c r="N17" s="113" t="inlineStr">
        <is>
          <t>soft-drink, mobile-web, gamification, gen-z, saudi-arabia, loyalty, limited-edition-packaging, consumer-goods, cpg, fmcg</t>
        </is>
      </c>
    </row>
    <row r="18">
      <c r="A18" s="127" t="n">
        <v>2025</v>
      </c>
      <c r="B18" s="133" t="inlineStr">
        <is>
          <t>Bronze</t>
        </is>
      </c>
      <c r="C18" s="127" t="inlineStr">
        <is>
          <t>Trash Talk Codes</t>
        </is>
      </c>
      <c r="D18" s="127" t="inlineStr">
        <is>
          <t>Brahma</t>
        </is>
      </c>
      <c r="E18" s="127" t="inlineStr">
        <is>
          <t>Beer</t>
        </is>
      </c>
      <c r="F18" s="127" t="inlineStr">
        <is>
          <t>Africa Creative DDB</t>
        </is>
      </c>
      <c r="G18" s="127" t="inlineStr">
        <is>
          <t>Brazil</t>
        </is>
      </c>
      <c r="H18" s="113" t="inlineStr">
        <is>
          <t>Innovative use of Commerce Channel</t>
        </is>
      </c>
      <c r="I18" s="128" t="inlineStr">
        <is>
          <t>https://ascentialcdn.filespin.io/api/v1/conversion/33bdcd0b6d9f488bb4f5fc588536ffbd</t>
        </is>
      </c>
      <c r="J18" s="127" t="inlineStr">
        <is>
          <t>vimeo:1090489924</t>
        </is>
      </c>
      <c r="K18" s="127" t="n"/>
      <c r="L18" s="128" t="inlineStr">
        <is>
          <t>https://www.lovethework.com/work/entries/trash-talk-codes-756163</t>
        </is>
      </c>
      <c r="M18" s="113" t="inlineStr">
        <is>
          <t>QR codes printed on Brahma beer packaging that, when scanned, unlock exclusive content or commerce rewards triggered by trash talk — insults exchanged between rival football fans in Brazil. The codes activate only in response to specific taunting language, turning the ritual of football banter into a purchase mechanic tied directly to the product.</t>
        </is>
      </c>
      <c r="N18" s="113" t="inlineStr">
        <is>
          <t>beer, alcohol, packaging, qr-code, football, soccer, sport, commerce, brazil, mobile, sports-culture</t>
        </is>
      </c>
    </row>
    <row r="19">
      <c r="A19" s="127" t="n">
        <v>2025</v>
      </c>
      <c r="B19" s="133" t="inlineStr">
        <is>
          <t>Bronze</t>
        </is>
      </c>
      <c r="C19" s="127" t="inlineStr">
        <is>
          <t>Bar Dating – Powered by Hei!</t>
        </is>
      </c>
      <c r="D19" s="127" t="inlineStr">
        <is>
          <t>Heineken</t>
        </is>
      </c>
      <c r="E19" s="127" t="inlineStr">
        <is>
          <t>Heineken</t>
        </is>
      </c>
      <c r="F19" s="127" t="inlineStr">
        <is>
          <t>LePub</t>
        </is>
      </c>
      <c r="G19" s="127" t="inlineStr">
        <is>
          <t>Brazil</t>
        </is>
      </c>
      <c r="H19" s="113" t="inlineStr">
        <is>
          <t>Social Behaviour</t>
        </is>
      </c>
      <c r="I19" s="128" t="inlineStr">
        <is>
          <t>https://ascentialcdn.filespin.io/api/v1/conversion/6e35bee1ed324003aa2a205fcdfecf12</t>
        </is>
      </c>
      <c r="J19" s="127" t="inlineStr">
        <is>
          <t>vimeo:1094166672</t>
        </is>
      </c>
      <c r="K19" s="127" t="n"/>
      <c r="L19" s="128" t="inlineStr">
        <is>
          <t>https://www.lovethework.com/work/entries/bar-dating-powered-by-hei-764307</t>
        </is>
      </c>
      <c r="M19" s="113" t="inlineStr">
        <is>
          <t>A feature built into Heineken's Hei! app that works like a dating app for bars — matching first-time visitors to venues they haven't tried before, based on their preferences. The mechanic was designed around the insight that regulars spend 35% less per visit than first-time customers, giving bars a direct tool to attract new foot traffic.</t>
        </is>
      </c>
      <c r="N19" s="113" t="inlineStr">
        <is>
          <t>beer, alcohol, mobile-app, bar-discovery, social-behaviour, brazil, dating-mechanic, out-of-home</t>
        </is>
      </c>
    </row>
    <row r="20">
      <c r="A20" s="127" t="n">
        <v>2025</v>
      </c>
      <c r="B20" s="133" t="inlineStr">
        <is>
          <t>Bronze</t>
        </is>
      </c>
      <c r="C20" s="127" t="inlineStr">
        <is>
          <t>Minefield Honey: Harvesting Hope</t>
        </is>
      </c>
      <c r="D20" s="127" t="inlineStr">
        <is>
          <t>Kernel, Ministry of Foreign Affairs of Ukraine</t>
        </is>
      </c>
      <c r="E20" s="127" t="inlineStr">
        <is>
          <t>Agriculture</t>
        </is>
      </c>
      <c r="F20" s="127" t="inlineStr">
        <is>
          <t>Saatchi &amp; Saatchi Ukraine</t>
        </is>
      </c>
      <c r="G20" s="127" t="inlineStr">
        <is>
          <t>Ukraine</t>
        </is>
      </c>
      <c r="H20" s="113" t="inlineStr">
        <is>
          <t>Corporate Purpose &amp; Social Responsibility</t>
        </is>
      </c>
      <c r="I20" s="128" t="inlineStr">
        <is>
          <t>https://ascentialcdn.filespin.io/api/v1/conversion/e943553f2152499c8182bfce20e7355d</t>
        </is>
      </c>
      <c r="J20" s="127" t="inlineStr">
        <is>
          <t>ABV3K_N7a7k</t>
        </is>
      </c>
      <c r="K20" s="127" t="n"/>
      <c r="L20" s="128" t="inlineStr">
        <is>
          <t>https://www.lovethework.com/work/entries/minefield-honey-harvesting-hope-762159</t>
        </is>
      </c>
      <c r="M20" s="113" t="inlineStr">
        <is>
          <t>A honey product harvested from beehives placed on Ukrainian agricultural land actively being cleared of landmines — the bees' foraging range maps safe corridors, and the act of selling the honey funds continued demining work. Produced by Kernel, Ukraine's largest agricultural company, in partnership with the Ministry of Foreign Affairs of Ukraine, the initiative links commercial food export to the reclamation of farmland rendered unusable by the war.</t>
        </is>
      </c>
      <c r="N20" s="113" t="inlineStr">
        <is>
          <t>agriculture, public-service, ukraine, demining, packaging, humanitarian, food-product, war-recovery</t>
        </is>
      </c>
    </row>
    <row r="21">
      <c r="A21" s="127" t="n">
        <v>2025</v>
      </c>
      <c r="B21" s="133" t="inlineStr">
        <is>
          <t>Bronze</t>
        </is>
      </c>
      <c r="C21" s="127" t="inlineStr">
        <is>
          <t>Kleenex Score</t>
        </is>
      </c>
      <c r="D21" s="127" t="inlineStr">
        <is>
          <t>Kimberly-Clark</t>
        </is>
      </c>
      <c r="E21" s="127" t="inlineStr">
        <is>
          <t>Kleenex</t>
        </is>
      </c>
      <c r="F21" s="127" t="inlineStr">
        <is>
          <t>VML</t>
        </is>
      </c>
      <c r="G21" s="127" t="inlineStr">
        <is>
          <t>United States</t>
        </is>
      </c>
      <c r="H21" s="113" t="inlineStr">
        <is>
          <t>Innovative use of Commerce Channel</t>
        </is>
      </c>
      <c r="I21" s="128" t="inlineStr">
        <is>
          <t>https://ascentialcdn.filespin.io/api/v1/conversion/b71f0dff73f3455abef2899f0b1aeb49</t>
        </is>
      </c>
      <c r="J21" s="127" t="inlineStr">
        <is>
          <t>hKBNKbhMwZw</t>
        </is>
      </c>
      <c r="K21" s="127" t="n"/>
      <c r="L21" s="128" t="inlineStr">
        <is>
          <t>https://www.lovethework.com/work/entries/kleenex-score-756290</t>
        </is>
      </c>
      <c r="M21" s="113" t="inlineStr">
        <is>
          <t>A rating system built into IMDb, in partnership with VML, that assigns each film a "Kleenex Score" indicating how likely it is to make viewers cry. The score appears alongside standard IMDb ratings, placing Kleenex directly inside the moment moviegoers decide what to watch.</t>
        </is>
      </c>
      <c r="N21" s="113" t="inlineStr">
        <is>
          <t>tissue, digital-platform, imdb, branded-utility, film, cinema, entertainment, united-states, rating-system</t>
        </is>
      </c>
    </row>
    <row r="22">
      <c r="A22" s="33" t="n">
        <v>2026</v>
      </c>
      <c r="B22" s="160" t="inlineStr">
        <is>
          <t>Grand Prix</t>
        </is>
      </c>
      <c r="C22" s="33" t="inlineStr">
        <is>
          <t>Lucky Fan Index</t>
        </is>
      </c>
      <c r="D22" s="33" t="inlineStr">
        <is>
          <t>Wisła Kraków Football Club</t>
        </is>
      </c>
      <c r="E22" s="33" t="inlineStr">
        <is>
          <t>Wisła Kraków Football Club</t>
        </is>
      </c>
      <c r="F22" s="33" t="inlineStr">
        <is>
          <t>VML</t>
        </is>
      </c>
      <c r="G22" s="33" t="inlineStr">
        <is>
          <t>Poland</t>
        </is>
      </c>
      <c r="H22" s="33" t="inlineStr">
        <is>
          <t>Customer Acquisition &amp; Retention</t>
        </is>
      </c>
      <c r="I22" s="33" t="inlineStr">
        <is>
          <t>https://ascentialcdn.filespin.io/api/v1/conversion/0c49c9d60a944a37add314890bbff7bb</t>
        </is>
      </c>
      <c r="J22" s="33" t="inlineStr">
        <is>
          <t>vimeo:1182366532</t>
        </is>
      </c>
      <c r="L22" s="33" t="inlineStr">
        <is>
          <t>https://www.lovethework.com/work/entries/lucky-fan-index-779902</t>
        </is>
      </c>
      <c r="M22" s="33" t="inlineStr">
        <is>
          <t>An AI-driven analytical tool for Polish football club Wisła Kraków that quantifies the 'luck' fans bring to the team, mining match and supporter data to turn the intangible feeling of fan influence into a measurable index fans could follow and share.</t>
        </is>
      </c>
      <c r="N22" s="33" t="inlineStr">
        <is>
          <t>wisla krakow, football, soccer, sport, sports, sports club, poland, fans, supporters, ai, technology, artificial intelligence, data storytelling, analytics, data, vml, gold</t>
        </is>
      </c>
    </row>
    <row r="23">
      <c r="A23" s="33" t="n">
        <v>2026</v>
      </c>
      <c r="B23" s="161" t="inlineStr">
        <is>
          <t>Gold</t>
        </is>
      </c>
      <c r="C23" s="33" t="inlineStr">
        <is>
          <t>Lucky Fan Index</t>
        </is>
      </c>
      <c r="D23" s="33" t="inlineStr">
        <is>
          <t>Wisła Kraków Football Club</t>
        </is>
      </c>
      <c r="E23" s="33" t="inlineStr">
        <is>
          <t>Wisła Kraków Football Club</t>
        </is>
      </c>
      <c r="F23" s="33" t="inlineStr">
        <is>
          <t>VML</t>
        </is>
      </c>
      <c r="G23" s="33" t="inlineStr">
        <is>
          <t>Poland</t>
        </is>
      </c>
      <c r="H23" s="33" t="inlineStr">
        <is>
          <t>Entertainment Commerce</t>
        </is>
      </c>
      <c r="I23" s="33" t="inlineStr">
        <is>
          <t>https://ascentialcdn.filespin.io/api/v1/conversion/0c49c9d60a944a37add314890bbff7bb</t>
        </is>
      </c>
      <c r="J23" s="33" t="inlineStr">
        <is>
          <t>vimeo:1182366532</t>
        </is>
      </c>
      <c r="L23" s="33" t="inlineStr">
        <is>
          <t>https://www.lovethework.com/work/entries/lucky-fan-index-779809</t>
        </is>
      </c>
      <c r="M23" s="33" t="inlineStr">
        <is>
          <t>An AI-driven analytical tool for Polish football club Wisła Kraków that quantifies the 'luck' fans bring to the team, mining match and supporter data to turn the intangible feeling of fan influence into a measurable index fans could follow and share.</t>
        </is>
      </c>
      <c r="N23" s="33" t="inlineStr">
        <is>
          <t>wisla krakow, football, soccer, sport, sports, sports club, poland, fans, supporters, ai, technology, artificial intelligence, data storytelling, analytics, data, vml, gold</t>
        </is>
      </c>
    </row>
    <row r="24">
      <c r="A24" s="33" t="n">
        <v>2026</v>
      </c>
      <c r="B24" s="162" t="inlineStr">
        <is>
          <t>Silver</t>
        </is>
      </c>
      <c r="C24" s="33" t="inlineStr">
        <is>
          <t>Oreo Cows</t>
        </is>
      </c>
      <c r="D24" s="33" t="inlineStr">
        <is>
          <t>Oreo</t>
        </is>
      </c>
      <c r="E24" s="33" t="inlineStr">
        <is>
          <t>Oreo</t>
        </is>
      </c>
      <c r="F24" s="33" t="inlineStr">
        <is>
          <t>VML</t>
        </is>
      </c>
      <c r="G24" s="33" t="inlineStr">
        <is>
          <t>United States</t>
        </is>
      </c>
      <c r="H24" s="33" t="inlineStr">
        <is>
          <t>Consumer Goods</t>
        </is>
      </c>
      <c r="I24" s="33" t="inlineStr">
        <is>
          <t>https://ascentialcdn.filespin.io/api/v1/conversion/f34bbf1c3b224a62a7b93946bce31756</t>
        </is>
      </c>
      <c r="J24" s="33" t="inlineStr">
        <is>
          <t>F2EjJgR0adE</t>
        </is>
      </c>
      <c r="L24" s="33" t="inlineStr">
        <is>
          <t>https://www.lovethework.com/work/entries/oreo-cows-779938</t>
        </is>
      </c>
      <c r="M24" s="33" t="inlineStr">
        <is>
          <t>A Consumer Goods Gold for Oreo, created by VML New York and VML Mexico City. The campaign brings Oreo's black-and-white world to life through 'Oreo Cows', a playful idea rooted in the cookie's classic pairing with a glass of milk.</t>
        </is>
      </c>
      <c r="N24" s="33" t="inlineStr">
        <is>
          <t>oreo, cookies, biscuits, snacks, fmcg, food, mondelez, milk, dairy, cows, consumer goods, united states, mexico, direct, vml, gold</t>
        </is>
      </c>
    </row>
    <row r="25">
      <c r="A25" s="33" t="n">
        <v>2026</v>
      </c>
      <c r="B25" s="162" t="inlineStr">
        <is>
          <t>Silver</t>
        </is>
      </c>
      <c r="C25" s="33" t="inlineStr">
        <is>
          <t>Mandatory Vacation Packages</t>
        </is>
      </c>
      <c r="D25" s="33" t="inlineStr">
        <is>
          <t>Cámara Colombiana de Comercio Electrónico</t>
        </is>
      </c>
      <c r="E25" s="33" t="inlineStr">
        <is>
          <t>Travel Sale</t>
        </is>
      </c>
      <c r="F25" s="33" t="inlineStr">
        <is>
          <t>Name</t>
        </is>
      </c>
      <c r="G25" s="33" t="inlineStr">
        <is>
          <t>Colombia</t>
        </is>
      </c>
      <c r="H25" s="33" t="inlineStr">
        <is>
          <t>Targeting, Insights and Personalisation</t>
        </is>
      </c>
      <c r="I25" s="33" t="inlineStr">
        <is>
          <t>https://ascentialcdn.filespin.io/api/v1/conversion/5cfb67dc704b4eb5943a26376d044a59</t>
        </is>
      </c>
      <c r="J25" s="33" t="inlineStr">
        <is>
          <t>vimeo:1193665346</t>
        </is>
      </c>
      <c r="L25" s="33" t="inlineStr">
        <is>
          <t>https://www.lovethework.com/work/entries/mandatory-vacation-packages-791947</t>
        </is>
      </c>
      <c r="M25" s="33" t="inlineStr">
        <is>
          <t>For Colombia's e-commerce chamber and its annual Travel Sale shopping event, Name, Bogotá created 'Mandatory Vacation Packages' — framing the sale's discounted trips as vacations Colombians were urged to finally take, packaging personalised travel deals to drive bookings during the event window.</t>
        </is>
      </c>
      <c r="N25" s="33" t="inlineStr">
        <is>
          <t>ecommerce, retail, online-shopping, travel, tourism, commerce, personalisation, colombia, sale, latam</t>
        </is>
      </c>
    </row>
    <row r="26">
      <c r="A26" s="33" t="n">
        <v>2026</v>
      </c>
      <c r="B26" s="162" t="inlineStr">
        <is>
          <t>Silver</t>
        </is>
      </c>
      <c r="C26" s="33" t="inlineStr">
        <is>
          <t>Copycats Welcome</t>
        </is>
      </c>
      <c r="D26" s="33" t="inlineStr">
        <is>
          <t>Clash Royale</t>
        </is>
      </c>
      <c r="E26" s="33" t="inlineStr">
        <is>
          <t>Clash Royale</t>
        </is>
      </c>
      <c r="F26" s="33" t="inlineStr">
        <is>
          <t>David</t>
        </is>
      </c>
      <c r="G26" s="33" t="inlineStr">
        <is>
          <t>United States</t>
        </is>
      </c>
      <c r="H26" s="33" t="inlineStr">
        <is>
          <t>Customer Acquisition &amp; Retention</t>
        </is>
      </c>
      <c r="I26" s="33" t="inlineStr">
        <is>
          <t>https://ascentialcdn.filespin.io/api/v1/conversion/fb281b3facc144fd87b23027abb06ef5</t>
        </is>
      </c>
      <c r="J26" s="33" t="inlineStr">
        <is>
          <t>izSoHjBvAwA</t>
        </is>
      </c>
      <c r="L26" s="33" t="inlineStr">
        <is>
          <t>https://www.lovethework.com/work/entries/copycats-welcome-779919</t>
        </is>
      </c>
      <c r="M26" s="33" t="inlineStr">
        <is>
          <t>The Gaming Grand Prix. Facing a wave of copycat games that cloned Clash Royale's name, look, gameplay, weapons and characters, Supercell and DAVID New York answered not with lawsuits but with an amnesty: 'Copycats Welcome' invited players of the imitation titles to transfer their accumulated progress — levels, hours and in-game wealth — into the official Clash Royale and keep playing there.</t>
        </is>
      </c>
      <c r="N26" s="33" t="inlineStr">
        <is>
          <t>clash royale, supercell, gaming, video-games, entertainment, video games, games, mobile games, mobile gaming, esports, technology, copycats, clones, amnesty, player-migration, gamers, united states, david, ogilvy, grand prix</t>
        </is>
      </c>
    </row>
    <row r="27">
      <c r="A27" s="33" t="n">
        <v>2026</v>
      </c>
      <c r="B27" s="162" t="inlineStr">
        <is>
          <t>Silver</t>
        </is>
      </c>
      <c r="C27" s="33" t="inlineStr">
        <is>
          <t>The Password Heist</t>
        </is>
      </c>
      <c r="D27" s="33" t="inlineStr">
        <is>
          <t>Leroy Merlin</t>
        </is>
      </c>
      <c r="E27" s="33" t="inlineStr">
        <is>
          <t>Leroy Merlin</t>
        </is>
      </c>
      <c r="F27" s="33" t="inlineStr">
        <is>
          <t>BETC</t>
        </is>
      </c>
      <c r="G27" s="33" t="inlineStr">
        <is>
          <t>France</t>
        </is>
      </c>
      <c r="H27" s="33" t="inlineStr">
        <is>
          <t>Breakthrough on a Budget</t>
        </is>
      </c>
      <c r="I27" s="33" t="inlineStr">
        <is>
          <t>https://ascentialcdn.filespin.io/api/v1/conversion/b8ce7fe97eca4b99b9d2efdae7d1ef97</t>
        </is>
      </c>
      <c r="J27" s="33" t="inlineStr">
        <is>
          <t>6zm0ARkEpKM</t>
        </is>
      </c>
      <c r="L27" s="33" t="inlineStr">
        <is>
          <t>https://www.lovethework.com/work/entries/the-password-heist-779815</t>
        </is>
      </c>
      <c r="M27" s="33" t="inlineStr">
        <is>
          <t>Reacting to the high-profile Louvre robbery, BETC created 'The Password Heist' for Leroy Merlin, a budget-savvy social campaign that played on weak passwords and everyday digital-security habits.</t>
        </is>
      </c>
      <c r="N27" s="33" t="inlineStr">
        <is>
          <t>leroy merlin, home improvement, diy, retail, hardware, france, louvre, passwords, digital security, awareness, breakthrough on a budget, social, betc, bronze</t>
        </is>
      </c>
    </row>
    <row r="28">
      <c r="A28" s="33" t="n">
        <v>2026</v>
      </c>
      <c r="B28" s="162" t="inlineStr">
        <is>
          <t>Silver</t>
        </is>
      </c>
      <c r="C28" s="33" t="inlineStr">
        <is>
          <t>A Drugstore in Your Pesebre</t>
        </is>
      </c>
      <c r="D28" s="33" t="inlineStr">
        <is>
          <t>Farmacias Económicas</t>
        </is>
      </c>
      <c r="E28" s="33" t="inlineStr">
        <is>
          <t>Drugstore</t>
        </is>
      </c>
      <c r="F28" s="33" t="inlineStr">
        <is>
          <t>Be Flamingo</t>
        </is>
      </c>
      <c r="G28" s="33" t="inlineStr">
        <is>
          <t>Ecuador</t>
        </is>
      </c>
      <c r="H28" s="33" t="inlineStr">
        <is>
          <t>Cultural Engagement</t>
        </is>
      </c>
      <c r="I28" s="33" t="inlineStr">
        <is>
          <t>https://ascentialcdn.filespin.io/api/v1/conversion/805b28e7637b4c50a524667f45c9578d</t>
        </is>
      </c>
      <c r="J28" s="33" t="inlineStr">
        <is>
          <t>PlezpHe6_lM</t>
        </is>
      </c>
      <c r="L28" s="33" t="inlineStr">
        <is>
          <t>https://www.lovethework.com/work/entries/a-drugstore-in-your-pesebre-779871</t>
        </is>
      </c>
      <c r="M28" s="33" t="inlineStr">
        <is>
          <t>For Ecuadorian pharmacy chain Farmacias Económicas, Be Flamingo, Quito built thousands of miniature drugstores designed to sit inside families' Christmas nativity scenes (pesebres). By placing a tiny pharmacy into a cherished holiday tradition, the campaign dramatised the brand's promise of always being close to its customers.</t>
        </is>
      </c>
      <c r="N28" s="33" t="inlineStr">
        <is>
          <t>pharmacy, retail, christmas, cultural-engagement, ecuador, commerce, holiday, drugstore, healthcare, in-store</t>
        </is>
      </c>
    </row>
    <row r="29">
      <c r="A29" s="33" t="n">
        <v>2026</v>
      </c>
      <c r="B29" s="163" t="inlineStr">
        <is>
          <t>Bronze</t>
        </is>
      </c>
      <c r="C29" s="33" t="inlineStr">
        <is>
          <t>Resize the Price</t>
        </is>
      </c>
      <c r="D29" s="33" t="inlineStr">
        <is>
          <t>Aguila</t>
        </is>
      </c>
      <c r="E29" s="33" t="inlineStr">
        <is>
          <t>Beer</t>
        </is>
      </c>
      <c r="F29" s="33" t="inlineStr">
        <is>
          <t>David</t>
        </is>
      </c>
      <c r="G29" s="33" t="inlineStr">
        <is>
          <t>Colombia</t>
        </is>
      </c>
      <c r="H29" s="33" t="inlineStr">
        <is>
          <t>Consumer Goods</t>
        </is>
      </c>
      <c r="I29" s="33" t="inlineStr">
        <is>
          <t>https://ascentialcdn.filespin.io/api/v1/conversion/87169f0d7c434ec5877ae8c9a5aeab45</t>
        </is>
      </c>
      <c r="J29" s="33" t="inlineStr">
        <is>
          <t>vimeo:1203767931</t>
        </is>
      </c>
      <c r="L29" s="33" t="inlineStr">
        <is>
          <t>https://www.lovethework.com/work/entries/resize-the-price-791578</t>
        </is>
      </c>
      <c r="M29" s="33" t="inlineStr">
        <is>
          <t>A Small-Scale Media Bronze for Águila beer by David, Bogotá and Madrid. Responding to the rising cost of football jerseys in Colombia, the campaign tied the retail price of the shirts to the size of Águila's sponsor logo — shrink the logo, shrink the price.</t>
        </is>
      </c>
      <c r="N29" s="33" t="inlineStr">
        <is>
          <t>aguila, beer, alcohol, drinks, lager, football, soccer, sport, jersey, sponsorship, sports, pricing, retail, small-scale media, colombia, spain, direct, david, gold</t>
        </is>
      </c>
    </row>
    <row r="30">
      <c r="A30" s="33" t="n">
        <v>2026</v>
      </c>
      <c r="B30" s="163" t="inlineStr">
        <is>
          <t>Bronze</t>
        </is>
      </c>
      <c r="C30" s="33" t="inlineStr">
        <is>
          <t>Vaseline Originals</t>
        </is>
      </c>
      <c r="D30" s="33" t="inlineStr">
        <is>
          <t>Vaseline</t>
        </is>
      </c>
      <c r="E30" s="33" t="inlineStr">
        <is>
          <t>Vaseline</t>
        </is>
      </c>
      <c r="F30" s="33" t="inlineStr">
        <is>
          <t>Ogilvy Singapore</t>
        </is>
      </c>
      <c r="G30" s="33" t="inlineStr">
        <is>
          <t>Singapore</t>
        </is>
      </c>
      <c r="H30" s="33" t="inlineStr">
        <is>
          <t>Social/Influencer Commerce</t>
        </is>
      </c>
      <c r="I30" s="33" t="inlineStr">
        <is>
          <t>https://ascentialcdn.filespin.io/api/v1/conversion/a51e4b12607a4d19abcc64bca7c099f5</t>
        </is>
      </c>
      <c r="J30" s="33" t="inlineStr">
        <is>
          <t>hzq9lR5SsNo</t>
        </is>
      </c>
      <c r="L30" s="33" t="inlineStr">
        <is>
          <t>https://www.lovethework.com/work/entries/vaseline-originals-779633</t>
        </is>
      </c>
      <c r="M30" s="33" t="inlineStr">
        <is>
          <t>Ogilvy Singapore turned viral, community-invented Vaseline hacks into a real product line called Vaseline Originals, publicly crediting and rewarding the creators whose DIY uses inspired each new product.</t>
        </is>
      </c>
      <c r="N30" s="33" t="inlineStr">
        <is>
          <t>vaseline, skincare, personal-care, beauty, personal care, unilever, fmcg, singapore, creators, user generated content, product line, co-creation, social hacks, creator collaboration, social, ogilvy, gold</t>
        </is>
      </c>
    </row>
    <row r="31">
      <c r="A31" s="33" t="n">
        <v>2026</v>
      </c>
      <c r="B31" s="163" t="inlineStr">
        <is>
          <t>Bronze</t>
        </is>
      </c>
      <c r="C31" s="33" t="inlineStr">
        <is>
          <t>The Golden Zone</t>
        </is>
      </c>
      <c r="D31" s="33" t="inlineStr">
        <is>
          <t>McDonald's</t>
        </is>
      </c>
      <c r="E31" s="33" t="inlineStr">
        <is>
          <t>McDonald's App</t>
        </is>
      </c>
      <c r="F31" s="33" t="inlineStr">
        <is>
          <t>TBWA\Colombia</t>
        </is>
      </c>
      <c r="G31" s="33" t="inlineStr">
        <is>
          <t>Colombia</t>
        </is>
      </c>
      <c r="H31" s="33" t="inlineStr">
        <is>
          <t>Entertainment Commerce</t>
        </is>
      </c>
      <c r="I31" s="33" t="inlineStr">
        <is>
          <t>https://ascentialcdn.filespin.io/api/v1/conversion/f7ef5357253740eca0c99953796781fa</t>
        </is>
      </c>
      <c r="J31" s="33" t="inlineStr">
        <is>
          <t>joqkwPzQ8VQ</t>
        </is>
      </c>
      <c r="L31" s="33" t="inlineStr">
        <is>
          <t>https://www.lovethework.com/work/entries/the-golden-zone-777641</t>
        </is>
      </c>
      <c r="M31" s="33" t="inlineStr">
        <is>
          <t>A Use of Broadcast Silver for McDonald's by TBWA\Colombia and DDB Colombia, Bogotá. Tied to the Formula 1 season, 'The Golden Zone' turned race broadcasts into an app-activated moment, rewarding fans through the McDonald's app during key windows of each Grand Prix.</t>
        </is>
      </c>
      <c r="N31" s="33" t="inlineStr">
        <is>
          <t>mcdonalds, fast food, qsr, fast-food, restaurant, food, restaurants, app, formula 1, f1, motorsport, sport, racing, sports, broadcast, entertainment, colombia, direct, tbwa, ddb, silver</t>
        </is>
      </c>
    </row>
    <row r="32">
      <c r="A32" s="33" t="n">
        <v>2026</v>
      </c>
      <c r="B32" s="163" t="inlineStr">
        <is>
          <t>Bronze</t>
        </is>
      </c>
      <c r="C32" s="33" t="inlineStr">
        <is>
          <t>An Agent "Como a Gente"</t>
        </is>
      </c>
      <c r="D32" s="33" t="inlineStr">
        <is>
          <t>Magazine Luiza</t>
        </is>
      </c>
      <c r="E32" s="33" t="inlineStr">
        <is>
          <t>Corporate Image</t>
        </is>
      </c>
      <c r="F32" s="33" t="inlineStr">
        <is>
          <t>Ogilvy</t>
        </is>
      </c>
      <c r="G32" s="33" t="inlineStr">
        <is>
          <t>Brazil</t>
        </is>
      </c>
      <c r="H32" s="33" t="inlineStr">
        <is>
          <t>Innovative use of Commerce Channel</t>
        </is>
      </c>
      <c r="I32" s="33" t="inlineStr">
        <is>
          <t>https://ascentialcdn.filespin.io/api/v1/conversion/0feafb6f74954e4b84d62ab604418c51</t>
        </is>
      </c>
      <c r="J32" s="33" t="inlineStr">
        <is>
          <t>vimeo:1186040589</t>
        </is>
      </c>
      <c r="L32" s="33" t="inlineStr">
        <is>
          <t>https://www.lovethework.com/work/entries/an-agent-como-a-gente-790756</t>
        </is>
      </c>
      <c r="M32" s="33" t="inlineStr">
        <is>
          <t>For Brazilian retailer Magazine Luiza (Magalu), Ogilvy, São Paulo created 'An Agent Como a Gente' — an AI-powered shopping agent built to assist and sell the way a real person would ('como a gente' meaning 'like us'), turning conversational AI into a natural commerce channel for the brand.</t>
        </is>
      </c>
      <c r="N32" s="33" t="inlineStr">
        <is>
          <t>ecommerce, retail, online-shopping, ai, technology, artificial-intelligence, commerce, brazil, conversational, shopping-assistant</t>
        </is>
      </c>
    </row>
    <row r="33">
      <c r="A33" s="33" t="n">
        <v>2026</v>
      </c>
      <c r="B33" s="163" t="inlineStr">
        <is>
          <t>Bronze</t>
        </is>
      </c>
      <c r="C33" s="33" t="inlineStr">
        <is>
          <t>CIF Clean My Name</t>
        </is>
      </c>
      <c r="D33" s="33" t="inlineStr">
        <is>
          <t>CIF</t>
        </is>
      </c>
      <c r="E33" s="33" t="inlineStr">
        <is>
          <t>CIF Miracle</t>
        </is>
      </c>
      <c r="F33" s="33" t="inlineStr">
        <is>
          <t>Droga5 Sao Paulo</t>
        </is>
      </c>
      <c r="G33" s="33" t="inlineStr">
        <is>
          <t>Brazil</t>
        </is>
      </c>
      <c r="H33" s="33" t="inlineStr">
        <is>
          <t>Brand Strategy</t>
        </is>
      </c>
      <c r="I33" s="33" t="inlineStr">
        <is>
          <t>https://ascentialcdn.filespin.io/api/v1/conversion/cba776a1ce8442c7b1ce665e336e758e</t>
        </is>
      </c>
      <c r="J33" s="33" t="inlineStr">
        <is>
          <t>vimeo:1187492812</t>
        </is>
      </c>
      <c r="L33" s="33" t="inlineStr">
        <is>
          <t>https://www.lovethework.com/work/entries/cif-clean-my-name-776743</t>
        </is>
      </c>
      <c r="M33" s="33" t="inlineStr">
        <is>
          <t>For cleaning brand CIF, Droga5 Sao Paulo turned the CIF Miracle line into a service that helped Brazilians with debt-related 'dirty names' (negativado) clean their financial record, connecting the brand's promise of removing tough stains to clearing the stain of a bad credit score.</t>
        </is>
      </c>
      <c r="N33" s="33" t="inlineStr">
        <is>
          <t>cif, cif miracle, cleaning, cleaning products, household, home, fmcg, unilever, brazil, debt, credit, payments, fintech, financial-services, finance, financial inclusion, social behaviour, brand experience, activation, droga5, gold</t>
        </is>
      </c>
    </row>
    <row r="34">
      <c r="A34" s="33" t="n">
        <v>2026</v>
      </c>
      <c r="B34" s="163" t="inlineStr">
        <is>
          <t>Bronze</t>
        </is>
      </c>
      <c r="C34" s="33" t="inlineStr">
        <is>
          <t>Cancer Prevention Discounts</t>
        </is>
      </c>
      <c r="D34" s="33" t="inlineStr">
        <is>
          <t>Broadfork Produce</t>
        </is>
      </c>
      <c r="E34" s="33" t="inlineStr">
        <is>
          <t>Cancer Prevention Discounts</t>
        </is>
      </c>
      <c r="F34" s="33" t="inlineStr">
        <is>
          <t>Tank Worldwide Montreal</t>
        </is>
      </c>
      <c r="G34" s="33" t="inlineStr">
        <is>
          <t>Canada</t>
        </is>
      </c>
      <c r="H34" s="33" t="inlineStr">
        <is>
          <t>Corporate Purpose &amp; Social Responsibility</t>
        </is>
      </c>
      <c r="I34" s="33" t="inlineStr">
        <is>
          <t>https://ascentialcdn.filespin.io/api/v1/conversion/4ea164d0e1644ab199eefa62cc2fabe2</t>
        </is>
      </c>
      <c r="J34" s="33" t="inlineStr">
        <is>
          <t>OCWwHVcGozA</t>
        </is>
      </c>
      <c r="L34" s="33" t="inlineStr">
        <is>
          <t>https://www.lovethework.com/work/entries/cancer-prevention-discounts-779956</t>
        </is>
      </c>
      <c r="M34" s="33" t="inlineStr">
        <is>
          <t>For Broadfork Produce, TANK Worldwide Montreal partnered with a cancer foundation to translate the scientifically established cancer-risk-reduction percentages of fruits and vegetables into matching discounts applied at the point of purchase in grocery stores.</t>
        </is>
      </c>
      <c r="N34" s="33" t="inlineStr">
        <is>
          <t>broadfork produce, produce, fruit, vegetables, grocery, retail, food, canada, quebec, ontario, cancer, healthcare, medical, prevention, health, discount, point of sale, social behaviour, brand experience, activation, tank worldwide, bronze</t>
        </is>
      </c>
    </row>
    <row r="35">
      <c r="A35" s="33" t="n">
        <v>2026</v>
      </c>
      <c r="B35" s="163" t="inlineStr">
        <is>
          <t>Bronze</t>
        </is>
      </c>
      <c r="C35" s="33" t="inlineStr">
        <is>
          <t>The Period Uniform</t>
        </is>
      </c>
      <c r="D35" s="33" t="inlineStr">
        <is>
          <t>Somos Martina</t>
        </is>
      </c>
      <c r="E35" s="33" t="inlineStr">
        <is>
          <t>Somos Martina</t>
        </is>
      </c>
      <c r="F35" s="33" t="inlineStr">
        <is>
          <t>Serviceplan Germany Munich</t>
        </is>
      </c>
      <c r="G35" s="33" t="inlineStr">
        <is>
          <t>Germany</t>
        </is>
      </c>
      <c r="H35" s="33" t="inlineStr">
        <is>
          <t>Cultural Engagement</t>
        </is>
      </c>
      <c r="I35" s="33" t="inlineStr">
        <is>
          <t>https://ascentialcdn.filespin.io/api/v1/conversion/1709928304da45eb95b6483c496484be</t>
        </is>
      </c>
      <c r="J35" s="33" t="inlineStr">
        <is>
          <t>J_lOZXpp9TI</t>
        </is>
      </c>
      <c r="L35" s="33" t="inlineStr">
        <is>
          <t>https://www.lovethework.com/work/entries/the-period-uniform-791094</t>
        </is>
      </c>
      <c r="M35" s="33" t="inlineStr">
        <is>
          <t>For Somos Martina, Serviceplan Germany created 'The Period Uniform,' integrating reusable period underwear into the standard Colombian school uniform system so menstruating students have built-in protection as part of their everyday uniform.</t>
        </is>
      </c>
      <c r="N35" s="33" t="inlineStr">
        <is>
          <t>somos martina, period underwear, menstruation, period care, femcare, apparel, colombia, germany, school, uniform, students, education, reusable, social behaviour, brand experience, activation, serviceplan, bronze</t>
        </is>
      </c>
    </row>
  </sheetData>
  <autoFilter ref="A1:N21"/>
  <hyperlinks>
    <hyperlink xmlns:r="http://schemas.openxmlformats.org/officeDocument/2006/relationships" ref="I2" r:id="rId1"/>
    <hyperlink xmlns:r="http://schemas.openxmlformats.org/officeDocument/2006/relationships" ref="L2" r:id="rId2"/>
    <hyperlink xmlns:r="http://schemas.openxmlformats.org/officeDocument/2006/relationships" ref="I3" r:id="rId3"/>
    <hyperlink xmlns:r="http://schemas.openxmlformats.org/officeDocument/2006/relationships" ref="L3" r:id="rId4"/>
    <hyperlink xmlns:r="http://schemas.openxmlformats.org/officeDocument/2006/relationships" ref="I4" r:id="rId5"/>
    <hyperlink xmlns:r="http://schemas.openxmlformats.org/officeDocument/2006/relationships" ref="L4" r:id="rId6"/>
    <hyperlink xmlns:r="http://schemas.openxmlformats.org/officeDocument/2006/relationships" ref="I5" r:id="rId7"/>
    <hyperlink xmlns:r="http://schemas.openxmlformats.org/officeDocument/2006/relationships" ref="L5" r:id="rId8"/>
    <hyperlink xmlns:r="http://schemas.openxmlformats.org/officeDocument/2006/relationships" ref="I6" r:id="rId9"/>
    <hyperlink xmlns:r="http://schemas.openxmlformats.org/officeDocument/2006/relationships" ref="L6" r:id="rId10"/>
    <hyperlink xmlns:r="http://schemas.openxmlformats.org/officeDocument/2006/relationships" ref="I7" r:id="rId11"/>
    <hyperlink xmlns:r="http://schemas.openxmlformats.org/officeDocument/2006/relationships" ref="L7" r:id="rId12"/>
    <hyperlink xmlns:r="http://schemas.openxmlformats.org/officeDocument/2006/relationships" ref="I8" r:id="rId13"/>
    <hyperlink xmlns:r="http://schemas.openxmlformats.org/officeDocument/2006/relationships" ref="L8" r:id="rId14"/>
    <hyperlink xmlns:r="http://schemas.openxmlformats.org/officeDocument/2006/relationships" ref="I9" r:id="rId15"/>
    <hyperlink xmlns:r="http://schemas.openxmlformats.org/officeDocument/2006/relationships" ref="L9" r:id="rId16"/>
    <hyperlink xmlns:r="http://schemas.openxmlformats.org/officeDocument/2006/relationships" ref="I10" r:id="rId17"/>
    <hyperlink xmlns:r="http://schemas.openxmlformats.org/officeDocument/2006/relationships" ref="L10" r:id="rId18"/>
    <hyperlink xmlns:r="http://schemas.openxmlformats.org/officeDocument/2006/relationships" ref="I11" r:id="rId19"/>
    <hyperlink xmlns:r="http://schemas.openxmlformats.org/officeDocument/2006/relationships" ref="L11" r:id="rId20"/>
    <hyperlink xmlns:r="http://schemas.openxmlformats.org/officeDocument/2006/relationships" ref="I12" r:id="rId21"/>
    <hyperlink xmlns:r="http://schemas.openxmlformats.org/officeDocument/2006/relationships" ref="L12" r:id="rId22"/>
    <hyperlink xmlns:r="http://schemas.openxmlformats.org/officeDocument/2006/relationships" ref="I13" r:id="rId23"/>
    <hyperlink xmlns:r="http://schemas.openxmlformats.org/officeDocument/2006/relationships" ref="L13" r:id="rId24"/>
    <hyperlink xmlns:r="http://schemas.openxmlformats.org/officeDocument/2006/relationships" ref="I14" r:id="rId25"/>
    <hyperlink xmlns:r="http://schemas.openxmlformats.org/officeDocument/2006/relationships" ref="L14" r:id="rId26"/>
    <hyperlink xmlns:r="http://schemas.openxmlformats.org/officeDocument/2006/relationships" ref="I15" r:id="rId27"/>
    <hyperlink xmlns:r="http://schemas.openxmlformats.org/officeDocument/2006/relationships" ref="L15" r:id="rId28"/>
    <hyperlink xmlns:r="http://schemas.openxmlformats.org/officeDocument/2006/relationships" ref="I16" r:id="rId29"/>
    <hyperlink xmlns:r="http://schemas.openxmlformats.org/officeDocument/2006/relationships" ref="L16" r:id="rId30"/>
    <hyperlink xmlns:r="http://schemas.openxmlformats.org/officeDocument/2006/relationships" ref="I17" r:id="rId31"/>
    <hyperlink xmlns:r="http://schemas.openxmlformats.org/officeDocument/2006/relationships" ref="L17" r:id="rId32"/>
    <hyperlink xmlns:r="http://schemas.openxmlformats.org/officeDocument/2006/relationships" ref="I18" r:id="rId33"/>
    <hyperlink xmlns:r="http://schemas.openxmlformats.org/officeDocument/2006/relationships" ref="L18" r:id="rId34"/>
    <hyperlink xmlns:r="http://schemas.openxmlformats.org/officeDocument/2006/relationships" ref="I19" r:id="rId35"/>
    <hyperlink xmlns:r="http://schemas.openxmlformats.org/officeDocument/2006/relationships" ref="L19" r:id="rId36"/>
    <hyperlink xmlns:r="http://schemas.openxmlformats.org/officeDocument/2006/relationships" ref="I20" r:id="rId37"/>
    <hyperlink xmlns:r="http://schemas.openxmlformats.org/officeDocument/2006/relationships" ref="L20" r:id="rId38"/>
    <hyperlink xmlns:r="http://schemas.openxmlformats.org/officeDocument/2006/relationships" ref="I21" r:id="rId39"/>
    <hyperlink xmlns:r="http://schemas.openxmlformats.org/officeDocument/2006/relationships" ref="L21" r:id="rId40"/>
    <hyperlink xmlns:r="http://schemas.openxmlformats.org/officeDocument/2006/relationships" ref="I22" r:id="rId41"/>
    <hyperlink xmlns:r="http://schemas.openxmlformats.org/officeDocument/2006/relationships" ref="L22" r:id="rId42"/>
    <hyperlink xmlns:r="http://schemas.openxmlformats.org/officeDocument/2006/relationships" ref="I23" r:id="rId43"/>
    <hyperlink xmlns:r="http://schemas.openxmlformats.org/officeDocument/2006/relationships" ref="L23" r:id="rId44"/>
    <hyperlink xmlns:r="http://schemas.openxmlformats.org/officeDocument/2006/relationships" ref="I24" r:id="rId45"/>
    <hyperlink xmlns:r="http://schemas.openxmlformats.org/officeDocument/2006/relationships" ref="L24" r:id="rId46"/>
    <hyperlink xmlns:r="http://schemas.openxmlformats.org/officeDocument/2006/relationships" ref="I25" r:id="rId47"/>
    <hyperlink xmlns:r="http://schemas.openxmlformats.org/officeDocument/2006/relationships" ref="L25" r:id="rId48"/>
    <hyperlink xmlns:r="http://schemas.openxmlformats.org/officeDocument/2006/relationships" ref="I26" r:id="rId49"/>
    <hyperlink xmlns:r="http://schemas.openxmlformats.org/officeDocument/2006/relationships" ref="L26" r:id="rId50"/>
    <hyperlink xmlns:r="http://schemas.openxmlformats.org/officeDocument/2006/relationships" ref="I27" r:id="rId51"/>
    <hyperlink xmlns:r="http://schemas.openxmlformats.org/officeDocument/2006/relationships" ref="L27" r:id="rId52"/>
    <hyperlink xmlns:r="http://schemas.openxmlformats.org/officeDocument/2006/relationships" ref="I28" r:id="rId53"/>
    <hyperlink xmlns:r="http://schemas.openxmlformats.org/officeDocument/2006/relationships" ref="L28" r:id="rId54"/>
    <hyperlink xmlns:r="http://schemas.openxmlformats.org/officeDocument/2006/relationships" ref="I29" r:id="rId55"/>
    <hyperlink xmlns:r="http://schemas.openxmlformats.org/officeDocument/2006/relationships" ref="L29" r:id="rId56"/>
    <hyperlink xmlns:r="http://schemas.openxmlformats.org/officeDocument/2006/relationships" ref="I30" r:id="rId57"/>
    <hyperlink xmlns:r="http://schemas.openxmlformats.org/officeDocument/2006/relationships" ref="L30" r:id="rId58"/>
    <hyperlink xmlns:r="http://schemas.openxmlformats.org/officeDocument/2006/relationships" ref="I31" r:id="rId59"/>
    <hyperlink xmlns:r="http://schemas.openxmlformats.org/officeDocument/2006/relationships" ref="L31" r:id="rId60"/>
    <hyperlink xmlns:r="http://schemas.openxmlformats.org/officeDocument/2006/relationships" ref="I32" r:id="rId61"/>
    <hyperlink xmlns:r="http://schemas.openxmlformats.org/officeDocument/2006/relationships" ref="L32" r:id="rId62"/>
    <hyperlink xmlns:r="http://schemas.openxmlformats.org/officeDocument/2006/relationships" ref="I33" r:id="rId63"/>
    <hyperlink xmlns:r="http://schemas.openxmlformats.org/officeDocument/2006/relationships" ref="L33" r:id="rId64"/>
    <hyperlink xmlns:r="http://schemas.openxmlformats.org/officeDocument/2006/relationships" ref="I34" r:id="rId65"/>
    <hyperlink xmlns:r="http://schemas.openxmlformats.org/officeDocument/2006/relationships" ref="L34" r:id="rId66"/>
    <hyperlink xmlns:r="http://schemas.openxmlformats.org/officeDocument/2006/relationships" ref="I35" r:id="rId67"/>
    <hyperlink xmlns:r="http://schemas.openxmlformats.org/officeDocument/2006/relationships" ref="L35" r:id="rId68"/>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N13"/>
  <sheetViews>
    <sheetView workbookViewId="0">
      <pane ySplit="1" topLeftCell="A2" activePane="bottomLeft" state="frozen"/>
      <selection pane="bottomLeft" activeCell="A1" sqref="A1"/>
    </sheetView>
  </sheetViews>
  <sheetFormatPr baseColWidth="8" defaultRowHeight="15"/>
  <cols>
    <col width="6" customWidth="1" style="34" min="1" max="1"/>
    <col width="16" customWidth="1" style="34" min="2" max="2"/>
    <col width="34" customWidth="1" style="34" min="3" max="3"/>
    <col width="22" customWidth="1" style="34" min="4" max="4"/>
    <col width="26" customWidth="1" style="34" min="5" max="5"/>
    <col width="28" customWidth="1" style="34" min="6" max="6"/>
    <col width="16" customWidth="1" style="34" min="7" max="7"/>
    <col width="34" customWidth="1" style="34" min="8" max="8"/>
    <col width="18" customWidth="1" style="34" min="9" max="9"/>
    <col width="16" customWidth="1" style="34" min="10" max="10"/>
    <col width="22" customWidth="1" style="34" min="11" max="11"/>
    <col hidden="1" width="20" customWidth="1" style="34" min="12" max="12"/>
    <col width="60" customWidth="1" style="34" min="13" max="13"/>
    <col width="40" customWidth="1" style="34" min="14" max="14"/>
  </cols>
  <sheetData>
    <row r="1" ht="22" customHeight="1" s="34">
      <c r="A1" s="122" t="inlineStr">
        <is>
          <t>Year</t>
        </is>
      </c>
      <c r="B1" s="122" t="inlineStr">
        <is>
          <t>Tier</t>
        </is>
      </c>
      <c r="C1" s="122" t="inlineStr">
        <is>
          <t>Campaign</t>
        </is>
      </c>
      <c r="D1" s="122" t="inlineStr">
        <is>
          <t>Brand</t>
        </is>
      </c>
      <c r="E1" s="122" t="inlineStr">
        <is>
          <t>Product/Service</t>
        </is>
      </c>
      <c r="F1" s="122" t="inlineStr">
        <is>
          <t>Agency</t>
        </is>
      </c>
      <c r="G1" s="122" t="inlineStr">
        <is>
          <t>Country</t>
        </is>
      </c>
      <c r="H1" s="122" t="inlineStr">
        <is>
          <t>Subcategory</t>
        </is>
      </c>
      <c r="I1" s="122" t="inlineStr">
        <is>
          <t>Image URL</t>
        </is>
      </c>
      <c r="J1" s="122" t="inlineStr">
        <is>
          <t>YouTube ID</t>
        </is>
      </c>
      <c r="K1" s="122" t="inlineStr">
        <is>
          <t>Campaign Group</t>
        </is>
      </c>
      <c r="L1" s="122" t="inlineStr">
        <is>
          <t>Entry URL</t>
        </is>
      </c>
      <c r="M1" s="122" t="inlineStr">
        <is>
          <t>Description</t>
        </is>
      </c>
      <c r="N1" s="122" t="inlineStr">
        <is>
          <t>Keywords</t>
        </is>
      </c>
    </row>
    <row r="2">
      <c r="A2" s="127" t="n">
        <v>2025</v>
      </c>
      <c r="B2" s="139" t="inlineStr">
        <is>
          <t>Grand Prix</t>
        </is>
      </c>
      <c r="C2" s="127" t="inlineStr">
        <is>
          <t>Sounds Right</t>
        </is>
      </c>
      <c r="D2" s="127" t="inlineStr">
        <is>
          <t>Museum for the United Nations - UN Live</t>
        </is>
      </c>
      <c r="E2" s="127" t="inlineStr">
        <is>
          <t>Music</t>
        </is>
      </c>
      <c r="F2" s="127" t="inlineStr">
        <is>
          <t>AKQA</t>
        </is>
      </c>
      <c r="G2" s="127" t="inlineStr">
        <is>
          <t>Denmark</t>
        </is>
      </c>
      <c r="H2" s="113" t="inlineStr">
        <is>
          <t>Environmental Innovation</t>
        </is>
      </c>
      <c r="I2" s="128" t="inlineStr">
        <is>
          <t>https://ascentialcdn.filespin.io/api/v1/conversion/5015b68d24bd481a8fcfefc326f5b154</t>
        </is>
      </c>
      <c r="J2" s="127" t="inlineStr">
        <is>
          <t>vimeo:1094746280</t>
        </is>
      </c>
      <c r="K2" s="127" t="n"/>
      <c r="L2" s="128" t="inlineStr">
        <is>
          <t>https://www.lovethework.com/work/entries/sounds-right-761761</t>
        </is>
      </c>
      <c r="M2" s="113" t="inlineStr">
        <is>
          <t>A Spotify initiative, developed by AKQA for Museum for the United Nations – UN Live, that registers NATURE as an official credited artist on the platform — so that existing songs featuring natural soundscapes, from artists including V of BTS, David Bowie, Brian Eno, AURORA, and Ellie Goulding, list NATURE as a collaborator with its own verified artist profile. Streaming royalties attributed to NATURE's credit are directed toward nature conservation funding.</t>
        </is>
      </c>
      <c r="N2" s="113" t="inlineStr">
        <is>
          <t>music, entertainment, streaming, tv, spotify, mobile-app, conservation, public-service, corporate-social-responsibility, denmark, akqa</t>
        </is>
      </c>
    </row>
    <row r="3">
      <c r="A3" s="127" t="n">
        <v>2025</v>
      </c>
      <c r="B3" s="140" t="inlineStr">
        <is>
          <t>Gold</t>
        </is>
      </c>
      <c r="C3" s="127" t="inlineStr">
        <is>
          <t>Caption with Intention</t>
        </is>
      </c>
      <c r="D3" s="127" t="inlineStr">
        <is>
          <t>Academy of Motion Picture Arts &amp; Sciences</t>
        </is>
      </c>
      <c r="E3" s="127" t="inlineStr">
        <is>
          <t>Closed Captioning</t>
        </is>
      </c>
      <c r="F3" s="127" t="inlineStr">
        <is>
          <t>FCB Chicago</t>
        </is>
      </c>
      <c r="G3" s="127" t="inlineStr">
        <is>
          <t>United States</t>
        </is>
      </c>
      <c r="H3" s="113" t="inlineStr">
        <is>
          <t>Societal Innovation</t>
        </is>
      </c>
      <c r="I3" s="128" t="inlineStr">
        <is>
          <t>https://ascentialcdn.filespin.io/api/v1/conversion/bcb995632e51401e9bb1c27a8f759215</t>
        </is>
      </c>
      <c r="J3" s="127" t="inlineStr">
        <is>
          <t>F48khKZhKHM</t>
        </is>
      </c>
      <c r="K3" s="127" t="n"/>
      <c r="L3" s="128" t="inlineStr">
        <is>
          <t>https://www.lovethework.com/work/entries/caption-with-intention-752614</t>
        </is>
      </c>
      <c r="M3" s="113" t="inlineStr">
        <is>
          <t>A caption design system for film and television that moves beyond static white text — word-by-word sync pairs with expressive typography, where type weight, color, and motion signal volume, tone, and speaker identity. Developed by FCB Chicago in close partnership with the Chicago Hearing Society, Rakish, and the Academy of Motion Picture Arts and Sciences, which adopted it as a new standard for cinematic accessibility.</t>
        </is>
      </c>
      <c r="N3" s="113" t="inlineStr">
        <is>
          <t>closed-captioning, accessibility, typography, film, cinema, entertainment, societal-innovation, united-states, design-system, deaf-hard-of-hearing</t>
        </is>
      </c>
    </row>
    <row r="4">
      <c r="A4" s="127" t="n">
        <v>2025</v>
      </c>
      <c r="B4" s="132" t="inlineStr">
        <is>
          <t>Silver</t>
        </is>
      </c>
      <c r="C4" s="127" t="inlineStr">
        <is>
          <t>Baby Minder</t>
        </is>
      </c>
      <c r="D4" s="127" t="inlineStr">
        <is>
          <t>Eurofarma</t>
        </is>
      </c>
      <c r="E4" s="127" t="inlineStr">
        <is>
          <t>Baby Minder</t>
        </is>
      </c>
      <c r="F4" s="127" t="inlineStr">
        <is>
          <t>Ogilvy Health</t>
        </is>
      </c>
      <c r="G4" s="127" t="inlineStr">
        <is>
          <t>United States</t>
        </is>
      </c>
      <c r="H4" s="113" t="inlineStr">
        <is>
          <t>Early-Stage Technology</t>
        </is>
      </c>
      <c r="I4" s="128" t="inlineStr">
        <is>
          <t>https://ascentialcdn.filespin.io/api/v1/conversion/57def036fd3c4c41912d570ec8706239</t>
        </is>
      </c>
      <c r="J4" s="127" t="inlineStr">
        <is>
          <t>vimeo:1081167145</t>
        </is>
      </c>
      <c r="K4" s="127" t="n"/>
      <c r="L4" s="128" t="inlineStr">
        <is>
          <t>https://www.lovethework.com/work/entries/baby-minder-760278</t>
        </is>
      </c>
      <c r="M4" s="113" t="inlineStr">
        <is>
          <t>A baby monitor that uses AI-powered computer vision to scan infant movements for subtle neurological symptoms that parents lack the clinical training to recognize. Developed by Ogilvy Health New York for Eurofarma, it is designed to flag early warning signs of neurological conditions during the developmental window when intervention is most effective.</t>
        </is>
      </c>
      <c r="N4" s="113" t="inlineStr">
        <is>
          <t>baby-monitor, ai, technology, computer-vision, early-stage-technology, pediatric-health, mobile-app, united-states, pharma</t>
        </is>
      </c>
    </row>
    <row r="5">
      <c r="A5" s="127" t="n">
        <v>2025</v>
      </c>
      <c r="B5" s="132" t="inlineStr">
        <is>
          <t>Silver</t>
        </is>
      </c>
      <c r="C5" s="127" t="inlineStr">
        <is>
          <t>Beer Retirement Account</t>
        </is>
      </c>
      <c r="D5" s="127" t="inlineStr">
        <is>
          <t>Poker Beer</t>
        </is>
      </c>
      <c r="E5" s="127" t="inlineStr">
        <is>
          <t>Poker</t>
        </is>
      </c>
      <c r="F5" s="127" t="inlineStr">
        <is>
          <t>Monks</t>
        </is>
      </c>
      <c r="G5" s="127" t="inlineStr">
        <is>
          <t>Colombia</t>
        </is>
      </c>
      <c r="H5" s="113" t="inlineStr">
        <is>
          <t>Societal Innovation</t>
        </is>
      </c>
      <c r="I5" s="128" t="inlineStr">
        <is>
          <t>https://ascentialcdn.filespin.io/api/v1/conversion/9c0dd0aaa6f044518e70e7d63c0c78dd</t>
        </is>
      </c>
      <c r="J5" s="127" t="inlineStr">
        <is>
          <t>YTUf_mLc_5U</t>
        </is>
      </c>
      <c r="K5" s="127" t="n"/>
      <c r="L5" s="128" t="inlineStr">
        <is>
          <t>https://www.lovethework.com/work/entries/beer-retirement-account-752712</t>
        </is>
      </c>
      <c r="M5" s="113" t="inlineStr">
        <is>
          <t>A loyalty program built into Poker Beer's existing vendor network that converts points earned by beer sellers — mostly informal workers excluded from Colombia's pension system, where only 18% of citizens access a full pension — into verified retirement fund contributions. Monks, Bogotá partnered with Poker, Colombia's second-largest beer brand, to route the mechanics of a standard beer loyalty scheme directly into the formal savings infrastructure vendors would otherwise never reach.</t>
        </is>
      </c>
      <c r="N5" s="113" t="inlineStr">
        <is>
          <t>beer, alcohol, loyalty-program, retirement, colombia, societal-innovation, fintech, financial-services, finance, informal-economy, b2b, business</t>
        </is>
      </c>
    </row>
    <row r="6">
      <c r="A6" s="127" t="n">
        <v>2025</v>
      </c>
      <c r="B6" s="133" t="inlineStr">
        <is>
          <t>Bronze</t>
        </is>
      </c>
      <c r="C6" s="127" t="inlineStr">
        <is>
          <t>Painvisible</t>
        </is>
      </c>
      <c r="D6" s="127" t="inlineStr">
        <is>
          <t>Aritium</t>
        </is>
      </c>
      <c r="E6" s="127" t="inlineStr">
        <is>
          <t>Painvisible</t>
        </is>
      </c>
      <c r="F6" s="127" t="inlineStr">
        <is>
          <t>VML</t>
        </is>
      </c>
      <c r="G6" s="127" t="inlineStr">
        <is>
          <t>Spain</t>
        </is>
      </c>
      <c r="H6" s="113" t="inlineStr">
        <is>
          <t>Product Innovation</t>
        </is>
      </c>
      <c r="I6" s="128" t="inlineStr">
        <is>
          <t>https://ascentialcdn.filespin.io/api/v1/conversion/5a1c3d291d1b4a428ebb261bc24b249b</t>
        </is>
      </c>
      <c r="J6" s="127" t="inlineStr">
        <is>
          <t>_BKTmzriqgs</t>
        </is>
      </c>
      <c r="K6" s="127" t="n"/>
      <c r="L6" s="128" t="inlineStr">
        <is>
          <t>https://www.lovethework.com/work/entries/painvisible-752585</t>
        </is>
      </c>
      <c r="M6" s="113" t="inlineStr">
        <is>
          <t>A medical diagnostic tool developed by Aritium and VML Madrid and VML New York that uses thermal imaging cameras and AI to produce an objective, quantified read of a patient's pain level — addressing the core clinical problem that pain self-reporting is impossible for non-verbal patients such as infants, people with dementia, or those under sedation. The system is currently deployed in hospitals across Spain, with rollout planned for Europe, Latin America, and the United States.</t>
        </is>
      </c>
      <c r="N6" s="113" t="inlineStr">
        <is>
          <t>medical-technology, product-innovation, ai, technology, thermal-imaging, healthcare, spain, non-verbal-patients, b2b, business</t>
        </is>
      </c>
    </row>
    <row r="7">
      <c r="A7" s="127" t="n">
        <v>2025</v>
      </c>
      <c r="B7" s="133" t="inlineStr">
        <is>
          <t>Bronze</t>
        </is>
      </c>
      <c r="C7" s="127" t="inlineStr">
        <is>
          <t>Drops of Hope</t>
        </is>
      </c>
      <c r="D7" s="127" t="inlineStr">
        <is>
          <t>Kimberly-Clark</t>
        </is>
      </c>
      <c r="E7" s="127" t="inlineStr">
        <is>
          <t>Poise</t>
        </is>
      </c>
      <c r="F7" s="127" t="inlineStr">
        <is>
          <t>FCB New York</t>
        </is>
      </c>
      <c r="G7" s="127" t="inlineStr">
        <is>
          <t>United States</t>
        </is>
      </c>
      <c r="H7" s="113" t="inlineStr">
        <is>
          <t>Early-Stage Technology</t>
        </is>
      </c>
      <c r="I7" s="128" t="inlineStr">
        <is>
          <t>https://ascentialcdn.filespin.io/api/v1/conversion/98d0bf51b7764f41a17afc9759c91bfa</t>
        </is>
      </c>
      <c r="J7" s="127" t="inlineStr">
        <is>
          <t>MnF0kip489Y</t>
        </is>
      </c>
      <c r="K7" s="127" t="n"/>
      <c r="L7" s="128" t="inlineStr">
        <is>
          <t>https://www.lovethework.com/work/entries/drops-of-hope-761643</t>
        </is>
      </c>
      <c r="M7" s="113" t="inlineStr">
        <is>
          <t>A mail-back diagnostic service that turns Poise's incontinence pads into a preventive-health tool. Women in U.S. healthcare deserts can send a used pad to a doctor, who extracts urine for screening — extending basic check-ups to people who don't live near a clinic.</t>
        </is>
      </c>
      <c r="N7" s="113" t="inlineStr">
        <is>
          <t>healthcare, diagnostics, medical, womens-health, mail-back, product-innovation, social-good, rural, united-states</t>
        </is>
      </c>
    </row>
    <row r="8">
      <c r="A8" s="127" t="n">
        <v>2025</v>
      </c>
      <c r="B8" s="133" t="inlineStr">
        <is>
          <t>Bronze</t>
        </is>
      </c>
      <c r="C8" s="127" t="inlineStr">
        <is>
          <t>Living Fabric</t>
        </is>
      </c>
      <c r="D8" s="127" t="inlineStr">
        <is>
          <t>Universidad De Los Andes &amp; Atratus</t>
        </is>
      </c>
      <c r="E8" s="127" t="inlineStr">
        <is>
          <t>Living Fabric</t>
        </is>
      </c>
      <c r="F8" s="127" t="inlineStr">
        <is>
          <t>VML</t>
        </is>
      </c>
      <c r="G8" s="127" t="inlineStr">
        <is>
          <t>Colombia</t>
        </is>
      </c>
      <c r="H8" s="113" t="inlineStr">
        <is>
          <t>Environmental Innovation</t>
        </is>
      </c>
      <c r="I8" s="128" t="inlineStr">
        <is>
          <t>https://ascentialcdn.filespin.io/api/v1/conversion/9f8364b5c9b847aa83fb8ea7b62628d8</t>
        </is>
      </c>
      <c r="J8" s="127" t="inlineStr">
        <is>
          <t>eAqaciBGz3k</t>
        </is>
      </c>
      <c r="K8" s="127" t="n"/>
      <c r="L8" s="128" t="inlineStr">
        <is>
          <t>https://www.lovethework.com/work/entries/living-fabric-759716</t>
        </is>
      </c>
      <c r="M8" s="113" t="inlineStr">
        <is>
          <t>A 100% biodegradable textile developed by VML Bogotá with Atratus and Universidad de los Andes that absorbs oil spills and then restores the contaminated land beneath them. The fabric is designed to address oil contamination in Colombia, where spills from aging pipelines are a recurring cause of soil and ecosystem damage.</t>
        </is>
      </c>
      <c r="N8" s="113" t="inlineStr">
        <is>
          <t>textile, environmental-innovation, biodegradable, product-design, colombia, oil-spill, sustainability, university-partnership</t>
        </is>
      </c>
    </row>
    <row r="9">
      <c r="A9" s="33" t="n">
        <v>2026</v>
      </c>
      <c r="B9" s="160" t="inlineStr">
        <is>
          <t>Grand Prix</t>
        </is>
      </c>
      <c r="C9" s="33" t="inlineStr">
        <is>
          <t>Supernova Adaptive</t>
        </is>
      </c>
      <c r="D9" s="33" t="inlineStr">
        <is>
          <t>Adidas</t>
        </is>
      </c>
      <c r="E9" s="33" t="inlineStr">
        <is>
          <t>Adidas</t>
        </is>
      </c>
      <c r="F9" s="33" t="inlineStr">
        <is>
          <t>TBWA\Canada</t>
        </is>
      </c>
      <c r="G9" s="33" t="inlineStr">
        <is>
          <t>Canada</t>
        </is>
      </c>
      <c r="H9" s="33" t="inlineStr">
        <is>
          <t>Societal Innovation</t>
        </is>
      </c>
      <c r="I9" s="33" t="inlineStr">
        <is>
          <t>https://ascentialcdn.filespin.io/api/v1/conversion/1e629829a1314891907fcdf2e45ced1c</t>
        </is>
      </c>
      <c r="J9" s="33" t="inlineStr">
        <is>
          <t>vimeo:1203657943</t>
        </is>
      </c>
      <c r="L9" s="33" t="inlineStr">
        <is>
          <t>https://www.lovethework.com/work/entries/supernova-adaptive-779312</t>
        </is>
      </c>
      <c r="M9" s="33" t="inlineStr">
        <is>
          <t>An adaptive running shoe designed by Adidas for runners with disabilities, reengineering the Supernova for easier, more independent entry and a secure fit without compromising performance — bringing inclusive design to mainstream running footwear.</t>
        </is>
      </c>
      <c r="N9" s="33" t="inlineStr">
        <is>
          <t>adidas, supernova, running shoe, footwear, sportswear, product design, adaptive, inclusive design, accessibility, disability, sport, tbwa canada, canada</t>
        </is>
      </c>
    </row>
    <row r="10">
      <c r="A10" s="33" t="n">
        <v>2026</v>
      </c>
      <c r="B10" s="161" t="inlineStr">
        <is>
          <t>Gold</t>
        </is>
      </c>
      <c r="C10" s="33" t="inlineStr">
        <is>
          <t>Utrecht Energized</t>
        </is>
      </c>
      <c r="D10" s="33" t="inlineStr">
        <is>
          <t>Renault</t>
        </is>
      </c>
      <c r="E10" s="33" t="inlineStr">
        <is>
          <t>Renault</t>
        </is>
      </c>
      <c r="F10" s="33" t="inlineStr">
        <is>
          <t>Publicis Amsterdam</t>
        </is>
      </c>
      <c r="G10" s="33" t="inlineStr">
        <is>
          <t>Netherlands</t>
        </is>
      </c>
      <c r="H10" s="33" t="inlineStr">
        <is>
          <t>Environmental Innovation</t>
        </is>
      </c>
      <c r="I10" s="33" t="inlineStr">
        <is>
          <t>https://ascentialcdn.filespin.io/api/v1/conversion/03bc0914b4384a1199a7d493c3778813</t>
        </is>
      </c>
      <c r="J10" s="33" t="inlineStr">
        <is>
          <t>osZnUXoyVfQ</t>
        </is>
      </c>
      <c r="L10" s="33" t="inlineStr">
        <is>
          <t>https://www.lovethework.com/work/entries/utrecht-energized-779316</t>
        </is>
      </c>
      <c r="M10" s="33" t="inlineStr">
        <is>
          <t>For Renault, Publicis, Amsterdam created 'Utrecht Energized' — turning the Dutch city of Utrecht into Europe's first large-scale vehicle-to-grid (V2G) car-sharing network. Working with the municipality, We Drive Solar and MyWheels, the project put bidirectional Renault 5 E-Tech electric cars and charge points on the streets so shared EVs can store surplus solar power and feed it back to the local grid at peak demand, treating a car-share fleet as distributed energy storage for the city.</t>
        </is>
      </c>
      <c r="N10" s="33" t="inlineStr">
        <is>
          <t>automotive, cars, transport, electric-vehicle, ev, sustainability, energy, renewable, car-sharing, vehicle-to-grid, smart-city, environment, innovation, netherlands, mobility, clean-energy</t>
        </is>
      </c>
    </row>
    <row r="11">
      <c r="A11" s="33" t="n">
        <v>2026</v>
      </c>
      <c r="B11" s="162" t="inlineStr">
        <is>
          <t>Silver</t>
        </is>
      </c>
      <c r="C11" s="33" t="inlineStr">
        <is>
          <t>Radio Time Machine</t>
        </is>
      </c>
      <c r="D11" s="33" t="inlineStr">
        <is>
          <t>Nichii Gakkan</t>
        </is>
      </c>
      <c r="E11" s="33" t="inlineStr">
        <is>
          <t>Radio Time Machine</t>
        </is>
      </c>
      <c r="F11" s="33" t="inlineStr">
        <is>
          <t>TBWA\Hakuhodo</t>
        </is>
      </c>
      <c r="G11" s="33" t="inlineStr">
        <is>
          <t>Japan</t>
        </is>
      </c>
      <c r="H11" s="33" t="inlineStr">
        <is>
          <t>Early-Stage Technology</t>
        </is>
      </c>
      <c r="I11" s="33" t="inlineStr">
        <is>
          <t>https://ascentialcdn.filespin.io/api/v1/conversion/2ddee09be1964d01a93fc250832fa9cf</t>
        </is>
      </c>
      <c r="J11" s="33" t="inlineStr">
        <is>
          <t>2LLsJbmUM_A</t>
        </is>
      </c>
      <c r="L11" s="33" t="inlineStr">
        <is>
          <t>https://www.lovethework.com/work/entries/radio-time-machine-777690</t>
        </is>
      </c>
      <c r="M11" s="33" t="inlineStr">
        <is>
          <t>For elderly-care provider Nichii Gakkan, TBWA\Hakuhodo, Tokyo built the 'Radio Time Machine' — a device styled like a vintage radio whose tuning dial lets a listener pick any year from the past. Generative AI then produces an original broadcast for that year, weaving period news and era-appropriate hit songs in a voice evoking the time, used as a non-pharmacological reminiscence-therapy tool to spark memories and conversation among older people in dementia care.</t>
        </is>
      </c>
      <c r="N11" s="33" t="inlineStr">
        <is>
          <t>healthcare, elderly-care, dementia, ai, technology, artificial-intelligence, generative-ai, audio, radio, reminiscence-therapy, innovation, japan, aging, wellbeing</t>
        </is>
      </c>
    </row>
    <row r="12">
      <c r="A12" s="33" t="n">
        <v>2026</v>
      </c>
      <c r="B12" s="163" t="inlineStr">
        <is>
          <t>Bronze</t>
        </is>
      </c>
      <c r="C12" s="33" t="inlineStr">
        <is>
          <t>SOS POS</t>
        </is>
      </c>
      <c r="D12" s="33" t="inlineStr">
        <is>
          <t>BCP</t>
        </is>
      </c>
      <c r="E12" s="33" t="inlineStr">
        <is>
          <t>SOS POS</t>
        </is>
      </c>
      <c r="F12" s="33" t="inlineStr">
        <is>
          <t>Circus Grey</t>
        </is>
      </c>
      <c r="G12" s="33" t="inlineStr">
        <is>
          <t>Peru</t>
        </is>
      </c>
      <c r="H12" s="33" t="inlineStr">
        <is>
          <t>Brand-Led Innovation</t>
        </is>
      </c>
      <c r="I12" s="33" t="inlineStr">
        <is>
          <t>https://ascentialcdn.filespin.io/api/v1/conversion/1d46e6542c474e14a830761bec4b045a</t>
        </is>
      </c>
      <c r="J12" s="33" t="inlineStr">
        <is>
          <t>GVdCoJEhO6M</t>
        </is>
      </c>
      <c r="L12" s="33" t="inlineStr">
        <is>
          <t>https://www.lovethework.com/work/entries/sos-pos-779321</t>
        </is>
      </c>
      <c r="M12" s="33" t="inlineStr">
        <is>
          <t>The Creative Data Grand Prix. For Peruvian bank BCP, Circus Grey turned ordinary retail POS terminals into emergency account-blocking points: a phone-theft victim can walk into any participating shop, verify their identity at the checkout and instantly freeze their accounts, connecting front-end POS terminals to the bank's back-end via a purpose-built API.</t>
        </is>
      </c>
      <c r="N12" s="33" t="inlineStr">
        <is>
          <t>bcp, bank, banking, financial-services, finance, financial services, peru, phone theft, security, fraud prevention, pos terminal, payments, fintech, api, ethical data, privacy, data, circus grey, grand prix</t>
        </is>
      </c>
    </row>
    <row r="13">
      <c r="A13" s="33" t="n">
        <v>2026</v>
      </c>
      <c r="B13" s="163" t="inlineStr">
        <is>
          <t>Bronze</t>
        </is>
      </c>
      <c r="C13" s="33" t="inlineStr">
        <is>
          <t>T-Rex Leather</t>
        </is>
      </c>
      <c r="D13" s="33" t="inlineStr">
        <is>
          <t>Lab-Grown Leather</t>
        </is>
      </c>
      <c r="E13" s="33" t="inlineStr">
        <is>
          <t>Leather</t>
        </is>
      </c>
      <c r="F13" s="33" t="inlineStr">
        <is>
          <t>VML</t>
        </is>
      </c>
      <c r="G13" s="33" t="inlineStr">
        <is>
          <t>France</t>
        </is>
      </c>
      <c r="H13" s="33" t="inlineStr">
        <is>
          <t>Environmental Innovation</t>
        </is>
      </c>
      <c r="I13" s="33" t="inlineStr">
        <is>
          <t>https://ascentialcdn.filespin.io/api/v1/conversion/fe1c286880df40589aad48d184fbdac3</t>
        </is>
      </c>
      <c r="J13" s="33" t="inlineStr">
        <is>
          <t>I2sHOyoL0J4</t>
        </is>
      </c>
      <c r="L13" s="33" t="inlineStr">
        <is>
          <t>https://www.lovethework.com/work/entries/t-rex-leather-775911</t>
        </is>
      </c>
      <c r="M13" s="33" t="inlineStr">
        <is>
          <t>VML created the world's first product made from lab-grown T-Rex leather. Starting from fossilised T. rex collagen, the team used computational biology and AI to reconstruct the dinosaur's collagen blueprint, then engineered cells with synthetic DNA to grow leather without any animal, debuting the material as a luxury handbag with techwear label Enfin Levé.</t>
        </is>
      </c>
      <c r="N13" s="33" t="inlineStr">
        <is>
          <t>lab-grown leather, biotech, biotechnology, materials, sustainability, fashion, luxury, handbag, leather, france, dinosaur, t-rex, collagen, synthetic biology, ai, technology, innovation, b2b, business, business to business, pr effectiveness, public relations, pr, vml, gold</t>
        </is>
      </c>
    </row>
  </sheetData>
  <autoFilter ref="A1:N8"/>
  <hyperlinks>
    <hyperlink xmlns:r="http://schemas.openxmlformats.org/officeDocument/2006/relationships" ref="I2" r:id="rId1"/>
    <hyperlink xmlns:r="http://schemas.openxmlformats.org/officeDocument/2006/relationships" ref="L2" r:id="rId2"/>
    <hyperlink xmlns:r="http://schemas.openxmlformats.org/officeDocument/2006/relationships" ref="I3" r:id="rId3"/>
    <hyperlink xmlns:r="http://schemas.openxmlformats.org/officeDocument/2006/relationships" ref="L3" r:id="rId4"/>
    <hyperlink xmlns:r="http://schemas.openxmlformats.org/officeDocument/2006/relationships" ref="I4" r:id="rId5"/>
    <hyperlink xmlns:r="http://schemas.openxmlformats.org/officeDocument/2006/relationships" ref="L4" r:id="rId6"/>
    <hyperlink xmlns:r="http://schemas.openxmlformats.org/officeDocument/2006/relationships" ref="I5" r:id="rId7"/>
    <hyperlink xmlns:r="http://schemas.openxmlformats.org/officeDocument/2006/relationships" ref="L5" r:id="rId8"/>
    <hyperlink xmlns:r="http://schemas.openxmlformats.org/officeDocument/2006/relationships" ref="I6" r:id="rId9"/>
    <hyperlink xmlns:r="http://schemas.openxmlformats.org/officeDocument/2006/relationships" ref="L6" r:id="rId10"/>
    <hyperlink xmlns:r="http://schemas.openxmlformats.org/officeDocument/2006/relationships" ref="I7" r:id="rId11"/>
    <hyperlink xmlns:r="http://schemas.openxmlformats.org/officeDocument/2006/relationships" ref="L7" r:id="rId12"/>
    <hyperlink xmlns:r="http://schemas.openxmlformats.org/officeDocument/2006/relationships" ref="I8" r:id="rId13"/>
    <hyperlink xmlns:r="http://schemas.openxmlformats.org/officeDocument/2006/relationships" ref="L8" r:id="rId14"/>
    <hyperlink xmlns:r="http://schemas.openxmlformats.org/officeDocument/2006/relationships" ref="I9" r:id="rId15"/>
    <hyperlink xmlns:r="http://schemas.openxmlformats.org/officeDocument/2006/relationships" ref="L9" r:id="rId16"/>
    <hyperlink xmlns:r="http://schemas.openxmlformats.org/officeDocument/2006/relationships" ref="I10" r:id="rId17"/>
    <hyperlink xmlns:r="http://schemas.openxmlformats.org/officeDocument/2006/relationships" ref="L10" r:id="rId18"/>
    <hyperlink xmlns:r="http://schemas.openxmlformats.org/officeDocument/2006/relationships" ref="I11" r:id="rId19"/>
    <hyperlink xmlns:r="http://schemas.openxmlformats.org/officeDocument/2006/relationships" ref="L11" r:id="rId20"/>
    <hyperlink xmlns:r="http://schemas.openxmlformats.org/officeDocument/2006/relationships" ref="I12" r:id="rId21"/>
    <hyperlink xmlns:r="http://schemas.openxmlformats.org/officeDocument/2006/relationships" ref="L12" r:id="rId22"/>
    <hyperlink xmlns:r="http://schemas.openxmlformats.org/officeDocument/2006/relationships" ref="I13" r:id="rId23"/>
    <hyperlink xmlns:r="http://schemas.openxmlformats.org/officeDocument/2006/relationships" ref="L13" r:id="rId24"/>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N13"/>
  <sheetViews>
    <sheetView workbookViewId="0">
      <pane ySplit="1" topLeftCell="A2" activePane="bottomLeft" state="frozen"/>
      <selection pane="bottomLeft" activeCell="A1" sqref="A1"/>
    </sheetView>
  </sheetViews>
  <sheetFormatPr baseColWidth="8" defaultRowHeight="15"/>
  <cols>
    <col width="6" customWidth="1" style="34" min="1" max="1"/>
    <col width="16" customWidth="1" style="34" min="2" max="2"/>
    <col width="34" customWidth="1" style="34" min="3" max="3"/>
    <col width="22" customWidth="1" style="34" min="4" max="4"/>
    <col width="26" customWidth="1" style="34" min="5" max="5"/>
    <col width="28" customWidth="1" style="34" min="6" max="6"/>
    <col width="16" customWidth="1" style="34" min="7" max="7"/>
    <col width="34" customWidth="1" style="34" min="8" max="8"/>
    <col width="18" customWidth="1" style="34" min="9" max="9"/>
    <col width="16" customWidth="1" style="34" min="10" max="10"/>
    <col width="22" customWidth="1" style="34" min="11" max="11"/>
    <col hidden="1" width="20" customWidth="1" style="34" min="12" max="12"/>
    <col width="60" customWidth="1" style="34" min="13" max="13"/>
    <col width="40" customWidth="1" style="34" min="14" max="14"/>
  </cols>
  <sheetData>
    <row r="1" ht="22" customHeight="1" s="34">
      <c r="A1" s="122" t="inlineStr">
        <is>
          <t>Year</t>
        </is>
      </c>
      <c r="B1" s="122" t="inlineStr">
        <is>
          <t>Tier</t>
        </is>
      </c>
      <c r="C1" s="122" t="inlineStr">
        <is>
          <t>Campaign</t>
        </is>
      </c>
      <c r="D1" s="122" t="inlineStr">
        <is>
          <t>Brand</t>
        </is>
      </c>
      <c r="E1" s="122" t="inlineStr">
        <is>
          <t>Product/Service</t>
        </is>
      </c>
      <c r="F1" s="122" t="inlineStr">
        <is>
          <t>Agency</t>
        </is>
      </c>
      <c r="G1" s="122" t="inlineStr">
        <is>
          <t>Country</t>
        </is>
      </c>
      <c r="H1" s="122" t="inlineStr">
        <is>
          <t>Subcategory</t>
        </is>
      </c>
      <c r="I1" s="122" t="inlineStr">
        <is>
          <t>Image URL</t>
        </is>
      </c>
      <c r="J1" s="122" t="inlineStr">
        <is>
          <t>YouTube ID</t>
        </is>
      </c>
      <c r="K1" s="122" t="inlineStr">
        <is>
          <t>Campaign Group</t>
        </is>
      </c>
      <c r="L1" s="122" t="inlineStr">
        <is>
          <t>Entry URL</t>
        </is>
      </c>
      <c r="M1" s="122" t="inlineStr">
        <is>
          <t>Description</t>
        </is>
      </c>
      <c r="N1" s="122" t="inlineStr">
        <is>
          <t>Keywords</t>
        </is>
      </c>
    </row>
    <row r="2">
      <c r="A2" s="127" t="n">
        <v>2025</v>
      </c>
      <c r="B2" s="139" t="inlineStr">
        <is>
          <t>Grand Prix</t>
        </is>
      </c>
      <c r="C2" s="127" t="inlineStr">
        <is>
          <t>The Partnership That Changed Everything</t>
        </is>
      </c>
      <c r="D2" s="127" t="inlineStr">
        <is>
          <t>LVMH</t>
        </is>
      </c>
      <c r="E2" s="127" t="inlineStr">
        <is>
          <t>LVMH</t>
        </is>
      </c>
      <c r="F2" s="127" t="inlineStr">
        <is>
          <t>Havas Play</t>
        </is>
      </c>
      <c r="G2" s="127" t="inlineStr">
        <is>
          <t>France</t>
        </is>
      </c>
      <c r="H2" s="113" t="inlineStr">
        <is>
          <t>Partnerships/Collaborations</t>
        </is>
      </c>
      <c r="I2" s="128" t="inlineStr">
        <is>
          <t>https://ascentialcdn.filespin.io/api/v1/conversion/618cd520f9a24294b091f0641b1abd65</t>
        </is>
      </c>
      <c r="J2" s="127" t="inlineStr">
        <is>
          <t>vpsibWyRnKw</t>
        </is>
      </c>
      <c r="K2" s="127" t="n"/>
      <c r="L2" s="128" t="inlineStr">
        <is>
          <t>https://www.lovethework.com/work/entries/the-partnership-that-changed-everything-758515</t>
        </is>
      </c>
      <c r="M2" s="113" t="inlineStr">
        <is>
          <t>A co-creation partnership between LVMH and the Paris 2024 Olympic Games in which each Maison contributed its craftsmanship directly to the event's design and experience — medals, uniforms, ceremonies, and venues — rather than appearing as a traditional sponsor. Havas Play, Paris structured the arrangement so that individual LVMH houses each found a specific role inside the Games, making luxury artistry part of the Olympic fabric itself.</t>
        </is>
      </c>
      <c r="N2" s="113" t="inlineStr">
        <is>
          <t>luxury-goods, sponsorship, partnerships-collaborations, live-event, france, olympic-games, craft, experiential</t>
        </is>
      </c>
    </row>
    <row r="3">
      <c r="A3" s="127" t="n">
        <v>2025</v>
      </c>
      <c r="B3" s="140" t="inlineStr">
        <is>
          <t>Gold</t>
        </is>
      </c>
      <c r="C3" s="127" t="inlineStr">
        <is>
          <t>Late Checkout: a Ritz-Carlton Story</t>
        </is>
      </c>
      <c r="D3" s="127" t="inlineStr">
        <is>
          <t>The Ritz-Carlton, Late Checkout</t>
        </is>
      </c>
      <c r="E3" s="127" t="inlineStr">
        <is>
          <t>Late Checkout Collection, Ritz-Carlton Hotels</t>
        </is>
      </c>
      <c r="F3" s="127" t="inlineStr">
        <is>
          <t>Little Spain</t>
        </is>
      </c>
      <c r="G3" s="127" t="inlineStr">
        <is>
          <t>Spain</t>
        </is>
      </c>
      <c r="H3" s="113" t="inlineStr">
        <is>
          <t>Brand Storytelling</t>
        </is>
      </c>
      <c r="I3" s="128" t="inlineStr">
        <is>
          <t>https://ascentialcdn.filespin.io/api/v1/conversion/ba8c7874143548279ee2ef8936cfee6d</t>
        </is>
      </c>
      <c r="J3" s="127" t="inlineStr">
        <is>
          <t>vimeo:1094659374</t>
        </is>
      </c>
      <c r="K3" s="127" t="n"/>
      <c r="L3" s="128" t="inlineStr">
        <is>
          <t>https://www.lovethework.com/work/entries/late-checkout-a-ritz-carlton-story-758432</t>
        </is>
      </c>
      <c r="M3" s="113" t="inlineStr">
        <is>
          <t>A short film and fashion collection co-created by The Ritz-Carlton and streetwear label Late Checkout, starring Josh Hutcherson and directed by Rogelio González through Little Spain. The film uses the hotel itself as a narrative stage — blending the property's formal luxury aesthetic with Late Checkout's irreverent sensibility to anchor a wearable merchandise line.</t>
        </is>
      </c>
      <c r="N3" s="113" t="inlineStr">
        <is>
          <t>hotel, fashion-collaboration, short-film, brand-storytelling, luxury, spain, merchandise, branded-content</t>
        </is>
      </c>
    </row>
    <row r="4">
      <c r="A4" s="127" t="n">
        <v>2025</v>
      </c>
      <c r="B4" s="132" t="inlineStr">
        <is>
          <t>Silver</t>
        </is>
      </c>
      <c r="C4" s="127" t="inlineStr">
        <is>
          <t>1837 Tiffany Blue Conservation</t>
        </is>
      </c>
      <c r="D4" s="127" t="inlineStr">
        <is>
          <t>Tiffany &amp; Co.</t>
        </is>
      </c>
      <c r="E4" s="127" t="inlineStr">
        <is>
          <t>Tiffany &amp; Co.</t>
        </is>
      </c>
      <c r="F4" s="127" t="inlineStr">
        <is>
          <t>L&amp;C</t>
        </is>
      </c>
      <c r="G4" s="127" t="inlineStr">
        <is>
          <t>United States</t>
        </is>
      </c>
      <c r="H4" s="113" t="inlineStr">
        <is>
          <t>Sustainable Luxury</t>
        </is>
      </c>
      <c r="I4" s="128" t="inlineStr">
        <is>
          <t>https://ascentialcdn.filespin.io/api/v1/conversion/a9e8fdb5892d441587b7c4c55eb3d5fb</t>
        </is>
      </c>
      <c r="J4" s="127" t="inlineStr">
        <is>
          <t>_JhBOf0OJrQ</t>
        </is>
      </c>
      <c r="K4" s="127" t="n"/>
      <c r="L4" s="128" t="inlineStr">
        <is>
          <t>https://www.lovethework.com/work/entries/1837-tiffany-blue-conservation-758489</t>
        </is>
      </c>
      <c r="M4" s="113" t="inlineStr">
        <is>
          <t>A photography and awareness campaign built around the natural occurrence of Tiffany Blue® in ocean waters across Africa, Australia, and the Caribbean — documenting those specific bodies of water as living proof that the brand's signature color exists in nature. Created with L&amp;C New York, the work ties the 1837 founding color to ocean conservation by treating the shade itself as the thing worth protecting.</t>
        </is>
      </c>
      <c r="N4" s="113" t="inlineStr">
        <is>
          <t>luxury-jewelry, sustainability, photography, ocean-conservation, united-states, africa, australia, caribbean, brand-identity</t>
        </is>
      </c>
    </row>
    <row r="5">
      <c r="A5" s="127" t="n">
        <v>2025</v>
      </c>
      <c r="B5" s="133" t="inlineStr">
        <is>
          <t>Bronze</t>
        </is>
      </c>
      <c r="C5" s="127" t="inlineStr">
        <is>
          <t>Don't Call It Love</t>
        </is>
      </c>
      <c r="D5" s="127" t="inlineStr">
        <is>
          <t>Yves Saint Laurent Beaute</t>
        </is>
      </c>
      <c r="E5" s="127" t="inlineStr">
        <is>
          <t>Abuse Is Not Love</t>
        </is>
      </c>
      <c r="F5" s="127" t="inlineStr">
        <is>
          <t>BETC</t>
        </is>
      </c>
      <c r="G5" s="127" t="inlineStr">
        <is>
          <t>France</t>
        </is>
      </c>
      <c r="H5" s="113" t="inlineStr">
        <is>
          <t>Social Campaign</t>
        </is>
      </c>
      <c r="I5" s="128" t="inlineStr">
        <is>
          <t>https://ascentialcdn.filespin.io/api/v1/conversion/b28805c7458d487cbf93d349fcf83dd2</t>
        </is>
      </c>
      <c r="J5" s="127" t="inlineStr">
        <is>
          <t>eBnKDL57i7Y</t>
        </is>
      </c>
      <c r="K5" s="127" t="n"/>
      <c r="L5" s="128" t="inlineStr">
        <is>
          <t>https://www.lovethework.com/work/entries/dont-call-it-love-762992</t>
        </is>
      </c>
      <c r="M5" s="113" t="inlineStr">
        <is>
          <t>A campaign film shot in the style of a luxury perfume commercial — a seemingly idyllic Parisian romance — in which the warning signs of intimate partner abuse are embedded in plain sight throughout the footage. Created by BETC under YSL Beauty's Abuse Is Not Love program, it works from the premise that toxic relationship behavior is so normalized in film, music, advertising, and literature that audiences no longer register it as harm. Released for International Women's Day 2025.</t>
        </is>
      </c>
      <c r="N5" s="113" t="inlineStr">
        <is>
          <t>beauty, social-campaign, film, cinema, entertainment, domestic-violence, public-awareness, france, perfume, international-womens-day</t>
        </is>
      </c>
    </row>
    <row r="6">
      <c r="A6" s="127" t="n">
        <v>2025</v>
      </c>
      <c r="B6" s="133" t="inlineStr">
        <is>
          <t>Bronze</t>
        </is>
      </c>
      <c r="C6" s="127" t="inlineStr">
        <is>
          <t>Prada: Beyond the Line</t>
        </is>
      </c>
      <c r="D6" s="127" t="inlineStr">
        <is>
          <t>Prada Beauté</t>
        </is>
      </c>
      <c r="E6" s="127" t="inlineStr">
        <is>
          <t>Prada Luna Rossa Ocean</t>
        </is>
      </c>
      <c r="F6" s="127" t="inlineStr">
        <is>
          <t>McCANN</t>
        </is>
      </c>
      <c r="G6" s="127" t="inlineStr">
        <is>
          <t>France</t>
        </is>
      </c>
      <c r="H6" s="113" t="inlineStr">
        <is>
          <t>Brand Storytelling</t>
        </is>
      </c>
      <c r="I6" s="128" t="inlineStr">
        <is>
          <t>https://ascentialcdn.filespin.io/api/v1/conversion/d6d662c2af9b477e9d70359dc900be0f</t>
        </is>
      </c>
      <c r="J6" s="127" t="inlineStr">
        <is>
          <t>rXF9wl0BCWE</t>
        </is>
      </c>
      <c r="K6" s="127" t="n"/>
      <c r="L6" s="128" t="inlineStr">
        <is>
          <t>https://www.lovethework.com/work/entries/prada-beyond-the-line-758381</t>
        </is>
      </c>
      <c r="M6" s="113" t="inlineStr">
        <is>
          <t>To launch a fragrance inspired by Prada's decades-long connection to sailing, the brand rejected the polished fantasy of traditional perfume ads for something more real. Jake Gyllenhaal trained with the Luna Rossa Prada Pirelli team and took the helm of one of the fastest sailboats on Earth, turning the campaign into a raw nine-minute documentary and VR experience about performance under pressure.</t>
        </is>
      </c>
      <c r="N6" s="113" t="inlineStr">
        <is>
          <t>fragrance, personal-care, beauty, luxury, branded-content, sailing, sport, partnership, italy</t>
        </is>
      </c>
    </row>
    <row r="7">
      <c r="A7" s="127" t="n">
        <v>2025</v>
      </c>
      <c r="B7" s="133" t="inlineStr">
        <is>
          <t>Bronze</t>
        </is>
      </c>
      <c r="C7" s="127" t="inlineStr">
        <is>
          <t>The Everlasting Logo</t>
        </is>
      </c>
      <c r="D7" s="127" t="inlineStr">
        <is>
          <t>Bottega Veneta</t>
        </is>
      </c>
      <c r="E7" s="127" t="inlineStr">
        <is>
          <t>Bottega Veneta</t>
        </is>
      </c>
      <c r="F7" s="127" t="inlineStr">
        <is>
          <t>LePub</t>
        </is>
      </c>
      <c r="G7" s="127" t="inlineStr">
        <is>
          <t>Italy</t>
        </is>
      </c>
      <c r="H7" s="113" t="inlineStr">
        <is>
          <t>Experience</t>
        </is>
      </c>
      <c r="I7" s="128" t="inlineStr">
        <is>
          <t>https://ascentialcdn.filespin.io/api/v1/conversion/f0ac97dd3a4547da87ada6ad61058cc1</t>
        </is>
      </c>
      <c r="J7" s="127" t="inlineStr">
        <is>
          <t>ZzT1nS6DJqc</t>
        </is>
      </c>
      <c r="K7" s="127" t="n"/>
      <c r="L7" s="128" t="inlineStr">
        <is>
          <t>https://www.lovethework.com/work/entries/the-everlasting-logo-758398</t>
        </is>
      </c>
      <c r="M7" s="113" t="inlineStr">
        <is>
          <t>An installation at Shanghai's historic Rowing Club built from 20,000 copies of a poetry collection written specifically for the event by Chinese poet Yu Xiuhua — the stacked volumes arranged to form Bottega Veneta's logo. The books were both the structure and the distribution object, making the brand mark out of literature rather than signage.</t>
        </is>
      </c>
      <c r="N7" s="113" t="inlineStr">
        <is>
          <t>luxury-fashion, installation, experiential, china, publishing, ooh, branded-event</t>
        </is>
      </c>
    </row>
    <row r="8">
      <c r="A8" s="127" t="n">
        <v>2025</v>
      </c>
      <c r="B8" s="133" t="inlineStr">
        <is>
          <t>Bronze</t>
        </is>
      </c>
      <c r="C8" s="127" t="inlineStr">
        <is>
          <t>Loewe TikTok</t>
        </is>
      </c>
      <c r="D8" s="127" t="inlineStr">
        <is>
          <t>Loewe</t>
        </is>
      </c>
      <c r="E8" s="127" t="inlineStr">
        <is>
          <t>Loewe</t>
        </is>
      </c>
      <c r="F8" s="127" t="inlineStr">
        <is>
          <t>Loewe</t>
        </is>
      </c>
      <c r="G8" s="127" t="inlineStr">
        <is>
          <t>Spain</t>
        </is>
      </c>
      <c r="H8" s="113" t="inlineStr">
        <is>
          <t>Social Campaign</t>
        </is>
      </c>
      <c r="I8" s="128" t="inlineStr">
        <is>
          <t>https://ascentialcdn.filespin.io/api/v1/conversion/d2cfdb97c2fc40fd9ab74040e3daa0a2</t>
        </is>
      </c>
      <c r="J8" s="127" t="inlineStr">
        <is>
          <t>vimeo:1094660435</t>
        </is>
      </c>
      <c r="K8" s="127" t="n"/>
      <c r="L8" s="128" t="inlineStr">
        <is>
          <t>https://www.lovethework.com/work/entries/loewe-tiktok-762978</t>
        </is>
      </c>
      <c r="M8" s="113" t="inlineStr">
        <is>
          <t>Loewe rewrote the luxury TikTok playbook by trading polished product posts for creator-led content built on humor, authenticity and internet culture. By partnering with niche creators and joining trends without taking itself too seriously, the brand made luxury feel native to Gen Z's feed—and earned hundreds of millions of views in the process.</t>
        </is>
      </c>
      <c r="N8" s="113" t="inlineStr">
        <is>
          <t>fashion, luxury, social-media, tiktok, partnership, gen-z, creator-led, content-strategy, spain</t>
        </is>
      </c>
    </row>
    <row r="9">
      <c r="A9" s="33" t="n">
        <v>2026</v>
      </c>
      <c r="B9" s="160" t="inlineStr">
        <is>
          <t>Grand Prix</t>
        </is>
      </c>
      <c r="C9" s="33" t="inlineStr">
        <is>
          <t>Warmer Together</t>
        </is>
      </c>
      <c r="D9" s="33" t="inlineStr">
        <is>
          <t>Moncler</t>
        </is>
      </c>
      <c r="E9" s="33" t="inlineStr">
        <is>
          <t>Moncler Brand</t>
        </is>
      </c>
      <c r="F9" s="33" t="inlineStr">
        <is>
          <t>WeSayHi</t>
        </is>
      </c>
      <c r="G9" s="33" t="inlineStr">
        <is>
          <t>Malta</t>
        </is>
      </c>
      <c r="H9" s="33" t="inlineStr">
        <is>
          <t>360 Campaign</t>
        </is>
      </c>
      <c r="I9" s="33" t="inlineStr">
        <is>
          <t>https://ascentialcdn.filespin.io/api/v1/conversion/b8eb937a1ce14db590ba59f3ae732e79</t>
        </is>
      </c>
      <c r="J9" s="33" t="inlineStr">
        <is>
          <t>nelgWVfxDHk</t>
        </is>
      </c>
      <c r="L9" s="33" t="inlineStr">
        <is>
          <t>https://www.lovethework.com/work/entries/warmer-together-779901</t>
        </is>
      </c>
      <c r="M9" s="33" t="inlineStr">
        <is>
          <t>For Moncler, Maltese agency WeSayHi created 'Warmer Together,' a campaign that moved the idea of warmth away from outerwear and toward human connection. Built around a suite of five short films and black-and-white portraits photographed by Platon, it brought together longtime friends and cinema icons Al Pacino and Robert De Niro - their first shared campaign - for an intimate conversation at a single dark table, under the line 'warmth was never about the outside.'</t>
        </is>
      </c>
      <c r="N9" s="33" t="inlineStr">
        <is>
          <t>fashion, luxury, outerwear, apparel, branded-content, film, cinema, entertainment, short-film, celebrity, portrait-photography, brand-storytelling, malta, italy, grand-prix</t>
        </is>
      </c>
    </row>
    <row r="10">
      <c r="A10" s="33" t="n">
        <v>2026</v>
      </c>
      <c r="B10" s="161" t="inlineStr">
        <is>
          <t>Gold</t>
        </is>
      </c>
      <c r="C10" s="33" t="inlineStr">
        <is>
          <t>Tiffany &amp; Co. x Netflix's Frankenstein</t>
        </is>
      </c>
      <c r="D10" s="33" t="inlineStr">
        <is>
          <t>Tiffany &amp; Co.</t>
        </is>
      </c>
      <c r="E10" s="33" t="inlineStr">
        <is>
          <t>Tiffany &amp; Co. Jewelry &amp; Guillermo del Toro's Frankenstein</t>
        </is>
      </c>
      <c r="F10" s="33" t="inlineStr">
        <is>
          <t>Tiffany &amp; Co. + Netflix</t>
        </is>
      </c>
      <c r="G10" s="33" t="inlineStr">
        <is>
          <t>United States</t>
        </is>
      </c>
      <c r="H10" s="33" t="inlineStr">
        <is>
          <t>Partnerships/Collaborations</t>
        </is>
      </c>
      <c r="I10" s="33" t="inlineStr">
        <is>
          <t>https://ascentialcdn.filespin.io/api/v1/conversion/56d1948d426b47c1a0218abf48e1308c</t>
        </is>
      </c>
      <c r="L10" s="33" t="inlineStr">
        <is>
          <t>https://www.lovethework.com/work/entries/tiffany-co-x-netflixs-frankenstein-776709</t>
        </is>
      </c>
      <c r="M10" s="33" t="inlineStr">
        <is>
          <t>Tiffany &amp; Co. became the first luxury jeweller to partner with Netflix, working with Guillermo del Toro and costume designer Kate Hawley so that jewelry functioned as narrative rather than decoration in his film Frankenstein. The integrated partnership extended into content, window displays at Tiffany's New York Landmark store, and a costume exhibition.</t>
        </is>
      </c>
      <c r="N10" s="33" t="inlineStr">
        <is>
          <t>tiffany and co, jewelry, jewellery, luxury, fashion, retail, united states, netflix, frankenstein, guillermo del toro, film, cinema, entertainment, movie, brand partnership, collaboration, silver</t>
        </is>
      </c>
    </row>
    <row r="11">
      <c r="A11" s="33" t="n">
        <v>2026</v>
      </c>
      <c r="B11" s="162" t="inlineStr">
        <is>
          <t>Silver</t>
        </is>
      </c>
      <c r="C11" s="33" t="inlineStr">
        <is>
          <t>Code for the Protection and Inclusion of Black Consumers</t>
        </is>
      </c>
      <c r="D11" s="33" t="inlineStr">
        <is>
          <t>L'Oreal Luxe</t>
        </is>
      </c>
      <c r="E11" s="33" t="inlineStr">
        <is>
          <t>Afroluxe</t>
        </is>
      </c>
      <c r="F11" s="33" t="inlineStr">
        <is>
          <t>Beta Collective</t>
        </is>
      </c>
      <c r="G11" s="33" t="inlineStr">
        <is>
          <t>Brazil</t>
        </is>
      </c>
      <c r="H11" s="33" t="inlineStr">
        <is>
          <t>Diversity, Equity &amp; Inclusion</t>
        </is>
      </c>
      <c r="I11" s="33" t="inlineStr">
        <is>
          <t>https://ascentialcdn.filespin.io/api/v1/conversion/190b0c7b4ddb4beba117cdd69bd21a71</t>
        </is>
      </c>
      <c r="J11" s="33" t="inlineStr">
        <is>
          <t>IxltEOZhPpU</t>
        </is>
      </c>
      <c r="L11" s="33" t="inlineStr">
        <is>
          <t>https://www.lovethework.com/work/entries/code-for-the-protection-and-inclusion-of-black-consumers-792560</t>
        </is>
      </c>
      <c r="M11" s="33" t="inlineStr">
        <is>
          <t>For L'Oreal Luxe's Afroluxe program, Beta Collective turned research into a governance tool. Building on a commissioned study of racism in the luxury beauty retail market - which catalogued the discriminatory practices Black consumers face across the shopping journey - the agency authored a Code of Conduct: a set of self-regulatory standards for the sector covering in-store treatment and the requirement to stock products that meet the needs of Black consumers, such as a full range of skin tones and hair types. The Code reframes inclusion as an operating standard the luxury market is asked to adopt.</t>
        </is>
      </c>
      <c r="N11" s="33" t="inlineStr">
        <is>
          <t>loreal, l'oreal-luxe, afroluxe, beauty, cosmetics, personal-care, luxury, retail, diversity, inclusion, anti-racism, dei, code-of-conduct, brazil, beta-collective, brand-purpose</t>
        </is>
      </c>
    </row>
    <row r="12">
      <c r="A12" s="33" t="n">
        <v>2026</v>
      </c>
      <c r="B12" s="163" t="inlineStr">
        <is>
          <t>Bronze</t>
        </is>
      </c>
      <c r="C12" s="33" t="inlineStr">
        <is>
          <t>Owners Reunions</t>
        </is>
      </c>
      <c r="D12" s="33" t="inlineStr">
        <is>
          <t>Porsche Latin American</t>
        </is>
      </c>
      <c r="E12" s="33" t="inlineStr">
        <is>
          <t>Porsche</t>
        </is>
      </c>
      <c r="F12" s="33" t="inlineStr">
        <is>
          <t>The Community</t>
        </is>
      </c>
      <c r="G12" s="33" t="inlineStr">
        <is>
          <t>United States</t>
        </is>
      </c>
      <c r="H12" s="33" t="inlineStr">
        <is>
          <t>Brand Storytelling</t>
        </is>
      </c>
      <c r="I12" s="33" t="inlineStr">
        <is>
          <t>https://ascentialcdn.filespin.io/api/v1/conversion/855253d2a56a42c596920615ef7d65e8</t>
        </is>
      </c>
      <c r="J12" s="33" t="inlineStr">
        <is>
          <t>vimeo:1187065311</t>
        </is>
      </c>
      <c r="L12" s="33" t="inlineStr">
        <is>
          <t>https://www.lovethework.com/work/entries/owners-reunions-792528</t>
        </is>
      </c>
      <c r="M12" s="33" t="inlineStr">
        <is>
          <t>For Porsche Latin America, The Community, Miami created 'Owners Reunions,' a brand-storytelling series that followed three classic Porsche models across Mexico, Colombia and Peru to reunite the different owners who had shared the same car across generations. By tracing each vehicle's chain of custody, the work framed a Porsche as a thread connecting strangers' lives and legacies - showing that even as the hands at the wheel change, the story and the bond endure.</t>
        </is>
      </c>
      <c r="N12" s="33" t="inlineStr">
        <is>
          <t>automotive, cars, transport, luxury, sports-car, porsche, brand-storytelling, branded-content, community, heritage, legacy, latin-america, united-states, bronze</t>
        </is>
      </c>
    </row>
    <row r="13">
      <c r="A13" s="33" t="n">
        <v>2026</v>
      </c>
      <c r="B13" s="163" t="inlineStr">
        <is>
          <t>Bronze</t>
        </is>
      </c>
      <c r="C13" s="33" t="inlineStr">
        <is>
          <t>Born in Roma Rendez-Vous Ivory Collection / Studio 54 Experience</t>
        </is>
      </c>
      <c r="D13" s="33" t="inlineStr">
        <is>
          <t>Valentino Beauty</t>
        </is>
      </c>
      <c r="E13" s="33" t="inlineStr">
        <is>
          <t>Born in Roma Rendez-Vous Ivory Collection</t>
        </is>
      </c>
      <c r="F13" s="33" t="inlineStr">
        <is>
          <t>Maison BETC</t>
        </is>
      </c>
      <c r="G13" s="33" t="inlineStr">
        <is>
          <t>France</t>
        </is>
      </c>
      <c r="H13" s="33" t="inlineStr">
        <is>
          <t>Experience</t>
        </is>
      </c>
      <c r="I13" s="33" t="inlineStr">
        <is>
          <t>https://ascentialcdn.filespin.io/api/v1/conversion/6b37041cd4614d4d87e34ddb2d2c16ec</t>
        </is>
      </c>
      <c r="J13" s="33" t="inlineStr">
        <is>
          <t>eWUEiYyA7Ug</t>
        </is>
      </c>
      <c r="L13" s="33" t="inlineStr">
        <is>
          <t>https://www.lovethework.com/work/entries/born-in-roma-rendez-vous-ivory-collection-studio-54-experience-775628</t>
        </is>
      </c>
      <c r="M13" s="33" t="inlineStr">
        <is>
          <t>To launch Valentino Beauty's limited-edition Born in Roma Rendez-Vous Ivory fragrance collection, Maison BETC, Paris revived the original Studio 54 for a single invitation-only night. The brand reopened the legendary New York nightclub with ivory-and-gold styling and nods to its disco-era heyday, gathering beauty and fashion insiders, Studio 54 veterans and friends of the House so the product debut became a live cultural experience rather than a conventional launch event.</t>
        </is>
      </c>
      <c r="N13" s="33" t="inlineStr">
        <is>
          <t>beauty, fragrance, personal-care, perfume, cosmetics, luxury, experiential, event, brand-experience, nightlife, studio-54, fashion, france, valentino, bronze</t>
        </is>
      </c>
    </row>
  </sheetData>
  <autoFilter ref="A1:N8"/>
  <hyperlinks>
    <hyperlink xmlns:r="http://schemas.openxmlformats.org/officeDocument/2006/relationships" ref="I2" r:id="rId1"/>
    <hyperlink xmlns:r="http://schemas.openxmlformats.org/officeDocument/2006/relationships" ref="L2" r:id="rId2"/>
    <hyperlink xmlns:r="http://schemas.openxmlformats.org/officeDocument/2006/relationships" ref="I3" r:id="rId3"/>
    <hyperlink xmlns:r="http://schemas.openxmlformats.org/officeDocument/2006/relationships" ref="L3" r:id="rId4"/>
    <hyperlink xmlns:r="http://schemas.openxmlformats.org/officeDocument/2006/relationships" ref="I4" r:id="rId5"/>
    <hyperlink xmlns:r="http://schemas.openxmlformats.org/officeDocument/2006/relationships" ref="L4" r:id="rId6"/>
    <hyperlink xmlns:r="http://schemas.openxmlformats.org/officeDocument/2006/relationships" ref="I5" r:id="rId7"/>
    <hyperlink xmlns:r="http://schemas.openxmlformats.org/officeDocument/2006/relationships" ref="L5" r:id="rId8"/>
    <hyperlink xmlns:r="http://schemas.openxmlformats.org/officeDocument/2006/relationships" ref="I6" r:id="rId9"/>
    <hyperlink xmlns:r="http://schemas.openxmlformats.org/officeDocument/2006/relationships" ref="L6" r:id="rId10"/>
    <hyperlink xmlns:r="http://schemas.openxmlformats.org/officeDocument/2006/relationships" ref="I7" r:id="rId11"/>
    <hyperlink xmlns:r="http://schemas.openxmlformats.org/officeDocument/2006/relationships" ref="L7" r:id="rId12"/>
    <hyperlink xmlns:r="http://schemas.openxmlformats.org/officeDocument/2006/relationships" ref="I8" r:id="rId13"/>
    <hyperlink xmlns:r="http://schemas.openxmlformats.org/officeDocument/2006/relationships" ref="L8" r:id="rId14"/>
    <hyperlink xmlns:r="http://schemas.openxmlformats.org/officeDocument/2006/relationships" ref="I9" r:id="rId15"/>
    <hyperlink xmlns:r="http://schemas.openxmlformats.org/officeDocument/2006/relationships" ref="L9" r:id="rId16"/>
    <hyperlink xmlns:r="http://schemas.openxmlformats.org/officeDocument/2006/relationships" ref="I10" r:id="rId17"/>
    <hyperlink xmlns:r="http://schemas.openxmlformats.org/officeDocument/2006/relationships" ref="L10" r:id="rId18"/>
    <hyperlink xmlns:r="http://schemas.openxmlformats.org/officeDocument/2006/relationships" ref="I11" r:id="rId19"/>
    <hyperlink xmlns:r="http://schemas.openxmlformats.org/officeDocument/2006/relationships" ref="L11" r:id="rId20"/>
    <hyperlink xmlns:r="http://schemas.openxmlformats.org/officeDocument/2006/relationships" ref="I12" r:id="rId21"/>
    <hyperlink xmlns:r="http://schemas.openxmlformats.org/officeDocument/2006/relationships" ref="L12" r:id="rId22"/>
    <hyperlink xmlns:r="http://schemas.openxmlformats.org/officeDocument/2006/relationships" ref="I13" r:id="rId23"/>
    <hyperlink xmlns:r="http://schemas.openxmlformats.org/officeDocument/2006/relationships" ref="L13" r:id="rId24"/>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N14"/>
  <sheetViews>
    <sheetView workbookViewId="0">
      <pane ySplit="1" topLeftCell="A2" activePane="bottomLeft" state="frozen"/>
      <selection pane="bottomLeft" activeCell="A1" sqref="A1"/>
    </sheetView>
  </sheetViews>
  <sheetFormatPr baseColWidth="8" defaultRowHeight="15"/>
  <cols>
    <col width="6" customWidth="1" style="34" min="1" max="1"/>
    <col width="16" customWidth="1" style="34" min="2" max="2"/>
    <col width="34" customWidth="1" style="34" min="3" max="3"/>
    <col width="22" customWidth="1" style="34" min="4" max="4"/>
    <col width="26" customWidth="1" style="34" min="5" max="5"/>
    <col width="28" customWidth="1" style="34" min="6" max="6"/>
    <col width="16" customWidth="1" style="34" min="7" max="7"/>
    <col width="34" customWidth="1" style="34" min="8" max="8"/>
    <col width="18" customWidth="1" style="34" min="9" max="9"/>
    <col width="16" customWidth="1" style="34" min="10" max="10"/>
    <col width="22" customWidth="1" style="34" min="11" max="11"/>
    <col hidden="1" width="20" customWidth="1" style="34" min="12" max="12"/>
    <col width="60" customWidth="1" style="34" min="13" max="13"/>
    <col width="40" customWidth="1" style="34" min="14" max="14"/>
  </cols>
  <sheetData>
    <row r="1" ht="22" customHeight="1" s="34">
      <c r="A1" s="122" t="inlineStr">
        <is>
          <t>Year</t>
        </is>
      </c>
      <c r="B1" s="122" t="inlineStr">
        <is>
          <t>Tier</t>
        </is>
      </c>
      <c r="C1" s="122" t="inlineStr">
        <is>
          <t>Campaign</t>
        </is>
      </c>
      <c r="D1" s="122" t="inlineStr">
        <is>
          <t>Brand</t>
        </is>
      </c>
      <c r="E1" s="122" t="inlineStr">
        <is>
          <t>Product/Service</t>
        </is>
      </c>
      <c r="F1" s="122" t="inlineStr">
        <is>
          <t>Agency</t>
        </is>
      </c>
      <c r="G1" s="122" t="inlineStr">
        <is>
          <t>Country</t>
        </is>
      </c>
      <c r="H1" s="122" t="inlineStr">
        <is>
          <t>Subcategory</t>
        </is>
      </c>
      <c r="I1" s="122" t="inlineStr">
        <is>
          <t>Image URL</t>
        </is>
      </c>
      <c r="J1" s="122" t="inlineStr">
        <is>
          <t>YouTube ID</t>
        </is>
      </c>
      <c r="K1" s="122" t="inlineStr">
        <is>
          <t>Campaign Group</t>
        </is>
      </c>
      <c r="L1" s="122" t="inlineStr">
        <is>
          <t>Entry URL</t>
        </is>
      </c>
      <c r="M1" s="122" t="inlineStr">
        <is>
          <t>Description</t>
        </is>
      </c>
      <c r="N1" s="122" t="inlineStr">
        <is>
          <t>Keywords</t>
        </is>
      </c>
    </row>
    <row r="2">
      <c r="A2" s="127" t="n">
        <v>2025</v>
      </c>
      <c r="B2" s="139" t="inlineStr">
        <is>
          <t>Grand Prix</t>
        </is>
      </c>
      <c r="C2" s="127" t="inlineStr">
        <is>
          <t>Real Beauty: How a Soap Brand Created a Global Self-Esteem Movement</t>
        </is>
      </c>
      <c r="D2" s="127" t="inlineStr">
        <is>
          <t>Dove</t>
        </is>
      </c>
      <c r="E2" s="127" t="inlineStr">
        <is>
          <t>Dove</t>
        </is>
      </c>
      <c r="F2" s="127" t="inlineStr">
        <is>
          <t>Ogilvy UK</t>
        </is>
      </c>
      <c r="G2" s="127" t="inlineStr">
        <is>
          <t>United Kingdom</t>
        </is>
      </c>
      <c r="H2" s="113" t="inlineStr">
        <is>
          <t>Long-Term Brand Platform</t>
        </is>
      </c>
      <c r="I2" s="128" t="inlineStr">
        <is>
          <t>https://ascentialcdn.filespin.io/api/v1/conversion/f68a5a2f3d844f2b9e241462ec640c44</t>
        </is>
      </c>
      <c r="J2" s="127" t="inlineStr">
        <is>
          <t>puQ0PNZ1W-A</t>
        </is>
      </c>
      <c r="K2" s="127" t="n"/>
      <c r="L2" s="128" t="inlineStr">
        <is>
          <t>https://www.lovethework.com/work/entries/real-beauty-how-a-soap-brand-created-a-global-self-esteem-movement-754479</t>
        </is>
      </c>
      <c r="M2" s="113" t="inlineStr">
        <is>
          <t>A long-term brand platform Ogilvy UK built for Dove over more than two decades, beginning with the 2004 "Real Beauty" campaign and expanding into a structured self-esteem education program delivered through schools, social media, and partnerships with organizations including the World Association of Girl Guides and Girl Scouts. The platform is rooted in research showing that the majority of women and girls opt out of activities — job applications, social situations, medical appointments — when they feel bad about their appearance, and it ties Dove's product positioning directly to a publicly stated goal of reaching young people with body-confidence curricula before those behaviors take hold.</t>
        </is>
      </c>
      <c r="N2" s="113" t="inlineStr">
        <is>
          <t>personal-care, long-term-platform, ooh, social-media, self-esteem, united-kingdom, united-states, education, brand-purpose</t>
        </is>
      </c>
    </row>
    <row r="3">
      <c r="A3" s="127" t="n">
        <v>2025</v>
      </c>
      <c r="B3" s="140" t="inlineStr">
        <is>
          <t>Gold</t>
        </is>
      </c>
      <c r="C3" s="127" t="inlineStr">
        <is>
          <t>Heralbony</t>
        </is>
      </c>
      <c r="D3" s="127" t="inlineStr">
        <is>
          <t>Heralbony, Heralbony Co.</t>
        </is>
      </c>
      <c r="E3" s="127" t="inlineStr">
        <is>
          <t>Heralbony</t>
        </is>
      </c>
      <c r="F3" s="127" t="inlineStr">
        <is>
          <t>Ltd.</t>
        </is>
      </c>
      <c r="G3" s="127" t="inlineStr">
        <is>
          <t>Japan</t>
        </is>
      </c>
      <c r="H3" s="113" t="inlineStr">
        <is>
          <t>Product/Service</t>
        </is>
      </c>
      <c r="I3" s="128" t="inlineStr">
        <is>
          <t>https://ascentialcdn.filespin.io/api/v1/conversion/88e24a7cf24b40a590af455059ceeaf9</t>
        </is>
      </c>
      <c r="J3" s="127" t="inlineStr">
        <is>
          <t>3ur8Gor_h-4</t>
        </is>
      </c>
      <c r="K3" s="127" t="n"/>
      <c r="L3" s="128" t="inlineStr">
        <is>
          <t>https://www.lovethework.com/work/entries/heralbony-754170</t>
        </is>
      </c>
      <c r="M3" s="113" t="inlineStr">
        <is>
          <t>A Japanese agency that exclusively represents artists with intellectual disabilities, licensing their artwork to brands, fashion labels, and public spaces to generate professional income for the artists. Founded on the belief that the mainstream art and licensing industry structurally excludes people with intellectual disabilities, HERALBONY operates as both a for-profit company and a channel that routes commercial art deals directly back to the artists who created the work.</t>
        </is>
      </c>
      <c r="N3" s="113" t="inlineStr">
        <is>
          <t>art-licensing, disability-inclusion, social-enterprise, japan, product-service, diversity</t>
        </is>
      </c>
    </row>
    <row r="4">
      <c r="A4" s="127" t="n">
        <v>2025</v>
      </c>
      <c r="B4" s="132" t="inlineStr">
        <is>
          <t>Silver</t>
        </is>
      </c>
      <c r="C4" s="127" t="inlineStr">
        <is>
          <t>The Pen to Right History</t>
        </is>
      </c>
      <c r="D4" s="127" t="inlineStr">
        <is>
          <t>Last Prisoner Project</t>
        </is>
      </c>
      <c r="E4" s="127" t="inlineStr">
        <is>
          <t>Non-For-Profit</t>
        </is>
      </c>
      <c r="F4" s="127" t="inlineStr">
        <is>
          <t>McCANN</t>
        </is>
      </c>
      <c r="G4" s="127" t="inlineStr">
        <is>
          <t>United States</t>
        </is>
      </c>
      <c r="H4" s="113" t="inlineStr">
        <is>
          <t>Initiatives</t>
        </is>
      </c>
      <c r="I4" s="128" t="inlineStr">
        <is>
          <t>https://ascentialcdn.filespin.io/api/v1/conversion/5c13816c86fa4023933a56ac6d5c3593</t>
        </is>
      </c>
      <c r="J4" s="127" t="inlineStr">
        <is>
          <t>SDME83-pHnQ</t>
        </is>
      </c>
      <c r="K4" s="127" t="n"/>
      <c r="L4" s="128" t="inlineStr">
        <is>
          <t>https://www.lovethework.com/work/entries/the-pen-to-right-history-762088</t>
        </is>
      </c>
      <c r="M4" s="113" t="inlineStr">
        <is>
          <t>A physical pen crafted from documents — real incarceration records, clemency pleas, and public calls for reform — and presented to elected officials who hold the power to release people serving time for non-violent cannabis convictions with a single signature. Developed by McCann New York for the Last Prisoner Project, the object functions as a non-partisan symbol of the gap between the ease of granting clemency and the reality of those still incarcerated after widespread cannabis legalization.</t>
        </is>
      </c>
      <c r="N4" s="113" t="inlineStr">
        <is>
          <t>non-profit, public-service, cannabis-justice, clemency, experiential, direct, united-states, social-justice, craft-object</t>
        </is>
      </c>
    </row>
    <row r="5">
      <c r="A5" s="127" t="n">
        <v>2025</v>
      </c>
      <c r="B5" s="132" t="inlineStr">
        <is>
          <t>Silver</t>
        </is>
      </c>
      <c r="C5" s="127" t="inlineStr">
        <is>
          <t>AXA - Three Words</t>
        </is>
      </c>
      <c r="D5" s="127" t="inlineStr">
        <is>
          <t>AXA</t>
        </is>
      </c>
      <c r="E5" s="127" t="inlineStr">
        <is>
          <t>Insurance</t>
        </is>
      </c>
      <c r="F5" s="127" t="inlineStr">
        <is>
          <t>Publicis Conseil</t>
        </is>
      </c>
      <c r="G5" s="127" t="inlineStr">
        <is>
          <t>France</t>
        </is>
      </c>
      <c r="H5" s="113" t="inlineStr">
        <is>
          <t>Product/Service</t>
        </is>
      </c>
      <c r="I5" s="128" t="inlineStr">
        <is>
          <t>https://ascentialcdn.filespin.io/api/v1/conversion/e1a85ff134e545c7b049791151432028</t>
        </is>
      </c>
      <c r="J5" s="127" t="inlineStr">
        <is>
          <t>pY-03zuV7mE</t>
        </is>
      </c>
      <c r="K5" s="127" t="n"/>
      <c r="L5" s="128" t="inlineStr">
        <is>
          <t>https://www.lovethework.com/work/entries/axa-three-words-754295</t>
        </is>
      </c>
      <c r="M5" s="113" t="inlineStr">
        <is>
          <t>AXA turned home insurance into a tool for escape by adding three words—“and domestic violence”—to its policies, making abuse a covered risk alongside fire and flood. The change gave victims emergency relocation support at no extra cost, updating 2.5 million contracts and helping women leave the most dangerous place they may face: their own home.</t>
        </is>
      </c>
      <c r="N5" s="113" t="inlineStr">
        <is>
          <t>insurance, financial-services, finance, france, domestic-violence, public-service, digital-platform, consumer-services, housing, publicis-conseil</t>
        </is>
      </c>
    </row>
    <row r="6">
      <c r="A6" s="127" t="n">
        <v>2025</v>
      </c>
      <c r="B6" s="133" t="inlineStr">
        <is>
          <t>Bronze</t>
        </is>
      </c>
      <c r="C6" s="127" t="inlineStr">
        <is>
          <t>Dove Love Your Hair</t>
        </is>
      </c>
      <c r="D6" s="127" t="inlineStr">
        <is>
          <t>Unilever</t>
        </is>
      </c>
      <c r="E6" s="127" t="inlineStr">
        <is>
          <t>Dove Hair Care</t>
        </is>
      </c>
      <c r="F6" s="127" t="inlineStr">
        <is>
          <t>Edelman</t>
        </is>
      </c>
      <c r="G6" s="127" t="inlineStr">
        <is>
          <t>United States</t>
        </is>
      </c>
      <c r="H6" s="113" t="inlineStr">
        <is>
          <t>Long-Term Brand Platform</t>
        </is>
      </c>
      <c r="I6" s="128" t="inlineStr">
        <is>
          <t>https://ascentialcdn.filespin.io/api/v1/conversion/bb0973df9f0d4e1e83e3c9ef7dc4d714</t>
        </is>
      </c>
      <c r="J6" s="127" t="inlineStr">
        <is>
          <t>vimeo:1093399067</t>
        </is>
      </c>
      <c r="K6" s="127" t="n"/>
      <c r="L6" s="128" t="inlineStr">
        <is>
          <t>https://www.lovethework.com/work/entries/dove-love-your-hair-760237</t>
        </is>
      </c>
      <c r="M6" s="113" t="inlineStr">
        <is>
          <t>A long-term brand platform from Dove Hair Care and Edelman that extended Dove's self-esteem positioning into the hair care aisle, encouraging women to embrace and care for their natural hair rather than conform to narrow standards of beauty. The platform combined product launches under the Love Your Hair collection — with tailored formulas for natural, color-treated, short, and long hair — with PR-led media relations, sweepstakes, and branded events in the United States.</t>
        </is>
      </c>
      <c r="N6" s="113" t="inlineStr">
        <is>
          <t>hair-care, brand-platform, public-relations, beauty, united-states, integrated-campaign, events, self-esteem</t>
        </is>
      </c>
    </row>
    <row r="7">
      <c r="A7" s="127" t="n">
        <v>2025</v>
      </c>
      <c r="B7" s="133" t="inlineStr">
        <is>
          <t>Bronze</t>
        </is>
      </c>
      <c r="C7" s="127" t="inlineStr">
        <is>
          <t>Livefearless</t>
        </is>
      </c>
      <c r="D7" s="127" t="inlineStr">
        <is>
          <t>Bodyform</t>
        </is>
      </c>
      <c r="E7" s="127" t="inlineStr">
        <is>
          <t>Bodyform</t>
        </is>
      </c>
      <c r="F7" s="127" t="inlineStr">
        <is>
          <t>AMV BBDO</t>
        </is>
      </c>
      <c r="G7" s="127" t="inlineStr">
        <is>
          <t>United Kingdom</t>
        </is>
      </c>
      <c r="H7" s="113" t="inlineStr">
        <is>
          <t>Long-Term Brand Platform</t>
        </is>
      </c>
      <c r="I7" s="128" t="inlineStr">
        <is>
          <t>https://ascentialcdn.filespin.io/api/v1/conversion/fdf9d053919448b2bf6bc7e2604789c5</t>
        </is>
      </c>
      <c r="J7" s="127" t="inlineStr">
        <is>
          <t>vimeo:1093400188</t>
        </is>
      </c>
      <c r="K7" s="127" t="n"/>
      <c r="L7" s="128" t="inlineStr">
        <is>
          <t>https://www.lovethework.com/work/entries/livefearless-754488</t>
        </is>
      </c>
      <c r="M7" s="113" t="inlineStr">
        <is>
          <t>A long-term brand platform from Bodyform and AMV BBDO built around social media content encouraging women to pursue physically active, risk-taking lives without letting their periods hold them back. The platform ran across multiple campaign waves — including a second iteration launched in 2015 — using real women's stories to challenge the convention of period advertising that portrays menstruation as a time for quiet retreat.</t>
        </is>
      </c>
      <c r="N7" s="113" t="inlineStr">
        <is>
          <t>feminine-hygiene, long-term-platform, social-media, united-kingdom, womens-health, film, cinema, entertainment, amv-bbdo</t>
        </is>
      </c>
    </row>
    <row r="8">
      <c r="A8" s="127" t="n">
        <v>2025</v>
      </c>
      <c r="B8" s="133" t="inlineStr">
        <is>
          <t>Bronze</t>
        </is>
      </c>
      <c r="C8" s="127" t="inlineStr">
        <is>
          <t>Her Dome</t>
        </is>
      </c>
      <c r="D8" s="127" t="inlineStr">
        <is>
          <t>Government of the State of Sao Paulo</t>
        </is>
      </c>
      <c r="E8" s="127" t="inlineStr">
        <is>
          <t>Government of the State of São Paulo - Women's Safety</t>
        </is>
      </c>
      <c r="F8" s="127" t="inlineStr">
        <is>
          <t>DPZ</t>
        </is>
      </c>
      <c r="G8" s="127" t="inlineStr">
        <is>
          <t>Brazil</t>
        </is>
      </c>
      <c r="H8" s="113" t="inlineStr">
        <is>
          <t>Technology</t>
        </is>
      </c>
      <c r="I8" s="128" t="inlineStr">
        <is>
          <t>https://ascentialcdn.filespin.io/api/v1/conversion/785860d791fe410495aecad052809d64</t>
        </is>
      </c>
      <c r="J8" s="127" t="inlineStr">
        <is>
          <t>vimeo:1093399045</t>
        </is>
      </c>
      <c r="K8" s="127" t="n"/>
      <c r="L8" s="128" t="inlineStr">
        <is>
          <t>https://www.lovethework.com/work/entries/her-dome-754187</t>
        </is>
      </c>
      <c r="M8" s="113" t="inlineStr">
        <is>
          <t>A geofenced mobile safety system built by DPZ for the Government of São Paulo that creates a virtual "dome" around women who activate it — triggering location-based alerts to trusted contacts and authorities if the user doesn't check in or signals distress. Part of the broader SP por Todas movement, launched in 2024 to give visibility to São Paulo's public policies on women's protection and autonomy.</t>
        </is>
      </c>
      <c r="N8" s="113" t="inlineStr">
        <is>
          <t>government, womens-safety, mobile-app, geofencing, technology, public-service, brazil, location-based</t>
        </is>
      </c>
    </row>
    <row r="9">
      <c r="A9" s="127" t="n">
        <v>2025</v>
      </c>
      <c r="B9" s="133" t="inlineStr">
        <is>
          <t>Bronze</t>
        </is>
      </c>
      <c r="C9" s="127" t="inlineStr">
        <is>
          <t>Grad in Black</t>
        </is>
      </c>
      <c r="D9" s="127" t="inlineStr">
        <is>
          <t>Vult</t>
        </is>
      </c>
      <c r="E9" s="127" t="inlineStr">
        <is>
          <t>Hair Product Line</t>
        </is>
      </c>
      <c r="F9" s="127" t="inlineStr">
        <is>
          <t>Gut</t>
        </is>
      </c>
      <c r="G9" s="127" t="inlineStr">
        <is>
          <t>Brazil</t>
        </is>
      </c>
      <c r="H9" s="113" t="inlineStr">
        <is>
          <t>Product/Service</t>
        </is>
      </c>
      <c r="I9" s="128" t="inlineStr">
        <is>
          <t>https://ascentialcdn.filespin.io/api/v1/conversion/2488030bdfa840c99e3568fe7b1001d2</t>
        </is>
      </c>
      <c r="J9" s="127" t="inlineStr">
        <is>
          <t>vimeo:1033200856</t>
        </is>
      </c>
      <c r="K9" s="127" t="n"/>
      <c r="L9" s="128" t="inlineStr">
        <is>
          <t>https://www.lovethework.com/work/entries/grad-in-black-762134</t>
        </is>
      </c>
      <c r="M9" s="113" t="inlineStr">
        <is>
          <t>Four graduation cap models redesigned by Vult to fit natural Black hairstyles — locs, afros, braids, and twists — distributed to graduating students in Brazil, where 48% of college students are Black but the standard cap was never shaped to accommodate their hair. The caps were produced and released as a product line by Vult, the leading shampoo brand for Black hair in Brazil, developed with GUT São Paulo.</t>
        </is>
      </c>
      <c r="N9" s="113" t="inlineStr">
        <is>
          <t>hair-product, product-design, brazil, black-culture, graduation, inclusion, packaging, gut-sao-paulo</t>
        </is>
      </c>
    </row>
    <row r="10">
      <c r="A10" s="33" t="n">
        <v>2026</v>
      </c>
      <c r="B10" s="33" t="inlineStr">
        <is>
          <t>Grand Prix</t>
        </is>
      </c>
      <c r="C10" s="33" t="inlineStr">
        <is>
          <t>Nigrum Corpus</t>
        </is>
      </c>
      <c r="D10" s="33" t="inlineStr">
        <is>
          <t>Idomed &amp; Instituto Yduqs</t>
        </is>
      </c>
      <c r="E10" s="33" t="inlineStr">
        <is>
          <t>Nigrum Corpus</t>
        </is>
      </c>
      <c r="F10" s="33" t="inlineStr">
        <is>
          <t>Artplan</t>
        </is>
      </c>
      <c r="G10" s="33" t="inlineStr">
        <is>
          <t>Brazil</t>
        </is>
      </c>
      <c r="H10" s="33" t="inlineStr">
        <is>
          <t>Product/Service</t>
        </is>
      </c>
      <c r="I10" s="33" t="inlineStr">
        <is>
          <t>https://ascentialcdn.filespin.io/api/v1/conversion/22a7eb509ec84618b257e2e268af5e44</t>
        </is>
      </c>
      <c r="J10" s="33" t="inlineStr"/>
      <c r="K10" s="33" t="inlineStr"/>
      <c r="L10" s="33" t="inlineStr">
        <is>
          <t>https://www.lovethework.com/work/entries/nigrum-corpus-779368</t>
        </is>
      </c>
      <c r="M10" s="33" t="inlineStr">
        <is>
          <t>A project for medical educator Idomed and Instituto Yduqs by Artplan that confronts racism in Brazilian medicine. Inspired by classical anatomical manuals, it presents twenty fictional 'diseases' built from real testimonies of discrimination experienced by Black patients, alongside a book studying racism in medical practice.</t>
        </is>
      </c>
      <c r="N10" s="33" t="inlineStr">
        <is>
          <t>idomed, instituto yduqs, education, medical education, healthcare, medicine, brazil, racism, racial equity, diversity, inclusion, black patients, anatomy, book, publishing, purpose, data, artplan, bronze</t>
        </is>
      </c>
    </row>
    <row r="11">
      <c r="A11" s="33" t="n">
        <v>2026</v>
      </c>
      <c r="B11" s="33" t="inlineStr">
        <is>
          <t>Gold</t>
        </is>
      </c>
      <c r="C11" s="33" t="inlineStr">
        <is>
          <t>The Māori Roll Call</t>
        </is>
      </c>
      <c r="D11" s="33" t="inlineStr">
        <is>
          <t>Whānau Ora</t>
        </is>
      </c>
      <c r="E11" s="33" t="inlineStr">
        <is>
          <t>Whānau Ora</t>
        </is>
      </c>
      <c r="F11" s="33" t="inlineStr">
        <is>
          <t>Motion Sickness</t>
        </is>
      </c>
      <c r="G11" s="33" t="inlineStr">
        <is>
          <t>New Zealand</t>
        </is>
      </c>
      <c r="H11" s="33" t="inlineStr">
        <is>
          <t>Initiatives</t>
        </is>
      </c>
      <c r="I11" s="33" t="inlineStr">
        <is>
          <t>https://ascentialcdn.filespin.io/api/v1/conversion/1a0a463f331e4c9387f8448138dc46b1</t>
        </is>
      </c>
      <c r="J11" s="33" t="inlineStr">
        <is>
          <t>cQE_cxhHlqc</t>
        </is>
      </c>
      <c r="K11" s="33" t="inlineStr"/>
      <c r="L11" s="33" t="inlineStr">
        <is>
          <t>https://www.lovethework.com/work/entries/the-mori-roll-call-779366</t>
        </is>
      </c>
      <c r="M11" s="33" t="inlineStr">
        <is>
          <t>A campaign to lift enrolment on the Māori electoral roll, since a larger roll translates into more Māori seats in Parliament. Fronted by activist and artist Tāme Iti, it created what was billed as the longest advertisement ever made in Aotearoa New Zealand: a continuous roll call naming hundreds of real voters. As whānau signed up, the roll call updated to add their names, displayed proudly in their local communities.</t>
        </is>
      </c>
      <c r="N11" s="33" t="inlineStr">
        <is>
          <t>indigenous, maori, voting, electoral roll, political representation, government, civic engagement, new zealand, social change, activism, social-good</t>
        </is>
      </c>
    </row>
    <row r="12">
      <c r="A12" s="33" t="n">
        <v>2026</v>
      </c>
      <c r="B12" s="33" t="inlineStr">
        <is>
          <t>Silver</t>
        </is>
      </c>
      <c r="C12" s="33" t="inlineStr">
        <is>
          <t>The Unburied Casket</t>
        </is>
      </c>
      <c r="D12" s="33" t="inlineStr">
        <is>
          <t>Women For Change</t>
        </is>
      </c>
      <c r="E12" s="33" t="inlineStr">
        <is>
          <t>Women For Change</t>
        </is>
      </c>
      <c r="F12" s="33" t="inlineStr">
        <is>
          <t>Edelman</t>
        </is>
      </c>
      <c r="G12" s="33" t="inlineStr">
        <is>
          <t>South Africa</t>
        </is>
      </c>
      <c r="H12" s="33" t="inlineStr">
        <is>
          <t>Initiatives</t>
        </is>
      </c>
      <c r="I12" s="33" t="inlineStr">
        <is>
          <t>https://ascentialcdn.filespin.io/api/v1/conversion/15c7130dd969473bb2b5a1ed668e9c30</t>
        </is>
      </c>
      <c r="J12" s="33" t="inlineStr">
        <is>
          <t>KYJAi4QKQL8</t>
        </is>
      </c>
      <c r="K12" s="33" t="inlineStr"/>
      <c r="L12" s="33" t="inlineStr">
        <is>
          <t>https://www.lovethework.com/work/entries/the-unburied-casket-779360</t>
        </is>
      </c>
      <c r="M12" s="33" t="inlineStr">
        <is>
          <t>For South African nonprofit Women For Change, Edelman staged 'The Unburied Casket' to protest gender-based violence. A casket was carried through a public funeral procession by bead artists and victims' families as a symbol of national grief, paired with a purple-avatar social campaign to build solidarity and demand action.</t>
        </is>
      </c>
      <c r="N12" s="33" t="inlineStr">
        <is>
          <t>women for change, gender-based violence, gbv, womens rights, human rights, nonprofit, charity, ngo, not-for-profit, social-good, south africa, protest, funeral procession, casket, events, stunts, public relations, pr, edelman, bronze</t>
        </is>
      </c>
    </row>
    <row r="13">
      <c r="A13" s="33" t="n">
        <v>2026</v>
      </c>
      <c r="B13" s="33" t="inlineStr">
        <is>
          <t>Bronze</t>
        </is>
      </c>
      <c r="C13" s="33" t="inlineStr">
        <is>
          <t>Recipe For Change</t>
        </is>
      </c>
      <c r="D13" s="33" t="inlineStr">
        <is>
          <t>Puck</t>
        </is>
      </c>
      <c r="E13" s="33" t="inlineStr">
        <is>
          <t>Spread Cheese</t>
        </is>
      </c>
      <c r="F13" s="33" t="inlineStr">
        <is>
          <t>FP7 McCann</t>
        </is>
      </c>
      <c r="G13" s="33" t="inlineStr">
        <is>
          <t>United Arab Emirates</t>
        </is>
      </c>
      <c r="H13" s="33" t="inlineStr">
        <is>
          <t>Initiatives</t>
        </is>
      </c>
      <c r="I13" s="33" t="inlineStr">
        <is>
          <t>https://ascentialcdn.filespin.io/api/v1/conversion/c3de4786b8fa43ba9afd85abf98e5220</t>
        </is>
      </c>
      <c r="J13" s="33" t="inlineStr">
        <is>
          <t>j6OkO3aRS3g</t>
        </is>
      </c>
      <c r="K13" s="33" t="inlineStr"/>
      <c r="L13" s="33" t="inlineStr">
        <is>
          <t>https://www.lovethework.com/work/entries/recipe-for-change-779369</t>
        </is>
      </c>
      <c r="M13" s="33" t="inlineStr">
        <is>
          <t>For Puck (Arla Foods), FP7 McCann turned Lebanese family recipes into a sustainable business model, partnering with restaurants and chefs so dishes from displaced women could feature on menus, with proceeds via Dubai Cares supporting families in crisis.</t>
        </is>
      </c>
      <c r="N13" s="33" t="inlineStr">
        <is>
          <t>puck, arla, cheese, dairy, food, fmcg, lebanon, refugees, displaced families, women, recipes, restaurants, social responsibility, dubai cares, united arab emirates, fp7 mccann, silver</t>
        </is>
      </c>
    </row>
    <row r="14">
      <c r="A14" s="33" t="n">
        <v>2026</v>
      </c>
      <c r="B14" s="33" t="inlineStr">
        <is>
          <t>Bronze</t>
        </is>
      </c>
      <c r="C14" s="33" t="inlineStr">
        <is>
          <t>Welcome Back, Paisano</t>
        </is>
      </c>
      <c r="D14" s="33" t="inlineStr">
        <is>
          <t>Tecate</t>
        </is>
      </c>
      <c r="E14" s="33" t="inlineStr">
        <is>
          <t>Tecate</t>
        </is>
      </c>
      <c r="F14" s="33" t="inlineStr">
        <is>
          <t>LePub Mexico City</t>
        </is>
      </c>
      <c r="G14" s="33" t="inlineStr">
        <is>
          <t>Mexico</t>
        </is>
      </c>
      <c r="H14" s="33" t="inlineStr">
        <is>
          <t>Initiatives</t>
        </is>
      </c>
      <c r="I14" s="33" t="inlineStr">
        <is>
          <t>https://ascentialcdn.filespin.io/api/v1/conversion/bbd54e3aeb9a442188d16599a29d25a5</t>
        </is>
      </c>
      <c r="J14" s="33" t="inlineStr">
        <is>
          <t>sFLMnLf2HeI</t>
        </is>
      </c>
      <c r="K14" s="33" t="inlineStr"/>
      <c r="L14" s="33" t="inlineStr">
        <is>
          <t>https://www.lovethework.com/work/entries/welcome-back-paisano-779371</t>
        </is>
      </c>
      <c r="M14" s="33" t="inlineStr">
        <is>
          <t>For Heineken-owned beer brand Tecate, LePub Mexico responded to the wave of Mexicans repatriating from the United States with an employability platform. 'Welcome Back, Paisano' positioned returning workers as one of the world's best workforces and, partnering with employability NGO FUNDES, offered concrete support — jobs, training and reintegration — while taking a cheeky jab at the bias that undervalued them.</t>
        </is>
      </c>
      <c r="N14" s="33" t="inlineStr">
        <is>
          <t>tecate, heineken, beer, alcohol, drinks, beverage, fmcg, mexico, migration, repatriation, employment, jobs, paisano, corporate purpose, social responsibility, public relations, pr, lepub, gold</t>
        </is>
      </c>
    </row>
  </sheetData>
  <autoFilter ref="A1:N9"/>
  <hyperlinks>
    <hyperlink xmlns:r="http://schemas.openxmlformats.org/officeDocument/2006/relationships" ref="I2" r:id="rId1"/>
    <hyperlink xmlns:r="http://schemas.openxmlformats.org/officeDocument/2006/relationships" ref="L2" r:id="rId2"/>
    <hyperlink xmlns:r="http://schemas.openxmlformats.org/officeDocument/2006/relationships" ref="I3" r:id="rId3"/>
    <hyperlink xmlns:r="http://schemas.openxmlformats.org/officeDocument/2006/relationships" ref="L3" r:id="rId4"/>
    <hyperlink xmlns:r="http://schemas.openxmlformats.org/officeDocument/2006/relationships" ref="I4" r:id="rId5"/>
    <hyperlink xmlns:r="http://schemas.openxmlformats.org/officeDocument/2006/relationships" ref="L4" r:id="rId6"/>
    <hyperlink xmlns:r="http://schemas.openxmlformats.org/officeDocument/2006/relationships" ref="I5" r:id="rId7"/>
    <hyperlink xmlns:r="http://schemas.openxmlformats.org/officeDocument/2006/relationships" ref="L5" r:id="rId8"/>
    <hyperlink xmlns:r="http://schemas.openxmlformats.org/officeDocument/2006/relationships" ref="I6" r:id="rId9"/>
    <hyperlink xmlns:r="http://schemas.openxmlformats.org/officeDocument/2006/relationships" ref="L6" r:id="rId10"/>
    <hyperlink xmlns:r="http://schemas.openxmlformats.org/officeDocument/2006/relationships" ref="I7" r:id="rId11"/>
    <hyperlink xmlns:r="http://schemas.openxmlformats.org/officeDocument/2006/relationships" ref="L7" r:id="rId12"/>
    <hyperlink xmlns:r="http://schemas.openxmlformats.org/officeDocument/2006/relationships" ref="I8" r:id="rId13"/>
    <hyperlink xmlns:r="http://schemas.openxmlformats.org/officeDocument/2006/relationships" ref="L8" r:id="rId14"/>
    <hyperlink xmlns:r="http://schemas.openxmlformats.org/officeDocument/2006/relationships" ref="I9" r:id="rId15"/>
    <hyperlink xmlns:r="http://schemas.openxmlformats.org/officeDocument/2006/relationships" ref="L9" r:id="rId16"/>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6" customWidth="1" style="34" min="1" max="1"/>
    <col width="16" customWidth="1" style="34" min="2" max="2"/>
    <col width="34" customWidth="1" style="34" min="3" max="3"/>
    <col width="22" customWidth="1" style="34" min="4" max="4"/>
    <col width="26" customWidth="1" style="34" min="5" max="5"/>
    <col width="28" customWidth="1" style="34" min="6" max="6"/>
    <col width="16" customWidth="1" style="34" min="7" max="7"/>
    <col width="34" customWidth="1" style="34" min="8" max="8"/>
    <col width="18" customWidth="1" style="34" min="9" max="9"/>
    <col width="16" customWidth="1" style="34" min="10" max="10"/>
    <col width="22" customWidth="1" style="34" min="11" max="11"/>
    <col hidden="1" width="20" customWidth="1" style="34" min="12" max="12"/>
    <col width="60" customWidth="1" style="34" min="13" max="13"/>
    <col width="40" customWidth="1" style="34" min="14" max="14"/>
  </cols>
  <sheetData>
    <row r="1" ht="22" customHeight="1" s="34">
      <c r="A1" s="122" t="inlineStr">
        <is>
          <t>Year</t>
        </is>
      </c>
      <c r="B1" s="122" t="inlineStr">
        <is>
          <t>Tier</t>
        </is>
      </c>
      <c r="C1" s="122" t="inlineStr">
        <is>
          <t>Campaign</t>
        </is>
      </c>
      <c r="D1" s="122" t="inlineStr">
        <is>
          <t>Brand</t>
        </is>
      </c>
      <c r="E1" s="122" t="inlineStr">
        <is>
          <t>Product/Service</t>
        </is>
      </c>
      <c r="F1" s="122" t="inlineStr">
        <is>
          <t>Agency</t>
        </is>
      </c>
      <c r="G1" s="122" t="inlineStr">
        <is>
          <t>Country</t>
        </is>
      </c>
      <c r="H1" s="122" t="inlineStr">
        <is>
          <t>Subcategory</t>
        </is>
      </c>
      <c r="I1" s="122" t="inlineStr">
        <is>
          <t>Image URL</t>
        </is>
      </c>
      <c r="J1" s="122" t="inlineStr">
        <is>
          <t>YouTube ID</t>
        </is>
      </c>
      <c r="K1" s="122" t="inlineStr">
        <is>
          <t>Campaign Group</t>
        </is>
      </c>
      <c r="L1" s="122" t="inlineStr">
        <is>
          <t>Entry URL</t>
        </is>
      </c>
      <c r="M1" s="122" t="inlineStr">
        <is>
          <t>Description</t>
        </is>
      </c>
      <c r="N1" s="122" t="inlineStr">
        <is>
          <t>Keywords</t>
        </is>
      </c>
    </row>
    <row r="2">
      <c r="A2" s="127" t="n">
        <v>2025</v>
      </c>
      <c r="B2" s="139" t="inlineStr">
        <is>
          <t>Grand Prix</t>
        </is>
      </c>
      <c r="C2" s="127" t="inlineStr">
        <is>
          <t>The Best Place in the World to Have Herpes</t>
        </is>
      </c>
      <c r="D2" s="127" t="inlineStr">
        <is>
          <t>New Zealand Herpes Foundation</t>
        </is>
      </c>
      <c r="E2" s="127" t="inlineStr">
        <is>
          <t>New Zealand Herpes Foundation</t>
        </is>
      </c>
      <c r="F2" s="127" t="inlineStr">
        <is>
          <t>Finch</t>
        </is>
      </c>
      <c r="G2" s="127" t="inlineStr">
        <is>
          <t>Australia</t>
        </is>
      </c>
      <c r="H2" s="113" t="inlineStr">
        <is>
          <t>Grand Prix for Good</t>
        </is>
      </c>
      <c r="I2" s="127" t="inlineStr">
        <is>
          <t>digital-presentation-images/grand-prix-for-good-new-zealand-herpes-foundation-the-best-place-in-the-world-to-have-herpes.webp</t>
        </is>
      </c>
      <c r="J2" s="127" t="inlineStr">
        <is>
          <t>vimeo:1083074994</t>
        </is>
      </c>
      <c r="K2" s="127" t="n"/>
      <c r="L2" s="128" t="inlineStr">
        <is>
          <t>https://www.lovethework.com/work/entries/the-best-place-in-the-world-to-have-herpes-767497</t>
        </is>
      </c>
      <c r="M2" s="113" t="inlineStr">
        <is>
          <t>A tourism-style campaign for the New Zealand Herpes Foundation, created by Finch in Sydney and Motion Sickness in Auckland, that repositioned herpes stigma reduction as a matter of national pride — framing it as a competition New Zealand could win. A live Herpes Stigma Index on the campaign website tracked New Zealand's ranking against 77 other countries, while a five-lesson "Herpes Destigmatisation Course" used humour to walk participants through misconceptions, awarding points that contributed to the national leaderboard position. The work drew on the fact that 30% of New Zealanders diagnosed with herpes experience depressive or suicidal thoughts, and that the virus — despite being common and largely harmless — is rarely discussed openly.</t>
        </is>
      </c>
      <c r="N2" s="113" t="inlineStr">
        <is>
          <t>public-health, digital, health-education, humour, new-zealand, australia, e-learning, website, stigma, ooh</t>
        </is>
      </c>
    </row>
    <row r="3">
      <c r="A3" s="33" t="n">
        <v>2026</v>
      </c>
      <c r="B3" s="33" t="inlineStr">
        <is>
          <t>Grand Prix for Good</t>
        </is>
      </c>
      <c r="C3" s="33" t="inlineStr">
        <is>
          <t>600K Network</t>
        </is>
      </c>
      <c r="D3" s="33" t="inlineStr">
        <is>
          <t>Comando Con Venezuela</t>
        </is>
      </c>
      <c r="E3" s="33" t="inlineStr">
        <is>
          <t>Comando Con Venezuela</t>
        </is>
      </c>
      <c r="F3" s="33" t="inlineStr">
        <is>
          <t>Rainbow Lobster</t>
        </is>
      </c>
      <c r="G3" s="33" t="inlineStr">
        <is>
          <t>Mexico</t>
        </is>
      </c>
      <c r="H3" s="33" t="inlineStr">
        <is>
          <t>Grand Prix for Good</t>
        </is>
      </c>
      <c r="I3" s="33" t="inlineStr">
        <is>
          <t>https://ascentialcdn.filespin.io/api/v1/conversion/8aae998f8c2d4240beb6408290ef3435</t>
        </is>
      </c>
      <c r="J3" s="33" t="inlineStr">
        <is>
          <t>egeVlZsJZfc</t>
        </is>
      </c>
      <c r="K3" s="33" t="inlineStr"/>
      <c r="L3" s="33" t="inlineStr">
        <is>
          <t>https://www.lovethework.com/work/entries/600k-network-793442</t>
        </is>
      </c>
      <c r="M3" s="33" t="inlineStr">
        <is>
          <t>For the Venezuelan citizen movement Comando con Venezuela, Rainbow Lobster built a real-time network that captured, digitised and verified electoral tally sheets (actas) as votes came in, turning a distributed civic effort into a transparent, public record of the result.</t>
        </is>
      </c>
      <c r="N3" s="33" t="inlineStr">
        <is>
          <t>comando con venezuela, venezuela, civic, activism, social-good, elections, voting, democracy, electoral records, transparency, real-time data, crowdsourcing, network, data, rainbow lobster, mexico, gold</t>
        </is>
      </c>
    </row>
  </sheetData>
  <autoFilter ref="A1:N2"/>
  <hyperlinks>
    <hyperlink xmlns:r="http://schemas.openxmlformats.org/officeDocument/2006/relationships" ref="L2" r:id="rId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N26"/>
  <sheetViews>
    <sheetView workbookViewId="0">
      <pane ySplit="1" topLeftCell="A2" activePane="bottomLeft" state="frozen"/>
      <selection pane="bottomLeft" activeCell="A1" sqref="A1"/>
    </sheetView>
  </sheetViews>
  <sheetFormatPr baseColWidth="8" defaultRowHeight="15"/>
  <cols>
    <col width="6" customWidth="1" style="34" min="1" max="1"/>
    <col width="16" customWidth="1" style="34" min="2" max="2"/>
    <col width="34" customWidth="1" style="34" min="3" max="3"/>
    <col width="22" customWidth="1" style="34" min="4" max="4"/>
    <col width="26" customWidth="1" style="34" min="5" max="5"/>
    <col width="28" customWidth="1" style="34" min="6" max="6"/>
    <col width="16" customWidth="1" style="34" min="7" max="7"/>
    <col width="34" customWidth="1" style="34" min="8" max="8"/>
    <col width="18" customWidth="1" style="34" min="9" max="9"/>
    <col width="16" customWidth="1" style="34" min="10" max="10"/>
    <col width="22" customWidth="1" style="34" min="11" max="11"/>
    <col hidden="1" width="20" customWidth="1" style="34" min="12" max="12"/>
    <col width="60" customWidth="1" style="34" min="13" max="13"/>
    <col width="40" customWidth="1" style="34" min="14" max="14"/>
  </cols>
  <sheetData>
    <row r="1" ht="22" customHeight="1" s="34">
      <c r="A1" s="122" t="inlineStr">
        <is>
          <t>Year</t>
        </is>
      </c>
      <c r="B1" s="122" t="inlineStr">
        <is>
          <t>Tier</t>
        </is>
      </c>
      <c r="C1" s="122" t="inlineStr">
        <is>
          <t>Campaign</t>
        </is>
      </c>
      <c r="D1" s="122" t="inlineStr">
        <is>
          <t>Brand</t>
        </is>
      </c>
      <c r="E1" s="122" t="inlineStr">
        <is>
          <t>Product/Service</t>
        </is>
      </c>
      <c r="F1" s="122" t="inlineStr">
        <is>
          <t>Agency</t>
        </is>
      </c>
      <c r="G1" s="122" t="inlineStr">
        <is>
          <t>Country</t>
        </is>
      </c>
      <c r="H1" s="122" t="inlineStr">
        <is>
          <t>Subcategory</t>
        </is>
      </c>
      <c r="I1" s="122" t="inlineStr">
        <is>
          <t>Image URL</t>
        </is>
      </c>
      <c r="J1" s="122" t="inlineStr">
        <is>
          <t>YouTube ID</t>
        </is>
      </c>
      <c r="K1" s="122" t="inlineStr">
        <is>
          <t>Campaign Group</t>
        </is>
      </c>
      <c r="L1" s="122" t="inlineStr">
        <is>
          <t>Entry URL</t>
        </is>
      </c>
      <c r="M1" s="122" t="inlineStr">
        <is>
          <t>Description</t>
        </is>
      </c>
      <c r="N1" s="122" t="inlineStr">
        <is>
          <t>Keywords</t>
        </is>
      </c>
    </row>
    <row r="2">
      <c r="A2" s="127" t="n">
        <v>2025</v>
      </c>
      <c r="B2" s="139" t="inlineStr">
        <is>
          <t>Grand Prix</t>
        </is>
      </c>
      <c r="C2" s="127" t="inlineStr">
        <is>
          <t>The Amazon Greenventory</t>
        </is>
      </c>
      <c r="D2" s="127" t="inlineStr">
        <is>
          <t>Natura</t>
        </is>
      </c>
      <c r="E2" s="127" t="inlineStr">
        <is>
          <t>Instituto Nattura</t>
        </is>
      </c>
      <c r="F2" s="127" t="inlineStr">
        <is>
          <t>Africa Creative DDB</t>
        </is>
      </c>
      <c r="G2" s="127" t="inlineStr">
        <is>
          <t>Brazil</t>
        </is>
      </c>
      <c r="H2" s="113" t="inlineStr">
        <is>
          <t>Life on Land</t>
        </is>
      </c>
      <c r="I2" s="128" t="inlineStr">
        <is>
          <t>https://ascentialcdn.filespin.io/api/v1/conversion/8f27d4982c9f44a0ae99fa41531bda8e</t>
        </is>
      </c>
      <c r="J2" s="127" t="inlineStr">
        <is>
          <t>vimeo:1096001831</t>
        </is>
      </c>
      <c r="K2" s="127" t="n"/>
      <c r="L2" s="128" t="inlineStr">
        <is>
          <t>https://www.lovethework.com/work/entries/the-amazon-greenventory-755993</t>
        </is>
      </c>
      <c r="M2" s="113" t="inlineStr">
        <is>
          <t>An inventory system built inside the Amazon rainforest that catalogues biodiversity data — species, ecosystems, and environmental assets — as a structured, browsable resource for conservation and research. Developed by Africa Creative DDB, São Paulo for Instituto Natura, the project treats the Amazon's biological wealth as accountable stock, assigning documented value to what is typically left unmeasured.</t>
        </is>
      </c>
      <c r="N2" s="113" t="inlineStr">
        <is>
          <t>nonprofit, environmental, data-visualization, biodiversity, amazon, brazil, conservation, sustainability, life-on-land</t>
        </is>
      </c>
    </row>
    <row r="3">
      <c r="A3" s="127" t="n">
        <v>2025</v>
      </c>
      <c r="B3" s="140" t="inlineStr">
        <is>
          <t>Gold</t>
        </is>
      </c>
      <c r="C3" s="127" t="inlineStr">
        <is>
          <t>Minefield Honey: Harvesting Hope</t>
        </is>
      </c>
      <c r="D3" s="127" t="inlineStr">
        <is>
          <t>Kernel, Ministry of Foreign Affairs of Ukraine</t>
        </is>
      </c>
      <c r="E3" s="127" t="inlineStr">
        <is>
          <t>Agriculture</t>
        </is>
      </c>
      <c r="F3" s="127" t="inlineStr">
        <is>
          <t>Saatchi &amp; Saatchi Ukraine</t>
        </is>
      </c>
      <c r="G3" s="127" t="inlineStr">
        <is>
          <t>Ukraine</t>
        </is>
      </c>
      <c r="H3" s="113" t="inlineStr">
        <is>
          <t>Decent Work and Economic Growth</t>
        </is>
      </c>
      <c r="I3" s="128" t="inlineStr">
        <is>
          <t>https://ascentialcdn.filespin.io/api/v1/conversion/e943553f2152499c8182bfce20e7355d</t>
        </is>
      </c>
      <c r="J3" s="127" t="inlineStr">
        <is>
          <t>ABV3K_N7a7k</t>
        </is>
      </c>
      <c r="K3" s="127" t="n"/>
      <c r="L3" s="128" t="inlineStr">
        <is>
          <t>https://www.lovethework.com/work/entries/minefield-honey-harvesting-hope-755960</t>
        </is>
      </c>
      <c r="M3" s="113" t="inlineStr">
        <is>
          <t>A honey product harvested from beehives placed on Ukrainian agricultural land actively being cleared of landmines — the bees' foraging range maps safe corridors, and the act of selling the honey funds continued demining work. Produced by Kernel, Ukraine's largest agricultural company, in partnership with the Ministry of Foreign Affairs of Ukraine, the initiative links commercial food export to the reclamation of farmland rendered unusable by the war.</t>
        </is>
      </c>
      <c r="N3" s="113" t="inlineStr">
        <is>
          <t>agriculture, public-service, ukraine, demining, packaging, humanitarian, food-product, war-recovery</t>
        </is>
      </c>
    </row>
    <row r="4">
      <c r="A4" s="127" t="n">
        <v>2025</v>
      </c>
      <c r="B4" s="140" t="inlineStr">
        <is>
          <t>Gold</t>
        </is>
      </c>
      <c r="C4" s="127" t="inlineStr">
        <is>
          <t>Research My Body</t>
        </is>
      </c>
      <c r="D4" s="127" t="inlineStr">
        <is>
          <t>Grupo Boticário</t>
        </is>
      </c>
      <c r="E4" s="127" t="inlineStr">
        <is>
          <t>WOMEN'S RESEARCH CENTER\t</t>
        </is>
      </c>
      <c r="F4" s="127" t="inlineStr">
        <is>
          <t>Gut</t>
        </is>
      </c>
      <c r="G4" s="127" t="inlineStr">
        <is>
          <t>Brazil</t>
        </is>
      </c>
      <c r="H4" s="113" t="inlineStr">
        <is>
          <t>Good Health and Well-being</t>
        </is>
      </c>
      <c r="I4" s="128" t="inlineStr">
        <is>
          <t>https://ascentialcdn.filespin.io/api/v1/conversion/01a0aba05ed745cf8b40b9f6719fff6a</t>
        </is>
      </c>
      <c r="J4" s="127" t="inlineStr">
        <is>
          <t>vimeo:1091039142</t>
        </is>
      </c>
      <c r="K4" s="127" t="n"/>
      <c r="L4" s="128" t="inlineStr">
        <is>
          <t>https://www.lovethework.com/work/entries/research-my-body-755612</t>
        </is>
      </c>
      <c r="M4" s="113" t="inlineStr">
        <is>
          <t>Grupo Boticário's Research My Body exposed the contradiction that women's bodies are endlessly searched and objectified, yet historically under-researched by science. The campaign featured highly searched Brazilian actresses using X-ray imagery to reframe their bodies as subjects of medical study, ultimately helping spark a movement and a $13 million investment into women's health research.</t>
        </is>
      </c>
      <c r="N4" s="113" t="inlineStr">
        <is>
          <t>beauty, personal-care, social-good, healthcare, womens-health, partnership, brazil, integrated</t>
        </is>
      </c>
    </row>
    <row r="5">
      <c r="A5" s="127" t="n">
        <v>2025</v>
      </c>
      <c r="B5" s="140" t="inlineStr">
        <is>
          <t>Gold</t>
        </is>
      </c>
      <c r="C5" s="127" t="inlineStr">
        <is>
          <t>Recipe for Change</t>
        </is>
      </c>
      <c r="D5" s="127" t="inlineStr">
        <is>
          <t>Arla</t>
        </is>
      </c>
      <c r="E5" s="127" t="inlineStr">
        <is>
          <t>Puck</t>
        </is>
      </c>
      <c r="F5" s="127" t="inlineStr">
        <is>
          <t>FP7 McCann</t>
        </is>
      </c>
      <c r="G5" s="127" t="inlineStr">
        <is>
          <t>United Arab Emirates</t>
        </is>
      </c>
      <c r="H5" s="113" t="inlineStr">
        <is>
          <t>Poverty</t>
        </is>
      </c>
      <c r="I5" s="128" t="inlineStr">
        <is>
          <t>https://ascentialcdn.filespin.io/api/v1/conversion/d51c95f53aaf474ba9faba5a10094bd0</t>
        </is>
      </c>
      <c r="J5" s="127" t="inlineStr">
        <is>
          <t>vimeo:1078926878</t>
        </is>
      </c>
      <c r="K5" s="127" t="n"/>
      <c r="L5" s="128" t="inlineStr">
        <is>
          <t>https://www.lovethework.com/work/entries/recipe-for-change-755679</t>
        </is>
      </c>
      <c r="M5" s="113" t="inlineStr">
        <is>
          <t>A licensing program that turned Lebanese women's family recipes into restaurant intellectual property. Lebanese and fusion restaurants across the UAE served the dishes through March 2025 with half of each dish's profit flowing back to the cook, framing home cooking as an export and a source of income for displaced families.</t>
        </is>
      </c>
      <c r="N5" s="113" t="inlineStr">
        <is>
          <t>food, sdg, partnership, restaurant, social-good, middle-east, lebanon, licensing</t>
        </is>
      </c>
    </row>
    <row r="6">
      <c r="A6" s="127" t="n">
        <v>2025</v>
      </c>
      <c r="B6" s="140" t="inlineStr">
        <is>
          <t>Gold</t>
        </is>
      </c>
      <c r="C6" s="127" t="inlineStr">
        <is>
          <t>Sounds Right</t>
        </is>
      </c>
      <c r="D6" s="127" t="inlineStr">
        <is>
          <t>Museum for the United Nations - UN Live</t>
        </is>
      </c>
      <c r="E6" s="127" t="inlineStr">
        <is>
          <t>Music</t>
        </is>
      </c>
      <c r="F6" s="127" t="inlineStr">
        <is>
          <t>AKQA</t>
        </is>
      </c>
      <c r="G6" s="127" t="inlineStr">
        <is>
          <t>Denmark</t>
        </is>
      </c>
      <c r="H6" s="113" t="inlineStr">
        <is>
          <t>Climate Action</t>
        </is>
      </c>
      <c r="I6" s="128" t="inlineStr">
        <is>
          <t>https://ascentialcdn.filespin.io/api/v1/conversion/10360044a9be467286965f70b39a984b</t>
        </is>
      </c>
      <c r="J6" s="127" t="inlineStr">
        <is>
          <t>vimeo:1094746280</t>
        </is>
      </c>
      <c r="K6" s="127" t="n"/>
      <c r="L6" s="128" t="inlineStr">
        <is>
          <t>https://www.lovethework.com/work/entries/sounds-right-755775</t>
        </is>
      </c>
      <c r="M6" s="113" t="inlineStr">
        <is>
          <t>A Spotify initiative, developed by AKQA for Museum for the United Nations – UN Live, that registers NATURE as an official credited artist on the platform — so that existing songs featuring natural soundscapes, from artists including V of BTS, David Bowie, Brian Eno, AURORA, and Ellie Goulding, list NATURE as a collaborator with its own verified artist profile. Streaming royalties attributed to NATURE's credit are directed toward nature conservation funding.</t>
        </is>
      </c>
      <c r="N6" s="113" t="inlineStr">
        <is>
          <t>music, entertainment, streaming, tv, spotify, mobile-app, conservation, public-service, corporate-social-responsibility, denmark, akqa</t>
        </is>
      </c>
    </row>
    <row r="7">
      <c r="A7" s="127" t="n">
        <v>2025</v>
      </c>
      <c r="B7" s="132" t="inlineStr">
        <is>
          <t>Silver</t>
        </is>
      </c>
      <c r="C7" s="127" t="inlineStr">
        <is>
          <t>Ariel #sharetheload (10 Years)</t>
        </is>
      </c>
      <c r="D7" s="127" t="inlineStr">
        <is>
          <t>Ariel</t>
        </is>
      </c>
      <c r="E7" s="127" t="inlineStr">
        <is>
          <t>Ariel Laundry Detergent</t>
        </is>
      </c>
      <c r="F7" s="127" t="inlineStr">
        <is>
          <t>BBDO India</t>
        </is>
      </c>
      <c r="G7" s="127" t="inlineStr">
        <is>
          <t>India</t>
        </is>
      </c>
      <c r="H7" s="113" t="inlineStr">
        <is>
          <t>Long-Term Brand Platform</t>
        </is>
      </c>
      <c r="I7" s="128" t="inlineStr">
        <is>
          <t>https://ascentialcdn.filespin.io/api/v1/conversion/1e1df1c7a74a4897a3f75a7a38e60d27</t>
        </is>
      </c>
      <c r="J7" s="127" t="inlineStr">
        <is>
          <t>AL88aQPBlnU</t>
        </is>
      </c>
      <c r="K7" s="127" t="n"/>
      <c r="L7" s="128" t="inlineStr">
        <is>
          <t>https://www.lovethework.com/work/entries/ariel-sharetheload-10-years-759693</t>
        </is>
      </c>
      <c r="M7" s="113" t="inlineStr">
        <is>
          <t>A decade-long film and social platform built around the unequal division of domestic labour in Indian households, in which successive yearly chapters reframe the same brief — laundry as a proxy for shared responsibility — by introducing new characters and relationship dynamics while keeping the hashtag #ShareTheLoad as the connective thread. Each annual installment pairs a narrative film with social prompts designed to spark household conversations about who does the washing, and why. Developed by BBDO India for Ariel, the platform spans ten years of continuous creative output under a single strategic idea.</t>
        </is>
      </c>
      <c r="N7" s="113" t="inlineStr">
        <is>
          <t>laundry-detergent, long-term-platform, social, film, cinema, entertainment, gender-equality, social-good, india, bbdo-india, hashtag-campaign</t>
        </is>
      </c>
    </row>
    <row r="8">
      <c r="A8" s="127" t="n">
        <v>2025</v>
      </c>
      <c r="B8" s="132" t="inlineStr">
        <is>
          <t>Silver</t>
        </is>
      </c>
      <c r="C8" s="127" t="inlineStr">
        <is>
          <t>The Dove Code</t>
        </is>
      </c>
      <c r="D8" s="127" t="inlineStr">
        <is>
          <t>Dove, Droga5</t>
        </is>
      </c>
      <c r="E8" s="127" t="inlineStr">
        <is>
          <t>Dove</t>
        </is>
      </c>
      <c r="F8" s="127" t="inlineStr">
        <is>
          <t>Part of Accenture Song</t>
        </is>
      </c>
      <c r="G8" s="127" t="inlineStr">
        <is>
          <t>Brazil</t>
        </is>
      </c>
      <c r="H8" s="113" t="inlineStr">
        <is>
          <t>Gender Equality</t>
        </is>
      </c>
      <c r="I8" s="128" t="inlineStr">
        <is>
          <t>https://ascentialcdn.filespin.io/api/v1/conversion/aab2b49f4bde4aef88d22006ef903d54</t>
        </is>
      </c>
      <c r="J8" s="127" t="inlineStr">
        <is>
          <t>L4o03Hrxgzg</t>
        </is>
      </c>
      <c r="K8" s="127" t="n"/>
      <c r="L8" s="128" t="inlineStr">
        <is>
          <t>https://www.lovethework.com/work/entries/the-dove-code-755937</t>
        </is>
      </c>
      <c r="M8" s="113" t="inlineStr">
        <is>
          <t>A legal code embedded into Dove's product terms and conditions in Brazil that formally commits the brand to never using AI-generated or AI-altered images of women's bodies in its advertising. The clause was written to create a binding, enforceable standard — rather than a voluntary pledge — at a moment when AI image generation was rapidly entering beauty marketing.</t>
        </is>
      </c>
      <c r="N8" s="113" t="inlineStr">
        <is>
          <t>personal-care, gender-equality, social-good, brazil, legal-mechanic, ai, technology, terms-and-conditions, public-relations, brand-voice</t>
        </is>
      </c>
    </row>
    <row r="9">
      <c r="A9" s="127" t="n">
        <v>2025</v>
      </c>
      <c r="B9" s="132" t="inlineStr">
        <is>
          <t>Silver</t>
        </is>
      </c>
      <c r="C9" s="127" t="inlineStr">
        <is>
          <t>Omnilivery</t>
        </is>
      </c>
      <c r="D9" s="127" t="inlineStr">
        <is>
          <t>Omni</t>
        </is>
      </c>
      <c r="E9" s="127" t="inlineStr">
        <is>
          <t>Mobility System for Wheelchair</t>
        </is>
      </c>
      <c r="F9" s="127" t="inlineStr">
        <is>
          <t>Saatchi &amp; Saatchi France</t>
        </is>
      </c>
      <c r="G9" s="127" t="inlineStr">
        <is>
          <t>France</t>
        </is>
      </c>
      <c r="H9" s="113" t="inlineStr">
        <is>
          <t>Reduced Inequalities</t>
        </is>
      </c>
      <c r="I9" s="128" t="inlineStr">
        <is>
          <t>https://ascentialcdn.filespin.io/api/v1/conversion/38cbe1a6ee444db186b748c9da630bdc</t>
        </is>
      </c>
      <c r="J9" s="127" t="inlineStr">
        <is>
          <t>vimeo:1158377325</t>
        </is>
      </c>
      <c r="K9" s="127" t="n"/>
      <c r="L9" s="128" t="inlineStr">
        <is>
          <t>https://www.lovethework.com/work/entries/omnilivery-756098</t>
        </is>
      </c>
      <c r="M9" s="113" t="inlineStr">
        <is>
          <t>A one-day live event in which wheelchair users equipped with Omni's mobility scooter attachment completed food delivery shifts across a city — the job category typically considered most demanding of physical mobility. Produced by Prodigious Paris for Saatchi &amp; Saatchi France, the stunt challenged the assumption that wheelchair users cannot perform high-mobility work.</t>
        </is>
      </c>
      <c r="N9" s="113" t="inlineStr">
        <is>
          <t>mobility-system, wheelchair, experiential, public-relations, disability, france, reduced-inequalities, health-wellness</t>
        </is>
      </c>
    </row>
    <row r="10">
      <c r="A10" s="127" t="n">
        <v>2025</v>
      </c>
      <c r="B10" s="132" t="inlineStr">
        <is>
          <t>Silver</t>
        </is>
      </c>
      <c r="C10" s="127" t="inlineStr">
        <is>
          <t>Animal Alerts</t>
        </is>
      </c>
      <c r="D10" s="127" t="inlineStr">
        <is>
          <t>Petpace</t>
        </is>
      </c>
      <c r="E10" s="127" t="inlineStr">
        <is>
          <t>Animal Alerts</t>
        </is>
      </c>
      <c r="F10" s="127" t="inlineStr">
        <is>
          <t>Serviceplan Germany</t>
        </is>
      </c>
      <c r="G10" s="127" t="inlineStr">
        <is>
          <t>Germany</t>
        </is>
      </c>
      <c r="H10" s="113" t="inlineStr">
        <is>
          <t>Good Health and Well-being</t>
        </is>
      </c>
      <c r="I10" s="128" t="inlineStr">
        <is>
          <t>https://ascentialcdn.filespin.io/api/v1/conversion/4c7f3fc5e9e844a883cf1d4bc94c9d58</t>
        </is>
      </c>
      <c r="J10" s="127" t="inlineStr">
        <is>
          <t>vimeo:1094309286</t>
        </is>
      </c>
      <c r="K10" s="127" t="n"/>
      <c r="L10" s="128" t="inlineStr">
        <is>
          <t>https://www.lovethework.com/work/entries/animal-alerts-755614</t>
        </is>
      </c>
      <c r="M10" s="113" t="inlineStr">
        <is>
          <t>A system that repurposes the biometric health sensors PetPace fits to domestic pets — tracking heart rate, temperature, and activity — to generate real-time wildlife distress alerts for animals in surrounding areas. When a pet's sensor detects unusual physiological stress patterns consistent with nearby environmental threats (wildfires, floods, or toxic events), the data is aggregated and broadcast as public alerts, extending the monitoring network into ecosystems beyond the household. The campaign was developed with Serviceplan Innovation, Creative Board, Mediaplus, and L&amp;C New York.</t>
        </is>
      </c>
      <c r="N10" s="113" t="inlineStr">
        <is>
          <t>pet-tech, data, wearable, corporate-purpose, animal-welfare, environmental, integrated, germany</t>
        </is>
      </c>
    </row>
    <row r="11">
      <c r="A11" s="127" t="n">
        <v>2025</v>
      </c>
      <c r="B11" s="133" t="inlineStr">
        <is>
          <t>Bronze</t>
        </is>
      </c>
      <c r="C11" s="127" t="inlineStr">
        <is>
          <t>The Best Place in the World to Have Herpes</t>
        </is>
      </c>
      <c r="D11" s="127" t="inlineStr">
        <is>
          <t>New Zealand Herpes Foundation</t>
        </is>
      </c>
      <c r="E11" s="127" t="inlineStr">
        <is>
          <t>New Zealand Herpes Foundation</t>
        </is>
      </c>
      <c r="F11" s="127" t="inlineStr">
        <is>
          <t>Finch</t>
        </is>
      </c>
      <c r="G11" s="127" t="inlineStr">
        <is>
          <t>Australia</t>
        </is>
      </c>
      <c r="H11" s="113" t="inlineStr">
        <is>
          <t>Good Health and Well-being</t>
        </is>
      </c>
      <c r="I11" s="128" t="inlineStr">
        <is>
          <t>https://ascentialcdn.filespin.io/api/v1/conversion/5d4b1b0582c5428bafb14fcc9670d1dc</t>
        </is>
      </c>
      <c r="J11" s="127" t="inlineStr">
        <is>
          <t>vimeo:1083074994</t>
        </is>
      </c>
      <c r="K11" s="127" t="n"/>
      <c r="L11" s="128" t="inlineStr">
        <is>
          <t>https://www.lovethework.com/work/entries/the-best-place-in-the-world-to-have-herpes-755748</t>
        </is>
      </c>
      <c r="M11" s="113" t="inlineStr">
        <is>
          <t>A tourism-style campaign for the New Zealand Herpes Foundation, created by Finch in Sydney and Motion Sickness in Auckland, that repositioned herpes stigma reduction as a matter of national pride — framing it as a competition New Zealand could win. A live Herpes Stigma Index on the campaign website tracked New Zealand's ranking against 77 other countries, while a five-lesson "Herpes Destigmatisation Course" used humour to walk participants through misconceptions, awarding points that contributed to the national leaderboard position. The work drew on the fact that 30% of New Zealanders diagnosed with herpes experience depressive or suicidal thoughts, and that the virus — despite being common and largely harmless — is rarely discussed openly.</t>
        </is>
      </c>
      <c r="N11" s="113" t="inlineStr">
        <is>
          <t>public-health, digital, health-education, humour, new-zealand, australia, e-learning, website, stigma, ooh</t>
        </is>
      </c>
    </row>
    <row r="12">
      <c r="A12" s="127" t="n">
        <v>2025</v>
      </c>
      <c r="B12" s="133" t="inlineStr">
        <is>
          <t>Bronze</t>
        </is>
      </c>
      <c r="C12" s="127" t="inlineStr">
        <is>
          <t>Reef Protection Factor</t>
        </is>
      </c>
      <c r="D12" s="127" t="inlineStr">
        <is>
          <t>Stream2sea</t>
        </is>
      </c>
      <c r="E12" s="127" t="inlineStr">
        <is>
          <t>Coral Care &amp; Rpf</t>
        </is>
      </c>
      <c r="F12" s="127" t="inlineStr">
        <is>
          <t>McCANN DEMAND</t>
        </is>
      </c>
      <c r="G12" s="127" t="inlineStr">
        <is>
          <t>United Kingdom</t>
        </is>
      </c>
      <c r="H12" s="113" t="inlineStr">
        <is>
          <t>Life Below Water</t>
        </is>
      </c>
      <c r="I12" s="128" t="inlineStr">
        <is>
          <t>https://ascentialcdn.filespin.io/api/v1/conversion/632753c2e0e444898a416c5bbd6272fb</t>
        </is>
      </c>
      <c r="J12" s="127" t="inlineStr">
        <is>
          <t>vimeo:1083456679</t>
        </is>
      </c>
      <c r="K12" s="127" t="n"/>
      <c r="L12" s="128" t="inlineStr">
        <is>
          <t>https://www.lovethework.com/work/entries/reef-protection-factor-755941</t>
        </is>
      </c>
      <c r="M12" s="113" t="inlineStr">
        <is>
          <t>A certification standard — the Reef Protection Factor (RPF) — developed by Stream2Sea, McCann Demand, and the University of Derby to identify genuinely reef-safe sunscreens, modeled on the familiar SPF labeling system consumers already read on packaging. The standard launched alongside the world's first reef-nourishing sunscreen, with the certification rolled out across Malaysia, Thailand, and the United Kingdom.</t>
        </is>
      </c>
      <c r="N12" s="113" t="inlineStr">
        <is>
          <t>sunscreen, certification, packaging, coral-reef, ocean-conservation, united-kingdom, malaysia, thailand, life-below-water</t>
        </is>
      </c>
    </row>
    <row r="13">
      <c r="A13" s="127" t="n">
        <v>2025</v>
      </c>
      <c r="B13" s="133" t="inlineStr">
        <is>
          <t>Bronze</t>
        </is>
      </c>
      <c r="C13" s="127" t="inlineStr">
        <is>
          <t>Wildfire Watchtowers</t>
        </is>
      </c>
      <c r="D13" s="127" t="inlineStr">
        <is>
          <t>Rogers</t>
        </is>
      </c>
      <c r="E13" s="127" t="inlineStr">
        <is>
          <t>Rogers</t>
        </is>
      </c>
      <c r="F13" s="127" t="inlineStr">
        <is>
          <t>Publicis Canada</t>
        </is>
      </c>
      <c r="G13" s="127" t="inlineStr">
        <is>
          <t>Canada</t>
        </is>
      </c>
      <c r="H13" s="113" t="inlineStr">
        <is>
          <t>Climate Action</t>
        </is>
      </c>
      <c r="I13" s="128" t="inlineStr">
        <is>
          <t>https://ascentialcdn.filespin.io/api/v1/conversion/5cc44dd478364c8f89e74997da34c416</t>
        </is>
      </c>
      <c r="J13" s="127" t="n"/>
      <c r="K13" s="127" t="n"/>
      <c r="L13" s="128" t="inlineStr">
        <is>
          <t>https://www.lovethework.com/work/entries/wildfire-watchtowers-755880</t>
        </is>
      </c>
      <c r="M13" s="113" t="inlineStr">
        <is>
          <t>A network of AI-powered wildfire detection sensors mounted on Rogers 5G towers across Canada, repurposing existing cellular infrastructure as a real-time environmental monitoring system. Publicis Canada developed the program to extend early wildfire detection into remote areas where dedicated watchtower coverage is sparse.</t>
        </is>
      </c>
      <c r="N13" s="113" t="inlineStr">
        <is>
          <t>telecommunications, climate-action, ai, technology, public-safety, ooh, canada, 5g, environmental</t>
        </is>
      </c>
    </row>
    <row r="14">
      <c r="A14" s="127" t="n">
        <v>2025</v>
      </c>
      <c r="B14" s="133" t="inlineStr">
        <is>
          <t>Bronze</t>
        </is>
      </c>
      <c r="C14" s="127" t="inlineStr">
        <is>
          <t>Sos Bees</t>
        </is>
      </c>
      <c r="D14" s="127" t="inlineStr">
        <is>
          <t>AB InBev</t>
        </is>
      </c>
      <c r="E14" s="127" t="inlineStr">
        <is>
          <t>Consumer Goods</t>
        </is>
      </c>
      <c r="F14" s="127" t="inlineStr">
        <is>
          <t>Africa Creative DDB</t>
        </is>
      </c>
      <c r="G14" s="127" t="inlineStr">
        <is>
          <t>Brazil</t>
        </is>
      </c>
      <c r="H14" s="113" t="inlineStr">
        <is>
          <t>Sustainable Cities and Communities</t>
        </is>
      </c>
      <c r="I14" s="128" t="inlineStr">
        <is>
          <t>https://ascentialcdn.filespin.io/api/v1/conversion/43c463221a2f4400b93862d1c5538078</t>
        </is>
      </c>
      <c r="J14" s="127" t="inlineStr">
        <is>
          <t>vimeo:1095117362/9d5a6fba02</t>
        </is>
      </c>
      <c r="K14" s="127" t="n"/>
      <c r="L14" s="128" t="inlineStr">
        <is>
          <t>https://www.lovethework.com/work/entries/sos-bees-755943</t>
        </is>
      </c>
      <c r="M14" s="113" t="inlineStr">
        <is>
          <t>When devastating floods hit Rio Grande do Sul, BEES turned its B2B beverage delivery app into an emergency support platform for affected bars. Within 24 hours, the app shifted from delivering drinks to coordinating donations, repair materials and recovery support, helping thousands of businesses reopen and creating a permanent crisis-response feature for future disasters.</t>
        </is>
      </c>
      <c r="N14" s="113" t="inlineStr">
        <is>
          <t>beer, alcohol, b2b, business, mobile-app, social-good, disaster-relief, brazil, partnership, platform</t>
        </is>
      </c>
    </row>
    <row r="15">
      <c r="A15" s="127" t="n">
        <v>2025</v>
      </c>
      <c r="B15" s="133" t="inlineStr">
        <is>
          <t>Bronze</t>
        </is>
      </c>
      <c r="C15" s="127" t="inlineStr">
        <is>
          <t>Saltanat Light</t>
        </is>
      </c>
      <c r="D15" s="127" t="inlineStr">
        <is>
          <t>Citix</t>
        </is>
      </c>
      <c r="E15" s="127" t="inlineStr">
        <is>
          <t>Citix</t>
        </is>
      </c>
      <c r="F15" s="127" t="inlineStr">
        <is>
          <t>GForce</t>
        </is>
      </c>
      <c r="G15" s="127" t="inlineStr">
        <is>
          <t>Kazakhstan</t>
        </is>
      </c>
      <c r="H15" s="113" t="inlineStr">
        <is>
          <t>Gender Equality</t>
        </is>
      </c>
      <c r="I15" s="128" t="inlineStr">
        <is>
          <t>https://ascentialcdn.filespin.io/api/v1/conversion/68f2c53ebcea42bd9ab7b58852b5aa95</t>
        </is>
      </c>
      <c r="J15" s="127" t="inlineStr">
        <is>
          <t>POZJDa6y23g</t>
        </is>
      </c>
      <c r="K15" s="127" t="n"/>
      <c r="L15" s="128" t="inlineStr">
        <is>
          <t>https://www.lovethework.com/work/entries/saltanat-light-758763</t>
        </is>
      </c>
      <c r="M15" s="113" t="inlineStr">
        <is>
          <t>A network of digital out-of-home screens across Kazakhstan that dims its brightness in real time whenever a domestic violence call is made nearby — each darkening panel a live signal of an incident in that location. The campaign is named after Saltanat Nukenova, who was killed by her husband, former minister Kuandyk Bishimbayev, who was sentenced to 24 years in prison in May 2024. A companion Telegram bot extends the system, connecting people to available support resources.</t>
        </is>
      </c>
      <c r="N15" s="113" t="inlineStr">
        <is>
          <t>digital-out-of-home, ai, technology, domestic-violence, gender-equality, social-good, telegram, ambient, real-time, kazakhstan, citix</t>
        </is>
      </c>
    </row>
    <row r="16">
      <c r="A16" s="127" t="n">
        <v>2025</v>
      </c>
      <c r="B16" s="133" t="inlineStr">
        <is>
          <t>Bronze</t>
        </is>
      </c>
      <c r="C16" s="127" t="inlineStr">
        <is>
          <t>Nobody Should Die at Xmas</t>
        </is>
      </c>
      <c r="D16" s="127" t="inlineStr">
        <is>
          <t>Open Arms</t>
        </is>
      </c>
      <c r="E16" s="127" t="inlineStr">
        <is>
          <t>Christmas Campaign</t>
        </is>
      </c>
      <c r="F16" s="127" t="inlineStr">
        <is>
          <t>DoubleYou</t>
        </is>
      </c>
      <c r="G16" s="127" t="inlineStr">
        <is>
          <t>Spain</t>
        </is>
      </c>
      <c r="H16" s="113" t="inlineStr">
        <is>
          <t>Peace, Justice and Strong Institutions</t>
        </is>
      </c>
      <c r="I16" s="128" t="inlineStr">
        <is>
          <t>https://ascentialcdn.filespin.io/api/v1/conversion/1b883e0ec2f648dea7bf17849408f188</t>
        </is>
      </c>
      <c r="J16" s="127" t="inlineStr">
        <is>
          <t>zBQtfBKPuYU</t>
        </is>
      </c>
      <c r="K16" s="127" t="n"/>
      <c r="L16" s="128" t="inlineStr">
        <is>
          <t>https://www.lovethework.com/work/entries/nobody-should-die-at-xmas-756056</t>
        </is>
      </c>
      <c r="M16" s="113" t="inlineStr">
        <is>
          <t>A Christmas campaign for Open Arms that replaces traditional holiday aesthetics with imagery of Mediterranean migrant deaths, reframing the season's "nobody should die" sentiment as a demand applied to the sea crossings happening at the same time. Created by DoubleYou Barcelona, it uses the visual and emotional language of Christmas advertising to confront the ongoing drownings off Europe's southern coast.</t>
        </is>
      </c>
      <c r="N16" s="113" t="inlineStr">
        <is>
          <t>ngo, not-for-profit, charity, social-good, christmas, mediterranean, spain, film, cinema, entertainment, humanitarian, peace-and-justice, ooh</t>
        </is>
      </c>
    </row>
    <row r="17">
      <c r="A17" s="127" t="n">
        <v>2025</v>
      </c>
      <c r="B17" s="133" t="inlineStr">
        <is>
          <t>Bronze</t>
        </is>
      </c>
      <c r="C17" s="127" t="inlineStr">
        <is>
          <t>How Dove Took on a New Era of Toxic Beauty</t>
        </is>
      </c>
      <c r="D17" s="127" t="inlineStr">
        <is>
          <t>Dove</t>
        </is>
      </c>
      <c r="E17" s="127" t="inlineStr">
        <is>
          <t>Dove</t>
        </is>
      </c>
      <c r="F17" s="127" t="inlineStr">
        <is>
          <t>Ogilvy UK</t>
        </is>
      </c>
      <c r="G17" s="127" t="inlineStr">
        <is>
          <t>United Kingdom</t>
        </is>
      </c>
      <c r="H17" s="113" t="inlineStr">
        <is>
          <t>Long-Term Brand Platform</t>
        </is>
      </c>
      <c r="I17" s="127" t="inlineStr">
        <is>
          <t>digital-presentation-images/sustainable-development-goals-dove-how-dove-took-on-a-new-era-of-toxic-beauty.webp</t>
        </is>
      </c>
      <c r="J17" s="127" t="inlineStr">
        <is>
          <t>8vYoL8nga-A</t>
        </is>
      </c>
      <c r="K17" s="127" t="n"/>
      <c r="L17" s="128" t="inlineStr">
        <is>
          <t>https://www.lovethework.com/work/entries/how-dove-took-on-a-new-era-of-toxic-beauty-765307</t>
        </is>
      </c>
      <c r="M17" s="113" t="inlineStr">
        <is>
          <t>Dove refreshed its long-running Real Beauty platform for a harsher, more toxic beauty landscape shaped by social media and impossible standards. Campaigns like Reverse Selfie, Toxic Influence and Cost of Beauty moved Dove from celebrating real beauty to actively fighting the forces damaging girls' self-esteem—reigniting the brand's relevance and growth.</t>
        </is>
      </c>
      <c r="N17" s="113" t="inlineStr">
        <is>
          <t>personal-care, beauty, social-good, body-confidence, integrated, brand-platform, partnership, global</t>
        </is>
      </c>
    </row>
    <row r="18">
      <c r="A18" s="33" t="n">
        <v>2026</v>
      </c>
      <c r="B18" s="33" t="inlineStr">
        <is>
          <t>Grand Prix</t>
        </is>
      </c>
      <c r="C18" s="33" t="inlineStr">
        <is>
          <t>Paid Sick Leave For Cows</t>
        </is>
      </c>
      <c r="D18" s="33" t="inlineStr">
        <is>
          <t>Too Good</t>
        </is>
      </c>
      <c r="E18" s="33" t="inlineStr">
        <is>
          <t>Milk</t>
        </is>
      </c>
      <c r="F18" s="33" t="inlineStr">
        <is>
          <t>The Partnership Agency Nairobi</t>
        </is>
      </c>
      <c r="G18" s="33" t="inlineStr">
        <is>
          <t>Kenya</t>
        </is>
      </c>
      <c r="H18" s="33" t="inlineStr">
        <is>
          <t>Decent Work and Economic Growth</t>
        </is>
      </c>
      <c r="I18" s="33" t="inlineStr">
        <is>
          <t>https://ascentialcdn.filespin.io/api/v1/conversion/ba601fa991524bd185313c5190831c7f</t>
        </is>
      </c>
      <c r="J18" s="33" t="inlineStr">
        <is>
          <t>96kfscgNh9g</t>
        </is>
      </c>
      <c r="K18" s="33" t="inlineStr"/>
      <c r="L18" s="33" t="inlineStr"/>
      <c r="M18" s="33" t="inlineStr">
        <is>
          <t>For Kenyan milk brand Too Good, The Partnership Agency built its strategy around dairy-cow welfare, giving sick cows the equivalent of paid sick leave — time off from milking to recover rather than being milked through illness — and reframing animal wellbeing as the foundation of a cleaner, better-quality milk and more dignified dairy farming.</t>
        </is>
      </c>
      <c r="N18" s="33" t="inlineStr">
        <is>
          <t>too good, milk, dairy, fmcg, food, beverages, kenya, cows, cattle, animal welfare, dairy farming, sick leave, farmers, product quality, decent work, consumer goods, creative strategy, the partnership agency, bronze</t>
        </is>
      </c>
    </row>
    <row r="19">
      <c r="A19" s="33" t="n">
        <v>2026</v>
      </c>
      <c r="B19" s="33" t="inlineStr">
        <is>
          <t>Gold</t>
        </is>
      </c>
      <c r="C19" s="33" t="inlineStr">
        <is>
          <t>The Māori Roll Call</t>
        </is>
      </c>
      <c r="D19" s="33" t="inlineStr">
        <is>
          <t>Whānau Ora</t>
        </is>
      </c>
      <c r="E19" s="33" t="inlineStr">
        <is>
          <t>Whānau Ora</t>
        </is>
      </c>
      <c r="F19" s="33" t="inlineStr">
        <is>
          <t>Motion Sickness</t>
        </is>
      </c>
      <c r="G19" s="33" t="inlineStr">
        <is>
          <t>New Zealand</t>
        </is>
      </c>
      <c r="H19" s="33" t="inlineStr">
        <is>
          <t>Reduced Inequalities</t>
        </is>
      </c>
      <c r="I19" s="33" t="inlineStr">
        <is>
          <t>https://ascentialcdn.filespin.io/api/v1/conversion/1a0a463f331e4c9387f8448138dc46b1</t>
        </is>
      </c>
      <c r="J19" s="33" t="inlineStr">
        <is>
          <t>cQE_cxhHlqc</t>
        </is>
      </c>
      <c r="K19" s="33" t="inlineStr"/>
      <c r="L19" s="33" t="inlineStr"/>
      <c r="M19" s="33" t="inlineStr">
        <is>
          <t>A campaign to lift enrolment on the Māori electoral roll, since a larger roll translates into more Māori seats in Parliament. Fronted by activist and artist Tāme Iti, it created what was billed as the longest advertisement ever made in Aotearoa New Zealand: a continuous roll call naming hundreds of real voters. As whānau signed up, the roll call updated to add their names, displayed proudly in their local communities.</t>
        </is>
      </c>
      <c r="N19" s="33" t="inlineStr">
        <is>
          <t>indigenous, maori, voting, electoral roll, political representation, government, civic engagement, new zealand, social change, activism, social-good, reduced inequalities</t>
        </is>
      </c>
    </row>
    <row r="20">
      <c r="A20" s="33" t="n">
        <v>2026</v>
      </c>
      <c r="B20" s="33" t="inlineStr">
        <is>
          <t>Gold</t>
        </is>
      </c>
      <c r="C20" s="33" t="inlineStr">
        <is>
          <t>The Period Uniform</t>
        </is>
      </c>
      <c r="D20" s="33" t="inlineStr">
        <is>
          <t>Somos Martina</t>
        </is>
      </c>
      <c r="E20" s="33" t="inlineStr">
        <is>
          <t>Somos Martina</t>
        </is>
      </c>
      <c r="F20" s="33" t="inlineStr">
        <is>
          <t>Serviceplan Germany Munich</t>
        </is>
      </c>
      <c r="G20" s="33" t="inlineStr">
        <is>
          <t>Germany</t>
        </is>
      </c>
      <c r="H20" s="33" t="inlineStr">
        <is>
          <t>Reduced Inequalities</t>
        </is>
      </c>
      <c r="I20" s="33" t="inlineStr">
        <is>
          <t>https://ascentialcdn.filespin.io/api/v1/conversion/1709928304da45eb95b6483c496484be</t>
        </is>
      </c>
      <c r="J20" s="33" t="inlineStr"/>
      <c r="K20" s="33" t="inlineStr"/>
      <c r="L20" s="33" t="inlineStr"/>
      <c r="M20" s="33" t="inlineStr">
        <is>
          <t>For Somos Martina, Serviceplan Germany created 'The Period Uniform,' integrating reusable period underwear into the standard Colombian school uniform system so menstruating students have built-in protection as part of their everyday uniform.</t>
        </is>
      </c>
      <c r="N20" s="33" t="inlineStr">
        <is>
          <t>somos martina, period underwear, menstruation, period care, femcare, apparel, colombia, germany, school, uniform, students, education, reusable, social behaviour, brand experience, activation, serviceplan, bronze</t>
        </is>
      </c>
    </row>
    <row r="21">
      <c r="A21" s="33" t="n">
        <v>2026</v>
      </c>
      <c r="B21" s="33" t="inlineStr">
        <is>
          <t>Silver</t>
        </is>
      </c>
      <c r="C21" s="33" t="inlineStr">
        <is>
          <t>The Healing Stage</t>
        </is>
      </c>
      <c r="D21" s="33" t="inlineStr">
        <is>
          <t>Armed Forces of Ukraine</t>
        </is>
      </c>
      <c r="E21" s="33" t="inlineStr">
        <is>
          <t>Mental Health</t>
        </is>
      </c>
      <c r="F21" s="33" t="inlineStr">
        <is>
          <t>Saatchi &amp; Saatchi Ukraine</t>
        </is>
      </c>
      <c r="G21" s="33" t="inlineStr">
        <is>
          <t>Ukraine</t>
        </is>
      </c>
      <c r="H21" s="33" t="inlineStr">
        <is>
          <t>Good Health and Well-being</t>
        </is>
      </c>
      <c r="I21" s="33" t="inlineStr">
        <is>
          <t>https://ascentialcdn.filespin.io/api/v1/conversion/1abd2228ce774a97bf69de0d8689d693</t>
        </is>
      </c>
      <c r="J21" s="33" t="inlineStr">
        <is>
          <t>emJD7ROfBKE</t>
        </is>
      </c>
      <c r="K21" s="33" t="inlineStr"/>
      <c r="L21" s="33" t="inlineStr"/>
      <c r="M21" s="33" t="inlineStr"/>
      <c r="N21" s="33" t="inlineStr"/>
    </row>
    <row r="22">
      <c r="A22" s="33" t="n">
        <v>2026</v>
      </c>
      <c r="B22" s="33" t="inlineStr">
        <is>
          <t>Silver</t>
        </is>
      </c>
      <c r="C22" s="33" t="inlineStr">
        <is>
          <t>Three Words</t>
        </is>
      </c>
      <c r="D22" s="33" t="inlineStr">
        <is>
          <t>AXA France</t>
        </is>
      </c>
      <c r="E22" s="33" t="inlineStr">
        <is>
          <t>Home Insurance Policies</t>
        </is>
      </c>
      <c r="F22" s="33" t="inlineStr">
        <is>
          <t>Publicis Conseil Paris</t>
        </is>
      </c>
      <c r="G22" s="33" t="inlineStr">
        <is>
          <t>France</t>
        </is>
      </c>
      <c r="H22" s="33" t="inlineStr">
        <is>
          <t>Gender Equality</t>
        </is>
      </c>
      <c r="I22" s="33" t="inlineStr">
        <is>
          <t>https://ascentialcdn.filespin.io/api/v1/conversion/0c5e7bf857974ceebb650b1f886f2e1b</t>
        </is>
      </c>
      <c r="J22" s="33" t="inlineStr">
        <is>
          <t>pY-03zuV7mE</t>
        </is>
      </c>
      <c r="K22" s="33" t="inlineStr"/>
      <c r="L22" s="33" t="inlineStr"/>
      <c r="M22" s="33" t="inlineStr">
        <is>
          <t>For AXA, Publicis Conseil added three words — 'and domestic violence' — to the brand's home insurance policy in France, extending coverage so that a victim who calls is immediately rehoused and given legal, psychological and financial support. The campaign turned the insurance product itself into the idea, protecting people from the home they need to escape.</t>
        </is>
      </c>
      <c r="N22" s="33" t="inlineStr">
        <is>
          <t>axa, insurance, financial-services, finance, home insurance, financial services, france, domestic violence, victims, rehousing, legal support, product innovation, social behaviour, public service, creative effectiveness for good, creative effectiveness, publicis conseil, grand prix</t>
        </is>
      </c>
    </row>
    <row r="23">
      <c r="A23" s="33" t="n">
        <v>2026</v>
      </c>
      <c r="B23" s="33" t="inlineStr">
        <is>
          <t>Bronze</t>
        </is>
      </c>
      <c r="C23" s="33" t="inlineStr">
        <is>
          <t>Bedtime Donations</t>
        </is>
      </c>
      <c r="D23" s="33" t="inlineStr">
        <is>
          <t>Royal Society For Blind Children</t>
        </is>
      </c>
      <c r="E23" s="33" t="inlineStr">
        <is>
          <t>Bedtime Donations App</t>
        </is>
      </c>
      <c r="F23" s="33" t="inlineStr">
        <is>
          <t>Innocean</t>
        </is>
      </c>
      <c r="G23" s="33" t="inlineStr">
        <is>
          <t>Germany</t>
        </is>
      </c>
      <c r="H23" s="33" t="inlineStr">
        <is>
          <t>Quality Education</t>
        </is>
      </c>
      <c r="I23" s="33" t="inlineStr">
        <is>
          <t>https://ascentialcdn.filespin.io/api/v1/conversion/f4c9dafd39714b8c96da0d7dd9e055ea</t>
        </is>
      </c>
      <c r="J23" s="33" t="inlineStr">
        <is>
          <t>nw12Kyu0wqQ</t>
        </is>
      </c>
      <c r="K23" s="33" t="inlineStr"/>
      <c r="L23" s="33" t="inlineStr"/>
      <c r="M23" s="33" t="inlineStr">
        <is>
          <t>Innocean Berlin and the Royal Society for Blind Children built the Bedtime Donations app: when a parent reads a story from its library aloud, safe AI turns the reading into a free audiobook for blind and vision-impaired children to listen to anytime, crowdsourcing a growing library of bedtime stories.</t>
        </is>
      </c>
      <c r="N23" s="33" t="inlineStr">
        <is>
          <t>non-profit, charity, ngo, not-for-profit, social-good, accessibility, blindness, disability, children, audio, audiobooks, app, ai, technology, rsbc, germany</t>
        </is>
      </c>
    </row>
    <row r="24">
      <c r="A24" s="33" t="n">
        <v>2026</v>
      </c>
      <c r="B24" s="33" t="inlineStr">
        <is>
          <t>Bronze</t>
        </is>
      </c>
      <c r="C24" s="33" t="inlineStr">
        <is>
          <t>Santa Maria Pueblo Hotel</t>
        </is>
      </c>
      <c r="D24" s="33" t="inlineStr">
        <is>
          <t>Senatur</t>
        </is>
      </c>
      <c r="E24" s="33" t="inlineStr">
        <is>
          <t>Pueblo Hotel</t>
        </is>
      </c>
      <c r="F24" s="33" t="inlineStr">
        <is>
          <t>Oniria\TBWA Asuncion</t>
        </is>
      </c>
      <c r="G24" s="33" t="inlineStr">
        <is>
          <t>Paraguay</t>
        </is>
      </c>
      <c r="H24" s="33" t="inlineStr">
        <is>
          <t>Sustainable Cities and Communities</t>
        </is>
      </c>
      <c r="I24" s="33" t="inlineStr">
        <is>
          <t>https://ascentialcdn.filespin.io/api/v1/conversion/98fac48b166544d9afbedba9cb5fff27</t>
        </is>
      </c>
      <c r="J24" s="33" t="inlineStr"/>
      <c r="K24" s="33" t="inlineStr"/>
      <c r="L24" s="33" t="inlineStr"/>
      <c r="M24" s="33" t="inlineStr">
        <is>
          <t>A Not-for-Profit / Government Bronze for Paraguay's national tourism board Senatur by Oniria\TBWA, Asunción. The campaign turns the town of Santa María de Fe into a distributed 'pueblo hotel', inviting travellers to stay across the community itself and spread tourism's benefits to local families.</t>
        </is>
      </c>
      <c r="N24" s="33" t="inlineStr">
        <is>
          <t>senatur, tourism, travel, government, paraguay, hospitality, hotel, community, rural, culture, not-for-profit, charity, ngo, social-good, direct, oniria, tbwa, silver</t>
        </is>
      </c>
    </row>
    <row r="25">
      <c r="A25" s="33" t="n">
        <v>2026</v>
      </c>
      <c r="B25" s="33" t="inlineStr">
        <is>
          <t>Bronze</t>
        </is>
      </c>
      <c r="C25" s="33" t="inlineStr">
        <is>
          <t>Fertilizer 2.5</t>
        </is>
      </c>
      <c r="D25" s="33" t="inlineStr">
        <is>
          <t>Thai Health Promotion Foundation</t>
        </is>
      </c>
      <c r="E25" s="33" t="inlineStr">
        <is>
          <t>Non-Profit Organization</t>
        </is>
      </c>
      <c r="F25" s="33" t="inlineStr">
        <is>
          <t>Grey Thailand</t>
        </is>
      </c>
      <c r="G25" s="33" t="inlineStr">
        <is>
          <t>Thailand</t>
        </is>
      </c>
      <c r="H25" s="33" t="inlineStr">
        <is>
          <t>Responsible Consumption and Production</t>
        </is>
      </c>
      <c r="I25" s="33" t="inlineStr">
        <is>
          <t>https://ascentialcdn.filespin.io/api/v1/conversion/8364183e50a04604a15d378969ae4dfd</t>
        </is>
      </c>
      <c r="J25" s="33" t="inlineStr">
        <is>
          <t>FgaPnTcDJf8</t>
        </is>
      </c>
      <c r="K25" s="33" t="inlineStr"/>
      <c r="L25" s="33" t="inlineStr"/>
      <c r="M25" s="33" t="inlineStr">
        <is>
          <t>To tackle the PM2.5 air pollution caused by farmers burning leftover rice stubble, the Thai Health Promotion Foundation and the Department of Agriculture co-developed a microbial starter that breaks the stubble down into organic fertiliser in about a week. Rather than simply asking farmers to stop burning, the work reframed the alternative as an economic win — faster soil preparation, lower fertiliser costs and healthier yields — giving farmers a practical reason to abandon open burning.</t>
        </is>
      </c>
      <c r="N25" s="33" t="inlineStr">
        <is>
          <t>agriculture, farming, air pollution, pm2.5, environment, sustainability, soil, fertiliser, public health, thailand, non-profit, responsible consumption</t>
        </is>
      </c>
    </row>
    <row r="26">
      <c r="A26" s="33" t="n">
        <v>2026</v>
      </c>
      <c r="B26" s="33" t="inlineStr">
        <is>
          <t>Bronze</t>
        </is>
      </c>
      <c r="C26" s="33" t="inlineStr">
        <is>
          <t>It's Time To Stop!</t>
        </is>
      </c>
      <c r="D26" s="33" t="inlineStr">
        <is>
          <t>Bingo Group</t>
        </is>
      </c>
      <c r="E26" s="33" t="inlineStr">
        <is>
          <t>Bingo Group</t>
        </is>
      </c>
      <c r="F26" s="33" t="inlineStr">
        <is>
          <t>Via Media</t>
        </is>
      </c>
      <c r="G26" s="33" t="inlineStr">
        <is>
          <t>Bosnia &amp; Herzegovina</t>
        </is>
      </c>
      <c r="H26" s="33" t="inlineStr">
        <is>
          <t>Peace, Justice and Strong Institutions</t>
        </is>
      </c>
      <c r="I26" s="33" t="inlineStr">
        <is>
          <t>https://ascentialcdn.filespin.io/api/v1/conversion/56f533f432664c3499d54cdcd575402e</t>
        </is>
      </c>
      <c r="J26" s="33" t="inlineStr">
        <is>
          <t>nqVYSGWrKso</t>
        </is>
      </c>
      <c r="K26" s="33" t="inlineStr"/>
      <c r="L26" s="33" t="inlineStr"/>
      <c r="M26" s="33" t="inlineStr">
        <is>
          <t>An anti-femicide campaign for Bosnian retailer Bingo, built to break public apathy toward a stalled petition seeking to have femicide recognised in law. Bingo, the country's largest domestic company, temporarily closed more than 230 of its stores and turned the closure into a call to action, converting everyday customers into petition signatories to push parliament toward legal change.</t>
        </is>
      </c>
      <c r="N26" s="33" t="inlineStr">
        <is>
          <t>femicide, gender equality, violence against women, petition, legal reform, retail, activism, social-good, social change, bosnia, justice</t>
        </is>
      </c>
    </row>
  </sheetData>
  <autoFilter ref="A1:N17"/>
  <hyperlinks>
    <hyperlink xmlns:r="http://schemas.openxmlformats.org/officeDocument/2006/relationships" ref="I2" r:id="rId1"/>
    <hyperlink xmlns:r="http://schemas.openxmlformats.org/officeDocument/2006/relationships" ref="L2" r:id="rId2"/>
    <hyperlink xmlns:r="http://schemas.openxmlformats.org/officeDocument/2006/relationships" ref="I3" r:id="rId3"/>
    <hyperlink xmlns:r="http://schemas.openxmlformats.org/officeDocument/2006/relationships" ref="L3" r:id="rId4"/>
    <hyperlink xmlns:r="http://schemas.openxmlformats.org/officeDocument/2006/relationships" ref="I4" r:id="rId5"/>
    <hyperlink xmlns:r="http://schemas.openxmlformats.org/officeDocument/2006/relationships" ref="L4" r:id="rId6"/>
    <hyperlink xmlns:r="http://schemas.openxmlformats.org/officeDocument/2006/relationships" ref="I5" r:id="rId7"/>
    <hyperlink xmlns:r="http://schemas.openxmlformats.org/officeDocument/2006/relationships" ref="L5" r:id="rId8"/>
    <hyperlink xmlns:r="http://schemas.openxmlformats.org/officeDocument/2006/relationships" ref="I6" r:id="rId9"/>
    <hyperlink xmlns:r="http://schemas.openxmlformats.org/officeDocument/2006/relationships" ref="L6" r:id="rId10"/>
    <hyperlink xmlns:r="http://schemas.openxmlformats.org/officeDocument/2006/relationships" ref="I7" r:id="rId11"/>
    <hyperlink xmlns:r="http://schemas.openxmlformats.org/officeDocument/2006/relationships" ref="L7" r:id="rId12"/>
    <hyperlink xmlns:r="http://schemas.openxmlformats.org/officeDocument/2006/relationships" ref="I8" r:id="rId13"/>
    <hyperlink xmlns:r="http://schemas.openxmlformats.org/officeDocument/2006/relationships" ref="L8" r:id="rId14"/>
    <hyperlink xmlns:r="http://schemas.openxmlformats.org/officeDocument/2006/relationships" ref="I9" r:id="rId15"/>
    <hyperlink xmlns:r="http://schemas.openxmlformats.org/officeDocument/2006/relationships" ref="L9" r:id="rId16"/>
    <hyperlink xmlns:r="http://schemas.openxmlformats.org/officeDocument/2006/relationships" ref="I10" r:id="rId17"/>
    <hyperlink xmlns:r="http://schemas.openxmlformats.org/officeDocument/2006/relationships" ref="L10" r:id="rId18"/>
    <hyperlink xmlns:r="http://schemas.openxmlformats.org/officeDocument/2006/relationships" ref="I11" r:id="rId19"/>
    <hyperlink xmlns:r="http://schemas.openxmlformats.org/officeDocument/2006/relationships" ref="L11" r:id="rId20"/>
    <hyperlink xmlns:r="http://schemas.openxmlformats.org/officeDocument/2006/relationships" ref="I12" r:id="rId21"/>
    <hyperlink xmlns:r="http://schemas.openxmlformats.org/officeDocument/2006/relationships" ref="L12" r:id="rId22"/>
    <hyperlink xmlns:r="http://schemas.openxmlformats.org/officeDocument/2006/relationships" ref="I13" r:id="rId23"/>
    <hyperlink xmlns:r="http://schemas.openxmlformats.org/officeDocument/2006/relationships" ref="L13" r:id="rId24"/>
    <hyperlink xmlns:r="http://schemas.openxmlformats.org/officeDocument/2006/relationships" ref="I14" r:id="rId25"/>
    <hyperlink xmlns:r="http://schemas.openxmlformats.org/officeDocument/2006/relationships" ref="L14" r:id="rId26"/>
    <hyperlink xmlns:r="http://schemas.openxmlformats.org/officeDocument/2006/relationships" ref="I15" r:id="rId27"/>
    <hyperlink xmlns:r="http://schemas.openxmlformats.org/officeDocument/2006/relationships" ref="L15" r:id="rId28"/>
    <hyperlink xmlns:r="http://schemas.openxmlformats.org/officeDocument/2006/relationships" ref="I16" r:id="rId29"/>
    <hyperlink xmlns:r="http://schemas.openxmlformats.org/officeDocument/2006/relationships" ref="L16" r:id="rId30"/>
    <hyperlink xmlns:r="http://schemas.openxmlformats.org/officeDocument/2006/relationships" ref="L17" r:id="rId3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N65"/>
  <sheetViews>
    <sheetView workbookViewId="0">
      <pane ySplit="1" topLeftCell="A2" activePane="bottomLeft" state="frozen"/>
      <selection pane="bottomLeft" activeCell="A1" sqref="A1"/>
    </sheetView>
  </sheetViews>
  <sheetFormatPr baseColWidth="8" defaultRowHeight="15"/>
  <cols>
    <col width="6" customWidth="1" style="34" min="1" max="1"/>
    <col width="16" customWidth="1" style="34" min="2" max="2"/>
    <col width="34" customWidth="1" style="34" min="3" max="3"/>
    <col width="22" customWidth="1" style="34" min="4" max="4"/>
    <col width="26" customWidth="1" style="34" min="5" max="5"/>
    <col width="28" customWidth="1" style="34" min="6" max="6"/>
    <col width="16" customWidth="1" style="34" min="7" max="7"/>
    <col width="34" customWidth="1" style="34" min="8" max="8"/>
    <col width="18" customWidth="1" style="34" min="9" max="9"/>
    <col width="16" customWidth="1" style="34" min="10" max="10"/>
    <col width="22" customWidth="1" style="34" min="11" max="11"/>
    <col hidden="1" width="20" customWidth="1" style="34" min="12" max="12"/>
    <col width="60" customWidth="1" style="34" min="13" max="13"/>
    <col width="40" customWidth="1" style="34" min="14" max="14"/>
  </cols>
  <sheetData>
    <row r="1" ht="22" customHeight="1" s="34">
      <c r="A1" s="122" t="inlineStr">
        <is>
          <t>Year</t>
        </is>
      </c>
      <c r="B1" s="122" t="inlineStr">
        <is>
          <t>Tier</t>
        </is>
      </c>
      <c r="C1" s="122" t="inlineStr">
        <is>
          <t>Campaign</t>
        </is>
      </c>
      <c r="D1" s="122" t="inlineStr">
        <is>
          <t>Brand</t>
        </is>
      </c>
      <c r="E1" s="122" t="inlineStr">
        <is>
          <t>Product/Service</t>
        </is>
      </c>
      <c r="F1" s="122" t="inlineStr">
        <is>
          <t>Agency</t>
        </is>
      </c>
      <c r="G1" s="122" t="inlineStr">
        <is>
          <t>Country</t>
        </is>
      </c>
      <c r="H1" s="122" t="inlineStr">
        <is>
          <t>Subcategory</t>
        </is>
      </c>
      <c r="I1" s="122" t="inlineStr">
        <is>
          <t>Image URL</t>
        </is>
      </c>
      <c r="J1" s="122" t="inlineStr">
        <is>
          <t>YouTube ID</t>
        </is>
      </c>
      <c r="K1" s="122" t="inlineStr">
        <is>
          <t>Campaign Group</t>
        </is>
      </c>
      <c r="L1" s="122" t="inlineStr">
        <is>
          <t>Entry URL</t>
        </is>
      </c>
      <c r="M1" s="122" t="inlineStr">
        <is>
          <t>Description</t>
        </is>
      </c>
      <c r="N1" s="122" t="inlineStr">
        <is>
          <t>Keywords</t>
        </is>
      </c>
    </row>
    <row r="2">
      <c r="A2" s="127" t="n">
        <v>2025</v>
      </c>
      <c r="B2" s="139" t="inlineStr">
        <is>
          <t>Grand Prix</t>
        </is>
      </c>
      <c r="C2" s="127" t="inlineStr">
        <is>
          <t>Vaseline Verified</t>
        </is>
      </c>
      <c r="D2" s="127" t="inlineStr">
        <is>
          <t>Unilever</t>
        </is>
      </c>
      <c r="E2" s="127" t="inlineStr">
        <is>
          <t>Vaseline</t>
        </is>
      </c>
      <c r="F2" s="127" t="inlineStr">
        <is>
          <t>Ogilvy</t>
        </is>
      </c>
      <c r="G2" s="127" t="inlineStr">
        <is>
          <t>Singapore</t>
        </is>
      </c>
      <c r="H2" s="113" t="inlineStr">
        <is>
          <t>Social &amp; Creator - OTC Applications</t>
        </is>
      </c>
      <c r="I2" s="128" t="inlineStr">
        <is>
          <t>https://ascentialcdn.filespin.io/api/v1/conversion/faf0755b0d4e4594ad93cb75d6288e3d</t>
        </is>
      </c>
      <c r="J2" s="127" t="inlineStr">
        <is>
          <t>vimeo:1082798104</t>
        </is>
      </c>
      <c r="K2" s="127" t="n"/>
      <c r="L2" s="128" t="inlineStr">
        <is>
          <t>https://www.lovethework.com/work/entries/vaseline-verified-753151</t>
        </is>
      </c>
      <c r="M2" s="113" t="inlineStr">
        <is>
          <t>A community management campaign built around the 6,000-plus organic social media posts showing unofficial uses of Vaseline Petroleum Jelly: Ogilvy Singapore had dermatologists review each hack, awarding a "Vaseline Verified" seal to those that held up and publicly debunking those that didn't. The system turned user-generated content into a live, brand-endorsed verification layer — embracing the existing conversation rather than replacing it with controlled messaging.</t>
        </is>
      </c>
      <c r="N2" s="113" t="inlineStr">
        <is>
          <t>skincare, personal-care, beauty, community-management, social-media, user-generated-content, ooh, singapore, health-wellness, dermatology</t>
        </is>
      </c>
    </row>
    <row r="3">
      <c r="A3" s="127" t="n">
        <v>2025</v>
      </c>
      <c r="B3" s="140" t="inlineStr">
        <is>
          <t>Gold</t>
        </is>
      </c>
      <c r="C3" s="127" t="inlineStr">
        <is>
          <t>The Count</t>
        </is>
      </c>
      <c r="D3" s="127" t="inlineStr">
        <is>
          <t>Sickkids Foundation</t>
        </is>
      </c>
      <c r="E3" s="127" t="inlineStr">
        <is>
          <t>Sickkids Foundation</t>
        </is>
      </c>
      <c r="F3" s="127" t="inlineStr">
        <is>
          <t>FCB Toronto</t>
        </is>
      </c>
      <c r="G3" s="127" t="inlineStr">
        <is>
          <t>Canada</t>
        </is>
      </c>
      <c r="H3" s="113" t="inlineStr">
        <is>
          <t>Film Craft: Use of Music/Sound Design - Fundraising &amp; Advocacy</t>
        </is>
      </c>
      <c r="I3" s="127" t="inlineStr">
        <is>
          <t>digital-presentation-images/health-and-wellness-sickkids-foundation-the-count.webp</t>
        </is>
      </c>
      <c r="J3" s="127" t="inlineStr">
        <is>
          <t>qNF34ZROR8s</t>
        </is>
      </c>
      <c r="K3" s="127" t="n"/>
      <c r="L3" s="128" t="inlineStr">
        <is>
          <t>https://www.lovethework.com/work/entries/the-count-759678</t>
        </is>
      </c>
      <c r="M3" s="113" t="inlineStr">
        <is>
          <t>A two-minute film built around "How Old Are You," the counting chant sung at children's birthday parties after "Happy Birthday" — rerecorded as a full orchestral anthem by real SickKids patients whose birthdays are uncertain, counting not to their current age but into their forties, fifties, and beyond, toward the hospital's own age of 150. Each child is identified on screen by name, age, and diagnosis — Aurora, 6, VACTERL Syndrome and Liver Transplant; Jaxon, 4, born premature at 23 weeks — so the familiar song carries the weight of each child's fight to reach the next number. Created by FCB Toronto with production company Iconoclast to mark SickKids Hospital's 150th anniversary.</t>
        </is>
      </c>
      <c r="N3" s="113" t="inlineStr">
        <is>
          <t>charity, film, cinema, entertainment, healthcare, canada, music, fundraising, children, orchestral, sickkids-foundation</t>
        </is>
      </c>
    </row>
    <row r="4">
      <c r="A4" s="127" t="n">
        <v>2025</v>
      </c>
      <c r="B4" s="140" t="inlineStr">
        <is>
          <t>Gold</t>
        </is>
      </c>
      <c r="C4" s="127" t="inlineStr">
        <is>
          <t>Group Therapy</t>
        </is>
      </c>
      <c r="D4" s="127" t="inlineStr">
        <is>
          <t>AXA</t>
        </is>
      </c>
      <c r="E4" s="127" t="inlineStr">
        <is>
          <t>AXA</t>
        </is>
      </c>
      <c r="F4" s="127" t="inlineStr">
        <is>
          <t>VML</t>
        </is>
      </c>
      <c r="G4" s="127" t="inlineStr">
        <is>
          <t>France</t>
        </is>
      </c>
      <c r="H4" s="113" t="inlineStr">
        <is>
          <t>Entertainment - Brand-Led Education &amp; Awareness</t>
        </is>
      </c>
      <c r="I4" s="127" t="inlineStr">
        <is>
          <t>digital-presentation-images/health-and-wellness-axa-group-therapy.webp</t>
        </is>
      </c>
      <c r="J4" s="127" t="inlineStr">
        <is>
          <t>cH8-sNMfrOM</t>
        </is>
      </c>
      <c r="K4" s="127" t="n"/>
      <c r="L4" s="128" t="inlineStr">
        <is>
          <t>https://www.lovethework.com/work/entries/group-therapy-753332</t>
        </is>
      </c>
      <c r="M4" s="113" t="inlineStr">
        <is>
          <t>A feature-length documentary produced with Kevin Hart's Hartbeat company, in which six comedians — Mike Birbiglia, Nicole Byer, Gary Gulman, London Hughes, Tig Notaro, and Atsuko Okatsuka — participate in a candid group therapy session led by Neil Patrick Harris, built on the insight that comedians routinely process personal pain in front of audiences. Released on Prime Video and supported by a multimedia campaign across Twitch, Fire TV, and Meta, it anchors a global AXA initiative directing viewers to a free Mind Health Self-Check tool — motivated by survey findings that only 4 in 10 people with preventable mental health conditions seek professional help, and that 39% of 18–24 year-olds experience severe anxiety, stress, or depression.</t>
        </is>
      </c>
      <c r="N4" s="113" t="inlineStr">
        <is>
          <t>health-insurance, documentary, film, entertainment, cinema, mental-health, healthcare, medical, comedy, prime-video, streaming, tv, global, public-health, branded-content</t>
        </is>
      </c>
    </row>
    <row r="5">
      <c r="A5" s="127" t="n">
        <v>2025</v>
      </c>
      <c r="B5" s="140" t="inlineStr">
        <is>
          <t>Gold</t>
        </is>
      </c>
      <c r="C5" s="127" t="inlineStr">
        <is>
          <t>Sightwalks</t>
        </is>
      </c>
      <c r="D5" s="127" t="inlineStr">
        <is>
          <t>Cemento Sol</t>
        </is>
      </c>
      <c r="E5" s="127" t="inlineStr">
        <is>
          <t>Cement</t>
        </is>
      </c>
      <c r="F5" s="127" t="inlineStr">
        <is>
          <t>Circus Grey</t>
        </is>
      </c>
      <c r="G5" s="127" t="inlineStr">
        <is>
          <t>Peru</t>
        </is>
      </c>
      <c r="H5" s="113" t="inlineStr">
        <is>
          <t>Outdoor: Ambient - Brand-Led Education &amp; Awareness</t>
        </is>
      </c>
      <c r="I5" s="128" t="inlineStr">
        <is>
          <t>https://ascentialcdn.filespin.io/api/v1/conversion/96cab410285c45ed905a8377e0cc25f5</t>
        </is>
      </c>
      <c r="J5" s="127" t="inlineStr">
        <is>
          <t>IRuDOllWc-E</t>
        </is>
      </c>
      <c r="K5" s="127" t="n"/>
      <c r="L5" s="128" t="inlineStr">
        <is>
          <t>https://www.lovethework.com/work/entries/sightwalks-758841</t>
        </is>
      </c>
      <c r="M5" s="113" t="inlineStr">
        <is>
          <t>A system of tactile tiles installed on sidewalks across Lima, Peru, designed to help visually impaired pedestrians navigate their surroundings — built using Cemento Sol's own cement product as the construction material. The tiles were embedded directly into existing urban infrastructure by Circus Grey, making the brand's core product the medium for an accessibility intervention in public space.</t>
        </is>
      </c>
      <c r="N5" s="113" t="inlineStr">
        <is>
          <t>cement, urban-infrastructure, accessibility, ooh, peru, tactile-design, public-space, disability, latin-america</t>
        </is>
      </c>
    </row>
    <row r="6">
      <c r="A6" s="127" t="n">
        <v>2025</v>
      </c>
      <c r="B6" s="140" t="inlineStr">
        <is>
          <t>Gold</t>
        </is>
      </c>
      <c r="C6" s="127" t="inlineStr">
        <is>
          <t>Zip Code Exam</t>
        </is>
      </c>
      <c r="D6" s="127" t="inlineStr">
        <is>
          <t>Zip Code Exam , Area 23</t>
        </is>
      </c>
      <c r="E6" s="127" t="inlineStr">
        <is>
          <t>Zip Code Exam</t>
        </is>
      </c>
      <c r="F6" s="127" t="inlineStr">
        <is>
          <t>An IPG Health Company</t>
        </is>
      </c>
      <c r="G6" s="127" t="inlineStr">
        <is>
          <t>United States</t>
        </is>
      </c>
      <c r="H6" s="113" t="inlineStr">
        <is>
          <t>Creative Data - Non-profit/Foundation-led Education &amp; Awareness</t>
        </is>
      </c>
      <c r="I6" s="128" t="inlineStr">
        <is>
          <t>https://ascentialcdn.filespin.io/api/v1/conversion/fcac93d33c3d4b1c93da6b13d3e32b5e</t>
        </is>
      </c>
      <c r="J6" s="127" t="inlineStr">
        <is>
          <t>2f0k9hGHLuA</t>
        </is>
      </c>
      <c r="K6" s="127" t="n"/>
      <c r="L6" s="128" t="inlineStr">
        <is>
          <t>https://www.lovethework.com/work/entries/zip-code-exam-763308</t>
        </is>
      </c>
      <c r="M6" s="113" t="inlineStr">
        <is>
          <t>A data platform built by Area 23 for Equality Health Foundation that generates a personalized health risk report based solely on a person's U.S. zip code — drawing on community-level data to surface the specific diseases, environmental hazards, and social determinants most likely to affect people in that area. The platform reframes standard preventive health screening around geography rather than individual symptoms, making systemic health inequalities visible at a hyperlocal level.</t>
        </is>
      </c>
      <c r="N6" s="113" t="inlineStr">
        <is>
          <t>health-foundation, data-platform, public-health, health-equity, research-and-analytics, digital, united-states, social-determinants, community-health</t>
        </is>
      </c>
    </row>
    <row r="7">
      <c r="A7" s="127" t="n">
        <v>2025</v>
      </c>
      <c r="B7" s="140" t="inlineStr">
        <is>
          <t>Gold</t>
        </is>
      </c>
      <c r="C7" s="127" t="inlineStr">
        <is>
          <t>The Best Place in the World to Have Herpes</t>
        </is>
      </c>
      <c r="D7" s="127" t="inlineStr">
        <is>
          <t>New Zealand Herpes Foundation</t>
        </is>
      </c>
      <c r="E7" s="127" t="inlineStr">
        <is>
          <t>New Zealand Herpes Foundation</t>
        </is>
      </c>
      <c r="F7" s="127" t="inlineStr">
        <is>
          <t>Finch</t>
        </is>
      </c>
      <c r="G7" s="127" t="inlineStr">
        <is>
          <t>Australia</t>
        </is>
      </c>
      <c r="H7" s="113" t="inlineStr">
        <is>
          <t>Entertainment - Non-profit/Foundation-led Education &amp; Awareness</t>
        </is>
      </c>
      <c r="I7" s="128" t="inlineStr">
        <is>
          <t>https://ascentialcdn.filespin.io/api/v1/conversion/5d4b1b0582c5428bafb14fcc9670d1dc</t>
        </is>
      </c>
      <c r="J7" s="127" t="inlineStr">
        <is>
          <t>vimeo:1083074994</t>
        </is>
      </c>
      <c r="K7" s="127" t="n"/>
      <c r="L7" s="128" t="inlineStr">
        <is>
          <t>https://www.lovethework.com/work/entries/the-best-place-in-the-world-to-have-herpes-753429</t>
        </is>
      </c>
      <c r="M7" s="113" t="inlineStr">
        <is>
          <t>A tourism-style campaign for the New Zealand Herpes Foundation, created by Finch in Sydney and Motion Sickness in Auckland, that repositioned herpes stigma reduction as a matter of national pride — framing it as a competition New Zealand could win. A live Herpes Stigma Index on the campaign website tracked New Zealand's ranking against 77 other countries, while a five-lesson "Herpes Destigmatisation Course" used humour to walk participants through misconceptions, awarding points that contributed to the national leaderboard position. The work drew on the fact that 30% of New Zealanders diagnosed with herpes experience depressive or suicidal thoughts, and that the virus — despite being common and largely harmless — is rarely discussed openly.</t>
        </is>
      </c>
      <c r="N7" s="113" t="inlineStr">
        <is>
          <t>public-health, digital, health-education, humour, new-zealand, australia, e-learning, website, stigma, ooh</t>
        </is>
      </c>
    </row>
    <row r="8">
      <c r="A8" s="127" t="n">
        <v>2025</v>
      </c>
      <c r="B8" s="140" t="inlineStr">
        <is>
          <t>Gold</t>
        </is>
      </c>
      <c r="C8" s="127" t="inlineStr">
        <is>
          <t>Nigrum Corpus</t>
        </is>
      </c>
      <c r="D8" s="127" t="inlineStr">
        <is>
          <t>Idomed</t>
        </is>
      </c>
      <c r="E8" s="127" t="inlineStr">
        <is>
          <t>Nigrum Corpus</t>
        </is>
      </c>
      <c r="F8" s="127" t="inlineStr">
        <is>
          <t>Artplan</t>
        </is>
      </c>
      <c r="G8" s="127" t="inlineStr">
        <is>
          <t>Brazil</t>
        </is>
      </c>
      <c r="H8" s="113" t="inlineStr">
        <is>
          <t>Industry Craft: Art Direction - Brand-Led Education &amp; Awareness</t>
        </is>
      </c>
      <c r="I8" s="128" t="inlineStr">
        <is>
          <t>https://ascentialcdn.filespin.io/api/v1/conversion/2a553b0447c74fe5a2affb443a416633</t>
        </is>
      </c>
      <c r="J8" s="127" t="inlineStr">
        <is>
          <t>vimeo:1089083708</t>
        </is>
      </c>
      <c r="K8" s="127" t="n"/>
      <c r="L8" s="128" t="inlineStr">
        <is>
          <t>https://www.lovethework.com/work/entries/nigrum-corpus-759635</t>
        </is>
      </c>
      <c r="M8" s="113" t="inlineStr">
        <is>
          <t>A medical anatomy book created for Instituto de Educação Médica (IDOMED) that replaces the white-body illustrations standard in medical education with Black bodies, pairing anatomical diagrams with floral patterns to celebrate Black beauty. The book addresses the medical racism embedded in curricula that has historically treated white anatomy as the default human reference.</t>
        </is>
      </c>
      <c r="N8" s="113" t="inlineStr">
        <is>
          <t>medical-education, book, illustration, typography, brazil, health-equity, racial-inclusion, print</t>
        </is>
      </c>
    </row>
    <row r="9">
      <c r="A9" s="127" t="n">
        <v>2025</v>
      </c>
      <c r="B9" s="132" t="inlineStr">
        <is>
          <t>Silver</t>
        </is>
      </c>
      <c r="C9" s="127" t="inlineStr">
        <is>
          <t>Zip Code Exam</t>
        </is>
      </c>
      <c r="D9" s="127" t="inlineStr">
        <is>
          <t>Zip Code Exam , Area 23</t>
        </is>
      </c>
      <c r="E9" s="127" t="inlineStr">
        <is>
          <t>Zip Code Exam</t>
        </is>
      </c>
      <c r="F9" s="127" t="inlineStr">
        <is>
          <t>An IPG Health Company</t>
        </is>
      </c>
      <c r="G9" s="127" t="inlineStr">
        <is>
          <t>United States</t>
        </is>
      </c>
      <c r="H9" s="113" t="inlineStr">
        <is>
          <t>Integrated - Non-profit/Foundation-led Education &amp; Awareness</t>
        </is>
      </c>
      <c r="I9" s="128" t="inlineStr">
        <is>
          <t>https://ascentialcdn.filespin.io/api/v1/conversion/ab087ed95b3a43e88ff6b9ef28d02df5</t>
        </is>
      </c>
      <c r="J9" s="127" t="inlineStr">
        <is>
          <t>2f0k9hGHLuA</t>
        </is>
      </c>
      <c r="K9" s="127" t="n"/>
      <c r="L9" s="128" t="inlineStr">
        <is>
          <t>https://www.lovethework.com/work/entries/zip-code-exam-765197</t>
        </is>
      </c>
      <c r="M9" s="113" t="inlineStr">
        <is>
          <t>A data platform built by Area 23 for Equality Health Foundation that generates a personalized health risk report based solely on a person's U.S. zip code — drawing on community-level data to surface the specific diseases, environmental hazards, and social determinants most likely to affect people in that area. The platform reframes standard preventive health screening around geography rather than individual symptoms, making systemic health inequalities visible at a hyperlocal level.</t>
        </is>
      </c>
      <c r="N9" s="113" t="inlineStr">
        <is>
          <t>health-foundation, data-platform, public-health, health-equity, research-and-analytics, digital, united-states, social-determinants, community-health</t>
        </is>
      </c>
    </row>
    <row r="10">
      <c r="A10" s="127" t="n">
        <v>2025</v>
      </c>
      <c r="B10" s="132" t="inlineStr">
        <is>
          <t>Silver</t>
        </is>
      </c>
      <c r="C10" s="127" t="inlineStr">
        <is>
          <t>Memento Beer</t>
        </is>
      </c>
      <c r="D10" s="127" t="inlineStr">
        <is>
          <t>Abracerva</t>
        </is>
      </c>
      <c r="E10" s="127" t="inlineStr">
        <is>
          <t>Non-Alcoholic Beer</t>
        </is>
      </c>
      <c r="F10" s="127" t="inlineStr">
        <is>
          <t>Ogilvy Health</t>
        </is>
      </c>
      <c r="G10" s="127" t="inlineStr">
        <is>
          <t>United States</t>
        </is>
      </c>
      <c r="H10" s="113" t="inlineStr">
        <is>
          <t>Healthcare Product Innovation - Nutraceuticals</t>
        </is>
      </c>
      <c r="I10" s="128" t="inlineStr">
        <is>
          <t>https://ascentialcdn.filespin.io/api/v1/conversion/976392be2e5d4a0fbac33fda02182549</t>
        </is>
      </c>
      <c r="J10" s="127" t="inlineStr">
        <is>
          <t>vimeo:1099664585</t>
        </is>
      </c>
      <c r="K10" s="127" t="n"/>
      <c r="L10" s="128" t="inlineStr">
        <is>
          <t>https://www.lovethework.com/work/entries/memento-beer-752967</t>
        </is>
      </c>
      <c r="M10" s="113" t="inlineStr">
        <is>
          <t>A line of craft beers brewed by ABRACERVA to surface Alzheimer's disease awareness by anchoring each beer to a specific positive memory — the flavor, name, and label of every bottle tied to a recollection that the disease erodes. Developed with Ogilvy Health in New York, the project uses the sensory ritual of drinking beer as a vehicle to prompt conversation about memory loss.</t>
        </is>
      </c>
      <c r="N10" s="113" t="inlineStr">
        <is>
          <t>non-alcoholic-beer, healthcare, packaging, craft-beer, alzheimers, memory, nutraceuticals, brazil, united-states</t>
        </is>
      </c>
    </row>
    <row r="11">
      <c r="A11" s="127" t="n">
        <v>2025</v>
      </c>
      <c r="B11" s="132" t="inlineStr">
        <is>
          <t>Silver</t>
        </is>
      </c>
      <c r="C11" s="127" t="inlineStr">
        <is>
          <t>Naga Saint Eye Test</t>
        </is>
      </c>
      <c r="D11" s="127" t="inlineStr">
        <is>
          <t>Eyebetes Foundation</t>
        </is>
      </c>
      <c r="E11" s="127" t="inlineStr">
        <is>
          <t>Eye Test Services</t>
        </is>
      </c>
      <c r="F11" s="127" t="inlineStr">
        <is>
          <t>Godrej Creative Lab</t>
        </is>
      </c>
      <c r="G11" s="127" t="inlineStr">
        <is>
          <t>India</t>
        </is>
      </c>
      <c r="H11" s="113" t="inlineStr">
        <is>
          <t>Direct - Non-profit/Foundation-led Education &amp; Awareness</t>
        </is>
      </c>
      <c r="I11" s="128" t="inlineStr">
        <is>
          <t>https://ascentialcdn.filespin.io/api/v1/conversion/5097b08d039c468999082882e3dc18f4</t>
        </is>
      </c>
      <c r="J11" s="127" t="inlineStr">
        <is>
          <t>mp4:videos/naga-saint-eye-test.mp4</t>
        </is>
      </c>
      <c r="K11" s="127" t="n"/>
      <c r="L11" s="128" t="inlineStr">
        <is>
          <t>https://www.lovethework.com/work/entries/naga-saint-eye-test-753527</t>
        </is>
      </c>
      <c r="M11" s="113" t="inlineStr">
        <is>
          <t>In India, where diabetes-related blindness often goes undetected and access to healthcare is limited, the Eyebetes Foundation turned a moment of faith into a moment of screening. At the Maha Kumbh, vision charts were painted on the backs of revered Naga Saints, transforming devotees' gazes into eye tests and guiding those at risk to free diabetes and eye check-up camps.</t>
        </is>
      </c>
      <c r="N11" s="113" t="inlineStr">
        <is>
          <t>healthcare, eye-care, optometry, medical, diabetes, social-good, india, ngo, not-for-profit, charity, ambient, public-service, religious-engagement</t>
        </is>
      </c>
    </row>
    <row r="12">
      <c r="A12" s="127" t="n">
        <v>2025</v>
      </c>
      <c r="B12" s="132" t="inlineStr">
        <is>
          <t>Silver</t>
        </is>
      </c>
      <c r="C12" s="127" t="inlineStr">
        <is>
          <t>The Mind Guardian</t>
        </is>
      </c>
      <c r="D12" s="127" t="inlineStr">
        <is>
          <t>Samsung</t>
        </is>
      </c>
      <c r="E12" s="127" t="inlineStr">
        <is>
          <t>Samsung</t>
        </is>
      </c>
      <c r="F12" s="127" t="inlineStr">
        <is>
          <t>Cheil Worldwide</t>
        </is>
      </c>
      <c r="G12" s="127" t="inlineStr">
        <is>
          <t>Spain</t>
        </is>
      </c>
      <c r="H12" s="113" t="inlineStr">
        <is>
          <t>Use of Technology - Health &amp; Wellness Tech</t>
        </is>
      </c>
      <c r="I12" s="128" t="inlineStr">
        <is>
          <t>https://ascentialcdn.filespin.io/api/v1/conversion/006b57346ea04abda2e417e9ec9c5e39</t>
        </is>
      </c>
      <c r="J12" s="127" t="inlineStr">
        <is>
          <t>UeoOgsVrEE4</t>
        </is>
      </c>
      <c r="K12" s="127" t="n"/>
      <c r="L12" s="128" t="inlineStr">
        <is>
          <t>https://www.lovethework.com/work/entries/the-mind-guardian-753085</t>
        </is>
      </c>
      <c r="M12" s="113" t="inlineStr">
        <is>
          <t>An open-world POV video game in which players explore a city built from everyday scenarios while an AI model analyzes their in-game decisions and actions in real time to flag early signs of cognitive decline. Developed by Samsung Spain and Cheil Worldwide as part of Samsung's 'Technology with Purpose' platform, it reframes a standard cognitive screening into an experience indistinguishable from ordinary play.</t>
        </is>
      </c>
      <c r="N12" s="113" t="inlineStr">
        <is>
          <t>samsung, consumer-electronics, mobile-app, video-game, ai, technology, health-wellness, alzheimers, cognitive-screening, spain</t>
        </is>
      </c>
    </row>
    <row r="13">
      <c r="A13" s="127" t="n">
        <v>2025</v>
      </c>
      <c r="B13" s="132" t="inlineStr">
        <is>
          <t>Silver</t>
        </is>
      </c>
      <c r="C13" s="127" t="inlineStr">
        <is>
          <t>The Rarest Stars Shine Brightest</t>
        </is>
      </c>
      <c r="D13" s="127" t="inlineStr">
        <is>
          <t>Montefiore Einstein</t>
        </is>
      </c>
      <c r="E13" s="127" t="inlineStr">
        <is>
          <t>Montefiore Einstein</t>
        </is>
      </c>
      <c r="F13" s="127" t="inlineStr">
        <is>
          <t>Alto</t>
        </is>
      </c>
      <c r="G13" s="127" t="inlineStr">
        <is>
          <t>United States</t>
        </is>
      </c>
      <c r="H13" s="113" t="inlineStr">
        <is>
          <t>Film: Cinema, TV and Digital Film Content - Health Services &amp; Facilities</t>
        </is>
      </c>
      <c r="I13" s="127" t="inlineStr">
        <is>
          <t>digital-presentation-images/health-and-wellness-montefiore-einstein-the-rarest-stars-shine-brightest.webp</t>
        </is>
      </c>
      <c r="J13" s="127" t="inlineStr">
        <is>
          <t>vimeo:1056957344</t>
        </is>
      </c>
      <c r="K13" s="127" t="n"/>
      <c r="L13" s="128" t="inlineStr">
        <is>
          <t>https://www.lovethework.com/work/entries/the-rarest-stars-shine-brightest-753653</t>
        </is>
      </c>
      <c r="M13" s="113" t="inlineStr">
        <is>
          <t>A three-minute holiday short film, shot by Biscuit Filmworks and directed by Steve Rogers, in which five real children — each living with a rare disease such as piebaldism, AMPS, and Ehlers-Danlos syndrome — build a rocket, travel to space, and save the holidays in a narrative modeled on classic adventure films like The Goonies and E.T. The film was created by Alto NY for Montefiore Einstein to surface the "diagnostic odyssey" facing rare disease patients, whose conditions take an average of 5–7 years to diagnose.</t>
        </is>
      </c>
      <c r="N13" s="113" t="inlineStr">
        <is>
          <t>healthcare, film, cinema, entertainment, rare-disease, children, holiday, united-states, short-film, public-awareness</t>
        </is>
      </c>
    </row>
    <row r="14">
      <c r="A14" s="127" t="n">
        <v>2025</v>
      </c>
      <c r="B14" s="132" t="inlineStr">
        <is>
          <t>Silver</t>
        </is>
      </c>
      <c r="C14" s="127" t="inlineStr">
        <is>
          <t>Breastmilk Money</t>
        </is>
      </c>
      <c r="D14" s="127" t="inlineStr">
        <is>
          <t>Herconomy</t>
        </is>
      </c>
      <c r="E14" s="127" t="inlineStr">
        <is>
          <t>Herconomy</t>
        </is>
      </c>
      <c r="F14" s="127" t="inlineStr">
        <is>
          <t>Serviceplan Germany</t>
        </is>
      </c>
      <c r="G14" s="127" t="inlineStr">
        <is>
          <t>Germany</t>
        </is>
      </c>
      <c r="H14" s="113" t="inlineStr">
        <is>
          <t>Direct - Brand-Led Education &amp; Awareness</t>
        </is>
      </c>
      <c r="I14" s="128" t="inlineStr">
        <is>
          <t>https://ascentialcdn.filespin.io/api/v1/conversion/73ea0e639f6747c68cf8460abe2f02bb</t>
        </is>
      </c>
      <c r="J14" s="127" t="inlineStr">
        <is>
          <t>vimeo:1094309200</t>
        </is>
      </c>
      <c r="K14" s="127" t="n"/>
      <c r="L14" s="128" t="inlineStr">
        <is>
          <t>https://www.lovethework.com/work/entries/breastmilk-money-753277</t>
        </is>
      </c>
      <c r="M14" s="113" t="inlineStr">
        <is>
          <t>A financial product built for breastfeeding mothers in Nigeria that converts expressed breast milk into a measurable economic unit — quantifying the unpaid labor of nursing and linking it to savings, investments, or financial services within the Herconomy platform. The product addresses the gap in women's financial participation during maternity, a period when income typically stalls while caregiving labor intensifies.</t>
        </is>
      </c>
      <c r="N14" s="113" t="inlineStr">
        <is>
          <t>fintech, financial-services, finance, womens-finance, breastfeeding, nigeria, single-market-campaign, mobile-app, health-and-wellness, creative-data, unpaid-labor</t>
        </is>
      </c>
    </row>
    <row r="15">
      <c r="A15" s="127" t="n">
        <v>2025</v>
      </c>
      <c r="B15" s="132" t="inlineStr">
        <is>
          <t>Silver</t>
        </is>
      </c>
      <c r="C15" s="127" t="inlineStr">
        <is>
          <t>Creamotherapy</t>
        </is>
      </c>
      <c r="D15" s="127" t="inlineStr">
        <is>
          <t>My Doctors Recipe</t>
        </is>
      </c>
      <c r="E15" s="127" t="inlineStr">
        <is>
          <t>Nutri Ice</t>
        </is>
      </c>
      <c r="F15" s="127" t="inlineStr">
        <is>
          <t>Havas Lynx</t>
        </is>
      </c>
      <c r="G15" s="127" t="inlineStr">
        <is>
          <t>United Kingdom</t>
        </is>
      </c>
      <c r="H15" s="113" t="inlineStr">
        <is>
          <t>Healthcare Product Innovation - Nutraceuticals</t>
        </is>
      </c>
      <c r="I15" s="128" t="inlineStr">
        <is>
          <t>https://ascentialcdn.filespin.io/api/v1/conversion/58801b8585ed4774878a11441091b7d8</t>
        </is>
      </c>
      <c r="J15" s="127" t="inlineStr">
        <is>
          <t>mD27VWqfj5g</t>
        </is>
      </c>
      <c r="K15" s="127" t="n"/>
      <c r="L15" s="128" t="inlineStr">
        <is>
          <t>https://www.lovethework.com/work/entries/creamotherapy-753157</t>
        </is>
      </c>
      <c r="M15" s="113" t="inlineStr">
        <is>
          <t>A nutritional ice cream developed for cancer patients using micro-encapsulation technology to deliver essential vitamins and minerals without changing the product's taste or smell. The product addresses a gap in cancer care nutrition, where conventional supplement formats are often difficult for patients to tolerate, by delivering nutrients through a familiar, palatable food.</t>
        </is>
      </c>
      <c r="N15" s="113" t="inlineStr">
        <is>
          <t>nutraceutical, healthcare, product-innovation, food, design, micro-encapsulation, cancer-care, united-kingdom</t>
        </is>
      </c>
    </row>
    <row r="16">
      <c r="A16" s="127" t="n">
        <v>2025</v>
      </c>
      <c r="B16" s="132" t="inlineStr">
        <is>
          <t>Silver</t>
        </is>
      </c>
      <c r="C16" s="127" t="inlineStr">
        <is>
          <t>Don't Sleep on Saquon</t>
        </is>
      </c>
      <c r="D16" s="127" t="inlineStr">
        <is>
          <t>Unisom</t>
        </is>
      </c>
      <c r="E16" s="127" t="inlineStr">
        <is>
          <t>Unisom</t>
        </is>
      </c>
      <c r="F16" s="127" t="inlineStr">
        <is>
          <t>The Martin Agency</t>
        </is>
      </c>
      <c r="G16" s="127" t="inlineStr">
        <is>
          <t>United States</t>
        </is>
      </c>
      <c r="H16" s="113" t="inlineStr">
        <is>
          <t>PR - OTC Oral Medicines</t>
        </is>
      </c>
      <c r="I16" s="128" t="inlineStr">
        <is>
          <t>https://ascentialcdn.filespin.io/api/v1/conversion/ac0ba2cefb2d4319a2897836bac8e95b</t>
        </is>
      </c>
      <c r="J16" s="127" t="inlineStr">
        <is>
          <t>ozI9PGCR_Fw</t>
        </is>
      </c>
      <c r="K16" s="127" t="n"/>
      <c r="L16" s="128" t="inlineStr">
        <is>
          <t>https://www.lovethework.com/work/entries/dont-sleep-on-saquon-753018</t>
        </is>
      </c>
      <c r="M16" s="113" t="inlineStr">
        <is>
          <t>A targeted media placement directed at New York Giants owner John Mara after he publicly said he'd "have trouble sleeping" if star running back Saquon Barkley left the team — and Barkley promptly signed with the rival Philadelphia Eagles. Unisom ran the campaign at the moment Mara's nightmare peaked: the January 5, 2025 Giants vs. Eagles matchup, positioning the sleep aid as a remedy for the intrusive thoughts keeping him up at night.</t>
        </is>
      </c>
      <c r="N16" s="113" t="inlineStr">
        <is>
          <t>sleep-aid, healthcare, real-time-marketing, sports, ooh, united-states, nfl, social-media</t>
        </is>
      </c>
    </row>
    <row r="17">
      <c r="A17" s="127" t="n">
        <v>2025</v>
      </c>
      <c r="B17" s="132" t="inlineStr">
        <is>
          <t>Silver</t>
        </is>
      </c>
      <c r="C17" s="127" t="inlineStr">
        <is>
          <t>Drops of Hope</t>
        </is>
      </c>
      <c r="D17" s="127" t="inlineStr">
        <is>
          <t>Kimberly-Clark</t>
        </is>
      </c>
      <c r="E17" s="127" t="inlineStr">
        <is>
          <t>Poise</t>
        </is>
      </c>
      <c r="F17" s="127" t="inlineStr">
        <is>
          <t>FCB New York</t>
        </is>
      </c>
      <c r="G17" s="127" t="inlineStr">
        <is>
          <t>United States</t>
        </is>
      </c>
      <c r="H17" s="113" t="inlineStr">
        <is>
          <t>Brand Experience &amp; Activation - Brand-Led Education &amp; Awareness</t>
        </is>
      </c>
      <c r="I17" s="128" t="inlineStr">
        <is>
          <t>https://ascentialcdn.filespin.io/api/v1/conversion/2b33d598710842f6973f6726a77d3be8</t>
        </is>
      </c>
      <c r="J17" s="127" t="inlineStr">
        <is>
          <t>MnF0kip489Y</t>
        </is>
      </c>
      <c r="K17" s="127" t="n"/>
      <c r="L17" s="128" t="inlineStr">
        <is>
          <t>https://www.lovethework.com/work/entries/drops-of-hope-753269</t>
        </is>
      </c>
      <c r="M17" s="113" t="inlineStr">
        <is>
          <t>A mail-back diagnostic service that turns Poise's incontinence pads into a preventive-health tool. Women in U.S. healthcare deserts can send a used pad to a doctor, who extracts urine for screening — extending basic check-ups to people who don't live near a clinic.</t>
        </is>
      </c>
      <c r="N17" s="113" t="inlineStr">
        <is>
          <t>healthcare, diagnostics, medical, womens-health, mail-back, product-innovation, social-good, rural, united-states</t>
        </is>
      </c>
    </row>
    <row r="18">
      <c r="A18" s="127" t="n">
        <v>2025</v>
      </c>
      <c r="B18" s="132" t="inlineStr">
        <is>
          <t>Silver</t>
        </is>
      </c>
      <c r="C18" s="127" t="inlineStr">
        <is>
          <t>Omnilivery</t>
        </is>
      </c>
      <c r="D18" s="127" t="inlineStr">
        <is>
          <t>Omni</t>
        </is>
      </c>
      <c r="E18" s="127" t="inlineStr">
        <is>
          <t>Mobility System for Wheelchair</t>
        </is>
      </c>
      <c r="F18" s="127" t="inlineStr">
        <is>
          <t>Saatchi &amp; Saatchi France</t>
        </is>
      </c>
      <c r="G18" s="127" t="inlineStr">
        <is>
          <t>France</t>
        </is>
      </c>
      <c r="H18" s="113" t="inlineStr">
        <is>
          <t>Healthcare Product Innovation - Health &amp; Wellness Tech</t>
        </is>
      </c>
      <c r="I18" s="128" t="inlineStr">
        <is>
          <t>https://ascentialcdn.filespin.io/api/v1/conversion/38cbe1a6ee444db186b748c9da630bdc</t>
        </is>
      </c>
      <c r="J18" s="127" t="inlineStr">
        <is>
          <t>vimeo:1158377325</t>
        </is>
      </c>
      <c r="K18" s="127" t="n"/>
      <c r="L18" s="128" t="inlineStr">
        <is>
          <t>https://www.lovethework.com/work/entries/omnilivery-753052</t>
        </is>
      </c>
      <c r="M18" s="113" t="inlineStr">
        <is>
          <t>A one-day live event in which wheelchair users equipped with Omni's mobility scooter attachment completed food delivery shifts across a city — the job category typically considered most demanding of physical mobility. Produced by Prodigious Paris for Saatchi &amp; Saatchi France, the stunt challenged the assumption that wheelchair users cannot perform high-mobility work.</t>
        </is>
      </c>
      <c r="N18" s="113" t="inlineStr">
        <is>
          <t>mobility-system, wheelchair, experiential, public-relations, disability, france, reduced-inequalities, health-wellness</t>
        </is>
      </c>
    </row>
    <row r="19">
      <c r="A19" s="127" t="n">
        <v>2025</v>
      </c>
      <c r="B19" s="132" t="inlineStr">
        <is>
          <t>Silver</t>
        </is>
      </c>
      <c r="C19" s="127" t="inlineStr">
        <is>
          <t>Missed Birthdays</t>
        </is>
      </c>
      <c r="D19" s="127" t="inlineStr">
        <is>
          <t>Itv X Calm</t>
        </is>
      </c>
      <c r="E19" s="127" t="inlineStr">
        <is>
          <t>Itv X Calm</t>
        </is>
      </c>
      <c r="F19" s="127" t="inlineStr">
        <is>
          <t>adam&amp;eveDDB</t>
        </is>
      </c>
      <c r="G19" s="127" t="inlineStr">
        <is>
          <t>United Kingdom</t>
        </is>
      </c>
      <c r="H19" s="113" t="inlineStr">
        <is>
          <t>Integrated - Brand-Led Education &amp; Awareness</t>
        </is>
      </c>
      <c r="I19" s="128" t="inlineStr">
        <is>
          <t>https://ascentialcdn.filespin.io/api/v1/conversion/3d5f05527b0c4cd6b9752f323f566c63</t>
        </is>
      </c>
      <c r="J19" s="127" t="inlineStr">
        <is>
          <t>ifZVZ4fX4gg</t>
        </is>
      </c>
      <c r="K19" s="127" t="n"/>
      <c r="L19" s="128" t="inlineStr">
        <is>
          <t>https://www.lovethework.com/work/entries/missed-birthdays-753149</t>
        </is>
      </c>
      <c r="M19" s="113" t="inlineStr">
        <is>
          <t>A live television moment built around a birthday cake — on what would have been Evelyn's 18th birthday, ITV broadcast a real-time celebration of a young person who died by suicide, with the candles, the cake, and the empty chair making visible the birthdays that families of suicide victims never get to mark. Created with mental health charity CALM (Campaign Against Living Miserably), the broadcast directed viewers to CALM's tools for supporting young people who may be struggling.</t>
        </is>
      </c>
      <c r="N19" s="113" t="inlineStr">
        <is>
          <t>live-advertising, television, mental-health, healthcare, medical, suicide-prevention, public-service, united-kingdom, charity, broadcast, entertainment</t>
        </is>
      </c>
    </row>
    <row r="20">
      <c r="A20" s="127" t="n">
        <v>2025</v>
      </c>
      <c r="B20" s="133" t="inlineStr">
        <is>
          <t>Bronze</t>
        </is>
      </c>
      <c r="C20" s="127" t="inlineStr">
        <is>
          <t>Interface of Humanity Powered by Ntt</t>
        </is>
      </c>
      <c r="D20" s="127" t="inlineStr">
        <is>
          <t>Ntt Human Informatics Laboratories</t>
        </is>
      </c>
      <c r="E20" s="127" t="inlineStr">
        <is>
          <t>Ntt Human Informatics Laboratories</t>
        </is>
      </c>
      <c r="F20" s="127" t="inlineStr">
        <is>
          <t>Dentsu Inc.</t>
        </is>
      </c>
      <c r="G20" s="127" t="inlineStr">
        <is>
          <t>Japan</t>
        </is>
      </c>
      <c r="H20" s="113" t="inlineStr">
        <is>
          <t>Use of Technology - Health &amp; Wellness Tech</t>
        </is>
      </c>
      <c r="I20" s="128" t="inlineStr">
        <is>
          <t>https://ascentialcdn.filespin.io/api/v1/conversion/15acf37ec83847ee82067e734a40a3de</t>
        </is>
      </c>
      <c r="J20" s="127" t="inlineStr">
        <is>
          <t>9Yv1aq_N-Ss</t>
        </is>
      </c>
      <c r="K20" s="127" t="n"/>
      <c r="L20" s="128" t="inlineStr">
        <is>
          <t>https://www.lovethework.com/work/entries/interface-of-humanity-powered-by-ntt-753027</t>
        </is>
      </c>
      <c r="M20" s="113" t="inlineStr">
        <is>
          <t>An interface system built by NTT Human Informatics Laboratories and Dentsu Inc. that enables bedridden people to operate devices and participate as active players — using new sensing and control technologies to work around the physical limitations of being confined to bed. The system is designed as an ongoing development platform, continuously expanding the tools available to people with severely restricted mobility.</t>
        </is>
      </c>
      <c r="N20" s="113" t="inlineStr">
        <is>
          <t>health-wellness-tech, assistive-technology, interface, gaming, video-games, entertainment, mobile-app, japan, disability, research-and-development</t>
        </is>
      </c>
    </row>
    <row r="21">
      <c r="A21" s="127" t="n">
        <v>2025</v>
      </c>
      <c r="B21" s="133" t="inlineStr">
        <is>
          <t>Bronze</t>
        </is>
      </c>
      <c r="C21" s="127" t="inlineStr">
        <is>
          <t>Her Dome</t>
        </is>
      </c>
      <c r="D21" s="127" t="inlineStr">
        <is>
          <t>Government of the State of Sao Paulo</t>
        </is>
      </c>
      <c r="E21" s="127" t="inlineStr">
        <is>
          <t>Government of the State of São Paulo - Women's Safety</t>
        </is>
      </c>
      <c r="F21" s="127" t="inlineStr">
        <is>
          <t>DPZ</t>
        </is>
      </c>
      <c r="G21" s="127" t="inlineStr">
        <is>
          <t>Brazil</t>
        </is>
      </c>
      <c r="H21" s="113" t="inlineStr">
        <is>
          <t>Use of Technology - Health &amp; Wellness Tech</t>
        </is>
      </c>
      <c r="I21" s="128" t="inlineStr">
        <is>
          <t>https://ascentialcdn.filespin.io/api/v1/conversion/3712e2a622444a32895dce6764b60a64</t>
        </is>
      </c>
      <c r="J21" s="127" t="inlineStr">
        <is>
          <t>vimeo:1093399045</t>
        </is>
      </c>
      <c r="K21" s="127" t="n"/>
      <c r="L21" s="128" t="inlineStr">
        <is>
          <t>https://www.lovethework.com/work/entries/her-dome-753056</t>
        </is>
      </c>
      <c r="M21" s="113" t="inlineStr">
        <is>
          <t>A geofenced mobile safety system built by DPZ for the Government of São Paulo that creates a virtual "dome" around women who activate it — triggering location-based alerts to trusted contacts and authorities if the user doesn't check in or signals distress. Part of the broader SP por Todas movement, launched in 2024 to give visibility to São Paulo's public policies on women's protection and autonomy.</t>
        </is>
      </c>
      <c r="N21" s="113" t="inlineStr">
        <is>
          <t>government, womens-safety, mobile-app, geofencing, technology, public-service, brazil, location-based</t>
        </is>
      </c>
    </row>
    <row r="22">
      <c r="A22" s="127" t="n">
        <v>2025</v>
      </c>
      <c r="B22" s="133" t="inlineStr">
        <is>
          <t>Bronze</t>
        </is>
      </c>
      <c r="C22" s="127" t="inlineStr">
        <is>
          <t>Nigrum Corpus</t>
        </is>
      </c>
      <c r="D22" s="127" t="inlineStr">
        <is>
          <t>Idomed</t>
        </is>
      </c>
      <c r="E22" s="127" t="inlineStr">
        <is>
          <t>Nigrum Corpus</t>
        </is>
      </c>
      <c r="F22" s="127" t="inlineStr">
        <is>
          <t>Artplan</t>
        </is>
      </c>
      <c r="G22" s="127" t="inlineStr">
        <is>
          <t>Brazil</t>
        </is>
      </c>
      <c r="H22" s="113" t="inlineStr">
        <is>
          <t>Industry Craft: Illustration - Brand-Led Education &amp; Awareness</t>
        </is>
      </c>
      <c r="I22" s="128" t="inlineStr">
        <is>
          <t>https://ascentialcdn.filespin.io/api/v1/conversion/72c8c8ae63834151a80593fcde332afb</t>
        </is>
      </c>
      <c r="J22" s="127" t="inlineStr">
        <is>
          <t>vimeo:1089083708</t>
        </is>
      </c>
      <c r="K22" s="127" t="n"/>
      <c r="L22" s="128" t="inlineStr">
        <is>
          <t>https://www.lovethework.com/work/entries/nigrum-corpus-759644</t>
        </is>
      </c>
      <c r="M22" s="113" t="inlineStr">
        <is>
          <t>A medical anatomy book created for Instituto de Educação Médica (IDOMED) that replaces the white-body illustrations standard in medical education with Black bodies, pairing anatomical diagrams with floral patterns to celebrate Black beauty. The book addresses the medical racism embedded in curricula that has historically treated white anatomy as the default human reference.</t>
        </is>
      </c>
      <c r="N22" s="113" t="inlineStr">
        <is>
          <t>medical-education, book, illustration, typography, brazil, health-equity, racial-inclusion, print</t>
        </is>
      </c>
    </row>
    <row r="23">
      <c r="A23" s="127" t="n">
        <v>2025</v>
      </c>
      <c r="B23" s="133" t="inlineStr">
        <is>
          <t>Bronze</t>
        </is>
      </c>
      <c r="C23" s="127" t="inlineStr">
        <is>
          <t>Visiongram</t>
        </is>
      </c>
      <c r="D23" s="127" t="inlineStr">
        <is>
          <t>Japan Blind Judo Federation</t>
        </is>
      </c>
      <c r="E23" s="127" t="inlineStr">
        <is>
          <t>Visiongram</t>
        </is>
      </c>
      <c r="F23" s="127" t="inlineStr">
        <is>
          <t>Dentsu Inc.</t>
        </is>
      </c>
      <c r="G23" s="127" t="inlineStr">
        <is>
          <t>Japan</t>
        </is>
      </c>
      <c r="H23" s="113" t="inlineStr">
        <is>
          <t>Use of Technology - Non-profit/Foundation-led Education &amp; Awareness</t>
        </is>
      </c>
      <c r="I23" s="128" t="inlineStr">
        <is>
          <t>https://ascentialcdn.filespin.io/api/v1/conversion/1d90874d49d049ef919f6ac01a22dfa3</t>
        </is>
      </c>
      <c r="J23" s="127" t="inlineStr">
        <is>
          <t>vimeo:1178670307</t>
        </is>
      </c>
      <c r="K23" s="127" t="n"/>
      <c r="L23" s="128" t="inlineStr">
        <is>
          <t>https://www.lovethework.com/work/entries/visiongram-753110</t>
        </is>
      </c>
      <c r="M23" s="113" t="inlineStr">
        <is>
          <t>A system developed for the Japan Blind Judo Federation that lets visually impaired individuals generate a personal visual map — called a VISIONGRAM — representing the specific way they perceive the world, from total darkness to partial light and color. The tool gives each person a shareable visual language for their own vision, allowing sighted coaches, teammates, and the public to understand conditions that are otherwise described only in words.</t>
        </is>
      </c>
      <c r="N23" s="113" t="inlineStr">
        <is>
          <t>nonprofit, use-of-technology, data-visualization, accessibility, blind-judo, japan, sports, awareness, dentsu</t>
        </is>
      </c>
    </row>
    <row r="24">
      <c r="A24" s="127" t="n">
        <v>2025</v>
      </c>
      <c r="B24" s="133" t="inlineStr">
        <is>
          <t>Bronze</t>
        </is>
      </c>
      <c r="C24" s="127" t="inlineStr">
        <is>
          <t>Sickle Cell Ball</t>
        </is>
      </c>
      <c r="D24" s="127" t="inlineStr">
        <is>
          <t>Newyork-Presbyterian</t>
        </is>
      </c>
      <c r="E24" s="127" t="inlineStr">
        <is>
          <t>Sickle Cell Ball</t>
        </is>
      </c>
      <c r="F24" s="127" t="inlineStr">
        <is>
          <t>Havas</t>
        </is>
      </c>
      <c r="G24" s="127" t="inlineStr">
        <is>
          <t>United States</t>
        </is>
      </c>
      <c r="H24" s="113" t="inlineStr">
        <is>
          <t>Brand Experience &amp; Activation - Non-profit/Foundation-led Education &amp; Awareness</t>
        </is>
      </c>
      <c r="I24" s="128" t="inlineStr">
        <is>
          <t>https://ascentialcdn.filespin.io/api/v1/conversion/cddc5ccda6a24baeaf4e5cb205c9bb46</t>
        </is>
      </c>
      <c r="J24" s="127" t="inlineStr">
        <is>
          <t>vimeo:1082598227</t>
        </is>
      </c>
      <c r="K24" s="127" t="n"/>
      <c r="L24" s="128" t="inlineStr">
        <is>
          <t>https://www.lovethework.com/work/entries/sickle-cell-ball-753415</t>
        </is>
      </c>
      <c r="M24" s="113" t="inlineStr">
        <is>
          <t>A special-edition basketball redesigned by NewYork-Presbyterian and Havas New York to carry a medical message: its standard black panels are joined by a single crescent-shaped red panel representing the sickle cell shape. The ball was used in a live basketball tournament — the Sickle Cell Ball — co-organized with One Brooklyn Health to raise awareness of sickle cell disease through the sport's existing community.</t>
        </is>
      </c>
      <c r="N24" s="113" t="inlineStr">
        <is>
          <t>hospital, product-design, packaging, sports, health-awareness, non-profit, united-states, brand-experience</t>
        </is>
      </c>
    </row>
    <row r="25">
      <c r="A25" s="127" t="n">
        <v>2025</v>
      </c>
      <c r="B25" s="133" t="inlineStr">
        <is>
          <t>Bronze</t>
        </is>
      </c>
      <c r="C25" s="127" t="inlineStr">
        <is>
          <t>The Shaded Route</t>
        </is>
      </c>
      <c r="D25" s="127" t="inlineStr">
        <is>
          <t>HungerStation</t>
        </is>
      </c>
      <c r="E25" s="127" t="inlineStr">
        <is>
          <t>Hungerstation Delivery App</t>
        </is>
      </c>
      <c r="F25" s="127" t="inlineStr">
        <is>
          <t>VML</t>
        </is>
      </c>
      <c r="G25" s="127" t="inlineStr">
        <is>
          <t>Saudi Arabia</t>
        </is>
      </c>
      <c r="H25" s="113" t="inlineStr">
        <is>
          <t>Mobile - Health &amp; Wellness Tech</t>
        </is>
      </c>
      <c r="I25" s="128" t="inlineStr">
        <is>
          <t>https://ascentialcdn.filespin.io/api/v1/conversion/a5387631458b48648c6dba4b21efb3d0</t>
        </is>
      </c>
      <c r="J25" s="127" t="inlineStr">
        <is>
          <t>5cGxg-wRzsE</t>
        </is>
      </c>
      <c r="K25" s="127" t="n"/>
      <c r="L25" s="128" t="inlineStr">
        <is>
          <t>https://www.lovethework.com/work/entries/the-shaded-route-753005</t>
        </is>
      </c>
      <c r="M25" s="113" t="inlineStr">
        <is>
          <t>A routing feature built into the HungerStation delivery app that calculates the shadiest path between pickup and drop-off points across Saudi Arabia — plotting roads and turns that maximize shade cover during each journey. The feature uses real-time sun position data alongside mapped building and infrastructure footprints to dynamically update routes as conditions change throughout the day.</t>
        </is>
      </c>
      <c r="N25" s="113" t="inlineStr">
        <is>
          <t>delivery-app, mobile-app, technology, data, real-time, rider-welfare, saudi-arabia, navigation, heat</t>
        </is>
      </c>
    </row>
    <row r="26">
      <c r="A26" s="127" t="n">
        <v>2025</v>
      </c>
      <c r="B26" s="133" t="inlineStr">
        <is>
          <t>Bronze</t>
        </is>
      </c>
      <c r="C26" s="127" t="inlineStr">
        <is>
          <t>Don't Sleep on Saquon</t>
        </is>
      </c>
      <c r="D26" s="127" t="inlineStr">
        <is>
          <t>Unisom</t>
        </is>
      </c>
      <c r="E26" s="127" t="inlineStr">
        <is>
          <t>Unisom</t>
        </is>
      </c>
      <c r="F26" s="127" t="inlineStr">
        <is>
          <t>The Martin Agency</t>
        </is>
      </c>
      <c r="G26" s="127" t="inlineStr">
        <is>
          <t>United States</t>
        </is>
      </c>
      <c r="H26" s="113" t="inlineStr">
        <is>
          <t>Social &amp; Creator - OTC Oral Medicines</t>
        </is>
      </c>
      <c r="I26" s="128" t="inlineStr">
        <is>
          <t>https://ascentialcdn.filespin.io/api/v1/conversion/ac0ba2cefb2d4319a2897836bac8e95b</t>
        </is>
      </c>
      <c r="J26" s="127" t="inlineStr">
        <is>
          <t>ozI9PGCR_Fw</t>
        </is>
      </c>
      <c r="K26" s="127" t="n"/>
      <c r="L26" s="128" t="inlineStr">
        <is>
          <t>https://www.lovethework.com/work/entries/dont-sleep-on-saquon-753135</t>
        </is>
      </c>
      <c r="M26" s="113" t="inlineStr">
        <is>
          <t>A targeted media placement directed at New York Giants owner John Mara after he publicly said he'd "have trouble sleeping" if star running back Saquon Barkley left the team — and Barkley promptly signed with the rival Philadelphia Eagles. Unisom ran the campaign at the moment Mara's nightmare peaked: the January 5, 2025 Giants vs. Eagles matchup, positioning the sleep aid as a remedy for the intrusive thoughts keeping him up at night.</t>
        </is>
      </c>
      <c r="N26" s="113" t="inlineStr">
        <is>
          <t>sleep-aid, healthcare, real-time-marketing, sports, ooh, united-states, nfl, social-media</t>
        </is>
      </c>
    </row>
    <row r="27">
      <c r="A27" s="127" t="n">
        <v>2025</v>
      </c>
      <c r="B27" s="133" t="inlineStr">
        <is>
          <t>Bronze</t>
        </is>
      </c>
      <c r="C27" s="127" t="inlineStr">
        <is>
          <t>The University of Dyslexic Thinking</t>
        </is>
      </c>
      <c r="D27" s="127" t="inlineStr">
        <is>
          <t>Made by Dyslexia X Virgin</t>
        </is>
      </c>
      <c r="E27" s="127" t="inlineStr">
        <is>
          <t>Dyslexicu</t>
        </is>
      </c>
      <c r="F27" s="127" t="inlineStr">
        <is>
          <t>DDB Melbourne</t>
        </is>
      </c>
      <c r="G27" s="127" t="inlineStr">
        <is>
          <t>Australia</t>
        </is>
      </c>
      <c r="H27" s="113" t="inlineStr">
        <is>
          <t>Integrated - Non-profit/Foundation-led Education &amp; Awareness</t>
        </is>
      </c>
      <c r="I27" s="128" t="inlineStr">
        <is>
          <t>https://ascentialcdn.filespin.io/api/v1/conversion/d72ef2fa1ff64f98933e1d3fcb040726</t>
        </is>
      </c>
      <c r="J27" s="127" t="inlineStr">
        <is>
          <t>vimeo:1106636655</t>
        </is>
      </c>
      <c r="K27" s="127" t="n"/>
      <c r="L27" s="128" t="inlineStr">
        <is>
          <t>https://www.lovethework.com/work/entries/the-university-of-dyslexic-thinking-753452</t>
        </is>
      </c>
      <c r="M27" s="113" t="inlineStr">
        <is>
          <t>A university — DyslexicU, housed on Open University — built by Made By Dyslexia, Virgin, and Sir Richard Branson to teach Dyslexic Thinking as a formal skill set. Created by DDB Melbourne, adam&amp;eveDDB New York, and Collider Sydney, the institution offers structured coursework designed to reposition the cognitive traits associated with dyslexia as professionally valuable rather than remedial.</t>
        </is>
      </c>
      <c r="N27" s="113" t="inlineStr">
        <is>
          <t>non-profit, education, integrated, awareness, dyslexia, e-learning, australia, foundation</t>
        </is>
      </c>
    </row>
    <row r="28">
      <c r="A28" s="127" t="n">
        <v>2025</v>
      </c>
      <c r="B28" s="133" t="inlineStr">
        <is>
          <t>Bronze</t>
        </is>
      </c>
      <c r="C28" s="127" t="inlineStr">
        <is>
          <t>Diary of a Head Injury</t>
        </is>
      </c>
      <c r="D28" s="127" t="inlineStr">
        <is>
          <t>Headway</t>
        </is>
      </c>
      <c r="E28" s="127" t="inlineStr">
        <is>
          <t>Brain Injury Prevention Awareness</t>
        </is>
      </c>
      <c r="F28" s="127" t="inlineStr">
        <is>
          <t>Assembly</t>
        </is>
      </c>
      <c r="G28" s="127" t="inlineStr">
        <is>
          <t>New Zealand</t>
        </is>
      </c>
      <c r="H28" s="113" t="inlineStr">
        <is>
          <t>Film Craft: Animation/Visual Effects - Non-profit/Foundation-led Education &amp; Awareness</t>
        </is>
      </c>
      <c r="I28" s="127" t="inlineStr">
        <is>
          <t>digital-presentation-images/health-and-wellness-headway-diary-of-a-head-injury.webp</t>
        </is>
      </c>
      <c r="J28" s="127" t="inlineStr">
        <is>
          <t>vimeo:1065270658</t>
        </is>
      </c>
      <c r="K28" s="127" t="n"/>
      <c r="L28" s="128" t="inlineStr">
        <is>
          <t>https://www.lovethework.com/work/entries/diary-of-a-head-injury-753514</t>
        </is>
      </c>
      <c r="M28" s="113" t="inlineStr">
        <is>
          <t>A short animated documentary, written by Nick Worthington and directed by Jonny Kofoed, told through the perspective of a crash victim who sustains a concussion and brain bleed — and the disorienting loss of connection that follows. Produced by Assembly and The Tuesday Club for Headway and the AUT Traumatic Brain Injury Network in New Zealand, the film uses VHS cassette aesthetics and fragmented visual effects to externalize the cognitive experience of traumatic brain injury.</t>
        </is>
      </c>
      <c r="N28" s="113" t="inlineStr">
        <is>
          <t>non-profit, animation, short-film, brain-injury-awareness, health-and-wellness, new-zealand, visual-effects, documentary, film, entertainment, cinema</t>
        </is>
      </c>
    </row>
    <row r="29">
      <c r="A29" s="127" t="n">
        <v>2025</v>
      </c>
      <c r="B29" s="133" t="inlineStr">
        <is>
          <t>Bronze</t>
        </is>
      </c>
      <c r="C29" s="127" t="inlineStr">
        <is>
          <t>The Trial (film)</t>
        </is>
      </c>
      <c r="D29" s="127" t="inlineStr">
        <is>
          <t>All in Action Fund</t>
        </is>
      </c>
      <c r="E29" s="127" t="inlineStr">
        <is>
          <t>Reproductive Rights Awareness</t>
        </is>
      </c>
      <c r="F29" s="127" t="inlineStr">
        <is>
          <t>Klick Health</t>
        </is>
      </c>
      <c r="G29" s="127" t="inlineStr">
        <is>
          <t>Canada</t>
        </is>
      </c>
      <c r="H29" s="113" t="inlineStr">
        <is>
          <t>Film Craft: Script - Fundraising &amp; Advocacy</t>
        </is>
      </c>
      <c r="I29" s="127" t="inlineStr">
        <is>
          <t>digital-presentation-images/health-and-wellness-all-in-action-fund-the-trial-film.webp</t>
        </is>
      </c>
      <c r="J29" s="127" t="inlineStr">
        <is>
          <t>PDJ3ZaDr0R0</t>
        </is>
      </c>
      <c r="K29" s="127" t="n"/>
      <c r="L29" s="128" t="inlineStr">
        <is>
          <t>https://www.lovethework.com/work/entries/the-trial-film-753432</t>
        </is>
      </c>
      <c r="M29" s="113" t="inlineStr">
        <is>
          <t>A short film scripted entirely from verbatim quotes by present-day U.S. politicians and reproductive justice leaders, staging those words as dialogue in a 17th-century Salem Witch Trial courtroom. The script was built by cross-referencing anti-abortion rhetoric from current policymakers against historical trial transcripts, letting the direct textual overlap carry the argument.</t>
        </is>
      </c>
      <c r="N29" s="113" t="inlineStr">
        <is>
          <t>reproductive-rights, short-film, advocacy, script, united-states, public-health, political, historical</t>
        </is>
      </c>
    </row>
    <row r="30">
      <c r="A30" s="127" t="n">
        <v>2025</v>
      </c>
      <c r="B30" s="133" t="inlineStr">
        <is>
          <t>Bronze</t>
        </is>
      </c>
      <c r="C30" s="127" t="inlineStr">
        <is>
          <t>The Count</t>
        </is>
      </c>
      <c r="D30" s="127" t="inlineStr">
        <is>
          <t>Sickkids Foundation</t>
        </is>
      </c>
      <c r="E30" s="127" t="inlineStr">
        <is>
          <t>Sickkids Foundation</t>
        </is>
      </c>
      <c r="F30" s="127" t="inlineStr">
        <is>
          <t>FCB Toronto</t>
        </is>
      </c>
      <c r="G30" s="127" t="inlineStr">
        <is>
          <t>Canada</t>
        </is>
      </c>
      <c r="H30" s="113" t="inlineStr">
        <is>
          <t>Film: Cinema, TV and Digital Film Content - Fundraising &amp; Advocacy</t>
        </is>
      </c>
      <c r="I30" s="127" t="inlineStr">
        <is>
          <t>digital-presentation-images/health-and-wellness-sickkids-foundation-the-count.webp</t>
        </is>
      </c>
      <c r="J30" s="127" t="inlineStr">
        <is>
          <t>qNF34ZROR8s</t>
        </is>
      </c>
      <c r="K30" s="127" t="n"/>
      <c r="L30" s="128" t="inlineStr">
        <is>
          <t>https://www.lovethework.com/work/entries/the-count-759685</t>
        </is>
      </c>
      <c r="M30" s="113" t="inlineStr">
        <is>
          <t>A two-minute film built around "How Old Are You," the counting chant sung at children's birthday parties after "Happy Birthday" — rerecorded as a full orchestral anthem by real SickKids patients whose birthdays are uncertain, counting not to their current age but into their forties, fifties, and beyond, toward the hospital's own age of 150. Each child is identified on screen by name, age, and diagnosis — Aurora, 6, VACTERL Syndrome and Liver Transplant; Jaxon, 4, born premature at 23 weeks — so the familiar song carries the weight of each child's fight to reach the next number. Created by FCB Toronto with production company Iconoclast to mark SickKids Hospital's 150th anniversary.</t>
        </is>
      </c>
      <c r="N30" s="113" t="inlineStr">
        <is>
          <t>charity, film, cinema, entertainment, healthcare, canada, music, fundraising, children, orchestral, sickkids-foundation</t>
        </is>
      </c>
    </row>
    <row r="31">
      <c r="A31" s="127" t="n">
        <v>2025</v>
      </c>
      <c r="B31" s="133" t="inlineStr">
        <is>
          <t>Bronze</t>
        </is>
      </c>
      <c r="C31" s="127" t="inlineStr">
        <is>
          <t>This Is Not a Game</t>
        </is>
      </c>
      <c r="D31" s="127" t="inlineStr">
        <is>
          <t>Movistar</t>
        </is>
      </c>
      <c r="E31" s="127" t="inlineStr">
        <is>
          <t>Telco</t>
        </is>
      </c>
      <c r="F31" s="127" t="inlineStr">
        <is>
          <t>VML</t>
        </is>
      </c>
      <c r="G31" s="127" t="inlineStr">
        <is>
          <t>Mexico</t>
        </is>
      </c>
      <c r="H31" s="113" t="inlineStr">
        <is>
          <t>Film Craft: Direction - Brand-Led Education &amp; Awareness</t>
        </is>
      </c>
      <c r="I31" s="127" t="inlineStr">
        <is>
          <t>digital-presentation-images/health-and-wellness-movistar-this-is-not-a-game.webp</t>
        </is>
      </c>
      <c r="J31" s="127" t="inlineStr">
        <is>
          <t>qKqi8uMMr6c</t>
        </is>
      </c>
      <c r="K31" s="127" t="n"/>
      <c r="L31" s="128" t="inlineStr">
        <is>
          <t>https://www.lovethework.com/work/entries/this-is-not-a-game-763210</t>
        </is>
      </c>
      <c r="M31" s="113" t="inlineStr">
        <is>
          <t>A film for Movistar Mexico that uses the visual language and narrative conventions of video games — UI overlays, glitch effects, in-game framing — to depict how drug cartels recruit teenage players through popular online games. The campaign responds to research showing that over 80% of young players in Mexico prefer gaming as their primary online medium, making them a concentrated target for narco recruitment via in-game chat.</t>
        </is>
      </c>
      <c r="N31" s="113" t="inlineStr">
        <is>
          <t>telco, film, cinema, entertainment, mexico, online-safety, youth, gaming, video-games, public-awareness, health-and-wellness, direction</t>
        </is>
      </c>
    </row>
    <row r="32">
      <c r="A32" s="127" t="n">
        <v>2025</v>
      </c>
      <c r="B32" s="133" t="inlineStr">
        <is>
          <t>Bronze</t>
        </is>
      </c>
      <c r="C32" s="127" t="inlineStr">
        <is>
          <t>Never Just a Period</t>
        </is>
      </c>
      <c r="D32" s="127" t="inlineStr">
        <is>
          <t>Bodyform</t>
        </is>
      </c>
      <c r="E32" s="127" t="inlineStr">
        <is>
          <t>Bodyform</t>
        </is>
      </c>
      <c r="F32" s="127" t="inlineStr">
        <is>
          <t>AMV BBDO</t>
        </is>
      </c>
      <c r="G32" s="127" t="inlineStr">
        <is>
          <t>United Kingdom</t>
        </is>
      </c>
      <c r="H32" s="113" t="inlineStr">
        <is>
          <t>Film Craft: Production Design/Art Direction - Brand-Led Education &amp; Awareness</t>
        </is>
      </c>
      <c r="I32" s="127" t="inlineStr">
        <is>
          <t>digital-presentation-images/health-and-wellness-bodyform-never-just-a-period.webp</t>
        </is>
      </c>
      <c r="J32" s="127" t="inlineStr">
        <is>
          <t>EQW59KR3c4U</t>
        </is>
      </c>
      <c r="K32" s="127" t="n"/>
      <c r="L32" s="128" t="inlineStr">
        <is>
          <t>https://www.lovethework.com/work/entries/never-just-a-period-753006</t>
        </is>
      </c>
      <c r="M32" s="113" t="inlineStr">
        <is>
          <t>A film and integrated campaign for Bodyform/Libresse, created by AMV BBDO London, that dramatises the gap between what women are told about their bodies and what they actually experience — staging rarely discussed moments like getting a period while breastfeeding, large perimenopausal clots, and periods that disappear for months after stopping contraception. An online conversation thread prompted audiences with "What do you wish you'd been told?", opening a space for women+ to share experiences spanning first period to last.</t>
        </is>
      </c>
      <c r="N32" s="113" t="inlineStr">
        <is>
          <t>femcare, film, cinema, entertainment, integrated-campaign, healthcare, womens-health, social, united-kingdom, menstrual-health, amv-bbdo</t>
        </is>
      </c>
    </row>
    <row r="33">
      <c r="A33" s="127" t="n">
        <v>2025</v>
      </c>
      <c r="B33" s="133" t="inlineStr">
        <is>
          <t>Bronze</t>
        </is>
      </c>
      <c r="C33" s="127" t="inlineStr">
        <is>
          <t>Drops of Hope</t>
        </is>
      </c>
      <c r="D33" s="127" t="inlineStr">
        <is>
          <t>Kimberly-Clark</t>
        </is>
      </c>
      <c r="E33" s="127" t="inlineStr">
        <is>
          <t>Poise</t>
        </is>
      </c>
      <c r="F33" s="127" t="inlineStr">
        <is>
          <t>FCB New York</t>
        </is>
      </c>
      <c r="G33" s="127" t="inlineStr">
        <is>
          <t>United States</t>
        </is>
      </c>
      <c r="H33" s="113" t="inlineStr">
        <is>
          <t>Direct - Brand-Led Education &amp; Awareness</t>
        </is>
      </c>
      <c r="I33" s="128" t="inlineStr">
        <is>
          <t>https://ascentialcdn.filespin.io/api/v1/conversion/622c651b611b41e88a708572da8762a5</t>
        </is>
      </c>
      <c r="J33" s="127" t="inlineStr">
        <is>
          <t>MnF0kip489Y</t>
        </is>
      </c>
      <c r="K33" s="127" t="n"/>
      <c r="L33" s="128" t="inlineStr">
        <is>
          <t>https://www.lovethework.com/work/entries/drops-of-hope-753250</t>
        </is>
      </c>
      <c r="M33" s="113" t="inlineStr">
        <is>
          <t>A mail-back diagnostic service that turns Poise's incontinence pads into a preventive-health tool. Women in U.S. healthcare deserts can send a used pad to a doctor, who extracts urine for screening — extending basic check-ups to people who don't live near a clinic.</t>
        </is>
      </c>
      <c r="N33" s="113" t="inlineStr">
        <is>
          <t>healthcare, diagnostics, medical, womens-health, mail-back, product-innovation, social-good, rural, united-states</t>
        </is>
      </c>
    </row>
    <row r="34">
      <c r="A34" s="127" t="n">
        <v>2025</v>
      </c>
      <c r="B34" s="133" t="inlineStr">
        <is>
          <t>Bronze</t>
        </is>
      </c>
      <c r="C34" s="127" t="inlineStr">
        <is>
          <t>The Rarest Stars Shine Brightest</t>
        </is>
      </c>
      <c r="D34" s="127" t="inlineStr">
        <is>
          <t>Montefiore Einstein</t>
        </is>
      </c>
      <c r="E34" s="127" t="inlineStr">
        <is>
          <t>Montefiore Einstein</t>
        </is>
      </c>
      <c r="F34" s="127" t="inlineStr">
        <is>
          <t>Alto</t>
        </is>
      </c>
      <c r="G34" s="127" t="inlineStr">
        <is>
          <t>United States</t>
        </is>
      </c>
      <c r="H34" s="113" t="inlineStr">
        <is>
          <t>Film Craft: Script - Health Services &amp; Facilities</t>
        </is>
      </c>
      <c r="I34" s="127" t="inlineStr">
        <is>
          <t>digital-presentation-images/health-and-wellness-montefiore-einstein-the-rarest-stars-shine-brightest.webp</t>
        </is>
      </c>
      <c r="J34" s="127" t="inlineStr">
        <is>
          <t>vimeo:1056957344</t>
        </is>
      </c>
      <c r="K34" s="127" t="n"/>
      <c r="L34" s="128" t="inlineStr">
        <is>
          <t>https://www.lovethework.com/work/entries/the-rarest-stars-shine-brightest-753581</t>
        </is>
      </c>
      <c r="M34" s="113" t="inlineStr">
        <is>
          <t>A three-minute holiday short film, shot by Biscuit Filmworks and directed by Steve Rogers, in which five real children — each living with a rare disease such as piebaldism, AMPS, and Ehlers-Danlos syndrome — build a rocket, travel to space, and save the holidays in a narrative modeled on classic adventure films like The Goonies and E.T. The film was created by Alto NY for Montefiore Einstein to surface the "diagnostic odyssey" facing rare disease patients, whose conditions take an average of 5–7 years to diagnose.</t>
        </is>
      </c>
      <c r="N34" s="113" t="inlineStr">
        <is>
          <t>healthcare, film, cinema, entertainment, rare-disease, children, holiday, united-states, short-film, public-awareness</t>
        </is>
      </c>
    </row>
    <row r="35">
      <c r="A35" s="33" t="n">
        <v>2026</v>
      </c>
      <c r="B35" s="167" t="inlineStr">
        <is>
          <t>Grand Prix</t>
        </is>
      </c>
      <c r="C35" s="107" t="inlineStr">
        <is>
          <t>The Periodic Fable</t>
        </is>
      </c>
      <c r="D35" s="33" t="inlineStr">
        <is>
          <t>The Ordinary</t>
        </is>
      </c>
      <c r="E35" s="33" t="inlineStr">
        <is>
          <t>The Ordinary</t>
        </is>
      </c>
      <c r="F35" s="33" t="inlineStr">
        <is>
          <t>Uncommon Creative Studio</t>
        </is>
      </c>
      <c r="G35" s="33" t="inlineStr">
        <is>
          <t>United Kingdom</t>
        </is>
      </c>
      <c r="H35" s="33" t="inlineStr">
        <is>
          <t>Brand-Led Education &amp; Awareness</t>
        </is>
      </c>
      <c r="I35" s="33" t="inlineStr">
        <is>
          <t>https://ascentialcdn.filespin.io/api/v1/conversion/68e9398659d74a86812704e4e5e814d4</t>
        </is>
      </c>
      <c r="J35" s="33" t="inlineStr">
        <is>
          <t>mp4:videos/the-ordinary-the-periodic-fable.mp4</t>
        </is>
      </c>
      <c r="L35" s="33" t="inlineStr">
        <is>
          <t>https://www.lovethework.com/work/entries/the-periodic-fable-790007</t>
        </is>
      </c>
      <c r="M35" s="33" t="inlineStr">
        <is>
          <t>The Ordinary reworked the periodic table into a "Periodic Fable," replacing real elements with the unsubstantiated buzzwords the beauty industry sells — "age-defying," "wrinkle-erasing" — to call out skincare's pseudoscience, with a landing page explaining why each claim misleads.</t>
        </is>
      </c>
      <c r="N35" s="33" t="inlineStr">
        <is>
          <t>the ordinary, skincare, personal-care, beauty, cosmetics, periodic table, pseudoscience, transparency, challenger brand, uncommon, united kingdom</t>
        </is>
      </c>
    </row>
    <row r="36">
      <c r="A36" s="33" t="n">
        <v>2026</v>
      </c>
      <c r="B36" s="164" t="inlineStr">
        <is>
          <t>Gold</t>
        </is>
      </c>
      <c r="C36" s="107" t="inlineStr">
        <is>
          <t>Art's Missing Period</t>
        </is>
      </c>
      <c r="D36" s="33" t="inlineStr">
        <is>
          <t>Kotex</t>
        </is>
      </c>
      <c r="E36" s="33" t="inlineStr">
        <is>
          <t>Kotex</t>
        </is>
      </c>
      <c r="F36" s="33" t="inlineStr">
        <is>
          <t>David</t>
        </is>
      </c>
      <c r="G36" s="33" t="inlineStr">
        <is>
          <t>United Kingdom</t>
        </is>
      </c>
      <c r="H36" s="33" t="inlineStr">
        <is>
          <t>OTC Products</t>
        </is>
      </c>
      <c r="I36" s="33" t="inlineStr">
        <is>
          <t>https://ascentialcdn.filespin.io/api/v1/conversion/fa18ae2d14e84c4f8e589fb474f6cf2f</t>
        </is>
      </c>
      <c r="J36" s="33" t="inlineStr">
        <is>
          <t>vimeo:1205384571</t>
        </is>
      </c>
      <c r="L36" s="33" t="inlineStr">
        <is>
          <t>https://www.lovethework.com/work/entries/arts-missing-period-779399</t>
        </is>
      </c>
      <c r="M36" s="33" t="inlineStr">
        <is>
          <t>A global campaign for Kotex confronting a double standard in art history: while blood from violence and martyrdom fills the canon, menstrual blood has been almost entirely excluded from public display. 'Art's Missing Period' surfaces and restores that absence, challenging the long-standing stigma that keeps menstruation out of view.</t>
        </is>
      </c>
      <c r="N36" s="33" t="inlineStr">
        <is>
          <t>kotex, period care, menstruation, feminine care, femcare, health, womens-health, stigma, art, culture, museum, david, ogilvy, united kingdom, gold</t>
        </is>
      </c>
    </row>
    <row r="37">
      <c r="A37" s="33" t="n">
        <v>2026</v>
      </c>
      <c r="B37" s="164" t="inlineStr">
        <is>
          <t>Gold</t>
        </is>
      </c>
      <c r="C37" s="107" t="inlineStr">
        <is>
          <t>Supernova Adaptive</t>
        </is>
      </c>
      <c r="D37" s="33" t="inlineStr">
        <is>
          <t>Adidas</t>
        </is>
      </c>
      <c r="E37" s="33" t="inlineStr">
        <is>
          <t>Adidas</t>
        </is>
      </c>
      <c r="F37" s="33" t="inlineStr">
        <is>
          <t>TBWA\Canada</t>
        </is>
      </c>
      <c r="G37" s="33" t="inlineStr">
        <is>
          <t>Canada</t>
        </is>
      </c>
      <c r="H37" s="33" t="inlineStr">
        <is>
          <t>Brand-Led Education &amp; Awareness</t>
        </is>
      </c>
      <c r="I37" s="33" t="inlineStr">
        <is>
          <t>https://ascentialcdn.filespin.io/api/v1/conversion/1e629829a1314891907fcdf2e45ced1c</t>
        </is>
      </c>
      <c r="J37" s="33" t="inlineStr">
        <is>
          <t>vimeo:1203657943</t>
        </is>
      </c>
      <c r="L37" s="33" t="inlineStr">
        <is>
          <t>https://www.lovethework.com/work/entries/supernova-adaptive-778655</t>
        </is>
      </c>
      <c r="M37" s="33" t="inlineStr">
        <is>
          <t>An adaptive running shoe designed by Adidas for runners with disabilities, reengineering the Supernova for easier, more independent entry and a secure fit without compromising performance — bringing inclusive design to mainstream running footwear.</t>
        </is>
      </c>
      <c r="N37" s="33" t="inlineStr">
        <is>
          <t>adidas, supernova, running shoe, footwear, sportswear, product design, adaptive, inclusive design, accessibility, disability, sport, tbwa canada, canada</t>
        </is>
      </c>
    </row>
    <row r="38">
      <c r="A38" s="33" t="n">
        <v>2026</v>
      </c>
      <c r="B38" s="164" t="inlineStr">
        <is>
          <t>Gold</t>
        </is>
      </c>
      <c r="C38" s="107" t="inlineStr">
        <is>
          <t>Beat Cancer Off</t>
        </is>
      </c>
      <c r="D38" s="33" t="inlineStr">
        <is>
          <t>Fuck Cancer</t>
        </is>
      </c>
      <c r="E38" s="33" t="inlineStr">
        <is>
          <t>Beat Cancer Off</t>
        </is>
      </c>
      <c r="F38" s="33" t="inlineStr">
        <is>
          <t>VML</t>
        </is>
      </c>
      <c r="G38" s="33" t="inlineStr">
        <is>
          <t>United States</t>
        </is>
      </c>
      <c r="H38" s="33" t="inlineStr">
        <is>
          <t>Non-profit Health Education, Advocacy &amp; Fundraising</t>
        </is>
      </c>
      <c r="I38" s="33" t="inlineStr">
        <is>
          <t>https://ascentialcdn.filespin.io/api/v1/conversion/e10de6b252874bff954d07054112fa2a</t>
        </is>
      </c>
      <c r="J38" s="33" t="inlineStr">
        <is>
          <t>vimeo:1179609250</t>
        </is>
      </c>
      <c r="L38" s="33" t="inlineStr">
        <is>
          <t>https://www.lovethework.com/work/entries/beat-cancer-off-789847</t>
        </is>
      </c>
      <c r="M38" s="33" t="inlineStr">
        <is>
          <t>An original crooner-style song and film for the charity Fuck Cancer that strings together global euphemisms for male masturbation to raise prostate-health awareness — using irreverent humour, grounded in the scientific link between frequent ejaculation and lower prostate-cancer risk, to make men more willing to talk about and act on their health.</t>
        </is>
      </c>
      <c r="N38" s="33" t="inlineStr">
        <is>
          <t>fuck cancer, charity, non-profit, health, mens-health, prostate cancer, cancer awareness, music, entertainment, song, humour, vml, united states, gold</t>
        </is>
      </c>
    </row>
    <row r="39">
      <c r="A39" s="33" t="n">
        <v>2026</v>
      </c>
      <c r="B39" s="164" t="inlineStr">
        <is>
          <t>Gold</t>
        </is>
      </c>
      <c r="C39" s="107" t="inlineStr">
        <is>
          <t>Vehicle of Hope</t>
        </is>
      </c>
      <c r="D39" s="33" t="inlineStr">
        <is>
          <t>Caritas</t>
        </is>
      </c>
      <c r="E39" s="33" t="inlineStr">
        <is>
          <t>Caritas</t>
        </is>
      </c>
      <c r="F39" s="33" t="inlineStr">
        <is>
          <t>Differ</t>
        </is>
      </c>
      <c r="G39" s="33" t="inlineStr">
        <is>
          <t>Sweden</t>
        </is>
      </c>
      <c r="H39" s="33" t="inlineStr">
        <is>
          <t>Non-profit Health Education, Advocacy &amp; Fundraising</t>
        </is>
      </c>
      <c r="I39" s="33" t="inlineStr">
        <is>
          <t>https://ascentialcdn.filespin.io/api/v1/conversion/9975b14b1e7647b983bec25a3c5af021</t>
        </is>
      </c>
      <c r="J39" s="33" t="inlineStr">
        <is>
          <t>YfQbzgQfOKI</t>
        </is>
      </c>
      <c r="L39" s="33" t="inlineStr">
        <is>
          <t>https://www.lovethework.com/work/entries/vehicle-of-hope-775600</t>
        </is>
      </c>
      <c r="M39" s="33" t="inlineStr">
        <is>
          <t>For Catholic aid network Caritas, Differ and Colony Stockholm transformed the late Pope Francis's Popemobile into a mobile health clinic for children in war-torn Gaza — repurposing one of the world's most recognisable vehicles into front-line paediatric care.</t>
        </is>
      </c>
      <c r="N39" s="33" t="inlineStr">
        <is>
          <t>caritas, humanitarian, aid, ngo, not-for-profit, charity, social-good, nonprofit, healthcare, mobile clinic, children, gaza, pope francis, popemobile, war, sweden, differ, colony, gold</t>
        </is>
      </c>
    </row>
    <row r="40">
      <c r="A40" s="33" t="n">
        <v>2026</v>
      </c>
      <c r="B40" s="164" t="inlineStr">
        <is>
          <t>Gold</t>
        </is>
      </c>
      <c r="C40" s="107" t="inlineStr">
        <is>
          <t>Donate to Play</t>
        </is>
      </c>
      <c r="D40" s="33" t="inlineStr">
        <is>
          <t>Grupo Pulsa</t>
        </is>
      </c>
      <c r="E40" s="33" t="inlineStr">
        <is>
          <t>Grupo Pulsa</t>
        </is>
      </c>
      <c r="F40" s="33" t="inlineStr">
        <is>
          <t>Publicis Brasil</t>
        </is>
      </c>
      <c r="G40" s="33" t="inlineStr">
        <is>
          <t>Brazil</t>
        </is>
      </c>
      <c r="H40" s="33" t="inlineStr">
        <is>
          <t>Health Services &amp; Facilities</t>
        </is>
      </c>
      <c r="I40" s="33" t="inlineStr">
        <is>
          <t>https://ascentialcdn.filespin.io/api/v1/conversion/099cfcfe9a834dfead2734b940b49df1</t>
        </is>
      </c>
      <c r="J40" s="33" t="inlineStr">
        <is>
          <t>vimeo:1200485742</t>
        </is>
      </c>
      <c r="L40" s="33" t="inlineStr">
        <is>
          <t>https://www.lovethework.com/work/entries/donate-to-play-790142</t>
        </is>
      </c>
      <c r="M40" s="33" t="inlineStr">
        <is>
          <t>A healthcare social campaign for Grupo Pulsa by Publicis Brasil that connected the simple act of playing to a charitable donation, mobilising a community to give through everyday participation.</t>
        </is>
      </c>
      <c r="N40" s="33" t="inlineStr">
        <is>
          <t>grupo pulsa, healthcare, health, brazil, donation, charity, nonprofit, gaming, video-games, entertainment, play, community, social, publicis brasil, gold</t>
        </is>
      </c>
    </row>
    <row r="41">
      <c r="A41" s="33" t="n">
        <v>2026</v>
      </c>
      <c r="B41" s="165" t="inlineStr">
        <is>
          <t>Silver</t>
        </is>
      </c>
      <c r="C41" s="107" t="inlineStr">
        <is>
          <t>The Paid Relief, Na Conta Da Dor</t>
        </is>
      </c>
      <c r="D41" s="33" t="inlineStr">
        <is>
          <t>Opella</t>
        </is>
      </c>
      <c r="E41" s="33" t="inlineStr">
        <is>
          <t>Dorflex</t>
        </is>
      </c>
      <c r="F41" s="33" t="inlineStr">
        <is>
          <t>Publicis Brasil</t>
        </is>
      </c>
      <c r="G41" s="33" t="inlineStr">
        <is>
          <t>Brazil</t>
        </is>
      </c>
      <c r="H41" s="33" t="inlineStr">
        <is>
          <t>OTC Oral Medicines</t>
        </is>
      </c>
      <c r="I41" s="33" t="inlineStr">
        <is>
          <t>https://ascentialcdn.filespin.io/api/v1/conversion/1506df521bd24d23b9eb34952e37434e</t>
        </is>
      </c>
      <c r="J41" s="33" t="inlineStr">
        <is>
          <t>okEfc6JUymw</t>
        </is>
      </c>
      <c r="L41" s="33" t="inlineStr">
        <is>
          <t>https://www.lovethework.com/work/entries/the-paid-relief-na-conta-da-dor-789951</t>
        </is>
      </c>
      <c r="M41" s="33" t="inlineStr">
        <is>
          <t>A campaign for muscle-pain medication Dorflex addressing a hard truth for Brazil's informal and self-employed workers: a day off to recover from pain is a day without income. Publicis Brasil built the 'Na Conta da Dor' platform, which paid selected independent workers a fixed fee to spend their day off producing social content as creators for the brand — turning forced rest into paid work.</t>
        </is>
      </c>
      <c r="N41" s="33" t="inlineStr">
        <is>
          <t>dorflex, opella, otc, oral medicine, painkiller, muscle pain, pain relief, healthcare, pharma, brazil, informal workers, self-employed, gig economy, creators, influencers, social, publicis brasil, silver</t>
        </is>
      </c>
    </row>
    <row r="42">
      <c r="A42" s="33" t="n">
        <v>2026</v>
      </c>
      <c r="B42" s="165" t="inlineStr">
        <is>
          <t>Silver</t>
        </is>
      </c>
      <c r="C42" s="107" t="inlineStr">
        <is>
          <t>Own Your Flow</t>
        </is>
      </c>
      <c r="D42" s="33" t="inlineStr">
        <is>
          <t>Kotex</t>
        </is>
      </c>
      <c r="E42" s="33" t="inlineStr">
        <is>
          <t>Kotex Tampons</t>
        </is>
      </c>
      <c r="F42" s="33" t="inlineStr">
        <is>
          <t>McCann New York</t>
        </is>
      </c>
      <c r="G42" s="33" t="inlineStr">
        <is>
          <t>United States</t>
        </is>
      </c>
      <c r="H42" s="33" t="inlineStr">
        <is>
          <t>OTC Products</t>
        </is>
      </c>
      <c r="I42" s="33" t="inlineStr">
        <is>
          <t>https://ascentialcdn.filespin.io/api/v1/storyboard/78fb105d4f354309b6a7f905bbc3b9fa/storyboard_000008.jpg</t>
        </is>
      </c>
      <c r="J42" s="33" t="inlineStr">
        <is>
          <t>vimeo:1164169063</t>
        </is>
      </c>
      <c r="L42" s="33" t="inlineStr">
        <is>
          <t>https://www.lovethework.com/work/entries/own-your-flow-789272</t>
        </is>
      </c>
      <c r="M42" s="33" t="inlineStr">
        <is>
          <t>A bold global period-care film for Kotex, drenched in red as part of a refreshed brand identity, recognized for its colour grading.</t>
        </is>
      </c>
      <c r="N42" s="33" t="inlineStr">
        <is>
          <t>kotex, period care, menstruation, feminine care, health, women, colour correction, colour grading, mccann new york, film craft, united states, red</t>
        </is>
      </c>
    </row>
    <row r="43">
      <c r="A43" s="33" t="n">
        <v>2026</v>
      </c>
      <c r="B43" s="165" t="inlineStr">
        <is>
          <t>Silver</t>
        </is>
      </c>
      <c r="C43" s="107" t="inlineStr">
        <is>
          <t>Magnif-Eye</t>
        </is>
      </c>
      <c r="D43" s="33" t="inlineStr">
        <is>
          <t>1001 Optometry</t>
        </is>
      </c>
      <c r="E43" s="33" t="inlineStr">
        <is>
          <t>1001 Optometry</t>
        </is>
      </c>
      <c r="F43" s="33" t="inlineStr">
        <is>
          <t>VML</t>
        </is>
      </c>
      <c r="G43" s="33" t="inlineStr">
        <is>
          <t>Australia</t>
        </is>
      </c>
      <c r="H43" s="33" t="inlineStr">
        <is>
          <t>Brand-Led Education &amp; Awareness</t>
        </is>
      </c>
      <c r="I43" s="33" t="inlineStr">
        <is>
          <t>https://ascentialcdn.filespin.io/api/v1/conversion/882e13bc262f43858c4e49a7e3625a16</t>
        </is>
      </c>
      <c r="J43" s="33" t="inlineStr">
        <is>
          <t>tZMJaNFHgFo</t>
        </is>
      </c>
      <c r="L43" s="33" t="inlineStr">
        <is>
          <t>https://www.lovethework.com/work/entries/magnif-eye-790000</t>
        </is>
      </c>
      <c r="M43" s="33" t="inlineStr">
        <is>
          <t>An AI tool for optical retailer 1001 Optometry that turns the family photos already on parents' phones into an early screening for children's eyesight. Built by VML Sydney and launched on World Optometry Day, Magnif-Eye analyses everyday camera-roll images for early signs of myopia, prompting parents to seek a proper eye test.</t>
        </is>
      </c>
      <c r="N43" s="33" t="inlineStr">
        <is>
          <t>1001 optometry, optometry, eye care, vision, myopia, childrens health, healthcare, ai, technology, artificial intelligence, photos, screening, australia, vml, silver</t>
        </is>
      </c>
    </row>
    <row r="44">
      <c r="A44" s="33" t="n">
        <v>2026</v>
      </c>
      <c r="B44" s="165" t="inlineStr">
        <is>
          <t>Silver</t>
        </is>
      </c>
      <c r="C44" s="107" t="inlineStr">
        <is>
          <t>Duobell</t>
        </is>
      </c>
      <c r="D44" s="33" t="inlineStr">
        <is>
          <t>Skoda</t>
        </is>
      </c>
      <c r="E44" s="33" t="inlineStr">
        <is>
          <t>Skoda</t>
        </is>
      </c>
      <c r="F44" s="33" t="inlineStr">
        <is>
          <t>Abbott Mead Vickers BBDO</t>
        </is>
      </c>
      <c r="G44" s="33" t="inlineStr">
        <is>
          <t>United Kingdom</t>
        </is>
      </c>
      <c r="H44" s="33" t="inlineStr">
        <is>
          <t>Brand-Led Education &amp; Awareness</t>
        </is>
      </c>
      <c r="I44" s="33" t="inlineStr">
        <is>
          <t>https://ascentialcdn.filespin.io/api/v1/conversion/f585c243ff8e49a79422e63219598d81</t>
        </is>
      </c>
      <c r="J44" s="33" t="inlineStr">
        <is>
          <t>vimeo:1189880268</t>
        </is>
      </c>
      <c r="L44" s="33" t="inlineStr">
        <is>
          <t>https://www.lovethework.com/work/entries/duobell-775724</t>
        </is>
      </c>
      <c r="M44" s="33" t="inlineStr">
        <is>
          <t>A bicycle bell for Škoda, developed with AMV BBDO and acousticians at the University of Salford. A second resonator tuned to a higher frequency lets the ring cut through the noise-cancelling algorithms in ANC headphones, so cyclists can be heard by pedestrians wearing them.</t>
        </is>
      </c>
      <c r="N44" s="33" t="inlineStr">
        <is>
          <t>skoda, car, automotive, cars, transport, vehicle, mobility, cycling, bicycle, bike bell, road safety, pedestrians, anc headphones, acoustics, product innovation, data, amv bbdo, abbott mead vickers, united kingdom, silver</t>
        </is>
      </c>
    </row>
    <row r="45">
      <c r="A45" s="33" t="n">
        <v>2026</v>
      </c>
      <c r="B45" s="165" t="inlineStr">
        <is>
          <t>Silver</t>
        </is>
      </c>
      <c r="C45" s="107" t="inlineStr">
        <is>
          <t>Indianis Dentris</t>
        </is>
      </c>
      <c r="D45" s="33" t="inlineStr">
        <is>
          <t>Colgate</t>
        </is>
      </c>
      <c r="E45" s="33" t="inlineStr">
        <is>
          <t>Colgate Toothbrush</t>
        </is>
      </c>
      <c r="F45" s="33" t="inlineStr">
        <is>
          <t>The Refinery</t>
        </is>
      </c>
      <c r="G45" s="33" t="inlineStr">
        <is>
          <t>India</t>
        </is>
      </c>
      <c r="H45" s="33" t="inlineStr">
        <is>
          <t>Brand-Led Education &amp; Awareness</t>
        </is>
      </c>
      <c r="I45" s="33" t="inlineStr">
        <is>
          <t>https://www.unblock.coffee/wp-content/uploads/2026/06/Indianis-Dentris-1.jpg</t>
        </is>
      </c>
      <c r="J45" s="33" t="inlineStr">
        <is>
          <t>vimeo:1197548000</t>
        </is>
      </c>
      <c r="L45" s="33" t="inlineStr">
        <is>
          <t>https://www.lovethework.com/work/entries/indianis-dentris-775545</t>
        </is>
      </c>
      <c r="M45" s="33" t="inlineStr">
        <is>
          <t>For Colgate, The Refinery and Brand David Communications staged a fake botanical discovery at Mumbai's Veermata Jijabai Bhosale Botanical Garden. Visitors found what looked like a newly catalogued exotic flower, 'Indianis Dentris,' only to learn its bristly blooms were frayed, overused toothbrushes — a striking reminder to replace brushes long past their prime.</t>
        </is>
      </c>
      <c r="N45" s="33" t="inlineStr">
        <is>
          <t>colgate, oral care, toothbrush, dental, hygiene, healthcare, india, botanical garden, exhibit, stunt, behaviour change, the refinery, brand david, silver</t>
        </is>
      </c>
    </row>
    <row r="46">
      <c r="A46" s="33" t="n">
        <v>2026</v>
      </c>
      <c r="B46" s="165" t="inlineStr">
        <is>
          <t>Silver</t>
        </is>
      </c>
      <c r="C46" s="107" t="inlineStr">
        <is>
          <t>The Undropped Kit</t>
        </is>
      </c>
      <c r="D46" s="33" t="inlineStr">
        <is>
          <t>ASICS</t>
        </is>
      </c>
      <c r="E46" s="33" t="inlineStr">
        <is>
          <t>ASICS</t>
        </is>
      </c>
      <c r="F46" s="33" t="inlineStr">
        <is>
          <t>GUT Toronto</t>
        </is>
      </c>
      <c r="G46" s="33" t="inlineStr">
        <is>
          <t>United Kingdom</t>
        </is>
      </c>
      <c r="H46" s="33" t="inlineStr">
        <is>
          <t>Brand-Led Education &amp; Awareness</t>
        </is>
      </c>
      <c r="I46" s="33" t="inlineStr">
        <is>
          <t>https://ascentialcdn.filespin.io/api/v1/conversion/b965086289a24f9fa6613ba85a393624</t>
        </is>
      </c>
      <c r="J46" s="33" t="inlineStr">
        <is>
          <t>gyzNtC_3Fnw</t>
        </is>
      </c>
      <c r="L46" s="33" t="inlineStr">
        <is>
          <t>https://www.lovethework.com/work/entries/the-undropped-kit-790030</t>
        </is>
      </c>
      <c r="M46" s="33" t="inlineStr">
        <is>
          <t>A reimagined PE kit from ASICS designed to keep teenage girls in sport. Co-created with more than 2,000 UK girls, athlete Tess Howard and inclusive-sportswear experts, the redesigned kit tackles the discomfort and self-consciousness that drive girls to drop out — using design to change behaviour around participation.</t>
        </is>
      </c>
      <c r="N46" s="33" t="inlineStr">
        <is>
          <t>asics, sportswear, pe kit, school, sport, design for behavioural change, girls, participation, inclusive design, gender equality, co-creation, design, golin ketchum, united kingdom</t>
        </is>
      </c>
    </row>
    <row r="47">
      <c r="A47" s="33" t="n">
        <v>2026</v>
      </c>
      <c r="B47" s="165" t="inlineStr">
        <is>
          <t>Silver</t>
        </is>
      </c>
      <c r="C47" s="107" t="inlineStr">
        <is>
          <t>Infinite Saree</t>
        </is>
      </c>
      <c r="D47" s="33" t="inlineStr">
        <is>
          <t>Red Dot Foundation</t>
        </is>
      </c>
      <c r="E47" s="33" t="inlineStr">
        <is>
          <t>Infinite Saree</t>
        </is>
      </c>
      <c r="F47" s="33" t="inlineStr">
        <is>
          <t>Klick Health</t>
        </is>
      </c>
      <c r="G47" s="33" t="inlineStr">
        <is>
          <t>Canada</t>
        </is>
      </c>
      <c r="H47" s="33" t="inlineStr">
        <is>
          <t>Non-profit Health Education, Advocacy &amp; Fundraising</t>
        </is>
      </c>
      <c r="I47" s="33" t="inlineStr">
        <is>
          <t>https://ascentialcdn.filespin.io/api/v1/conversion/d28b71212f9844d18ed6c8cabb812710</t>
        </is>
      </c>
      <c r="J47" s="33" t="inlineStr">
        <is>
          <t>mp4:videos/health-wellness-red-dot-foundation-infinite-saree.mp4</t>
        </is>
      </c>
      <c r="L47" s="33" t="inlineStr">
        <is>
          <t>https://www.lovethework.com/work/entries/infinite-saree-775573</t>
        </is>
      </c>
      <c r="M47" s="33" t="inlineStr">
        <is>
          <t>For women's-safety nonprofit Red Dot Foundation, Klick Health turned the saree — India's most iconic symbol of womanhood — into a four-kilometre-long living petition. Embroidered with thousands of signatures, 'Infinite Saree' demands India strike down the Marital Rape Exception in its penal code, which leaves married women without legal protection from sexual violence.</t>
        </is>
      </c>
      <c r="N47" s="33" t="inlineStr">
        <is>
          <t>red dot foundation, womens-safety, gender equality, womens-rights, marital rape, advocacy, nonprofit, charity, ngo, not-for-profit, social-good, public health, india, saree, petition, craft, klick health, canada, silver</t>
        </is>
      </c>
    </row>
    <row r="48">
      <c r="A48" s="33" t="n">
        <v>2026</v>
      </c>
      <c r="B48" s="165" t="inlineStr">
        <is>
          <t>Silver</t>
        </is>
      </c>
      <c r="C48" s="107" t="inlineStr">
        <is>
          <t>2036</t>
        </is>
      </c>
      <c r="D48" s="33" t="inlineStr">
        <is>
          <t>Association Antoine Alléno</t>
        </is>
      </c>
      <c r="E48" s="33" t="inlineStr">
        <is>
          <t>Association Antoine Alléno</t>
        </is>
      </c>
      <c r="F48" s="33" t="inlineStr">
        <is>
          <t>Havas Paris</t>
        </is>
      </c>
      <c r="G48" s="33" t="inlineStr">
        <is>
          <t>France</t>
        </is>
      </c>
      <c r="H48" s="33" t="inlineStr">
        <is>
          <t>Non-profit Health Education, Advocacy &amp; Fundraising</t>
        </is>
      </c>
      <c r="I48" s="33" t="inlineStr">
        <is>
          <t>https://ascentialcdn.filespin.io/api/v1/conversion/6427d53fa1ab472195bc3b85426b045c</t>
        </is>
      </c>
      <c r="J48" s="33" t="inlineStr">
        <is>
          <t>sG0Y_i84xpw</t>
        </is>
      </c>
      <c r="L48" s="33" t="inlineStr">
        <is>
          <t>https://www.lovethework.com/work/entries/2036-779859</t>
        </is>
      </c>
      <c r="M48" s="33" t="inlineStr">
        <is>
          <t>On New Year's Eve, the Antoine Alleno Association hijacked the Arc de Triomphe countdown to project "2036" instead of 2026 — the jail term faced for road homicide — turning the celebration into a stark road-safety warning.</t>
        </is>
      </c>
      <c r="N48" s="33" t="inlineStr">
        <is>
          <t>antoine alleno, road safety, charity, nonprofit, public service, new years eve, arc de triomphe, projection, stunt, havas paris, france</t>
        </is>
      </c>
    </row>
    <row r="49">
      <c r="A49" s="33" t="n">
        <v>2026</v>
      </c>
      <c r="B49" s="165" t="inlineStr">
        <is>
          <t>Silver</t>
        </is>
      </c>
      <c r="C49" s="107" t="inlineStr">
        <is>
          <t>Fair Play</t>
        </is>
      </c>
      <c r="D49" s="33" t="inlineStr">
        <is>
          <t>Ministério Público do Distrito Federal</t>
        </is>
      </c>
      <c r="E49" s="33" t="inlineStr">
        <is>
          <t>Fair Play</t>
        </is>
      </c>
      <c r="F49" s="33" t="inlineStr">
        <is>
          <t>Ogilvy Health</t>
        </is>
      </c>
      <c r="G49" s="33" t="inlineStr">
        <is>
          <t>United States</t>
        </is>
      </c>
      <c r="H49" s="33" t="inlineStr">
        <is>
          <t>Corporate Image &amp; Communication</t>
        </is>
      </c>
      <c r="I49" s="33" t="inlineStr">
        <is>
          <t>https://ascentialcdn.filespin.io/api/v1/conversion/d482281e84fd4e5184d263e19a5e12c2</t>
        </is>
      </c>
      <c r="J49" s="33" t="inlineStr">
        <is>
          <t>ukSi-EQd5Ao</t>
        </is>
      </c>
      <c r="L49" s="33" t="inlineStr">
        <is>
          <t>https://www.lovethework.com/work/entries/fair-play-778576</t>
        </is>
      </c>
      <c r="M49" s="33" t="inlineStr">
        <is>
          <t>For Brazil's Public Prosecutor's Office of the Federal District (MPDFT), Ogilvy Health built 'Fair Play,' an AI 'digital prosecutor' trained on Brazilian and international law that lets people paste a potentially racist or hateful post and receive an analysis of whether it constitutes hate speech, with the option to refer the case to authorities — applied to the racism that surfaces around sport.</t>
        </is>
      </c>
      <c r="N49" s="33" t="inlineStr">
        <is>
          <t>mpdft, public prosecutor, government, public sector, justice, brazil, racism, hate speech, sport, sports, football, soccer, ai, technology, artificial intelligence, social behaviour, entertainment, ogilvy health, silver</t>
        </is>
      </c>
    </row>
    <row r="50">
      <c r="A50" s="33" t="n">
        <v>2026</v>
      </c>
      <c r="B50" s="165" t="inlineStr">
        <is>
          <t>Silver</t>
        </is>
      </c>
      <c r="C50" s="107" t="inlineStr">
        <is>
          <t>Donate to Play</t>
        </is>
      </c>
      <c r="D50" s="33" t="inlineStr">
        <is>
          <t>Grupo Pulsa</t>
        </is>
      </c>
      <c r="E50" s="33" t="inlineStr">
        <is>
          <t>Grupo Pulsa</t>
        </is>
      </c>
      <c r="F50" s="33" t="inlineStr">
        <is>
          <t>Publicis Brasil</t>
        </is>
      </c>
      <c r="G50" s="33" t="inlineStr">
        <is>
          <t>Brazil</t>
        </is>
      </c>
      <c r="H50" s="33" t="inlineStr">
        <is>
          <t>Health Services &amp; Facilities</t>
        </is>
      </c>
      <c r="I50" s="33" t="inlineStr">
        <is>
          <t>https://ascentialcdn.filespin.io/api/v1/conversion/099cfcfe9a834dfead2734b940b49df1</t>
        </is>
      </c>
      <c r="J50" s="33" t="inlineStr">
        <is>
          <t>vimeo:1200485742</t>
        </is>
      </c>
      <c r="L50" s="33" t="inlineStr">
        <is>
          <t>https://www.lovethework.com/work/entries/donate-to-play-779652</t>
        </is>
      </c>
      <c r="M50" s="33" t="inlineStr">
        <is>
          <t>A healthcare social campaign for Grupo Pulsa by Publicis Brasil that connected the simple act of playing to a charitable donation, mobilising a community to give through everyday participation.</t>
        </is>
      </c>
      <c r="N50" s="33" t="inlineStr">
        <is>
          <t>grupo pulsa, healthcare, health, brazil, donation, charity, nonprofit, gaming, video-games, entertainment, play, community, social, publicis brasil, silver</t>
        </is>
      </c>
    </row>
    <row r="51">
      <c r="A51" s="33" t="n">
        <v>2026</v>
      </c>
      <c r="B51" s="166" t="inlineStr">
        <is>
          <t>Bronze</t>
        </is>
      </c>
      <c r="C51" s="107" t="inlineStr">
        <is>
          <t>Vaseline and the Real Nigerian Prince</t>
        </is>
      </c>
      <c r="D51" s="33" t="inlineStr">
        <is>
          <t>Vaseline</t>
        </is>
      </c>
      <c r="E51" s="33" t="inlineStr">
        <is>
          <t>Vaseline Body Oil</t>
        </is>
      </c>
      <c r="F51" s="33" t="inlineStr">
        <is>
          <t>Leo</t>
        </is>
      </c>
      <c r="G51" s="33" t="inlineStr">
        <is>
          <t>Singapore</t>
        </is>
      </c>
      <c r="H51" s="33" t="inlineStr">
        <is>
          <t>OTC Applications</t>
        </is>
      </c>
      <c r="I51" s="33" t="inlineStr">
        <is>
          <t>https://ascentialcdn.filespin.io/api/v1/conversion/a82c99df25a94d7f8742813ef50d7ecf</t>
        </is>
      </c>
      <c r="J51" s="33" t="inlineStr">
        <is>
          <t>eNYA89Z97Gs</t>
        </is>
      </c>
      <c r="L51" s="33" t="inlineStr">
        <is>
          <t>https://www.lovethework.com/work/entries/vaseline-and-the-real-nigerian-prince-789271</t>
        </is>
      </c>
      <c r="M51" s="33" t="inlineStr">
        <is>
          <t>For Vaseline Body Oil, Leo Singapore took the internet's most infamous scam cliché — the 'Nigerian prince' email — and flipped it by partnering with an actual Nigerian prince, turning a punchline about deception into a positive, creator-led brand story.</t>
        </is>
      </c>
      <c r="N51" s="33" t="inlineStr">
        <is>
          <t>vaseline, body oil, skincare, personal-care, beauty, personal care, unilever, fmcg, singapore, nigeria, scam, creator collaboration, storytelling, culture, social, leo, bronze</t>
        </is>
      </c>
    </row>
    <row r="52">
      <c r="A52" s="33" t="n">
        <v>2026</v>
      </c>
      <c r="B52" s="166" t="inlineStr">
        <is>
          <t>Bronze</t>
        </is>
      </c>
      <c r="C52" s="107" t="inlineStr">
        <is>
          <t>Art's Missing Period</t>
        </is>
      </c>
      <c r="D52" s="33" t="inlineStr">
        <is>
          <t>Kotex</t>
        </is>
      </c>
      <c r="E52" s="33" t="inlineStr">
        <is>
          <t>Kotex</t>
        </is>
      </c>
      <c r="F52" s="33" t="inlineStr">
        <is>
          <t>David</t>
        </is>
      </c>
      <c r="G52" s="33" t="inlineStr">
        <is>
          <t>United Kingdom</t>
        </is>
      </c>
      <c r="H52" s="33" t="inlineStr">
        <is>
          <t>OTC Products</t>
        </is>
      </c>
      <c r="I52" s="33" t="inlineStr">
        <is>
          <t>https://ascentialcdn.filespin.io/api/v1/conversion/fa18ae2d14e84c4f8e589fb474f6cf2f</t>
        </is>
      </c>
      <c r="J52" s="33" t="inlineStr">
        <is>
          <t>vimeo:1205384571</t>
        </is>
      </c>
      <c r="L52" s="33" t="inlineStr">
        <is>
          <t>https://www.lovethework.com/work/entries/arts-missing-period-789964</t>
        </is>
      </c>
      <c r="M52" s="33" t="inlineStr">
        <is>
          <t>A global campaign for Kotex confronting a double standard in art history: while blood from violence and martyrdom fills the canon, menstrual blood has been almost entirely excluded from public display. 'Art's Missing Period' surfaces and restores that absence, challenging the long-standing stigma that keeps menstruation out of view.</t>
        </is>
      </c>
      <c r="N52" s="33" t="inlineStr">
        <is>
          <t>kotex, period care, menstruation, feminine care, femcare, health, womens-health, stigma, art, culture, museum, david, ogilvy, united kingdom, bronze</t>
        </is>
      </c>
    </row>
    <row r="53">
      <c r="A53" s="33" t="n">
        <v>2026</v>
      </c>
      <c r="B53" s="166" t="inlineStr">
        <is>
          <t>Bronze</t>
        </is>
      </c>
      <c r="C53" s="107" t="inlineStr">
        <is>
          <t>The 58 Year Old Rookie</t>
        </is>
      </c>
      <c r="D53" s="33" t="inlineStr">
        <is>
          <t>Opella</t>
        </is>
      </c>
      <c r="E53" s="33" t="inlineStr">
        <is>
          <t>Aspercreme</t>
        </is>
      </c>
      <c r="F53" s="33" t="inlineStr">
        <is>
          <t>Martin</t>
        </is>
      </c>
      <c r="G53" s="33" t="inlineStr">
        <is>
          <t>United States</t>
        </is>
      </c>
      <c r="H53" s="33" t="inlineStr">
        <is>
          <t>OTC Products</t>
        </is>
      </c>
      <c r="I53" s="33" t="inlineStr">
        <is>
          <t>https://ascentialcdn.filespin.io/api/v1/conversion/b29f9d5ae49141e2b4ae54ddbce135d6</t>
        </is>
      </c>
      <c r="J53" s="33" t="inlineStr">
        <is>
          <t>QMmkWujIIqs</t>
        </is>
      </c>
      <c r="L53" s="33" t="inlineStr">
        <is>
          <t>https://www.lovethework.com/work/entries/the-58-year-old-rookie-789815</t>
        </is>
      </c>
      <c r="M53" s="33" t="inlineStr">
        <is>
          <t>For pain-relief brand Aspercreme, whose audience skews over 55, The Martin Agency signed Tom Cillo — a 58-year-old Division III college football freshman — to a name-image-likeness deal, making him the oldest player ever to sign one. Built around the line 'Act your age,' the partnership ran across his and the brand's social channels and a billboard near campus, reframing aging as licence to stop caring what anyone thinks.</t>
        </is>
      </c>
      <c r="N53" s="33" t="inlineStr">
        <is>
          <t>aspercreme, opella, otc, pain relief, topical analgesic, healthcare, united states, nil deal, college football, american football, sport, aging, older adults, 55-plus, celebrity, social, the martin agency, bronze</t>
        </is>
      </c>
    </row>
    <row r="54">
      <c r="A54" s="33" t="n">
        <v>2026</v>
      </c>
      <c r="B54" s="166" t="inlineStr">
        <is>
          <t>Bronze</t>
        </is>
      </c>
      <c r="C54" s="107" t="inlineStr">
        <is>
          <t>Hearapy</t>
        </is>
      </c>
      <c r="D54" s="33" t="inlineStr">
        <is>
          <t>Samsung</t>
        </is>
      </c>
      <c r="E54" s="33" t="inlineStr">
        <is>
          <t>Galaxy Buds</t>
        </is>
      </c>
      <c r="F54" s="33" t="inlineStr">
        <is>
          <t>Leo</t>
        </is>
      </c>
      <c r="G54" s="33" t="inlineStr">
        <is>
          <t>Germany</t>
        </is>
      </c>
      <c r="H54" s="33" t="inlineStr">
        <is>
          <t>Health &amp; Wellness Tech</t>
        </is>
      </c>
      <c r="I54" s="33" t="inlineStr">
        <is>
          <t>https://ascentialcdn.filespin.io/api/v1/conversion/301701a6ed124052b9856aad00f57e96</t>
        </is>
      </c>
      <c r="J54" s="33" t="inlineStr">
        <is>
          <t>vimeo:1188973826</t>
        </is>
      </c>
      <c r="L54" s="33" t="inlineStr">
        <is>
          <t>https://www.lovethework.com/work/entries/hearapy-775558</t>
        </is>
      </c>
      <c r="M54" s="33" t="inlineStr">
        <is>
          <t>A free app from Samsung that repurposes the Galaxy Buds people already own into a remedy for motion sickness. Developed by Leo Frankfurt, Hearapy plays a precisely tuned 100 Hz low-frequency tone that, drawing on recent academic research, can ease symptoms after about a minute of listening.</t>
        </is>
      </c>
      <c r="N54" s="33" t="inlineStr">
        <is>
          <t>samsung, galaxy buds, earbuds, headphones, consumer electronics, technology, health-wellness tech, motion sickness, app, sound therapy, audio, germany, leo, bronze</t>
        </is>
      </c>
    </row>
    <row r="55">
      <c r="A55" s="33" t="n">
        <v>2026</v>
      </c>
      <c r="B55" s="166" t="inlineStr">
        <is>
          <t>Bronze</t>
        </is>
      </c>
      <c r="C55" s="107" t="inlineStr">
        <is>
          <t>No Frame Missed</t>
        </is>
      </c>
      <c r="D55" s="33" t="inlineStr">
        <is>
          <t>Apple</t>
        </is>
      </c>
      <c r="E55" s="33" t="inlineStr">
        <is>
          <t>iPhone</t>
        </is>
      </c>
      <c r="F55" s="33" t="inlineStr">
        <is>
          <t>TBWA\Media Arts Lab Los Angeles</t>
        </is>
      </c>
      <c r="G55" s="33" t="inlineStr">
        <is>
          <t>United States</t>
        </is>
      </c>
      <c r="H55" s="33" t="inlineStr">
        <is>
          <t>Health &amp; Wellness Tech</t>
        </is>
      </c>
      <c r="I55" s="33" t="inlineStr">
        <is>
          <t>https://ascentialcdn.filespin.io/api/v1/conversion/62c0c233f40144d7970516cb87619496</t>
        </is>
      </c>
      <c r="J55" s="33" t="inlineStr">
        <is>
          <t>vimeo:1112735008</t>
        </is>
      </c>
      <c r="L55" s="33" t="inlineStr">
        <is>
          <t>https://www.lovethework.com/work/entries/no-frame-missed-777682</t>
        </is>
      </c>
      <c r="M55" s="33" t="inlineStr">
        <is>
          <t>A docu-style short film for Apple showing how the new iPhone's stabilisation helps people living with Parkinson's capture steady footage. The craft sits in the moving image — emotional, observational filmmaking shot on iPhone. (Video/Moving Image entry.)</t>
        </is>
      </c>
      <c r="N55" s="33" t="inlineStr">
        <is>
          <t>apple, iphone, smartphone, technology, parkinsons, accessibility, film, cinema, entertainment, moving image, documentary, video craft, digital craft, tbwa media arts lab, united states</t>
        </is>
      </c>
    </row>
    <row r="56">
      <c r="A56" s="33" t="n">
        <v>2026</v>
      </c>
      <c r="B56" s="166" t="inlineStr">
        <is>
          <t>Bronze</t>
        </is>
      </c>
      <c r="C56" s="107" t="inlineStr">
        <is>
          <t>Colorfood</t>
        </is>
      </c>
      <c r="D56" s="33" t="inlineStr">
        <is>
          <t>Auchan</t>
        </is>
      </c>
      <c r="E56" s="33" t="inlineStr">
        <is>
          <t>Children's Balanced Meal Tray</t>
        </is>
      </c>
      <c r="F56" s="33" t="inlineStr">
        <is>
          <t>TBWA Paris</t>
        </is>
      </c>
      <c r="G56" s="33" t="inlineStr">
        <is>
          <t>France</t>
        </is>
      </c>
      <c r="H56" s="33" t="inlineStr">
        <is>
          <t>Brand-Led Education &amp; Awareness</t>
        </is>
      </c>
      <c r="I56" s="33" t="inlineStr">
        <is>
          <t>https://ascentialcdn.filespin.io/api/v1/conversion/88d0116427ef44deb6aab1de39d75aea</t>
        </is>
      </c>
      <c r="J56" s="33" t="inlineStr">
        <is>
          <t>dlonvMFZ3MA</t>
        </is>
      </c>
      <c r="L56" s="33" t="inlineStr">
        <is>
          <t>https://www.lovethework.com/work/entries/colorfood-779748</t>
        </is>
      </c>
      <c r="M56" s="33" t="inlineStr">
        <is>
          <t>For supermarket Auchan, TBWA\Paris reorganised children's nutrition around colour. Foods were sorted into six colour-coded boxes — designed with product designer Clemence Germain — to make assembling a balanced meal playful for kids. Launched on World Education Day, the platform spanned in-store activations and an original song with children's singer-songwriter Aldebert.</t>
        </is>
      </c>
      <c r="N56" s="33" t="inlineStr">
        <is>
          <t>auchan, retail, supermarket, grocery, nutrition, healthy eating, childrens health, obesity, food, france, in-store, music, entertainment, kids, tbwa paris, bronze</t>
        </is>
      </c>
    </row>
    <row r="57">
      <c r="A57" s="33" t="n">
        <v>2026</v>
      </c>
      <c r="B57" s="166" t="inlineStr">
        <is>
          <t>Bronze</t>
        </is>
      </c>
      <c r="C57" s="107" t="inlineStr">
        <is>
          <t>Escape Vehicle</t>
        </is>
      </c>
      <c r="D57" s="33" t="inlineStr">
        <is>
          <t>Toyota</t>
        </is>
      </c>
      <c r="E57" s="33" t="inlineStr">
        <is>
          <t>Toyota</t>
        </is>
      </c>
      <c r="F57" s="33" t="inlineStr">
        <is>
          <t>Ogilvy</t>
        </is>
      </c>
      <c r="G57" s="33" t="inlineStr">
        <is>
          <t>Greece</t>
        </is>
      </c>
      <c r="H57" s="33" t="inlineStr">
        <is>
          <t>Brand-Led Education &amp; Awareness</t>
        </is>
      </c>
      <c r="I57" s="33" t="inlineStr">
        <is>
          <t>https://resized-media.entries.clios.com/companies/6369/media/1ec3b8d8-b4dd-4284-bdb9-08de4ded99a6-xlarge.jpg.webp</t>
        </is>
      </c>
      <c r="J57" s="33" t="inlineStr">
        <is>
          <t>pzG0C7oIfRE</t>
        </is>
      </c>
      <c r="L57" s="33" t="inlineStr">
        <is>
          <t>https://www.lovethework.com/work/entries/escape-vehicle-790005</t>
        </is>
      </c>
      <c r="M57" s="33" t="inlineStr">
        <is>
          <t>A film for Toyota Hellas that opens looking like an ad for a rival brand — because, the work argues, it doesn't matter what car a woman drives as long as it carries her away from an abusive relationship. Created by Ogilvy Athens, 'Escape Vehicle' reframes the car as a route to safety amid Greece's gender-based-violence crisis.</t>
        </is>
      </c>
      <c r="N57" s="33" t="inlineStr">
        <is>
          <t>toyota, automotive, cars, transport, car, vehicle, mobility, public service, domestic violence, gender-based violence, womens-safety, healthcare, greece, ogilvy, bronze</t>
        </is>
      </c>
    </row>
    <row r="58">
      <c r="A58" s="33" t="n">
        <v>2026</v>
      </c>
      <c r="B58" s="166" t="inlineStr">
        <is>
          <t>Bronze</t>
        </is>
      </c>
      <c r="C58" s="107" t="inlineStr">
        <is>
          <t>The Shooting</t>
        </is>
      </c>
      <c r="D58" s="33" t="inlineStr">
        <is>
          <t>Newspaper La Union and Article 19</t>
        </is>
      </c>
      <c r="E58" s="33" t="inlineStr">
        <is>
          <t>Newspaper La Union and Article 19</t>
        </is>
      </c>
      <c r="F58" s="33" t="inlineStr">
        <is>
          <t>Grey</t>
        </is>
      </c>
      <c r="G58" s="33" t="inlineStr">
        <is>
          <t>Mexico</t>
        </is>
      </c>
      <c r="H58" s="33" t="inlineStr">
        <is>
          <t>Brand-Led Education &amp; Awareness</t>
        </is>
      </c>
      <c r="I58" s="33" t="inlineStr">
        <is>
          <t>https://ascentialcdn.filespin.io/api/v1/conversion/10411392c11a4c4a864dad86a424642c</t>
        </is>
      </c>
      <c r="J58" s="33" t="inlineStr">
        <is>
          <t>-HG82GaTY3I</t>
        </is>
      </c>
      <c r="L58" s="33" t="inlineStr">
        <is>
          <t>https://www.lovethework.com/work/entries/the-shooting-775763</t>
        </is>
      </c>
      <c r="M58" s="33" t="inlineStr">
        <is>
          <t>For press-freedom group Article 19 and newspaper La Union, Grey Mexico built 'The Shooting' on the double meaning of the word: a four-minute film plus print and outdoor pieces stage a face-off between organised crime firing weapons to silence the truth and journalists firing cameras to report it, dramatising the deadly risk of reporting in Mexico.</t>
        </is>
      </c>
      <c r="N58" s="33" t="inlineStr">
        <is>
          <t>article 19, la union, newspaper, press freedom, journalism, free speech, ngo, not-for-profit, charity, social-good, nonprofit, advocacy, public service, violence, mexico, film, cinema, entertainment, outdoor, print, grey, bronze</t>
        </is>
      </c>
    </row>
    <row r="59">
      <c r="A59" s="33" t="n">
        <v>2026</v>
      </c>
      <c r="B59" s="166" t="inlineStr">
        <is>
          <t>Bronze</t>
        </is>
      </c>
      <c r="C59" s="107" t="inlineStr">
        <is>
          <t>Unloved</t>
        </is>
      </c>
      <c r="D59" s="33" t="inlineStr">
        <is>
          <t>Intermarché</t>
        </is>
      </c>
      <c r="E59" s="33" t="inlineStr">
        <is>
          <t>Retail</t>
        </is>
      </c>
      <c r="F59" s="33" t="inlineStr">
        <is>
          <t>Romance</t>
        </is>
      </c>
      <c r="G59" s="33" t="inlineStr">
        <is>
          <t>France</t>
        </is>
      </c>
      <c r="H59" s="33" t="inlineStr">
        <is>
          <t>Brand-Led Education &amp; Awareness</t>
        </is>
      </c>
      <c r="I59" s="33" t="inlineStr">
        <is>
          <t>https://ascentialcdn.filespin.io/api/v1/storyboard/f840ad18f88245f099c2cb8cb59c3dc5/storyboard_000008.jpg</t>
        </is>
      </c>
      <c r="J59" s="33" t="inlineStr">
        <is>
          <t>vimeo:1149404148</t>
        </is>
      </c>
      <c r="L59" s="33" t="inlineStr">
        <is>
          <t>https://www.lovethework.com/work/entries/unloved-789305</t>
        </is>
      </c>
      <c r="M59" s="33" t="inlineStr">
        <is>
          <t>A two-and-a-half-minute Christmas film for supermarket Intermarche, created by Romance, telling the story of an unloved wolf shunned by the forest who finds belonging by learning to eat well. Blending live action and 3D animation, 'Le Mal-Aime' sells a heartfelt holiday tale about healthy eating rather than the produce itself.</t>
        </is>
      </c>
      <c r="N59" s="33" t="inlineStr">
        <is>
          <t>intermarche, retail, supermarket, grocery, healthy eating, nutrition, healthcare, france, christmas, film, cinema, entertainment, animation, storytelling, wolf, romance, bronze</t>
        </is>
      </c>
    </row>
    <row r="60">
      <c r="A60" s="33" t="n">
        <v>2026</v>
      </c>
      <c r="B60" s="166" t="inlineStr">
        <is>
          <t>Bronze</t>
        </is>
      </c>
      <c r="C60" s="107" t="inlineStr">
        <is>
          <t>CeraVe - The New Face of Legs</t>
        </is>
      </c>
      <c r="D60" s="33" t="inlineStr">
        <is>
          <t>CeraVe</t>
        </is>
      </c>
      <c r="E60" s="33" t="inlineStr">
        <is>
          <t>Skincare</t>
        </is>
      </c>
      <c r="F60" s="33" t="inlineStr">
        <is>
          <t>Beauty Co-Lab + L'Oréal + Bolded</t>
        </is>
      </c>
      <c r="G60" s="33" t="inlineStr">
        <is>
          <t>United States</t>
        </is>
      </c>
      <c r="H60" s="33" t="inlineStr">
        <is>
          <t>Brand-Led Education &amp; Awareness</t>
        </is>
      </c>
      <c r="I60" s="33" t="inlineStr">
        <is>
          <t>https://ascentialcdn.filespin.io/api/v1/conversion/65f596aa9b584ef18846f7952595fa9b</t>
        </is>
      </c>
      <c r="J60" s="33" t="inlineStr">
        <is>
          <t>vimeo:1205275541</t>
        </is>
      </c>
      <c r="L60" s="33" t="inlineStr">
        <is>
          <t>https://www.lovethework.com/work/entries/cerave-the-new-face-of-legs-790063</t>
        </is>
      </c>
      <c r="M60" s="33" t="inlineStr">
        <is>
          <t>A skincare campaign for CeraVe casting NBA star Kevin Durant as 'The New Face of Legs' after his notably unmoisturised ankles went viral, using humour and a transformation story to position CeraVe as the fix and announce Durant as a brand ambassador.</t>
        </is>
      </c>
      <c r="N60" s="33" t="inlineStr">
        <is>
          <t>cerave, skincare, personal-care, beauty, healthcare, personal care, loreal, kevin durant, nba, basketball, sports, celebrity, humour, legs, united states, beauty co-lab, bronze</t>
        </is>
      </c>
    </row>
    <row r="61">
      <c r="A61" s="33" t="n">
        <v>2026</v>
      </c>
      <c r="B61" s="166" t="inlineStr">
        <is>
          <t>Bronze</t>
        </is>
      </c>
      <c r="C61" s="107" t="inlineStr">
        <is>
          <t>Beat Cancer Off</t>
        </is>
      </c>
      <c r="D61" s="33" t="inlineStr">
        <is>
          <t>Fuck Cancer</t>
        </is>
      </c>
      <c r="E61" s="33" t="inlineStr">
        <is>
          <t>Beat Cancer Off</t>
        </is>
      </c>
      <c r="F61" s="33" t="inlineStr">
        <is>
          <t>VML</t>
        </is>
      </c>
      <c r="G61" s="33" t="inlineStr">
        <is>
          <t>United States</t>
        </is>
      </c>
      <c r="H61" s="33" t="inlineStr">
        <is>
          <t>Non-profit Health Education, Advocacy &amp; Fundraising</t>
        </is>
      </c>
      <c r="I61" s="33" t="inlineStr">
        <is>
          <t>https://ascentialcdn.filespin.io/api/v1/conversion/e10de6b252874bff954d07054112fa2a</t>
        </is>
      </c>
      <c r="J61" s="33" t="inlineStr">
        <is>
          <t>vimeo:1179609250</t>
        </is>
      </c>
      <c r="L61" s="33" t="inlineStr">
        <is>
          <t>https://www.lovethework.com/work/entries/beat-cancer-off-789827</t>
        </is>
      </c>
      <c r="M61" s="33" t="inlineStr">
        <is>
          <t>An original crooner-style song and film for the charity Fuck Cancer that strings together global euphemisms for male masturbation to raise prostate-health awareness — using irreverent humour, grounded in the scientific link between frequent ejaculation and lower prostate-cancer risk, to make men more willing to talk about and act on their health.</t>
        </is>
      </c>
      <c r="N61" s="33" t="inlineStr">
        <is>
          <t>fuck cancer, charity, non-profit, health, mens-health, prostate cancer, cancer awareness, music, entertainment, song, humour, vml, united states, bronze</t>
        </is>
      </c>
    </row>
    <row r="62">
      <c r="A62" s="33" t="n">
        <v>2026</v>
      </c>
      <c r="B62" s="166" t="inlineStr">
        <is>
          <t>Bronze</t>
        </is>
      </c>
      <c r="C62" s="107" t="inlineStr">
        <is>
          <t>Renu vs the City</t>
        </is>
      </c>
      <c r="D62" s="33" t="inlineStr">
        <is>
          <t>St. Jude India Childcare Centres</t>
        </is>
      </c>
      <c r="E62" s="33" t="inlineStr">
        <is>
          <t>St. Jude India Childcare Centres</t>
        </is>
      </c>
      <c r="F62" s="33" t="inlineStr">
        <is>
          <t>Ogilvy</t>
        </is>
      </c>
      <c r="G62" s="33" t="inlineStr">
        <is>
          <t>India</t>
        </is>
      </c>
      <c r="H62" s="33" t="inlineStr">
        <is>
          <t>Non-profit Health Education, Advocacy &amp; Fundraising</t>
        </is>
      </c>
      <c r="I62" s="33" t="inlineStr">
        <is>
          <t>https://ascentialcdn.filespin.io/api/v1/storyboard/d8e85f81210049a19b20416706fd12c4/storyboard_000008.jpg</t>
        </is>
      </c>
      <c r="J62" s="33" t="inlineStr">
        <is>
          <t>HLU-haLXXDQ</t>
        </is>
      </c>
      <c r="L62" s="33" t="inlineStr">
        <is>
          <t>https://www.lovethework.com/work/entries/renu-vs-the-city-790070</t>
        </is>
      </c>
      <c r="M62" s="33" t="inlineStr">
        <is>
          <t>For St. Jude India ChildCare Centres — a nonprofit that houses families whose children travel to big cities for cancer treatment — Ogilvy Mumbai created 'Renu vs the City,' following one such family through the disorienting, expensive ordeal of seeking care far from home, to rally support for expanding the centres' free accommodation.</t>
        </is>
      </c>
      <c r="N62" s="33" t="inlineStr">
        <is>
          <t>st jude india, childcare, childhood cancer, cancer, healthcare, medical, nonprofit, charity, ngo, not-for-profit, social-good, fundraising, advocacy, children, families, india, ogilvy, bronze</t>
        </is>
      </c>
    </row>
    <row r="63">
      <c r="A63" s="33" t="n">
        <v>2026</v>
      </c>
      <c r="B63" s="166" t="inlineStr">
        <is>
          <t>Bronze</t>
        </is>
      </c>
      <c r="C63" s="107" t="inlineStr">
        <is>
          <t>The Swedish Prescription</t>
        </is>
      </c>
      <c r="D63" s="33" t="inlineStr">
        <is>
          <t>Visit Sweden</t>
        </is>
      </c>
      <c r="E63" s="33" t="inlineStr">
        <is>
          <t>Visit Sweden</t>
        </is>
      </c>
      <c r="F63" s="33" t="inlineStr">
        <is>
          <t>Prime Weber Shandwick</t>
        </is>
      </c>
      <c r="G63" s="33" t="inlineStr">
        <is>
          <t>Sweden</t>
        </is>
      </c>
      <c r="H63" s="33" t="inlineStr">
        <is>
          <t>Holistic Wellbeing &amp; Mindful Living</t>
        </is>
      </c>
      <c r="I63" s="33" t="inlineStr">
        <is>
          <t>https://ascentialcdn.filespin.io/api/v1/conversion/0a091e19f5b24275be9e1ace70d87d4a</t>
        </is>
      </c>
      <c r="J63" s="33" t="inlineStr">
        <is>
          <t>vimeo:1157558881</t>
        </is>
      </c>
      <c r="L63" s="33" t="inlineStr">
        <is>
          <t>https://www.lovethework.com/work/entries/the-swedish-prescription-789369</t>
        </is>
      </c>
      <c r="M63" s="33" t="inlineStr">
        <is>
          <t>For Visit Sweden, Prime Weber Shandwick made Sweden the first country to be prescribed by doctors. Drawing on research into nature-based 'social prescribing' and verified by a Karolinska Institute professor, the campaign packaged Swedish habits — forest bathing, wild swimming, sauna-and-plunge, fika — as a doctor-backed prescription for wellbeing that travellers could download.</t>
        </is>
      </c>
      <c r="N63" s="33" t="inlineStr">
        <is>
          <t>visit sweden, tourism, travel, destination, wellbeing, wellness, health, nature, sweden, prescription, forest bathing, doctors, challenger brand, public relations, pr, prime weber shandwick, bronze</t>
        </is>
      </c>
    </row>
    <row r="64">
      <c r="A64" s="33" t="n">
        <v>2026</v>
      </c>
      <c r="B64" s="166" t="inlineStr">
        <is>
          <t>Bronze</t>
        </is>
      </c>
      <c r="C64" s="107" t="inlineStr">
        <is>
          <t>Pedigree Caramelo</t>
        </is>
      </c>
      <c r="D64" s="33" t="inlineStr">
        <is>
          <t>Pedigree</t>
        </is>
      </c>
      <c r="E64" s="33" t="inlineStr">
        <is>
          <t>Pedigree</t>
        </is>
      </c>
      <c r="F64" s="33" t="inlineStr">
        <is>
          <t>AlmapBBDO Sao Paulo</t>
        </is>
      </c>
      <c r="G64" s="33" t="inlineStr">
        <is>
          <t>Brazil</t>
        </is>
      </c>
      <c r="H64" s="33" t="inlineStr">
        <is>
          <t>Animal Health</t>
        </is>
      </c>
      <c r="I64" s="33" t="inlineStr">
        <is>
          <t>https://ascentialcdn.filespin.io/api/v1/conversion/b0214ad7232144c599d153dcb4e2ac70</t>
        </is>
      </c>
      <c r="J64" s="33" t="inlineStr">
        <is>
          <t>prMM0H9psRs</t>
        </is>
      </c>
      <c r="L64" s="33" t="inlineStr">
        <is>
          <t>https://www.lovethework.com/work/entries/pedigree-caramelo-789856</t>
        </is>
      </c>
      <c r="M64" s="33" t="inlineStr">
        <is>
          <t>For Pedigree, AlmapBBDO Sao Paulo built 'Caramelo' around the caramel-coated mixed-breed street dog that is a beloved Brazilian icon, giving the mongrel a full visual identity and brand platform to champion the adoption of mixed-breed dogs.</t>
        </is>
      </c>
      <c r="N64" s="33" t="inlineStr">
        <is>
          <t>pedigree, mars, dog food, pet food, pets, dogs, fmcg, brazil, caramelo, mixed breed, mongrel, street dog, adoption, identity, social behaviour, brand experience, activation, almapbbdo, bronze</t>
        </is>
      </c>
    </row>
    <row r="65">
      <c r="A65" s="33" t="n">
        <v>2026</v>
      </c>
      <c r="B65" s="166" t="inlineStr">
        <is>
          <t>Bronze</t>
        </is>
      </c>
      <c r="C65" s="107" t="inlineStr">
        <is>
          <t>Protest March of the Penguins</t>
        </is>
      </c>
      <c r="D65" s="33" t="inlineStr">
        <is>
          <t>Penguins International</t>
        </is>
      </c>
      <c r="E65" s="33" t="inlineStr">
        <is>
          <t>Penguins International</t>
        </is>
      </c>
      <c r="F65" s="33" t="inlineStr">
        <is>
          <t>Rethink</t>
        </is>
      </c>
      <c r="G65" s="33" t="inlineStr">
        <is>
          <t>Canada</t>
        </is>
      </c>
      <c r="H65" s="33" t="inlineStr">
        <is>
          <t>Animal Health</t>
        </is>
      </c>
      <c r="I65" s="33" t="inlineStr">
        <is>
          <t>https://ascentialcdn.filespin.io/api/v1/conversion/7561c930ebf14dc0bac91788c0286390</t>
        </is>
      </c>
      <c r="J65" s="33" t="inlineStr">
        <is>
          <t>vimeo:1134895971</t>
        </is>
      </c>
      <c r="L65" s="33" t="inlineStr">
        <is>
          <t>https://www.lovethework.com/work/entries/protest-march-of-the-penguins-775536</t>
        </is>
      </c>
      <c r="M65" s="33" t="inlineStr">
        <is>
          <t>For conservation nonprofit Penguins International, Rethink responded to news that uninhabited, penguin-populated islands had been hit with trade tariffs. The work staged a 'protest march of the penguins,' juxtaposing the absurdity of taxing penguin habitats with a heartfelt call for conservation.</t>
        </is>
      </c>
      <c r="N65" s="33" t="inlineStr">
        <is>
          <t>penguins international, conservation, wildlife, environment, sustainability, nonprofit, charity, ngo, not-for-profit, social-good, animals, penguins, tariffs, real-time response, advocacy, public relations, pr, rethink, bronze</t>
        </is>
      </c>
    </row>
  </sheetData>
  <autoFilter ref="A1:N34"/>
  <hyperlinks>
    <hyperlink xmlns:r="http://schemas.openxmlformats.org/officeDocument/2006/relationships" ref="I2" r:id="rId1"/>
    <hyperlink xmlns:r="http://schemas.openxmlformats.org/officeDocument/2006/relationships" ref="L2" r:id="rId2"/>
    <hyperlink xmlns:r="http://schemas.openxmlformats.org/officeDocument/2006/relationships" ref="L3" r:id="rId3"/>
    <hyperlink xmlns:r="http://schemas.openxmlformats.org/officeDocument/2006/relationships" ref="L4" r:id="rId4"/>
    <hyperlink xmlns:r="http://schemas.openxmlformats.org/officeDocument/2006/relationships" ref="I5" r:id="rId5"/>
    <hyperlink xmlns:r="http://schemas.openxmlformats.org/officeDocument/2006/relationships" ref="L5" r:id="rId6"/>
    <hyperlink xmlns:r="http://schemas.openxmlformats.org/officeDocument/2006/relationships" ref="I6" r:id="rId7"/>
    <hyperlink xmlns:r="http://schemas.openxmlformats.org/officeDocument/2006/relationships" ref="L6" r:id="rId8"/>
    <hyperlink xmlns:r="http://schemas.openxmlformats.org/officeDocument/2006/relationships" ref="I7" r:id="rId9"/>
    <hyperlink xmlns:r="http://schemas.openxmlformats.org/officeDocument/2006/relationships" ref="L7" r:id="rId10"/>
    <hyperlink xmlns:r="http://schemas.openxmlformats.org/officeDocument/2006/relationships" ref="I8" r:id="rId11"/>
    <hyperlink xmlns:r="http://schemas.openxmlformats.org/officeDocument/2006/relationships" ref="L8" r:id="rId12"/>
    <hyperlink xmlns:r="http://schemas.openxmlformats.org/officeDocument/2006/relationships" ref="I9" r:id="rId13"/>
    <hyperlink xmlns:r="http://schemas.openxmlformats.org/officeDocument/2006/relationships" ref="L9" r:id="rId14"/>
    <hyperlink xmlns:r="http://schemas.openxmlformats.org/officeDocument/2006/relationships" ref="I10" r:id="rId15"/>
    <hyperlink xmlns:r="http://schemas.openxmlformats.org/officeDocument/2006/relationships" ref="L10" r:id="rId16"/>
    <hyperlink xmlns:r="http://schemas.openxmlformats.org/officeDocument/2006/relationships" ref="I11" r:id="rId17"/>
    <hyperlink xmlns:r="http://schemas.openxmlformats.org/officeDocument/2006/relationships" ref="L11" r:id="rId18"/>
    <hyperlink xmlns:r="http://schemas.openxmlformats.org/officeDocument/2006/relationships" ref="I12" r:id="rId19"/>
    <hyperlink xmlns:r="http://schemas.openxmlformats.org/officeDocument/2006/relationships" ref="L12" r:id="rId20"/>
    <hyperlink xmlns:r="http://schemas.openxmlformats.org/officeDocument/2006/relationships" ref="L13" r:id="rId21"/>
    <hyperlink xmlns:r="http://schemas.openxmlformats.org/officeDocument/2006/relationships" ref="I14" r:id="rId22"/>
    <hyperlink xmlns:r="http://schemas.openxmlformats.org/officeDocument/2006/relationships" ref="L14" r:id="rId23"/>
    <hyperlink xmlns:r="http://schemas.openxmlformats.org/officeDocument/2006/relationships" ref="I15" r:id="rId24"/>
    <hyperlink xmlns:r="http://schemas.openxmlformats.org/officeDocument/2006/relationships" ref="L15" r:id="rId25"/>
    <hyperlink xmlns:r="http://schemas.openxmlformats.org/officeDocument/2006/relationships" ref="I16" r:id="rId26"/>
    <hyperlink xmlns:r="http://schemas.openxmlformats.org/officeDocument/2006/relationships" ref="L16" r:id="rId27"/>
    <hyperlink xmlns:r="http://schemas.openxmlformats.org/officeDocument/2006/relationships" ref="I17" r:id="rId28"/>
    <hyperlink xmlns:r="http://schemas.openxmlformats.org/officeDocument/2006/relationships" ref="L17" r:id="rId29"/>
    <hyperlink xmlns:r="http://schemas.openxmlformats.org/officeDocument/2006/relationships" ref="I18" r:id="rId30"/>
    <hyperlink xmlns:r="http://schemas.openxmlformats.org/officeDocument/2006/relationships" ref="L18" r:id="rId31"/>
    <hyperlink xmlns:r="http://schemas.openxmlformats.org/officeDocument/2006/relationships" ref="I19" r:id="rId32"/>
    <hyperlink xmlns:r="http://schemas.openxmlformats.org/officeDocument/2006/relationships" ref="L19" r:id="rId33"/>
    <hyperlink xmlns:r="http://schemas.openxmlformats.org/officeDocument/2006/relationships" ref="I20" r:id="rId34"/>
    <hyperlink xmlns:r="http://schemas.openxmlformats.org/officeDocument/2006/relationships" ref="L20" r:id="rId35"/>
    <hyperlink xmlns:r="http://schemas.openxmlformats.org/officeDocument/2006/relationships" ref="I21" r:id="rId36"/>
    <hyperlink xmlns:r="http://schemas.openxmlformats.org/officeDocument/2006/relationships" ref="L21" r:id="rId37"/>
    <hyperlink xmlns:r="http://schemas.openxmlformats.org/officeDocument/2006/relationships" ref="I22" r:id="rId38"/>
    <hyperlink xmlns:r="http://schemas.openxmlformats.org/officeDocument/2006/relationships" ref="L22" r:id="rId39"/>
    <hyperlink xmlns:r="http://schemas.openxmlformats.org/officeDocument/2006/relationships" ref="I23" r:id="rId40"/>
    <hyperlink xmlns:r="http://schemas.openxmlformats.org/officeDocument/2006/relationships" ref="L23" r:id="rId41"/>
    <hyperlink xmlns:r="http://schemas.openxmlformats.org/officeDocument/2006/relationships" ref="I24" r:id="rId42"/>
    <hyperlink xmlns:r="http://schemas.openxmlformats.org/officeDocument/2006/relationships" ref="L24" r:id="rId43"/>
    <hyperlink xmlns:r="http://schemas.openxmlformats.org/officeDocument/2006/relationships" ref="I25" r:id="rId44"/>
    <hyperlink xmlns:r="http://schemas.openxmlformats.org/officeDocument/2006/relationships" ref="L25" r:id="rId45"/>
    <hyperlink xmlns:r="http://schemas.openxmlformats.org/officeDocument/2006/relationships" ref="I26" r:id="rId46"/>
    <hyperlink xmlns:r="http://schemas.openxmlformats.org/officeDocument/2006/relationships" ref="L26" r:id="rId47"/>
    <hyperlink xmlns:r="http://schemas.openxmlformats.org/officeDocument/2006/relationships" ref="I27" r:id="rId48"/>
    <hyperlink xmlns:r="http://schemas.openxmlformats.org/officeDocument/2006/relationships" ref="L27" r:id="rId49"/>
    <hyperlink xmlns:r="http://schemas.openxmlformats.org/officeDocument/2006/relationships" ref="L28" r:id="rId50"/>
    <hyperlink xmlns:r="http://schemas.openxmlformats.org/officeDocument/2006/relationships" ref="L29" r:id="rId51"/>
    <hyperlink xmlns:r="http://schemas.openxmlformats.org/officeDocument/2006/relationships" ref="L30" r:id="rId52"/>
    <hyperlink xmlns:r="http://schemas.openxmlformats.org/officeDocument/2006/relationships" ref="L31" r:id="rId53"/>
    <hyperlink xmlns:r="http://schemas.openxmlformats.org/officeDocument/2006/relationships" ref="L32" r:id="rId54"/>
    <hyperlink xmlns:r="http://schemas.openxmlformats.org/officeDocument/2006/relationships" ref="I33" r:id="rId55"/>
    <hyperlink xmlns:r="http://schemas.openxmlformats.org/officeDocument/2006/relationships" ref="L33" r:id="rId56"/>
    <hyperlink xmlns:r="http://schemas.openxmlformats.org/officeDocument/2006/relationships" ref="L34" r:id="rId57"/>
    <hyperlink xmlns:r="http://schemas.openxmlformats.org/officeDocument/2006/relationships" ref="I35" r:id="rId58"/>
    <hyperlink xmlns:r="http://schemas.openxmlformats.org/officeDocument/2006/relationships" ref="L35" r:id="rId59"/>
    <hyperlink xmlns:r="http://schemas.openxmlformats.org/officeDocument/2006/relationships" ref="I36" r:id="rId60"/>
    <hyperlink xmlns:r="http://schemas.openxmlformats.org/officeDocument/2006/relationships" ref="L36" r:id="rId61"/>
    <hyperlink xmlns:r="http://schemas.openxmlformats.org/officeDocument/2006/relationships" ref="I37" r:id="rId62"/>
    <hyperlink xmlns:r="http://schemas.openxmlformats.org/officeDocument/2006/relationships" ref="L37" r:id="rId63"/>
    <hyperlink xmlns:r="http://schemas.openxmlformats.org/officeDocument/2006/relationships" ref="I38" r:id="rId64"/>
    <hyperlink xmlns:r="http://schemas.openxmlformats.org/officeDocument/2006/relationships" ref="L38" r:id="rId65"/>
    <hyperlink xmlns:r="http://schemas.openxmlformats.org/officeDocument/2006/relationships" ref="I39" r:id="rId66"/>
    <hyperlink xmlns:r="http://schemas.openxmlformats.org/officeDocument/2006/relationships" ref="L39" r:id="rId67"/>
    <hyperlink xmlns:r="http://schemas.openxmlformats.org/officeDocument/2006/relationships" ref="I40" r:id="rId68"/>
    <hyperlink xmlns:r="http://schemas.openxmlformats.org/officeDocument/2006/relationships" ref="L40" r:id="rId69"/>
    <hyperlink xmlns:r="http://schemas.openxmlformats.org/officeDocument/2006/relationships" ref="I41" r:id="rId70"/>
    <hyperlink xmlns:r="http://schemas.openxmlformats.org/officeDocument/2006/relationships" ref="L41" r:id="rId71"/>
    <hyperlink xmlns:r="http://schemas.openxmlformats.org/officeDocument/2006/relationships" ref="I42" r:id="rId72"/>
    <hyperlink xmlns:r="http://schemas.openxmlformats.org/officeDocument/2006/relationships" ref="L42" r:id="rId73"/>
    <hyperlink xmlns:r="http://schemas.openxmlformats.org/officeDocument/2006/relationships" ref="I43" r:id="rId74"/>
    <hyperlink xmlns:r="http://schemas.openxmlformats.org/officeDocument/2006/relationships" ref="L43" r:id="rId75"/>
    <hyperlink xmlns:r="http://schemas.openxmlformats.org/officeDocument/2006/relationships" ref="I44" r:id="rId76"/>
    <hyperlink xmlns:r="http://schemas.openxmlformats.org/officeDocument/2006/relationships" ref="L44" r:id="rId77"/>
    <hyperlink xmlns:r="http://schemas.openxmlformats.org/officeDocument/2006/relationships" ref="I45" r:id="rId78"/>
    <hyperlink xmlns:r="http://schemas.openxmlformats.org/officeDocument/2006/relationships" ref="L45" r:id="rId79"/>
    <hyperlink xmlns:r="http://schemas.openxmlformats.org/officeDocument/2006/relationships" ref="I46" r:id="rId80"/>
    <hyperlink xmlns:r="http://schemas.openxmlformats.org/officeDocument/2006/relationships" ref="L46" r:id="rId81"/>
    <hyperlink xmlns:r="http://schemas.openxmlformats.org/officeDocument/2006/relationships" ref="I47" r:id="rId82"/>
    <hyperlink xmlns:r="http://schemas.openxmlformats.org/officeDocument/2006/relationships" ref="L47" r:id="rId83"/>
    <hyperlink xmlns:r="http://schemas.openxmlformats.org/officeDocument/2006/relationships" ref="I48" r:id="rId84"/>
    <hyperlink xmlns:r="http://schemas.openxmlformats.org/officeDocument/2006/relationships" ref="L48" r:id="rId85"/>
    <hyperlink xmlns:r="http://schemas.openxmlformats.org/officeDocument/2006/relationships" ref="I49" r:id="rId86"/>
    <hyperlink xmlns:r="http://schemas.openxmlformats.org/officeDocument/2006/relationships" ref="L49" r:id="rId87"/>
    <hyperlink xmlns:r="http://schemas.openxmlformats.org/officeDocument/2006/relationships" ref="I50" r:id="rId88"/>
    <hyperlink xmlns:r="http://schemas.openxmlformats.org/officeDocument/2006/relationships" ref="L50" r:id="rId89"/>
    <hyperlink xmlns:r="http://schemas.openxmlformats.org/officeDocument/2006/relationships" ref="I51" r:id="rId90"/>
    <hyperlink xmlns:r="http://schemas.openxmlformats.org/officeDocument/2006/relationships" ref="L51" r:id="rId91"/>
    <hyperlink xmlns:r="http://schemas.openxmlformats.org/officeDocument/2006/relationships" ref="I52" r:id="rId92"/>
    <hyperlink xmlns:r="http://schemas.openxmlformats.org/officeDocument/2006/relationships" ref="L52" r:id="rId93"/>
    <hyperlink xmlns:r="http://schemas.openxmlformats.org/officeDocument/2006/relationships" ref="I53" r:id="rId94"/>
    <hyperlink xmlns:r="http://schemas.openxmlformats.org/officeDocument/2006/relationships" ref="L53" r:id="rId95"/>
    <hyperlink xmlns:r="http://schemas.openxmlformats.org/officeDocument/2006/relationships" ref="I54" r:id="rId96"/>
    <hyperlink xmlns:r="http://schemas.openxmlformats.org/officeDocument/2006/relationships" ref="L54" r:id="rId97"/>
    <hyperlink xmlns:r="http://schemas.openxmlformats.org/officeDocument/2006/relationships" ref="I55" r:id="rId98"/>
    <hyperlink xmlns:r="http://schemas.openxmlformats.org/officeDocument/2006/relationships" ref="L55" r:id="rId99"/>
    <hyperlink xmlns:r="http://schemas.openxmlformats.org/officeDocument/2006/relationships" ref="I56" r:id="rId100"/>
    <hyperlink xmlns:r="http://schemas.openxmlformats.org/officeDocument/2006/relationships" ref="L56" r:id="rId101"/>
    <hyperlink xmlns:r="http://schemas.openxmlformats.org/officeDocument/2006/relationships" ref="I57" r:id="rId102"/>
    <hyperlink xmlns:r="http://schemas.openxmlformats.org/officeDocument/2006/relationships" ref="L57" r:id="rId103"/>
    <hyperlink xmlns:r="http://schemas.openxmlformats.org/officeDocument/2006/relationships" ref="I58" r:id="rId104"/>
    <hyperlink xmlns:r="http://schemas.openxmlformats.org/officeDocument/2006/relationships" ref="L58" r:id="rId105"/>
    <hyperlink xmlns:r="http://schemas.openxmlformats.org/officeDocument/2006/relationships" ref="I59" r:id="rId106"/>
    <hyperlink xmlns:r="http://schemas.openxmlformats.org/officeDocument/2006/relationships" ref="L59" r:id="rId107"/>
    <hyperlink xmlns:r="http://schemas.openxmlformats.org/officeDocument/2006/relationships" ref="I60" r:id="rId108"/>
    <hyperlink xmlns:r="http://schemas.openxmlformats.org/officeDocument/2006/relationships" ref="L60" r:id="rId109"/>
    <hyperlink xmlns:r="http://schemas.openxmlformats.org/officeDocument/2006/relationships" ref="I61" r:id="rId110"/>
    <hyperlink xmlns:r="http://schemas.openxmlformats.org/officeDocument/2006/relationships" ref="L61" r:id="rId111"/>
    <hyperlink xmlns:r="http://schemas.openxmlformats.org/officeDocument/2006/relationships" ref="I62" r:id="rId112"/>
    <hyperlink xmlns:r="http://schemas.openxmlformats.org/officeDocument/2006/relationships" ref="L62" r:id="rId113"/>
    <hyperlink xmlns:r="http://schemas.openxmlformats.org/officeDocument/2006/relationships" ref="I63" r:id="rId114"/>
    <hyperlink xmlns:r="http://schemas.openxmlformats.org/officeDocument/2006/relationships" ref="L63" r:id="rId115"/>
    <hyperlink xmlns:r="http://schemas.openxmlformats.org/officeDocument/2006/relationships" ref="I64" r:id="rId116"/>
    <hyperlink xmlns:r="http://schemas.openxmlformats.org/officeDocument/2006/relationships" ref="L64" r:id="rId117"/>
    <hyperlink xmlns:r="http://schemas.openxmlformats.org/officeDocument/2006/relationships" ref="I65" r:id="rId118"/>
    <hyperlink xmlns:r="http://schemas.openxmlformats.org/officeDocument/2006/relationships" ref="L65" r:id="rId119"/>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6" customWidth="1" style="34" min="1" max="1"/>
    <col width="16" customWidth="1" style="34" min="2" max="2"/>
    <col width="34" customWidth="1" style="34" min="3" max="3"/>
    <col width="22" customWidth="1" style="34" min="4" max="4"/>
    <col width="26" customWidth="1" style="34" min="5" max="5"/>
    <col width="28" customWidth="1" style="34" min="6" max="6"/>
    <col width="16" customWidth="1" style="34" min="7" max="7"/>
    <col width="34" customWidth="1" style="34" min="8" max="8"/>
    <col width="18" customWidth="1" style="34" min="9" max="9"/>
    <col width="16" customWidth="1" style="34" min="10" max="10"/>
    <col width="22" customWidth="1" style="34" min="11" max="11"/>
    <col hidden="1" width="20" customWidth="1" style="34" min="12" max="12"/>
    <col width="60" customWidth="1" style="34" min="13" max="13"/>
    <col width="40" customWidth="1" style="34" min="14" max="14"/>
  </cols>
  <sheetData>
    <row r="1" ht="22" customHeight="1" s="34">
      <c r="A1" s="122" t="inlineStr">
        <is>
          <t>Year</t>
        </is>
      </c>
      <c r="B1" s="122" t="inlineStr">
        <is>
          <t>Tier</t>
        </is>
      </c>
      <c r="C1" s="122" t="inlineStr">
        <is>
          <t>Campaign</t>
        </is>
      </c>
      <c r="D1" s="122" t="inlineStr">
        <is>
          <t>Brand</t>
        </is>
      </c>
      <c r="E1" s="122" t="inlineStr">
        <is>
          <t>Product/Service</t>
        </is>
      </c>
      <c r="F1" s="122" t="inlineStr">
        <is>
          <t>Agency</t>
        </is>
      </c>
      <c r="G1" s="122" t="inlineStr">
        <is>
          <t>Country</t>
        </is>
      </c>
      <c r="H1" s="122" t="inlineStr">
        <is>
          <t>Subcategory</t>
        </is>
      </c>
      <c r="I1" s="122" t="inlineStr">
        <is>
          <t>Image URL</t>
        </is>
      </c>
      <c r="J1" s="122" t="inlineStr">
        <is>
          <t>YouTube ID</t>
        </is>
      </c>
      <c r="K1" s="122" t="inlineStr">
        <is>
          <t>Campaign Group</t>
        </is>
      </c>
      <c r="L1" s="122" t="inlineStr">
        <is>
          <t>Entry URL</t>
        </is>
      </c>
      <c r="M1" s="122" t="inlineStr">
        <is>
          <t>Description</t>
        </is>
      </c>
      <c r="N1" s="122" t="inlineStr">
        <is>
          <t>Keywords</t>
        </is>
      </c>
    </row>
    <row r="2">
      <c r="A2" s="127" t="n">
        <v>2025</v>
      </c>
      <c r="B2" s="139" t="inlineStr">
        <is>
          <t>Grand Prix</t>
        </is>
      </c>
      <c r="C2" s="127" t="inlineStr">
        <is>
          <t>The Best Place in the World to Have Herpes</t>
        </is>
      </c>
      <c r="D2" s="127" t="inlineStr">
        <is>
          <t>New Zealand Herpes Foundation</t>
        </is>
      </c>
      <c r="E2" s="127" t="inlineStr">
        <is>
          <t>New Zealand Herpes Foundation</t>
        </is>
      </c>
      <c r="F2" s="127" t="inlineStr">
        <is>
          <t>Finch</t>
        </is>
      </c>
      <c r="G2" s="127" t="inlineStr">
        <is>
          <t>Australia</t>
        </is>
      </c>
      <c r="H2" s="113" t="inlineStr">
        <is>
          <t>Lions Health Grand Prix for Good</t>
        </is>
      </c>
      <c r="I2" s="127" t="inlineStr">
        <is>
          <t>digital-presentation-images/lions-health-grand-prix-for-good-new-zealand-herpes-foundation-the-best-place-in-the-world-to-have-herpes.webp</t>
        </is>
      </c>
      <c r="J2" s="127" t="inlineStr">
        <is>
          <t>vimeo:1083074994</t>
        </is>
      </c>
      <c r="K2" s="127" t="n"/>
      <c r="L2" s="128" t="inlineStr">
        <is>
          <t>https://www.lovethework.com/work/entries/the-best-place-in-the-world-to-have-herpes-767496</t>
        </is>
      </c>
      <c r="M2" s="113" t="inlineStr">
        <is>
          <t>A tourism-style campaign for the New Zealand Herpes Foundation, created by Finch in Sydney and Motion Sickness in Auckland, that repositioned herpes stigma reduction as a matter of national pride — framing it as a competition New Zealand could win. A live Herpes Stigma Index on the campaign website tracked New Zealand's ranking against 77 other countries, while a five-lesson "Herpes Destigmatisation Course" used humour to walk participants through misconceptions, awarding points that contributed to the national leaderboard position. The work drew on the fact that 30% of New Zealanders diagnosed with herpes experience depressive or suicidal thoughts, and that the virus — despite being common and largely harmless — is rarely discussed openly.</t>
        </is>
      </c>
      <c r="N2" s="113" t="inlineStr">
        <is>
          <t>public-health, digital, health-education, humour, new-zealand, australia, e-learning, website, stigma, ooh</t>
        </is>
      </c>
    </row>
    <row r="3">
      <c r="A3" s="33" t="n">
        <v>2026</v>
      </c>
      <c r="B3" s="167" t="inlineStr">
        <is>
          <t>Grand Prix</t>
        </is>
      </c>
      <c r="C3" s="107" t="inlineStr">
        <is>
          <t>Vehicle of Hope</t>
        </is>
      </c>
      <c r="D3" s="33" t="inlineStr">
        <is>
          <t>Caritas</t>
        </is>
      </c>
      <c r="E3" s="33" t="inlineStr">
        <is>
          <t>Caritas</t>
        </is>
      </c>
      <c r="F3" s="33" t="inlineStr">
        <is>
          <t>Differ</t>
        </is>
      </c>
      <c r="G3" s="33" t="inlineStr">
        <is>
          <t>Sweden</t>
        </is>
      </c>
      <c r="H3" s="33" t="inlineStr">
        <is>
          <t>Lions Health Grand Prix for Good</t>
        </is>
      </c>
      <c r="I3" s="33" t="inlineStr">
        <is>
          <t>https://ascentialcdn.filespin.io/api/v1/conversion/9975b14b1e7647b983bec25a3c5af021</t>
        </is>
      </c>
      <c r="J3" s="33" t="inlineStr">
        <is>
          <t>YfQbzgQfOKI</t>
        </is>
      </c>
      <c r="L3" s="33" t="inlineStr">
        <is>
          <t>https://www.lovethework.com/work/entries/vehicle-of-hope-775600</t>
        </is>
      </c>
      <c r="M3" s="33" t="inlineStr">
        <is>
          <t>For Catholic aid network Caritas, Differ and Colony Stockholm transformed the late Pope Francis's Popemobile into a mobile health clinic for children in war-torn Gaza — repurposing one of the world's most recognisable vehicles into front-line paediatric care.</t>
        </is>
      </c>
      <c r="N3" s="33" t="inlineStr">
        <is>
          <t>caritas, humanitarian, aid, ngo, not-for-profit, charity, social-good, nonprofit, healthcare, mobile clinic, children, gaza, pope francis, popemobile, war, sweden, differ, colony, grand prix</t>
        </is>
      </c>
    </row>
  </sheetData>
  <autoFilter ref="A1:N2"/>
  <hyperlinks>
    <hyperlink xmlns:r="http://schemas.openxmlformats.org/officeDocument/2006/relationships" ref="L2" r:id="rId1"/>
    <hyperlink xmlns:r="http://schemas.openxmlformats.org/officeDocument/2006/relationships" ref="I3" r:id="rId2"/>
    <hyperlink xmlns:r="http://schemas.openxmlformats.org/officeDocument/2006/relationships" ref="L3" r:id="rId3"/>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N17"/>
  <sheetViews>
    <sheetView workbookViewId="0">
      <pane ySplit="1" topLeftCell="A2" activePane="bottomLeft" state="frozen"/>
      <selection pane="bottomLeft" activeCell="A1" sqref="A1"/>
    </sheetView>
  </sheetViews>
  <sheetFormatPr baseColWidth="8" defaultRowHeight="15"/>
  <cols>
    <col width="6" customWidth="1" style="34" min="1" max="1"/>
    <col width="16" customWidth="1" style="34" min="2" max="2"/>
    <col width="34" customWidth="1" style="34" min="3" max="3"/>
    <col width="22" customWidth="1" style="34" min="4" max="4"/>
    <col width="26" customWidth="1" style="34" min="5" max="5"/>
    <col width="28" customWidth="1" style="34" min="6" max="6"/>
    <col width="16" customWidth="1" style="34" min="7" max="7"/>
    <col width="34" customWidth="1" style="34" min="8" max="8"/>
    <col width="18" customWidth="1" style="34" min="9" max="9"/>
    <col width="16" customWidth="1" style="34" min="10" max="10"/>
    <col width="22" customWidth="1" style="34" min="11" max="11"/>
    <col hidden="1" width="20" customWidth="1" style="34" min="12" max="12"/>
    <col width="60" customWidth="1" style="34" min="13" max="13"/>
    <col width="40" customWidth="1" style="34" min="14" max="14"/>
  </cols>
  <sheetData>
    <row r="1" ht="22" customHeight="1" s="34">
      <c r="A1" s="122" t="inlineStr">
        <is>
          <t>Year</t>
        </is>
      </c>
      <c r="B1" s="122" t="inlineStr">
        <is>
          <t>Tier</t>
        </is>
      </c>
      <c r="C1" s="122" t="inlineStr">
        <is>
          <t>Campaign</t>
        </is>
      </c>
      <c r="D1" s="122" t="inlineStr">
        <is>
          <t>Brand</t>
        </is>
      </c>
      <c r="E1" s="122" t="inlineStr">
        <is>
          <t>Product/Service</t>
        </is>
      </c>
      <c r="F1" s="122" t="inlineStr">
        <is>
          <t>Agency</t>
        </is>
      </c>
      <c r="G1" s="122" t="inlineStr">
        <is>
          <t>Country</t>
        </is>
      </c>
      <c r="H1" s="122" t="inlineStr">
        <is>
          <t>Subcategory</t>
        </is>
      </c>
      <c r="I1" s="122" t="inlineStr">
        <is>
          <t>Image URL</t>
        </is>
      </c>
      <c r="J1" s="122" t="inlineStr">
        <is>
          <t>YouTube ID</t>
        </is>
      </c>
      <c r="K1" s="122" t="inlineStr">
        <is>
          <t>Campaign Group</t>
        </is>
      </c>
      <c r="L1" s="122" t="inlineStr">
        <is>
          <t>Entry URL</t>
        </is>
      </c>
      <c r="M1" s="122" t="inlineStr">
        <is>
          <t>Description</t>
        </is>
      </c>
      <c r="N1" s="122" t="inlineStr">
        <is>
          <t>Keywords</t>
        </is>
      </c>
    </row>
    <row r="2">
      <c r="A2" s="127" t="n">
        <v>2025</v>
      </c>
      <c r="B2" s="139" t="inlineStr">
        <is>
          <t>Grand Prix</t>
        </is>
      </c>
      <c r="C2" s="127" t="inlineStr">
        <is>
          <t>Make Love Last - Bedroom</t>
        </is>
      </c>
      <c r="D2" s="127" t="inlineStr">
        <is>
          <t>Viatris</t>
        </is>
      </c>
      <c r="E2" s="127" t="inlineStr">
        <is>
          <t>Viagra</t>
        </is>
      </c>
      <c r="F2" s="127" t="inlineStr">
        <is>
          <t>Ogilvy</t>
        </is>
      </c>
      <c r="G2" s="127" t="inlineStr">
        <is>
          <t>China</t>
        </is>
      </c>
      <c r="H2" s="113" t="inlineStr">
        <is>
          <t>Film Craft: Cinematography - Unbranded Product or Service Promotion</t>
        </is>
      </c>
      <c r="I2" s="127" t="inlineStr">
        <is>
          <t>digital-presentation-images/pharma-viatris-make-love-last-bedroom.webp</t>
        </is>
      </c>
      <c r="J2" s="127" t="inlineStr">
        <is>
          <t>vimeo:1086963204</t>
        </is>
      </c>
      <c r="K2" s="127" t="n"/>
      <c r="L2" s="128" t="inlineStr">
        <is>
          <t>https://www.lovethework.com/work/entries/make-love-last-bedroom-752901</t>
        </is>
      </c>
      <c r="M2" s="113" t="inlineStr">
        <is>
          <t>A time-lapse film series made for China, where direct-to-consumer pharmaceutical advertising is prohibited and sex remains a heavily regulated topic, in which three real couples shared their stories about intimacy and were then left alone with a camera — their unscripted closeness captured in long, compressed takes by a renowned artist collaborating with Ogilvy Shanghai. The films were released on Chinese Valentine's Day and amplified through medical experts and relationship KOLs to open conversations about intimacy without making explicit product claims.</t>
        </is>
      </c>
      <c r="N2" s="113" t="inlineStr">
        <is>
          <t>pharmaceutical, film, cinema, entertainment, cinematography, time-lapse, china, sexual-health, healthcare, medical, branded-content, social, couples</t>
        </is>
      </c>
    </row>
    <row r="3">
      <c r="A3" s="127" t="n">
        <v>2025</v>
      </c>
      <c r="B3" s="140" t="inlineStr">
        <is>
          <t>Gold</t>
        </is>
      </c>
      <c r="C3" s="127" t="inlineStr">
        <is>
          <t>Friedreich's Back</t>
        </is>
      </c>
      <c r="D3" s="127" t="inlineStr">
        <is>
          <t>Biogen</t>
        </is>
      </c>
      <c r="E3" s="127" t="inlineStr">
        <is>
          <t>Skyclaris</t>
        </is>
      </c>
      <c r="F3" s="127" t="inlineStr">
        <is>
          <t>21GRAMS</t>
        </is>
      </c>
      <c r="G3" s="127" t="inlineStr">
        <is>
          <t>United States</t>
        </is>
      </c>
      <c r="H3" s="113" t="inlineStr">
        <is>
          <t>Entertainment - Product or Service Promotion: Direct to Patient</t>
        </is>
      </c>
      <c r="I3" s="128" t="inlineStr">
        <is>
          <t>https://ascentialcdn.filespin.io/api/v1/conversion/fd234ce7b17e4ff083175e878a0dcc9e</t>
        </is>
      </c>
      <c r="J3" s="127" t="inlineStr">
        <is>
          <t>vimeo:1097204731</t>
        </is>
      </c>
      <c r="K3" s="127" t="n"/>
      <c r="L3" s="128" t="inlineStr">
        <is>
          <t>https://www.lovethework.com/work/entries/friedreichs-back-752797</t>
        </is>
      </c>
      <c r="M3" s="113" t="inlineStr">
        <is>
          <t>A direct-to-patient campaign for Skyclaris, Biogen's treatment for Friedreich's ataxia, built around the phrase "Friedreich's Back" — a double meaning that reframes the rare, progressive neurological disease as something returnable to life rather than a life sentence. Created by 21GRAMS, the work targets the small, historically underserved Friedreich's ataxia patient community in the United States with branded messaging designed to signal that an FDA-approved treatment now exists.</t>
        </is>
      </c>
      <c r="N3" s="113" t="inlineStr">
        <is>
          <t>pharmaceutical, rare-disease, direct-to-patient, branded-content, united-states, neurology, entertainment, wordplay</t>
        </is>
      </c>
    </row>
    <row r="4">
      <c r="A4" s="127" t="n">
        <v>2025</v>
      </c>
      <c r="B4" s="132" t="inlineStr">
        <is>
          <t>Silver</t>
        </is>
      </c>
      <c r="C4" s="127" t="inlineStr">
        <is>
          <t>Glowing Relief</t>
        </is>
      </c>
      <c r="D4" s="127" t="inlineStr">
        <is>
          <t>Alivia Health</t>
        </is>
      </c>
      <c r="E4" s="127" t="inlineStr">
        <is>
          <t>Glowing Relief</t>
        </is>
      </c>
      <c r="F4" s="127" t="inlineStr">
        <is>
          <t>De La Cruz Ogilvy</t>
        </is>
      </c>
      <c r="G4" s="127" t="inlineStr">
        <is>
          <t>Puerto Rico</t>
        </is>
      </c>
      <c r="H4" s="113" t="inlineStr">
        <is>
          <t>Brand Experience &amp; Activation - Branded Product or Service Promotion</t>
        </is>
      </c>
      <c r="I4" s="128" t="inlineStr">
        <is>
          <t>https://ascentialcdn.filespin.io/api/v1/conversion/890f5040eb2d4dbdbaa5b4f333e85719</t>
        </is>
      </c>
      <c r="J4" s="127" t="inlineStr">
        <is>
          <t>VqmIS4FkLP0</t>
        </is>
      </c>
      <c r="K4" s="127" t="n"/>
      <c r="L4" s="128" t="inlineStr">
        <is>
          <t>https://www.lovethework.com/work/entries/glowing-relief-764131</t>
        </is>
      </c>
      <c r="M4" s="113" t="inlineStr">
        <is>
          <t>Glow-in-the-dark prescription labels developed by Alivia Health and its Farmacias Plaza pharmacy chain in Puerto Rico — designed so patients can read medication names and dosages during power outages, which are frequent across the island. The labels specifically address the risk of medication errors among elderly patients and those with vision impairments navigating low-light conditions.</t>
        </is>
      </c>
      <c r="N4" s="113" t="inlineStr">
        <is>
          <t>pharmacy, packaging, healthcare, glow-in-the-dark, puerto-rico, elderly-audience, medication-safety, branded-product</t>
        </is>
      </c>
    </row>
    <row r="5">
      <c r="A5" s="127" t="n">
        <v>2025</v>
      </c>
      <c r="B5" s="132" t="inlineStr">
        <is>
          <t>Silver</t>
        </is>
      </c>
      <c r="C5" s="127" t="inlineStr">
        <is>
          <t>Dawai Reader</t>
        </is>
      </c>
      <c r="D5" s="127" t="inlineStr">
        <is>
          <t>Alkem Laboratories</t>
        </is>
      </c>
      <c r="E5" s="127" t="inlineStr">
        <is>
          <t>The Dawai Reader</t>
        </is>
      </c>
      <c r="F5" s="127" t="inlineStr">
        <is>
          <t>Lowe Lintas</t>
        </is>
      </c>
      <c r="G5" s="127" t="inlineStr">
        <is>
          <t>India</t>
        </is>
      </c>
      <c r="H5" s="113" t="inlineStr">
        <is>
          <t>Healthcare Product Innovation - Healthcare Professional Engagement</t>
        </is>
      </c>
      <c r="I5" s="128" t="inlineStr">
        <is>
          <t>https://ascentialcdn.filespin.io/api/v1/conversion/762f141aa6fc442dad023f1af28469d8</t>
        </is>
      </c>
      <c r="J5" s="127" t="inlineStr">
        <is>
          <t>8bisb8K-apg</t>
        </is>
      </c>
      <c r="K5" s="127" t="n"/>
      <c r="L5" s="128" t="inlineStr">
        <is>
          <t>https://www.lovethework.com/work/entries/dawai-reader-752957</t>
        </is>
      </c>
      <c r="M5" s="113" t="inlineStr">
        <is>
          <t>An AI-powered tool developed by Alkem Laboratories with Lowe Lintas and Doceree that photographs and decodes handwritten doctor's prescriptions, converting illegible script into readable medication instructions for patients in rural and remote regions of India. Designed to address the gap between a doctor's handwriting and a patient's ability to correctly follow a prescription — a problem particularly acute in areas with low health literacy and limited pharmacist access.</t>
        </is>
      </c>
      <c r="N5" s="113" t="inlineStr">
        <is>
          <t>healthcare, mobile-app, ai, technology, pharma, rural, india, prescription, healthcare-professional-engagement, patient-tool</t>
        </is>
      </c>
    </row>
    <row r="6">
      <c r="A6" s="127" t="n">
        <v>2025</v>
      </c>
      <c r="B6" s="132" t="inlineStr">
        <is>
          <t>Silver</t>
        </is>
      </c>
      <c r="C6" s="127" t="inlineStr">
        <is>
          <t>No More Hippocrites</t>
        </is>
      </c>
      <c r="D6" s="127" t="inlineStr">
        <is>
          <t>Wisp</t>
        </is>
      </c>
      <c r="E6" s="127" t="inlineStr">
        <is>
          <t>Sexual Healthcare</t>
        </is>
      </c>
      <c r="F6" s="127" t="inlineStr">
        <is>
          <t>Eversana Intouch</t>
        </is>
      </c>
      <c r="G6" s="127" t="inlineStr">
        <is>
          <t>United States</t>
        </is>
      </c>
      <c r="H6" s="113" t="inlineStr">
        <is>
          <t>Integrated - Healthcare Professional Engagement</t>
        </is>
      </c>
      <c r="I6" s="128" t="inlineStr">
        <is>
          <t>https://ascentialcdn.filespin.io/api/v1/conversion/823ab3c84f2544f5ba3ad5839f2d5e4b</t>
        </is>
      </c>
      <c r="J6" s="127" t="inlineStr">
        <is>
          <t>vimeo:1093833225</t>
        </is>
      </c>
      <c r="K6" s="127" t="n"/>
      <c r="L6" s="128" t="inlineStr">
        <is>
          <t>https://www.lovethework.com/work/entries/no-more-hippocrites-752770</t>
        </is>
      </c>
      <c r="M6" s="113" t="inlineStr">
        <is>
          <t>A campaign built around a deliberate misspelling — "Hippocrites" fusing "Hippocratic" and "hypocrites" — to spotlight the ethical bind U.S. physicians face when abortion restrictions force them to choose between the law and the Hippocratic oath. Created by EVERSANA INTOUCH for WISP, the sexual healthcare telehealth company, the work addresses healthcare professionals navigating the gap between their medical obligations and state-level legal constraints.</t>
        </is>
      </c>
      <c r="N6" s="113" t="inlineStr">
        <is>
          <t>sexual-healthcare, telehealth, healthcare-professional, integrated, wordplay, united-states, reproductive-health, hcp-engagement</t>
        </is>
      </c>
    </row>
    <row r="7">
      <c r="A7" s="127" t="n">
        <v>2025</v>
      </c>
      <c r="B7" s="133" t="inlineStr">
        <is>
          <t>Bronze</t>
        </is>
      </c>
      <c r="C7" s="127" t="inlineStr">
        <is>
          <t>Don't Stop Motion</t>
        </is>
      </c>
      <c r="D7" s="127" t="inlineStr">
        <is>
          <t>Cenabast</t>
        </is>
      </c>
      <c r="E7" s="127" t="inlineStr">
        <is>
          <t>Gobierno De Chile</t>
        </is>
      </c>
      <c r="F7" s="127" t="inlineStr">
        <is>
          <t>VML</t>
        </is>
      </c>
      <c r="G7" s="127" t="inlineStr">
        <is>
          <t>Chile</t>
        </is>
      </c>
      <c r="H7" s="113" t="inlineStr">
        <is>
          <t>Brand Experience &amp; Activation - Disease Awareness &amp; Understanding: Direct to Patient or Healthcare Professional</t>
        </is>
      </c>
      <c r="I7" s="128" t="inlineStr">
        <is>
          <t>https://ascentialcdn.filespin.io/api/v1/conversion/624a82c03eb34a1e8a6359e0f28b8b71</t>
        </is>
      </c>
      <c r="J7" s="127" t="inlineStr">
        <is>
          <t>vimeo:1186233105</t>
        </is>
      </c>
      <c r="K7" s="127" t="n"/>
      <c r="L7" s="128" t="inlineStr">
        <is>
          <t>https://www.lovethework.com/work/entries/dont-stop-motion-752912</t>
        </is>
      </c>
      <c r="M7" s="113" t="inlineStr">
        <is>
          <t>A stop-motion film co-created with rheumatoid arthritis patients for CENABAST, Chile's national medicine procurement and distribution body, in which patients' own movements and physical limitations shaped the animation technique — making the condition's characteristic stiffness and interrupted motion visible through the craft itself. The film was distributed directly to patients and healthcare professionals across Chile to build understanding of the disease's daily reality.</t>
        </is>
      </c>
      <c r="N7" s="113" t="inlineStr">
        <is>
          <t>government-health-agency, film, cinema, entertainment, stop-motion, disease-awareness, rheumatoid-arthritis, chile, patient-co-creation, healthcare-professional, pharma</t>
        </is>
      </c>
    </row>
    <row r="8">
      <c r="A8" s="127" t="n">
        <v>2025</v>
      </c>
      <c r="B8" s="133" t="inlineStr">
        <is>
          <t>Bronze</t>
        </is>
      </c>
      <c r="C8" s="127" t="inlineStr">
        <is>
          <t>Painvisible</t>
        </is>
      </c>
      <c r="D8" s="127" t="inlineStr">
        <is>
          <t>Aritium</t>
        </is>
      </c>
      <c r="E8" s="127" t="inlineStr">
        <is>
          <t>Painvisible</t>
        </is>
      </c>
      <c r="F8" s="127" t="inlineStr">
        <is>
          <t>VML</t>
        </is>
      </c>
      <c r="G8" s="127" t="inlineStr">
        <is>
          <t>Spain</t>
        </is>
      </c>
      <c r="H8" s="113" t="inlineStr">
        <is>
          <t>Mobile - Innovative Use of Technology: Patient or Healthcare Professional</t>
        </is>
      </c>
      <c r="I8" s="128" t="inlineStr">
        <is>
          <t>https://ascentialcdn.filespin.io/api/v1/conversion/36a5e9332fc143ed9a375ed95c71f5d7</t>
        </is>
      </c>
      <c r="J8" s="127" t="inlineStr">
        <is>
          <t>_BKTmzriqgs</t>
        </is>
      </c>
      <c r="K8" s="127" t="n"/>
      <c r="L8" s="128" t="inlineStr">
        <is>
          <t>https://www.lovethework.com/work/entries/painvisible-752908</t>
        </is>
      </c>
      <c r="M8" s="113" t="inlineStr">
        <is>
          <t>A medical diagnostic tool developed by Aritium and VML Madrid and VML New York that uses thermal imaging cameras and AI to produce an objective, quantified read of a patient's pain level — addressing the core clinical problem that pain self-reporting is impossible for non-verbal patients such as infants, people with dementia, or those under sedation. The system is currently deployed in hospitals across Spain, with rollout planned for Europe, Latin America, and the United States.</t>
        </is>
      </c>
      <c r="N8" s="113" t="inlineStr">
        <is>
          <t>medical-technology, product-innovation, ai, technology, thermal-imaging, healthcare, spain, non-verbal-patients, b2b, business</t>
        </is>
      </c>
    </row>
    <row r="9">
      <c r="A9" s="127" t="n">
        <v>2025</v>
      </c>
      <c r="B9" s="133" t="inlineStr">
        <is>
          <t>Bronze</t>
        </is>
      </c>
      <c r="C9" s="127" t="inlineStr">
        <is>
          <t>Scratched Out</t>
        </is>
      </c>
      <c r="D9" s="127" t="inlineStr">
        <is>
          <t>Patient Activation for Prurigo Nodularis</t>
        </is>
      </c>
      <c r="E9" s="127" t="inlineStr">
        <is>
          <t>Sanofi</t>
        </is>
      </c>
      <c r="F9" s="127" t="inlineStr">
        <is>
          <t>Havas Lynx</t>
        </is>
      </c>
      <c r="G9" s="127" t="inlineStr">
        <is>
          <t>United Kingdom</t>
        </is>
      </c>
      <c r="H9" s="113" t="inlineStr">
        <is>
          <t>Film Craft: Animation/Visual Effects - Product or Service Promotion: Direct to Patient</t>
        </is>
      </c>
      <c r="I9" s="127" t="inlineStr">
        <is>
          <t>digital-presentation-images/pharma-patient-activation-for-prurigo-nodularis-scratched-out.webp</t>
        </is>
      </c>
      <c r="J9" s="127" t="inlineStr">
        <is>
          <t>mp4:videos/scratched_out.mp4</t>
        </is>
      </c>
      <c r="K9" s="127" t="n"/>
      <c r="L9" s="128" t="inlineStr">
        <is>
          <t>https://www.lovethework.com/work/entries/scratched-out-752900</t>
        </is>
      </c>
      <c r="M9" s="113" t="inlineStr">
        <is>
          <t>A film about prurigo nodularis in which over 3,900 frames were hand-scratched — using fingernails, scalpels, and sandpaper at calibrated intensities — so that the patient protagonist appears to dissolve out of her own life, present but erased. The scratch scale was developed in consultation with PN patients, whose accounts of the condition's emotional toll shaped the story.</t>
        </is>
      </c>
      <c r="N9" s="113" t="inlineStr">
        <is>
          <t>pharma, film, cinema, entertainment, visual-effects, hand-craft, patient-activation, rare-disease, united-kingdom, direct-to-patient, typography</t>
        </is>
      </c>
    </row>
    <row r="10">
      <c r="A10" s="127" t="n">
        <v>2025</v>
      </c>
      <c r="B10" s="133" t="inlineStr">
        <is>
          <t>Bronze</t>
        </is>
      </c>
      <c r="C10" s="127" t="inlineStr">
        <is>
          <t>Pick Up Your Poop</t>
        </is>
      </c>
      <c r="D10" s="127" t="inlineStr">
        <is>
          <t>Cologuard</t>
        </is>
      </c>
      <c r="E10" s="127" t="inlineStr">
        <is>
          <t>Cologuard</t>
        </is>
      </c>
      <c r="F10" s="127" t="inlineStr">
        <is>
          <t>The Community</t>
        </is>
      </c>
      <c r="G10" s="127" t="inlineStr">
        <is>
          <t>United States</t>
        </is>
      </c>
      <c r="H10" s="113" t="inlineStr">
        <is>
          <t>Use of Technology - Branded Product or Service Promotion</t>
        </is>
      </c>
      <c r="I10" s="128" t="inlineStr">
        <is>
          <t>https://ascentialcdn.filespin.io/api/v1/conversion/cd58f44ccf4c418a98a0074ed522d7d6</t>
        </is>
      </c>
      <c r="J10" s="127" t="inlineStr">
        <is>
          <t>vimeo:1093348412</t>
        </is>
      </c>
      <c r="K10" s="127" t="n"/>
      <c r="L10" s="128" t="inlineStr">
        <is>
          <t>https://www.lovethework.com/work/entries/pick-up-your-poop-764312</t>
        </is>
      </c>
      <c r="M10" s="113" t="inlineStr">
        <is>
          <t>A public health campaign built around the behavioral overlap between walking a dog and taking the Cologuard at-home colon cancer screening test — both require collecting a stool sample. Created by The Community for Exact Sciences in partnership with F Cancer, the campaign used dog owners' existing habit as a low-barrier, humor-forward entry point to prompt colorectal cancer screening, a disease that kills around 53,000 people in the U.S. each year.</t>
        </is>
      </c>
      <c r="N10" s="113" t="inlineStr">
        <is>
          <t>at-home-screening, pharma, colorectal-cancer, health, social, united-states, humor, public-health</t>
        </is>
      </c>
    </row>
    <row r="11">
      <c r="A11" s="127" t="n">
        <v>2026</v>
      </c>
      <c r="B11" s="139" t="inlineStr">
        <is>
          <t>Grand Prix</t>
        </is>
      </c>
      <c r="C11" s="127" t="inlineStr">
        <is>
          <t>Relax Your Tight End</t>
        </is>
      </c>
      <c r="D11" s="127" t="inlineStr">
        <is>
          <t>Novartis</t>
        </is>
      </c>
      <c r="E11" s="127" t="inlineStr">
        <is>
          <t>Novartis</t>
        </is>
      </c>
      <c r="F11" s="127" t="inlineStr">
        <is>
          <t>Fallon</t>
        </is>
      </c>
      <c r="G11" s="127" t="inlineStr">
        <is>
          <t>United States</t>
        </is>
      </c>
      <c r="H11" s="113" t="inlineStr">
        <is>
          <t>Unbranded Product or Service Promotion</t>
        </is>
      </c>
      <c r="I11" s="127" t="inlineStr">
        <is>
          <t>https://ascentialcdn.filespin.io/api/v1/conversion/03d9e7c723cb479a97306c85d6f0c38d</t>
        </is>
      </c>
      <c r="J11" s="127" t="inlineStr">
        <is>
          <t>CV7KcrlJwk8</t>
        </is>
      </c>
      <c r="K11" s="127" t="n"/>
      <c r="L11" s="128" t="inlineStr">
        <is>
          <t>https://www.lovethework.com/work/entries/relax-your-tight-end-793212</t>
        </is>
      </c>
      <c r="M11" s="113" t="inlineStr">
        <is>
          <t>A prostate-cancer screening awareness campaign fronted by NFL tight ends. A Super Bowl spot set to Enya's "Only Time" shows current and former tight ends — Rob Gronkowski, George Kittle and others — relaxing in absurdly serene ways (floating in a pool, doing yoga, getting their hair brushed), with prostate-cancer survivor and Super Bowl-winning coach Bruce Arians delivering the call to get a PSA blood test. The pun reframes an uncomfortable exam into a disarming message about early detection.</t>
        </is>
      </c>
      <c r="N11" s="113" t="inlineStr">
        <is>
          <t>novartis, prostate cancer, cancer, healthcare, medical, cancer-screening, mens-health, health, awareness, nfl, american-football, sports, super-bowl, fallon, united states</t>
        </is>
      </c>
    </row>
    <row r="12">
      <c r="A12" s="127" t="n">
        <v>2026</v>
      </c>
      <c r="B12" s="140" t="inlineStr">
        <is>
          <t>Gold</t>
        </is>
      </c>
      <c r="C12" s="127" t="inlineStr">
        <is>
          <t>Viagra Blue Brands</t>
        </is>
      </c>
      <c r="D12" s="127" t="inlineStr">
        <is>
          <t>Viatris</t>
        </is>
      </c>
      <c r="E12" s="127" t="inlineStr">
        <is>
          <t>Viagra</t>
        </is>
      </c>
      <c r="F12" s="127" t="inlineStr">
        <is>
          <t>Ogilvy</t>
        </is>
      </c>
      <c r="G12" s="127" t="inlineStr">
        <is>
          <t>China</t>
        </is>
      </c>
      <c r="H12" s="113" t="inlineStr">
        <is>
          <t>Branded Product or Service Promotion</t>
        </is>
      </c>
      <c r="I12" s="128" t="inlineStr">
        <is>
          <t>https://ascentialcdn.filespin.io/api/v1/conversion/ad04eccabe394a7d81f69e6aa652f12a</t>
        </is>
      </c>
      <c r="J12" s="127" t="inlineStr">
        <is>
          <t>vimeo:1203387960</t>
        </is>
      </c>
      <c r="K12" s="127" t="n"/>
      <c r="L12" s="128" t="inlineStr">
        <is>
          <t>https://www.lovethework.com/work/entries/viagra-blue-brands-789941</t>
        </is>
      </c>
      <c r="M12" s="113" t="inlineStr">
        <is>
          <t>An integrated campaign that turns Viagra's instantly recognizable blue diamond into a visual language, keeping the brand culturally present in China, where direct-to-consumer drug advertising is banned and conversations about sex stay sensitive. Rather than name the product, the work leans on the iconic blue shape and color to open tasteful conversation about intimacy within strict regulatory limits.</t>
        </is>
      </c>
      <c r="N12" s="113" t="inlineStr">
        <is>
          <t>viatris, viagra, erectile-dysfunction, mens-health, sexual-health, healthcare, medical, intimacy, branding, brand-identity, blue, china, ogilvy</t>
        </is>
      </c>
    </row>
    <row r="13">
      <c r="A13" s="127" t="n">
        <v>2026</v>
      </c>
      <c r="B13" s="132" t="inlineStr">
        <is>
          <t>Silver</t>
        </is>
      </c>
      <c r="C13" s="127" t="inlineStr">
        <is>
          <t>Relax Your Tight End</t>
        </is>
      </c>
      <c r="D13" s="127" t="inlineStr">
        <is>
          <t>Novartis</t>
        </is>
      </c>
      <c r="E13" s="127" t="inlineStr">
        <is>
          <t>Novartis</t>
        </is>
      </c>
      <c r="F13" s="127" t="inlineStr">
        <is>
          <t>Fallon</t>
        </is>
      </c>
      <c r="G13" s="127" t="inlineStr">
        <is>
          <t>United States</t>
        </is>
      </c>
      <c r="H13" s="113" t="inlineStr">
        <is>
          <t>Unbranded Product or Service Promotion</t>
        </is>
      </c>
      <c r="I13" s="128" t="inlineStr">
        <is>
          <t>https://ascentialcdn.filespin.io/api/v1/storyboard/1270185c96ca4527b7595bc26f4e1a62/storyboard_000008.jpg</t>
        </is>
      </c>
      <c r="J13" s="127" t="inlineStr">
        <is>
          <t>CV7KcrlJwk8</t>
        </is>
      </c>
      <c r="K13" s="127" t="n"/>
      <c r="L13" s="128" t="inlineStr">
        <is>
          <t>https://www.lovethework.com/work/entries/relax-your-tight-end-793214</t>
        </is>
      </c>
      <c r="M13" s="113" t="inlineStr">
        <is>
          <t>A prostate-cancer screening awareness campaign fronted by NFL tight ends. A Super Bowl spot set to Enya's "Only Time" shows current and former tight ends — Rob Gronkowski, George Kittle and others — relaxing in absurdly serene ways (floating in a pool, doing yoga, getting their hair brushed), with prostate-cancer survivor and Super Bowl-winning coach Bruce Arians delivering the call to get a PSA blood test. The pun reframes an uncomfortable exam into a disarming message about early detection.</t>
        </is>
      </c>
      <c r="N13" s="113" t="inlineStr">
        <is>
          <t>novartis, prostate cancer, cancer, healthcare, medical, cancer-screening, mens-health, health, awareness, nfl, american-football, sports, super-bowl, fallon, united states</t>
        </is>
      </c>
    </row>
    <row r="14">
      <c r="A14" s="127" t="n">
        <v>2026</v>
      </c>
      <c r="B14" s="132" t="inlineStr">
        <is>
          <t>Silver</t>
        </is>
      </c>
      <c r="C14" s="127" t="inlineStr">
        <is>
          <t>The Safe Pack</t>
        </is>
      </c>
      <c r="D14" s="127" t="inlineStr">
        <is>
          <t>Tupharma 365</t>
        </is>
      </c>
      <c r="E14" s="127" t="inlineStr">
        <is>
          <t>The Safe Pack</t>
        </is>
      </c>
      <c r="F14" s="127" t="inlineStr">
        <is>
          <t>VML</t>
        </is>
      </c>
      <c r="G14" s="127" t="inlineStr">
        <is>
          <t>Spain</t>
        </is>
      </c>
      <c r="H14" s="113" t="inlineStr">
        <is>
          <t>Disease Awareness &amp; Understanding: Direct to Patient or Healthcare Professional</t>
        </is>
      </c>
      <c r="I14" s="128" t="inlineStr">
        <is>
          <t>https://ascentialcdn.filespin.io/api/v1/conversion/20e9a9a85f2b409aa946b9055115d67a</t>
        </is>
      </c>
      <c r="J14" s="127" t="inlineStr">
        <is>
          <t>mp4:videos/pharma-tupharma-365-the-safe-pack.mp4</t>
        </is>
      </c>
      <c r="K14" s="127" t="n"/>
      <c r="L14" s="128" t="inlineStr">
        <is>
          <t>https://www.lovethework.com/work/entries/the-safe-pack-789905</t>
        </is>
      </c>
      <c r="M14" s="113" t="inlineStr">
        <is>
          <t>Adaptable sleeves that slip over medication boxes, redesigning them with oversized typography, high-contrast color coding and simplified icons so older adults can tell visually similar medicines apart and avoid dangerous mix-ups.</t>
        </is>
      </c>
      <c r="N14" s="113" t="inlineStr">
        <is>
          <t>tupharma, medication-safety, packaging, pack-design, elderly, seniors, accessibility, health-literacy, design, vml, spain</t>
        </is>
      </c>
    </row>
    <row r="15">
      <c r="A15" s="127" t="n">
        <v>2026</v>
      </c>
      <c r="B15" s="133" t="inlineStr">
        <is>
          <t>Bronze</t>
        </is>
      </c>
      <c r="C15" s="127" t="inlineStr">
        <is>
          <t>Animal Attraction</t>
        </is>
      </c>
      <c r="D15" s="127" t="inlineStr">
        <is>
          <t>Gilead Sciences Canada</t>
        </is>
      </c>
      <c r="E15" s="127" t="inlineStr">
        <is>
          <t>Descovy</t>
        </is>
      </c>
      <c r="F15" s="127" t="inlineStr">
        <is>
          <t>The Local Collective</t>
        </is>
      </c>
      <c r="G15" s="127" t="inlineStr">
        <is>
          <t>Canada</t>
        </is>
      </c>
      <c r="H15" s="113" t="inlineStr">
        <is>
          <t>Branded Product or Service Promotion</t>
        </is>
      </c>
      <c r="I15" s="128" t="inlineStr">
        <is>
          <t>https://ascentialcdn.filespin.io/api/v1/conversion/71963d1e696f45cda2aa89e771028dca</t>
        </is>
      </c>
      <c r="J15" s="127" t="inlineStr">
        <is>
          <t>mp4:videos/pharma-gilead-sciences-canada-animal-attraction.mp4</t>
        </is>
      </c>
      <c r="K15" s="127" t="n"/>
      <c r="L15" s="128" t="inlineStr">
        <is>
          <t>https://www.lovethework.com/work/entries/animal-attraction-776481</t>
        </is>
      </c>
      <c r="M15" s="113" t="inlineStr">
        <is>
          <t>A campaign for the HIV-prevention drug Descovy (PrEP) built around gay-community body-type slang — "bear," "otter," "wolf" — reimagined as illustrated animal characters shown in affectionate pairings under the line "It's Wild Out There." Instead of a clinical pitch, the work frames PrEP around freedom, safety and choice in the language of the community it serves.</t>
        </is>
      </c>
      <c r="N15" s="113" t="inlineStr">
        <is>
          <t>gilead, descovy, hiv, prep, hiv-prevention, sexual-health, healthcare, medical, lgbtq, gay, illustration, animals, humour, the local collective, canada</t>
        </is>
      </c>
    </row>
    <row r="16">
      <c r="A16" s="127" t="n">
        <v>2026</v>
      </c>
      <c r="B16" s="133" t="inlineStr">
        <is>
          <t>Bronze</t>
        </is>
      </c>
      <c r="C16" s="127" t="inlineStr">
        <is>
          <t>Sawaal Uthao</t>
        </is>
      </c>
      <c r="D16" s="127" t="inlineStr">
        <is>
          <t>Tata 1mg</t>
        </is>
      </c>
      <c r="E16" s="127" t="inlineStr">
        <is>
          <t>Medicines</t>
        </is>
      </c>
      <c r="F16" s="127" t="inlineStr">
        <is>
          <t>Humour Me</t>
        </is>
      </c>
      <c r="G16" s="127" t="inlineStr">
        <is>
          <t>India</t>
        </is>
      </c>
      <c r="H16" s="113" t="inlineStr">
        <is>
          <t>Disease Awareness &amp; Understanding: Direct to Patient or Healthcare Professional</t>
        </is>
      </c>
      <c r="I16" s="128" t="inlineStr">
        <is>
          <t>https://ascentialcdn.filespin.io/api/v1/conversion/50ed8be491a9458ea2071f650f63192b</t>
        </is>
      </c>
      <c r="J16" s="127" t="inlineStr">
        <is>
          <t>mp4:videos/pharma-tata-1mg-sawaal-uthao.mp4</t>
        </is>
      </c>
      <c r="K16" s="127" t="n"/>
      <c r="L16" s="128" t="inlineStr">
        <is>
          <t>https://www.lovethework.com/work/entries/sawaal-uthao-776535</t>
        </is>
      </c>
      <c r="M16" s="113" t="inlineStr">
        <is>
          <t>A campaign tackling counterfeit medicine by prompting consumers to ask one question — "Is my medicine genuine?" — and answer it with Tata 1mg's Track &amp; Trace QR codes printed on every medicine strip, which reveal a drug's full journey from sourcing to delivery when scanned in the app.</t>
        </is>
      </c>
      <c r="N16" s="113" t="inlineStr">
        <is>
          <t>tata 1mg, counterfeit-medicine, medicine-authentication, patient-safety, qr-code, track-and-trace, technology, india, humour me</t>
        </is>
      </c>
    </row>
    <row r="17">
      <c r="A17" s="127" t="n">
        <v>2026</v>
      </c>
      <c r="B17" s="133" t="inlineStr">
        <is>
          <t>Bronze</t>
        </is>
      </c>
      <c r="C17" s="127" t="inlineStr">
        <is>
          <t>See a Seizure</t>
        </is>
      </c>
      <c r="D17" s="127" t="inlineStr">
        <is>
          <t>Jazz Pharmaceuticals</t>
        </is>
      </c>
      <c r="E17" s="127" t="inlineStr">
        <is>
          <t>See a Seizure</t>
        </is>
      </c>
      <c r="F17" s="127" t="inlineStr">
        <is>
          <t>21Grams</t>
        </is>
      </c>
      <c r="G17" s="127" t="inlineStr">
        <is>
          <t>United States</t>
        </is>
      </c>
      <c r="H17" s="113" t="inlineStr">
        <is>
          <t>Healthcare Professional Engagement</t>
        </is>
      </c>
      <c r="I17" s="128" t="inlineStr">
        <is>
          <t>https://ascentialcdn.filespin.io/api/v1/conversion/6edc2c230fa34a56950fb42ad19e77a9</t>
        </is>
      </c>
      <c r="J17" s="127" t="inlineStr"/>
      <c r="K17" s="127" t="n"/>
      <c r="L17" s="128" t="inlineStr">
        <is>
          <t>https://www.lovethework.com/work/entries/see-a-seizure-789598</t>
        </is>
      </c>
      <c r="M17" s="113" t="inlineStr">
        <is>
          <t>An interactive training program that uses realistic simulations to teach healthcare and care workers how seizures actually present in the real world — built especially for staff supporting people with intellectual and developmental disabilities, whose seizures are easily missed or mistaken for behavioral issues.</t>
        </is>
      </c>
      <c r="N17" s="113" t="inlineStr">
        <is>
          <t>jazz pharmaceuticals, epilepsy, seizure, neurology, healthcare-professional, medical-training, simulation, disability, idd, 21grams, united states</t>
        </is>
      </c>
    </row>
  </sheetData>
  <autoFilter ref="A1:N10"/>
  <hyperlinks>
    <hyperlink xmlns:r="http://schemas.openxmlformats.org/officeDocument/2006/relationships" ref="L2" r:id="rId1"/>
    <hyperlink xmlns:r="http://schemas.openxmlformats.org/officeDocument/2006/relationships" ref="I3" r:id="rId2"/>
    <hyperlink xmlns:r="http://schemas.openxmlformats.org/officeDocument/2006/relationships" ref="L3" r:id="rId3"/>
    <hyperlink xmlns:r="http://schemas.openxmlformats.org/officeDocument/2006/relationships" ref="I4" r:id="rId4"/>
    <hyperlink xmlns:r="http://schemas.openxmlformats.org/officeDocument/2006/relationships" ref="L4" r:id="rId5"/>
    <hyperlink xmlns:r="http://schemas.openxmlformats.org/officeDocument/2006/relationships" ref="I5" r:id="rId6"/>
    <hyperlink xmlns:r="http://schemas.openxmlformats.org/officeDocument/2006/relationships" ref="L5" r:id="rId7"/>
    <hyperlink xmlns:r="http://schemas.openxmlformats.org/officeDocument/2006/relationships" ref="I6" r:id="rId8"/>
    <hyperlink xmlns:r="http://schemas.openxmlformats.org/officeDocument/2006/relationships" ref="L6" r:id="rId9"/>
    <hyperlink xmlns:r="http://schemas.openxmlformats.org/officeDocument/2006/relationships" ref="I7" r:id="rId10"/>
    <hyperlink xmlns:r="http://schemas.openxmlformats.org/officeDocument/2006/relationships" ref="L7" r:id="rId11"/>
    <hyperlink xmlns:r="http://schemas.openxmlformats.org/officeDocument/2006/relationships" ref="I8" r:id="rId12"/>
    <hyperlink xmlns:r="http://schemas.openxmlformats.org/officeDocument/2006/relationships" ref="L8" r:id="rId13"/>
    <hyperlink xmlns:r="http://schemas.openxmlformats.org/officeDocument/2006/relationships" ref="L9" r:id="rId14"/>
    <hyperlink xmlns:r="http://schemas.openxmlformats.org/officeDocument/2006/relationships" ref="I10" r:id="rId15"/>
    <hyperlink xmlns:r="http://schemas.openxmlformats.org/officeDocument/2006/relationships" ref="L10" r:id="rId16"/>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N32"/>
  <sheetViews>
    <sheetView workbookViewId="0">
      <pane ySplit="1" topLeftCell="A2" activePane="bottomLeft" state="frozen"/>
      <selection pane="bottomLeft" activeCell="A1" sqref="A1"/>
    </sheetView>
  </sheetViews>
  <sheetFormatPr baseColWidth="8" defaultRowHeight="15"/>
  <cols>
    <col width="6" customWidth="1" style="34" min="1" max="1"/>
    <col width="16" customWidth="1" style="34" min="2" max="2"/>
    <col width="34" customWidth="1" style="34" min="3" max="3"/>
    <col width="22" customWidth="1" style="34" min="4" max="4"/>
    <col width="26" customWidth="1" style="34" min="5" max="5"/>
    <col width="28" customWidth="1" style="34" min="6" max="6"/>
    <col width="16" customWidth="1" style="34" min="7" max="7"/>
    <col width="34" customWidth="1" style="34" min="8" max="8"/>
    <col width="18" customWidth="1" style="34" min="9" max="9"/>
    <col width="16" customWidth="1" style="34" min="10" max="10"/>
    <col width="22" customWidth="1" style="34" min="11" max="11"/>
    <col hidden="1" width="20" customWidth="1" style="34" min="12" max="12"/>
    <col width="60" customWidth="1" style="34" min="13" max="13"/>
    <col width="40" customWidth="1" style="34" min="14" max="14"/>
  </cols>
  <sheetData>
    <row r="1" ht="22" customHeight="1" s="34">
      <c r="A1" s="122" t="inlineStr">
        <is>
          <t>Year</t>
        </is>
      </c>
      <c r="B1" s="122" t="inlineStr">
        <is>
          <t>Tier</t>
        </is>
      </c>
      <c r="C1" s="122" t="inlineStr">
        <is>
          <t>Campaign</t>
        </is>
      </c>
      <c r="D1" s="122" t="inlineStr">
        <is>
          <t>Brand</t>
        </is>
      </c>
      <c r="E1" s="122" t="inlineStr">
        <is>
          <t>Product/Service</t>
        </is>
      </c>
      <c r="F1" s="122" t="inlineStr">
        <is>
          <t>Agency</t>
        </is>
      </c>
      <c r="G1" s="122" t="inlineStr">
        <is>
          <t>Country</t>
        </is>
      </c>
      <c r="H1" s="122" t="inlineStr">
        <is>
          <t>Subcategory</t>
        </is>
      </c>
      <c r="I1" s="122" t="inlineStr">
        <is>
          <t>Image URL</t>
        </is>
      </c>
      <c r="J1" s="122" t="inlineStr">
        <is>
          <t>YouTube ID</t>
        </is>
      </c>
      <c r="K1" s="122" t="inlineStr">
        <is>
          <t>Campaign Group</t>
        </is>
      </c>
      <c r="L1" s="122" t="inlineStr">
        <is>
          <t>Entry URL</t>
        </is>
      </c>
      <c r="M1" s="122" t="inlineStr">
        <is>
          <t>Description</t>
        </is>
      </c>
      <c r="N1" s="122" t="inlineStr">
        <is>
          <t>Keywords</t>
        </is>
      </c>
    </row>
    <row r="2">
      <c r="A2" s="127" t="n">
        <v>2025</v>
      </c>
      <c r="B2" s="139" t="inlineStr">
        <is>
          <t>Grand Prix</t>
        </is>
      </c>
      <c r="C2" s="127" t="inlineStr">
        <is>
          <t>Shot on iPhone</t>
        </is>
      </c>
      <c r="D2" s="127" t="inlineStr">
        <is>
          <t>Apple</t>
        </is>
      </c>
      <c r="E2" s="127" t="inlineStr">
        <is>
          <t>iPhone</t>
        </is>
      </c>
      <c r="F2" s="127" t="inlineStr">
        <is>
          <t>TBWA\Media Arts Lab</t>
        </is>
      </c>
      <c r="G2" s="127" t="inlineStr">
        <is>
          <t>United States</t>
        </is>
      </c>
      <c r="H2" s="113" t="inlineStr">
        <is>
          <t>Long-Term Brand Platform</t>
        </is>
      </c>
      <c r="I2" s="128" t="inlineStr">
        <is>
          <t>https://ascentialcdn.filespin.io/api/v1/conversion/c125657ef0f84557825eba78ef7e3d63</t>
        </is>
      </c>
      <c r="J2" s="127" t="inlineStr">
        <is>
          <t>S74jad3ZmUY</t>
        </is>
      </c>
      <c r="K2" s="127" t="n"/>
      <c r="L2" s="128" t="inlineStr">
        <is>
          <t>https://www.lovethework.com/work/entries/shot-on-iphone-765239</t>
        </is>
      </c>
      <c r="M2" s="113" t="inlineStr">
        <is>
          <t>A long-running OOH and media platform launched in 2015 to showcase the iPhone 6's camera, built entirely from photographs taken by real iPhone users — displayed on billboards, in print, and across digital surfaces worldwide without traditional art direction or studio production. TBWA\Media Arts Lab's central mechanic is the premise that the product demo is also the creative canvas: every execution is the output of the device being sold, sourced from the global user base rather than commissioned photographers.</t>
        </is>
      </c>
      <c r="N2" s="113" t="inlineStr">
        <is>
          <t>iphone, smartphone, ooh, long-term-platform, ugc, photography, united-states, brand-platform</t>
        </is>
      </c>
    </row>
    <row r="3">
      <c r="A3" s="127" t="n">
        <v>2025</v>
      </c>
      <c r="B3" s="140" t="inlineStr">
        <is>
          <t>Gold</t>
        </is>
      </c>
      <c r="C3" s="127" t="inlineStr">
        <is>
          <t>The Everyday Tactician: How Getting a Football Club Promoted Helped Xbox Take a Step Closer to the Future of Gaming</t>
        </is>
      </c>
      <c r="D3" s="127" t="inlineStr">
        <is>
          <t>Xbox</t>
        </is>
      </c>
      <c r="E3" s="127" t="inlineStr">
        <is>
          <t>Xbox Game Pass</t>
        </is>
      </c>
      <c r="F3" s="127" t="inlineStr">
        <is>
          <t>McCANN</t>
        </is>
      </c>
      <c r="G3" s="127" t="inlineStr">
        <is>
          <t>United Kingdom</t>
        </is>
      </c>
      <c r="H3" s="113" t="inlineStr">
        <is>
          <t>Launch</t>
        </is>
      </c>
      <c r="I3" s="128" t="inlineStr">
        <is>
          <t>https://ascentialcdn.filespin.io/api/v1/conversion/7c2d069dafe1485c9e355a842cdb238d</t>
        </is>
      </c>
      <c r="J3" s="127" t="inlineStr">
        <is>
          <t>Kb3nqqwihz0</t>
        </is>
      </c>
      <c r="K3" s="127" t="n"/>
      <c r="L3" s="128" t="inlineStr">
        <is>
          <t>https://www.lovethework.com/work/entries/the-everyday-tactician-how-getting-a-football-club-promoted-helped-xbox-take-a-step-closer-to-the-future-of-gaming-764812</t>
        </is>
      </c>
      <c r="M3" s="113" t="inlineStr">
        <is>
          <t>A real Football Manager player recruited by Xbox and McCann London to serve as a tactical analyst for Bromley FC — an actual English Football League club — using Xbox Game Pass as his primary tool. The partnership ran across a full competitive season, with the fan's in-game analysis feeding into real matchday decisions as Bromley won promotion.</t>
        </is>
      </c>
      <c r="N3" s="113" t="inlineStr">
        <is>
          <t>xbox-game-pass, gaming, video-games, entertainment, football, soccer, sport, experiential, branded-partnership, united-kingdom, launch, sports</t>
        </is>
      </c>
    </row>
    <row r="4">
      <c r="A4" s="127" t="n">
        <v>2025</v>
      </c>
      <c r="B4" s="140" t="inlineStr">
        <is>
          <t>Gold</t>
        </is>
      </c>
      <c r="C4" s="127" t="inlineStr">
        <is>
          <t>Don't Drink Hertog Jan</t>
        </is>
      </c>
      <c r="D4" s="127" t="inlineStr">
        <is>
          <t>Hertog Jan</t>
        </is>
      </c>
      <c r="E4" s="127" t="inlineStr">
        <is>
          <t>Hertog Jan</t>
        </is>
      </c>
      <c r="F4" s="127" t="inlineStr">
        <is>
          <t>Gut</t>
        </is>
      </c>
      <c r="G4" s="127" t="inlineStr">
        <is>
          <t>Netherlands</t>
        </is>
      </c>
      <c r="H4" s="113" t="inlineStr">
        <is>
          <t>Single Market</t>
        </is>
      </c>
      <c r="I4" s="127" t="inlineStr">
        <is>
          <t>digital-presentation-images/creative-effectiveness-hertog-jan-dont-drink-hertog-jan.webp</t>
        </is>
      </c>
      <c r="J4" s="127" t="inlineStr">
        <is>
          <t>pn80885I5OY</t>
        </is>
      </c>
      <c r="K4" s="127" t="n"/>
      <c r="L4" s="128" t="inlineStr">
        <is>
          <t>https://www.lovethework.com/work/entries/dont-drink-hertog-jan-761647</t>
        </is>
      </c>
      <c r="M4" s="113" t="inlineStr">
        <is>
          <t>A mobile app built by GUT Amsterdam that lets beer buyers remotely reserve a digitally-owned aging slot in one of 30,000 spaces under Hertog Jan's brewery — or set up a guided aging room at home — and then leave the bottle untouched for up to six years. Each season, the master brewer sends personalized updates tracking how that specific bottle is evolving, turning a purchase into a multi-year wait. The campaign positioned a small Dutch countryside brewery directly against Heineken by inverting the category's core call to action: don't drink it.</t>
        </is>
      </c>
      <c r="N4" s="113" t="inlineStr">
        <is>
          <t>beer, alcohol, mobile-app, aging-program, direct, netherlands, experiential, personalization, gut-amsterdam</t>
        </is>
      </c>
    </row>
    <row r="5">
      <c r="A5" s="127" t="n">
        <v>2025</v>
      </c>
      <c r="B5" s="140" t="inlineStr">
        <is>
          <t>Gold</t>
        </is>
      </c>
      <c r="C5" s="127" t="inlineStr">
        <is>
          <t>The Misheard Version</t>
        </is>
      </c>
      <c r="D5" s="127" t="inlineStr">
        <is>
          <t>Specsavers</t>
        </is>
      </c>
      <c r="E5" s="127" t="inlineStr">
        <is>
          <t>Audiology</t>
        </is>
      </c>
      <c r="F5" s="127" t="inlineStr">
        <is>
          <t>Golin</t>
        </is>
      </c>
      <c r="G5" s="127" t="inlineStr">
        <is>
          <t>United Kingdom</t>
        </is>
      </c>
      <c r="H5" s="113" t="inlineStr">
        <is>
          <t>Acquisition</t>
        </is>
      </c>
      <c r="I5" s="128" t="inlineStr">
        <is>
          <t>https://ascentialcdn.filespin.io/api/v1/conversion/907772d8708748d5b4087c68c1b6fdf9</t>
        </is>
      </c>
      <c r="J5" s="127" t="inlineStr">
        <is>
          <t>EgNb0LQxm84</t>
        </is>
      </c>
      <c r="K5" s="127" t="n"/>
      <c r="L5" s="128" t="inlineStr">
        <is>
          <t>https://www.lovethework.com/work/entries/the-misheard-version-751965</t>
        </is>
      </c>
      <c r="M5" s="113" t="inlineStr">
        <is>
          <t>A re-recorded version of Rick Astley's "Never Gonna Give You Up" in which every famously misheard lyric is replaced with what listeners actually thought they heard — released by Specsavers and Golin as a Rick-Roll to start a national conversation about hearing loss. The track was distributed as a genuine music release across streaming platforms in the United Kingdom.</t>
        </is>
      </c>
      <c r="N5" s="113" t="inlineStr">
        <is>
          <t>audiology, music, entertainment, public-relations, hearing-health, united-kingdom, audio, acquisition, content</t>
        </is>
      </c>
    </row>
    <row r="6">
      <c r="A6" s="127" t="n">
        <v>2025</v>
      </c>
      <c r="B6" s="132" t="inlineStr">
        <is>
          <t>Silver</t>
        </is>
      </c>
      <c r="C6" s="127" t="inlineStr">
        <is>
          <t>Samsung Throwback Deals</t>
        </is>
      </c>
      <c r="D6" s="127" t="inlineStr">
        <is>
          <t>Samsung Brazil</t>
        </is>
      </c>
      <c r="E6" s="127" t="inlineStr">
        <is>
          <t>E-Commerce</t>
        </is>
      </c>
      <c r="F6" s="127" t="inlineStr">
        <is>
          <t>MRM</t>
        </is>
      </c>
      <c r="G6" s="127" t="inlineStr">
        <is>
          <t>Brazil</t>
        </is>
      </c>
      <c r="H6" s="113" t="inlineStr">
        <is>
          <t>Breakthrough on a Budget</t>
        </is>
      </c>
      <c r="I6" s="128" t="inlineStr">
        <is>
          <t>https://ascentialcdn.filespin.io/api/v1/conversion/f046264282904c7b9cf6f37b69173ec2</t>
        </is>
      </c>
      <c r="J6" s="127" t="inlineStr">
        <is>
          <t>dlY3UOVF9OU</t>
        </is>
      </c>
      <c r="K6" s="127" t="n"/>
      <c r="L6" s="128" t="inlineStr">
        <is>
          <t>https://www.lovethework.com/work/entries/samsung-throwback-deals-752109</t>
        </is>
      </c>
      <c r="M6" s="113" t="inlineStr">
        <is>
          <t>An e-commerce promotion by Samsung Brazil that priced current products at the historic lower prices they sold for in previous years — turning the passage of time into a discount mechanic. Shoppers could claim deals based on what a device actually cost when it first launched, surfacing the gap between an older price point and today's catalog.</t>
        </is>
      </c>
      <c r="N6" s="113" t="inlineStr">
        <is>
          <t>e-commerce, retail, consumer-electronics, promotion, brazil, budget-campaign, pricing-mechanic</t>
        </is>
      </c>
    </row>
    <row r="7">
      <c r="A7" s="127" t="n">
        <v>2025</v>
      </c>
      <c r="B7" s="132" t="inlineStr">
        <is>
          <t>Silver</t>
        </is>
      </c>
      <c r="C7" s="127" t="inlineStr">
        <is>
          <t>Real Beauty: How a Soap Brand Created a Global Self-Esteem Movement</t>
        </is>
      </c>
      <c r="D7" s="127" t="inlineStr">
        <is>
          <t>Dove</t>
        </is>
      </c>
      <c r="E7" s="127" t="inlineStr">
        <is>
          <t>Dove</t>
        </is>
      </c>
      <c r="F7" s="127" t="inlineStr">
        <is>
          <t>Ogilvy UK</t>
        </is>
      </c>
      <c r="G7" s="127" t="inlineStr">
        <is>
          <t>United Kingdom</t>
        </is>
      </c>
      <c r="H7" s="113" t="inlineStr">
        <is>
          <t>Long-Term Brand Platform</t>
        </is>
      </c>
      <c r="I7" s="128" t="inlineStr">
        <is>
          <t>https://ascentialcdn.filespin.io/api/v1/conversion/1c2573f5cf2c4b78af5a4b42f75ac2c2</t>
        </is>
      </c>
      <c r="J7" s="127" t="inlineStr">
        <is>
          <t>puQ0PNZ1W-A</t>
        </is>
      </c>
      <c r="K7" s="127" t="n"/>
      <c r="L7" s="128" t="inlineStr">
        <is>
          <t>https://www.lovethework.com/work/entries/real-beauty-how-a-soap-brand-created-a-global-self-esteem-movement-765245</t>
        </is>
      </c>
      <c r="M7" s="113" t="inlineStr">
        <is>
          <t>A long-term brand platform Ogilvy UK built for Dove over more than two decades, beginning with the 2004 "Real Beauty" campaign and expanding into a structured self-esteem education program delivered through schools, social media, and partnerships with organizations including the World Association of Girl Guides and Girl Scouts. The platform is rooted in research showing that the majority of women and girls opt out of activities — job applications, social situations, medical appointments — when they feel bad about their appearance, and it ties Dove's product positioning directly to a publicly stated goal of reaching young people with body-confidence curricula before those behaviors take hold.</t>
        </is>
      </c>
      <c r="N7" s="113" t="inlineStr">
        <is>
          <t>personal-care, long-term-platform, ooh, social-media, self-esteem, united-kingdom, united-states, education, brand-purpose</t>
        </is>
      </c>
    </row>
    <row r="8">
      <c r="A8" s="127" t="n">
        <v>2025</v>
      </c>
      <c r="B8" s="132" t="inlineStr">
        <is>
          <t>Silver</t>
        </is>
      </c>
      <c r="C8" s="127" t="inlineStr">
        <is>
          <t>No Smiles</t>
        </is>
      </c>
      <c r="D8" s="127" t="inlineStr">
        <is>
          <t>McDonald's</t>
        </is>
      </c>
      <c r="E8" s="127" t="inlineStr">
        <is>
          <t>Hiring</t>
        </is>
      </c>
      <c r="F8" s="127" t="inlineStr">
        <is>
          <t>TBWA\Hakuhodo</t>
        </is>
      </c>
      <c r="G8" s="127" t="inlineStr">
        <is>
          <t>Japan</t>
        </is>
      </c>
      <c r="H8" s="113" t="inlineStr">
        <is>
          <t>Market Disruption</t>
        </is>
      </c>
      <c r="I8" s="128" t="inlineStr">
        <is>
          <t>https://ascentialcdn.filespin.io/api/v1/conversion/8bd771cfe9f74489a6ecf874a92cac25</t>
        </is>
      </c>
      <c r="J8" s="127" t="inlineStr">
        <is>
          <t>vimeo:1129136785</t>
        </is>
      </c>
      <c r="K8" s="127" t="n"/>
      <c r="L8" s="128" t="inlineStr">
        <is>
          <t>https://www.lovethework.com/work/entries/no-smiles-752049</t>
        </is>
      </c>
      <c r="M8" s="113" t="inlineStr">
        <is>
          <t>A recruitment campaign for McDonald's Japan that listed "¥0 Smiles" — the chain's decades-old menu item of a free smile — as a benefit employees no longer have to give, responding to a growing conversation among Gen Z workers in Japan about emotional labor and the pressure to perform cheerfulness on the job. TBWA\Hakuhodo reframed the existing brand asset as a contractual workplace promise: staff are not required to smile.</t>
        </is>
      </c>
      <c r="N8" s="113" t="inlineStr">
        <is>
          <t>fast-food, recruitment, japan, gen-z, employer-branding, market-disruption, social</t>
        </is>
      </c>
    </row>
    <row r="9">
      <c r="A9" s="127" t="n">
        <v>2025</v>
      </c>
      <c r="B9" s="132" t="inlineStr">
        <is>
          <t>Silver</t>
        </is>
      </c>
      <c r="C9" s="127" t="inlineStr">
        <is>
          <t>Find Your Summer</t>
        </is>
      </c>
      <c r="D9" s="127" t="inlineStr">
        <is>
          <t>Magnum</t>
        </is>
      </c>
      <c r="E9" s="127" t="inlineStr">
        <is>
          <t>Magnum Ice Cream</t>
        </is>
      </c>
      <c r="F9" s="127" t="inlineStr">
        <is>
          <t>Lola MullenLowe</t>
        </is>
      </c>
      <c r="G9" s="127" t="inlineStr">
        <is>
          <t>Spain</t>
        </is>
      </c>
      <c r="H9" s="113" t="inlineStr">
        <is>
          <t>Market Disruption</t>
        </is>
      </c>
      <c r="I9" s="128" t="inlineStr">
        <is>
          <t>https://ascentialcdn.filespin.io/api/v1/conversion/fccf3dc65a7040fcbc382da62a1bcf0b</t>
        </is>
      </c>
      <c r="J9" s="127" t="inlineStr">
        <is>
          <t>jmf4xjZvwqs</t>
        </is>
      </c>
      <c r="K9" s="127" t="n"/>
      <c r="L9" s="128" t="inlineStr">
        <is>
          <t>https://www.lovethework.com/work/entries/find-your-summer-761700</t>
        </is>
      </c>
      <c r="M9" s="113" t="inlineStr">
        <is>
          <t>A film directed by Juan Cabral that follows the narrow, fleeting shafts of sunlight that appear in a cold winter city — the premise being that those brief warmth windows are the right moment to eat a Magnum. Shot to make a mid-winter ice cream purchase feel instinctive rather than seasonal, the campaign positions Magnum as the reason to chase a patch of light at 3:14 pm.</t>
        </is>
      </c>
      <c r="N9" s="113" t="inlineStr">
        <is>
          <t>ice-cream, film, cinema, entertainment, winter-campaign, spain, seasonal, brand-positioning, lola-mullenlowe</t>
        </is>
      </c>
    </row>
    <row r="10">
      <c r="A10" s="127" t="n">
        <v>2025</v>
      </c>
      <c r="B10" s="132" t="inlineStr">
        <is>
          <t>Silver</t>
        </is>
      </c>
      <c r="C10" s="127" t="inlineStr">
        <is>
          <t>Handshake Hunt</t>
        </is>
      </c>
      <c r="D10" s="127" t="inlineStr">
        <is>
          <t>Mercado Livre</t>
        </is>
      </c>
      <c r="E10" s="127" t="inlineStr">
        <is>
          <t>Mercado Livre</t>
        </is>
      </c>
      <c r="F10" s="127" t="inlineStr">
        <is>
          <t>Gut</t>
        </is>
      </c>
      <c r="G10" s="127" t="inlineStr">
        <is>
          <t>Brazil</t>
        </is>
      </c>
      <c r="H10" s="113" t="inlineStr">
        <is>
          <t>Multi-Market</t>
        </is>
      </c>
      <c r="I10" s="128" t="inlineStr">
        <is>
          <t>https://ascentialcdn.filespin.io/api/v1/conversion/79595be993234fda94d72414b4e673e2</t>
        </is>
      </c>
      <c r="J10" s="127" t="inlineStr">
        <is>
          <t>Uc6Xgiizi8Q</t>
        </is>
      </c>
      <c r="K10" s="127" t="n"/>
      <c r="L10" s="128" t="inlineStr">
        <is>
          <t>https://www.lovethework.com/work/entries/handshake-hunt-761683</t>
        </is>
      </c>
      <c r="M10" s="113" t="inlineStr">
        <is>
          <t>A media hunt built around Mercado Livre's handshake logo, planted inside organic programming on Globo — Brazil's largest TV network — rather than in commercial breaks. Viewers watching regular content were prompted to spot the handshake symbol when it appeared on screen and use it to unlock Black Friday deals on the platform, turning any Globo broadcast moment into a shopping trigger.</t>
        </is>
      </c>
      <c r="N10" s="113" t="inlineStr">
        <is>
          <t>online-marketplace, broadcast-tv, ai, technology, black-friday, brazil, logo, media-strategy, second-screen, gut</t>
        </is>
      </c>
    </row>
    <row r="11">
      <c r="A11" s="127" t="n">
        <v>2025</v>
      </c>
      <c r="B11" s="132" t="inlineStr">
        <is>
          <t>Silver</t>
        </is>
      </c>
      <c r="C11" s="127" t="inlineStr">
        <is>
          <t>Refurb</t>
        </is>
      </c>
      <c r="D11" s="127" t="inlineStr">
        <is>
          <t>Philips</t>
        </is>
      </c>
      <c r="E11" s="127" t="inlineStr">
        <is>
          <t>Philips</t>
        </is>
      </c>
      <c r="F11" s="127" t="inlineStr">
        <is>
          <t>LePub</t>
        </is>
      </c>
      <c r="G11" s="127" t="inlineStr">
        <is>
          <t>Netherlands</t>
        </is>
      </c>
      <c r="H11" s="113" t="inlineStr">
        <is>
          <t>Consumer Goods</t>
        </is>
      </c>
      <c r="I11" s="128" t="inlineStr">
        <is>
          <t>https://ascentialcdn.filespin.io/api/v1/conversion/0f9e4316f9644aad87356635e8f39cf3</t>
        </is>
      </c>
      <c r="J11" s="127" t="inlineStr">
        <is>
          <t>sJXFLk5wvcQ</t>
        </is>
      </c>
      <c r="K11" s="127" t="n"/>
      <c r="L11" s="128" t="inlineStr">
        <is>
          <t>https://www.lovethework.com/work/entries/refurb-761714</t>
        </is>
      </c>
      <c r="M11" s="113" t="inlineStr">
        <is>
          <t>A refurbished product line launched by Philips — the Refurb Edition — repackaged and sold alongside new products, with campaign imagery shot by Italian image-only magazine Toiletpaper to position reconditioned electronics as a deliberate consumer choice rather than a compromise. The creative, developed by LePub Amsterdam, ran as an integrated campaign across the Netherlands challenging the assumption that new always means better.</t>
        </is>
      </c>
      <c r="N11" s="113" t="inlineStr">
        <is>
          <t>consumer-electronics, integrated, sustainability, refurbished, packaging, netherlands, print, experiential</t>
        </is>
      </c>
    </row>
    <row r="12">
      <c r="A12" s="127" t="n">
        <v>2025</v>
      </c>
      <c r="B12" s="133" t="inlineStr">
        <is>
          <t>Bronze</t>
        </is>
      </c>
      <c r="C12" s="127" t="inlineStr">
        <is>
          <t>A Piece of Me</t>
        </is>
      </c>
      <c r="D12" s="127" t="inlineStr">
        <is>
          <t>KPN</t>
        </is>
      </c>
      <c r="E12" s="127" t="inlineStr">
        <is>
          <t>KPN</t>
        </is>
      </c>
      <c r="F12" s="127" t="inlineStr">
        <is>
          <t>Dentsu Creative</t>
        </is>
      </c>
      <c r="G12" s="127" t="inlineStr">
        <is>
          <t>Netherlands</t>
        </is>
      </c>
      <c r="H12" s="113" t="inlineStr">
        <is>
          <t>Creative Effectiveness for Good</t>
        </is>
      </c>
      <c r="I12" s="128" t="inlineStr">
        <is>
          <t>https://ascentialcdn.filespin.io/api/v1/conversion/d2ae25cdfd9c418185c6cac4e75b98fe</t>
        </is>
      </c>
      <c r="J12" s="127" t="inlineStr">
        <is>
          <t>LwH85eFmveQ</t>
        </is>
      </c>
      <c r="K12" s="127" t="n"/>
      <c r="L12" s="128" t="inlineStr">
        <is>
          <t>https://www.lovethework.com/work/entries/a-piece-of-me-752147</t>
        </is>
      </c>
      <c r="M12" s="113" t="inlineStr">
        <is>
          <t>A pop single and music video, "A Piece of Me" (Stukje van Mij), released by Dutch telecom KPN in partnership with Dentsu Creative Amsterdam and pop artist MEAU, whose lyrics were drawn from real fan stories about the consequences of non-consensual intimate image sharing. The campaign was designed to open conversations between Dutch parents and their teenage children about online behavior — an audience that regularly shares intimate content but rarely discusses the risks at home.</t>
        </is>
      </c>
      <c r="N12" s="113" t="inlineStr">
        <is>
          <t>telecommunications, music-video, online-safety, gen-z, netherlands, public-service, youth, social-issues</t>
        </is>
      </c>
    </row>
    <row r="13">
      <c r="A13" s="127" t="n">
        <v>2025</v>
      </c>
      <c r="B13" s="133" t="inlineStr">
        <is>
          <t>Bronze</t>
        </is>
      </c>
      <c r="C13" s="127" t="inlineStr">
        <is>
          <t>Michael Cerave</t>
        </is>
      </c>
      <c r="D13" s="127" t="inlineStr">
        <is>
          <t>Cerave</t>
        </is>
      </c>
      <c r="E13" s="127" t="inlineStr">
        <is>
          <t>Cerave</t>
        </is>
      </c>
      <c r="F13" s="127" t="inlineStr">
        <is>
          <t>Ogilvy PR</t>
        </is>
      </c>
      <c r="G13" s="127" t="inlineStr">
        <is>
          <t>United States</t>
        </is>
      </c>
      <c r="H13" s="113" t="inlineStr">
        <is>
          <t>Healthcare</t>
        </is>
      </c>
      <c r="I13" s="128" t="inlineStr">
        <is>
          <t>https://ascentialcdn.filespin.io/api/v1/conversion/a30647b18cf146969ce30881a640aca9</t>
        </is>
      </c>
      <c r="J13" s="127" t="inlineStr">
        <is>
          <t>vimeo:924148167</t>
        </is>
      </c>
      <c r="K13" s="127" t="n"/>
      <c r="L13" s="128" t="inlineStr">
        <is>
          <t>https://www.lovethework.com/work/entries/michael-cerave-751766</t>
        </is>
      </c>
      <c r="M13" s="113" t="inlineStr">
        <is>
          <t>A months-long social media and influencer conspiracy seeding the false claim that actor Michael Cera had secretly developed CeraVe skincare, built across earned, paid, and owned channels before being formally debunked on live television by a boardroom of CeraVe dermatologists in a Super Bowl commercial. The campaign was developed by Ogilvy PR New York and WPP Onefluence, using the prank's escalating absurdity to draw audiences in before the brand's actual credential — dermatologist development — delivered the punchline.</t>
        </is>
      </c>
      <c r="N13" s="113" t="inlineStr">
        <is>
          <t>skincare, personal-care, beauty, social-media, influencer, super-bowl, television, healthcare, united-states, multi-platform, pr</t>
        </is>
      </c>
    </row>
    <row r="14">
      <c r="A14" s="127" t="n">
        <v>2025</v>
      </c>
      <c r="B14" s="133" t="inlineStr">
        <is>
          <t>Bronze</t>
        </is>
      </c>
      <c r="C14" s="127" t="inlineStr">
        <is>
          <t>Gravy Race</t>
        </is>
      </c>
      <c r="D14" s="127" t="inlineStr">
        <is>
          <t>Sheba</t>
        </is>
      </c>
      <c r="E14" s="127" t="inlineStr">
        <is>
          <t>Sheba Gravy Indulgence</t>
        </is>
      </c>
      <c r="F14" s="127" t="inlineStr">
        <is>
          <t>AMV BBDO</t>
        </is>
      </c>
      <c r="G14" s="127" t="inlineStr">
        <is>
          <t>United Kingdom</t>
        </is>
      </c>
      <c r="H14" s="113" t="inlineStr">
        <is>
          <t>Launch</t>
        </is>
      </c>
      <c r="I14" s="128" t="inlineStr">
        <is>
          <t>https://ascentialcdn.filespin.io/api/v1/conversion/038bde04baf641f5b86d5ffc16e16c00</t>
        </is>
      </c>
      <c r="J14" s="127" t="inlineStr">
        <is>
          <t>vimeo:992817876</t>
        </is>
      </c>
      <c r="K14" s="127" t="n"/>
      <c r="L14" s="128" t="inlineStr">
        <is>
          <t>https://www.lovethework.com/work/entries/gravy-race-752096</t>
        </is>
      </c>
      <c r="M14" s="113" t="inlineStr">
        <is>
          <t>A live-format product demo structured as a knockout licking competition: eight of the internet's most famous cats race to finish bowls of Sheba Gravy Indulgence, with sports broadcaster Ian Eagle calling every lap and lick from the sidelines. The fastest gravy licker in each round advances until one cat is crowned champion.</t>
        </is>
      </c>
      <c r="N14" s="113" t="inlineStr">
        <is>
          <t>cat-food, online-video, influencer, sports-format, launch, united-kingdom, united-states, pet-care, branded-content</t>
        </is>
      </c>
    </row>
    <row r="15">
      <c r="A15" s="127" t="n">
        <v>2025</v>
      </c>
      <c r="B15" s="133" t="inlineStr">
        <is>
          <t>Bronze</t>
        </is>
      </c>
      <c r="C15" s="127" t="inlineStr">
        <is>
          <t>Transition Body Lotion</t>
        </is>
      </c>
      <c r="D15" s="127" t="inlineStr">
        <is>
          <t>Unilever</t>
        </is>
      </c>
      <c r="E15" s="127" t="inlineStr">
        <is>
          <t>Vaseline Pro Derma Transition Body Lotion</t>
        </is>
      </c>
      <c r="F15" s="127" t="inlineStr">
        <is>
          <t>Ogilvy</t>
        </is>
      </c>
      <c r="G15" s="127" t="inlineStr">
        <is>
          <t>Singapore</t>
        </is>
      </c>
      <c r="H15" s="113" t="inlineStr">
        <is>
          <t>Market Disruption</t>
        </is>
      </c>
      <c r="I15" s="128" t="inlineStr">
        <is>
          <t>https://ascentialcdn.filespin.io/api/v1/conversion/d6e660ee3971457587da9b43b2d99c60</t>
        </is>
      </c>
      <c r="J15" s="127" t="inlineStr">
        <is>
          <t>adj2vS3ZLUw</t>
        </is>
      </c>
      <c r="K15" s="127" t="n"/>
      <c r="L15" s="128" t="inlineStr">
        <is>
          <t>https://www.lovethework.com/work/entries/transition-body-lotion-752021</t>
        </is>
      </c>
      <c r="M15" s="113" t="inlineStr">
        <is>
          <t>A body lotion developed by Vaseline and Ogilvy Singapore specifically for the skin changes transgender women experience during and after hormone therapy — dryness, sensitivity, and texture shifts that existing products weren't formulated to address. Vaseline Pro Derma Transition Body Lotion was sold as a retail product, making it both a piece of communication and a functional item on the shelf.</t>
        </is>
      </c>
      <c r="N15" s="113" t="inlineStr">
        <is>
          <t>body-lotion, skincare, personal-care, beauty, transgender, product-innovation, singapore, ogilvy, market-disruption, packaging</t>
        </is>
      </c>
    </row>
    <row r="16">
      <c r="A16" s="127" t="n">
        <v>2025</v>
      </c>
      <c r="B16" s="133" t="inlineStr">
        <is>
          <t>Bronze</t>
        </is>
      </c>
      <c r="C16" s="127" t="inlineStr">
        <is>
          <t>Sightwalks</t>
        </is>
      </c>
      <c r="D16" s="127" t="inlineStr">
        <is>
          <t>Cemento Sol</t>
        </is>
      </c>
      <c r="E16" s="127" t="inlineStr">
        <is>
          <t>Cement</t>
        </is>
      </c>
      <c r="F16" s="127" t="inlineStr">
        <is>
          <t>Circus Grey</t>
        </is>
      </c>
      <c r="G16" s="127" t="inlineStr">
        <is>
          <t>Peru</t>
        </is>
      </c>
      <c r="H16" s="113" t="inlineStr">
        <is>
          <t>Creative Effectiveness for Good</t>
        </is>
      </c>
      <c r="I16" s="128" t="inlineStr">
        <is>
          <t>https://ascentialcdn.filespin.io/api/v1/conversion/837c7b2b781b41c9b041f7afafd7a9b2</t>
        </is>
      </c>
      <c r="J16" s="127" t="inlineStr">
        <is>
          <t>IRuDOllWc-E</t>
        </is>
      </c>
      <c r="K16" s="127" t="n"/>
      <c r="L16" s="128" t="inlineStr">
        <is>
          <t>https://www.lovethework.com/work/entries/sightwalks-761736</t>
        </is>
      </c>
      <c r="M16" s="113" t="inlineStr">
        <is>
          <t>A system of tactile tiles installed on sidewalks across Lima, Peru, designed to help visually impaired pedestrians navigate their surroundings — built using Cemento Sol's own cement product as the construction material. The tiles were embedded directly into existing urban infrastructure by Circus Grey, making the brand's core product the medium for an accessibility intervention in public space.</t>
        </is>
      </c>
      <c r="N16" s="113" t="inlineStr">
        <is>
          <t>cement, urban-infrastructure, accessibility, ooh, peru, tactile-design, public-space, disability, latin-america</t>
        </is>
      </c>
    </row>
    <row r="17">
      <c r="A17" s="127" t="n">
        <v>2025</v>
      </c>
      <c r="B17" s="133" t="inlineStr">
        <is>
          <t>Bronze</t>
        </is>
      </c>
      <c r="C17" s="127" t="inlineStr">
        <is>
          <t>Heinz Ketchup &amp; Seemingly Ranch</t>
        </is>
      </c>
      <c r="D17" s="127" t="inlineStr">
        <is>
          <t>Kraft Heinz</t>
        </is>
      </c>
      <c r="E17" s="127" t="inlineStr">
        <is>
          <t>Heinz Kranch</t>
        </is>
      </c>
      <c r="F17" s="127" t="inlineStr">
        <is>
          <t>Rethink</t>
        </is>
      </c>
      <c r="G17" s="127" t="inlineStr">
        <is>
          <t>Canada</t>
        </is>
      </c>
      <c r="H17" s="113" t="inlineStr">
        <is>
          <t>Real-Time Response</t>
        </is>
      </c>
      <c r="I17" s="128" t="inlineStr">
        <is>
          <t>https://ascentialcdn.filespin.io/api/v1/conversion/989e071cb1954ab69e5f7405a82bdb43</t>
        </is>
      </c>
      <c r="J17" s="127" t="inlineStr">
        <is>
          <t>9HpJtpvtrhs</t>
        </is>
      </c>
      <c r="K17" s="127" t="n"/>
      <c r="L17" s="128" t="inlineStr">
        <is>
          <t>https://www.lovethework.com/work/entries/heinz-ketchup-seemingly-ranch-752139</t>
        </is>
      </c>
      <c r="M17" s="113" t="inlineStr">
        <is>
          <t>A real-time packaging and social response built around a viral moment: when a paparazzi photo of Taylor Swift eating what a reporter described as "seemingly ranch" dip at a Kansas City Chiefs game spread widely, Heinz rebranded an existing product — Kranch, its ketchup-ranch hybrid — as "Ketchup &amp; Seemingly Ranch" and rushed the relabeled bottle into market. The response beat out competing brands who chased the same cultural moment by leaning on a product that already existed, needing only a name swap.</t>
        </is>
      </c>
      <c r="N17" s="113" t="inlineStr">
        <is>
          <t>condiment, packaging, real-time-response, social-media, canada, pop-culture, limited-edition</t>
        </is>
      </c>
    </row>
    <row r="18">
      <c r="A18" s="127" t="n">
        <v>2025</v>
      </c>
      <c r="B18" s="133" t="inlineStr">
        <is>
          <t>Bronze</t>
        </is>
      </c>
      <c r="C18" s="127" t="inlineStr">
        <is>
          <t>The Everyday Tactician: How Getting a Football Club Promoted Helped Xbox Take a Step Closer to the Future of Gaming</t>
        </is>
      </c>
      <c r="D18" s="127" t="inlineStr">
        <is>
          <t>Xbox</t>
        </is>
      </c>
      <c r="E18" s="127" t="inlineStr">
        <is>
          <t>Xbox Game Pass</t>
        </is>
      </c>
      <c r="F18" s="127" t="inlineStr">
        <is>
          <t>McCANN</t>
        </is>
      </c>
      <c r="G18" s="127" t="inlineStr">
        <is>
          <t>United Kingdom</t>
        </is>
      </c>
      <c r="H18" s="113" t="inlineStr">
        <is>
          <t>Collaboration</t>
        </is>
      </c>
      <c r="I18" s="128" t="inlineStr">
        <is>
          <t>https://ascentialcdn.filespin.io/api/v1/conversion/7c2d069dafe1485c9e355a842cdb238d</t>
        </is>
      </c>
      <c r="J18" s="127" t="inlineStr">
        <is>
          <t>Kb3nqqwihz0</t>
        </is>
      </c>
      <c r="K18" s="127" t="n"/>
      <c r="L18" s="128" t="inlineStr">
        <is>
          <t>https://www.lovethework.com/work/entries/the-everyday-tactician-how-getting-a-football-club-promoted-helped-xbox-take-a-step-closer-to-the-future-of-gaming-764822</t>
        </is>
      </c>
      <c r="M18" s="113" t="inlineStr">
        <is>
          <t>A real Football Manager player recruited by Xbox and McCann London to serve as a tactical analyst for Bromley FC — an actual English Football League club — using Xbox Game Pass as his primary tool. The partnership ran across a full competitive season, with the fan's in-game analysis feeding into real matchday decisions as Bromley won promotion.</t>
        </is>
      </c>
      <c r="N18" s="113" t="inlineStr">
        <is>
          <t>xbox-game-pass, gaming, video-games, entertainment, football, soccer, sport, experiential, branded-partnership, united-kingdom, launch, sports</t>
        </is>
      </c>
    </row>
    <row r="19">
      <c r="A19" s="33" t="n">
        <v>2026</v>
      </c>
      <c r="B19" s="160" t="inlineStr">
        <is>
          <t>Grand Prix</t>
        </is>
      </c>
      <c r="C19" s="33" t="inlineStr">
        <is>
          <t>Three Words</t>
        </is>
      </c>
      <c r="D19" s="33" t="inlineStr">
        <is>
          <t>AXA France</t>
        </is>
      </c>
      <c r="E19" s="33" t="inlineStr">
        <is>
          <t>Home Insurance Policies</t>
        </is>
      </c>
      <c r="F19" s="33" t="inlineStr">
        <is>
          <t>Publicis Conseil Paris</t>
        </is>
      </c>
      <c r="G19" s="33" t="inlineStr">
        <is>
          <t>France</t>
        </is>
      </c>
      <c r="H19" s="33" t="inlineStr">
        <is>
          <t>B04 - Creative Effectiveness for Good</t>
        </is>
      </c>
      <c r="I19" s="33" t="inlineStr">
        <is>
          <t>https://ascentialcdn.filespin.io/api/v1/conversion/e1a85ff134e545c7b049791151432028</t>
        </is>
      </c>
      <c r="J19" s="33" t="inlineStr">
        <is>
          <t>pY-03zuV7mE</t>
        </is>
      </c>
      <c r="L19" s="33" t="inlineStr">
        <is>
          <t>https://www.lovethework.com/work/entries/three-words-788917</t>
        </is>
      </c>
      <c r="M19" s="33" t="inlineStr">
        <is>
          <t>For AXA, Publicis Conseil added three words — 'and domestic violence' — to the brand's home insurance policy in France, extending coverage so that a victim who calls is immediately rehoused and given legal, psychological and financial support. The campaign turned the insurance product itself into the idea, protecting people from the home they need to escape.</t>
        </is>
      </c>
      <c r="N19" s="33" t="inlineStr">
        <is>
          <t>axa, insurance, financial-services, finance, home insurance, financial services, france, domestic violence, victims, rehousing, legal support, product innovation, social behaviour, public service, creative effectiveness for good, creative effectiveness, publicis conseil, grand prix</t>
        </is>
      </c>
    </row>
    <row r="20">
      <c r="A20" s="33" t="n">
        <v>2026</v>
      </c>
      <c r="B20" s="161" t="inlineStr">
        <is>
          <t>Gold</t>
        </is>
      </c>
      <c r="C20" s="33" t="inlineStr">
        <is>
          <t>Pedigree Caramelo</t>
        </is>
      </c>
      <c r="D20" s="33" t="inlineStr">
        <is>
          <t>Pedigree</t>
        </is>
      </c>
      <c r="E20" s="33" t="inlineStr">
        <is>
          <t>Pedigree</t>
        </is>
      </c>
      <c r="F20" s="33" t="inlineStr">
        <is>
          <t>AlmapBBDO Sao Paulo</t>
        </is>
      </c>
      <c r="G20" s="33" t="inlineStr">
        <is>
          <t>Brazil</t>
        </is>
      </c>
      <c r="H20" s="33" t="inlineStr">
        <is>
          <t>A01 - Consumer Goods</t>
        </is>
      </c>
      <c r="I20" s="33" t="inlineStr">
        <is>
          <t>https://ascentialcdn.filespin.io/api/v1/conversion/61f3c230a91e417397304be1d6a0ef2d</t>
        </is>
      </c>
      <c r="J20" s="33" t="inlineStr">
        <is>
          <t>RbwafQ9RKM0</t>
        </is>
      </c>
      <c r="L20" s="33" t="inlineStr">
        <is>
          <t>https://www.lovethework.com/work/entries/pedigree-caramelo-788539</t>
        </is>
      </c>
      <c r="M20" s="33" t="inlineStr">
        <is>
          <t>For Pedigree, AlmapBBDO Sao Paulo built 'Caramelo' around the caramel-coated mixed-breed street dog that is a beloved Brazilian icon, giving the mongrel a full visual identity and brand platform to champion the adoption of mixed-breed dogs.</t>
        </is>
      </c>
      <c r="N20" s="33" t="inlineStr">
        <is>
          <t>pedigree, mars, dog food, pet food, pets, dogs, fmcg, brazil, caramelo, mixed breed, mongrel, street dog, adoption, identity, social behaviour, brand experience, activation, almapbbdo, bronze</t>
        </is>
      </c>
    </row>
    <row r="21">
      <c r="A21" s="33" t="n">
        <v>2026</v>
      </c>
      <c r="B21" s="161" t="inlineStr">
        <is>
          <t>Gold</t>
        </is>
      </c>
      <c r="C21" s="33" t="inlineStr">
        <is>
          <t>Three Words</t>
        </is>
      </c>
      <c r="D21" s="33" t="inlineStr">
        <is>
          <t>AXA France</t>
        </is>
      </c>
      <c r="E21" s="33" t="inlineStr">
        <is>
          <t>Home Insurance Policies</t>
        </is>
      </c>
      <c r="F21" s="33" t="inlineStr">
        <is>
          <t>Publicis Conseil Paris</t>
        </is>
      </c>
      <c r="G21" s="33" t="inlineStr">
        <is>
          <t>France</t>
        </is>
      </c>
      <c r="H21" s="33" t="inlineStr">
        <is>
          <t>D03 - Market Disruption</t>
        </is>
      </c>
      <c r="I21" s="33" t="inlineStr">
        <is>
          <t>https://ascentialcdn.filespin.io/api/v1/conversion/e1a85ff134e545c7b049791151432028</t>
        </is>
      </c>
      <c r="J21" s="33" t="inlineStr">
        <is>
          <t>pY-03zuV7mE</t>
        </is>
      </c>
      <c r="L21" s="33" t="inlineStr">
        <is>
          <t>https://www.lovethework.com/work/entries/three-words-788926</t>
        </is>
      </c>
      <c r="M21" s="33" t="inlineStr">
        <is>
          <t>For AXA, Publicis Conseil added three words — 'and domestic violence' — to the brand's home insurance policy in France, extending coverage so that a victim who calls is immediately rehoused and given legal, psychological and financial support. The campaign turned the insurance product itself into the idea, protecting people from the home they need to escape.</t>
        </is>
      </c>
      <c r="N21" s="33" t="inlineStr">
        <is>
          <t>axa, insurance, financial-services, finance, home insurance, financial services, france, domestic violence, victims, rehousing, legal support, product innovation, social behaviour, public service, creative effectiveness for good, creative effectiveness, publicis conseil, grand prix</t>
        </is>
      </c>
    </row>
    <row r="22">
      <c r="A22" s="33" t="n">
        <v>2026</v>
      </c>
      <c r="B22" s="162" t="inlineStr">
        <is>
          <t>Silver</t>
        </is>
      </c>
      <c r="C22" s="33" t="inlineStr">
        <is>
          <t>Football Is for Food</t>
        </is>
      </c>
      <c r="D22" s="33" t="inlineStr">
        <is>
          <t>Uber Eats</t>
        </is>
      </c>
      <c r="E22" s="33" t="inlineStr">
        <is>
          <t>Uber Eats</t>
        </is>
      </c>
      <c r="F22" s="33" t="inlineStr">
        <is>
          <t>Special Los Angeles</t>
        </is>
      </c>
      <c r="G22" s="33" t="inlineStr">
        <is>
          <t>United States</t>
        </is>
      </c>
      <c r="H22" s="33" t="inlineStr">
        <is>
          <t>A04 - Travel, Leisure, Retail, Restaurants &amp; Fast-Food Chains</t>
        </is>
      </c>
      <c r="I22" s="33" t="inlineStr">
        <is>
          <t>https://ascentialcdn.filespin.io/api/v1/conversion/bdc3e17665e54318a6a9b4e6705f40a7</t>
        </is>
      </c>
      <c r="J22" s="33" t="inlineStr">
        <is>
          <t>81ahl1QYMp0</t>
        </is>
      </c>
      <c r="L22" s="33" t="inlineStr">
        <is>
          <t>https://www.lovethework.com/work/entries/football-is-for-food-788547</t>
        </is>
      </c>
      <c r="M22" s="33" t="inlineStr">
        <is>
          <t>For Uber Eats, Special built on its 'Football Is for Food' platform — the running joke that the big game exists to sell food — by turning it into an interactive Super Bowl ad-builder inside the app. Fans could assemble their own commercial from a library of unaired celebrity clips the way they'd build a food order, mixing and matching scenes to unlock offers ahead of the game.</t>
        </is>
      </c>
      <c r="N22" s="33" t="inlineStr">
        <is>
          <t>uber eats, food delivery, delivery, app, restaurant, food, qsr, fast-food, fast food, technology, united states, super bowl, football, soccer, sport, celebrities, interactive, ad builder, travel leisure retail restaurants, creative effectiveness, special, silver</t>
        </is>
      </c>
    </row>
    <row r="23">
      <c r="A23" s="33" t="n">
        <v>2026</v>
      </c>
      <c r="B23" s="162" t="inlineStr">
        <is>
          <t>Silver</t>
        </is>
      </c>
      <c r="C23" s="33" t="inlineStr">
        <is>
          <t>Pedigree Caramelo</t>
        </is>
      </c>
      <c r="D23" s="33" t="inlineStr">
        <is>
          <t>Pedigree</t>
        </is>
      </c>
      <c r="E23" s="33" t="inlineStr">
        <is>
          <t>Pedigree</t>
        </is>
      </c>
      <c r="F23" s="33" t="inlineStr">
        <is>
          <t>AlmapBBDO Sao Paulo</t>
        </is>
      </c>
      <c r="G23" s="33" t="inlineStr">
        <is>
          <t>Brazil</t>
        </is>
      </c>
      <c r="H23" s="33" t="inlineStr">
        <is>
          <t>B01 - Single Market</t>
        </is>
      </c>
      <c r="I23" s="33" t="inlineStr">
        <is>
          <t>https://ascentialcdn.filespin.io/api/v1/conversion/61f3c230a91e417397304be1d6a0ef2d</t>
        </is>
      </c>
      <c r="J23" s="33" t="inlineStr">
        <is>
          <t>RbwafQ9RKM0</t>
        </is>
      </c>
      <c r="L23" s="33" t="inlineStr">
        <is>
          <t>https://www.lovethework.com/work/entries/pedigree-caramelo-788563</t>
        </is>
      </c>
      <c r="M23" s="33" t="inlineStr">
        <is>
          <t>For Pedigree, AlmapBBDO Sao Paulo built 'Caramelo' around the caramel-coated mixed-breed street dog that is a beloved Brazilian icon, giving the mongrel a full visual identity and brand platform to champion the adoption of mixed-breed dogs.</t>
        </is>
      </c>
      <c r="N23" s="33" t="inlineStr">
        <is>
          <t>pedigree, mars, dog food, pet food, pets, dogs, fmcg, brazil, caramelo, mixed breed, mongrel, street dog, adoption, identity, social behaviour, brand experience, activation, almapbbdo, bronze</t>
        </is>
      </c>
    </row>
    <row r="24">
      <c r="A24" s="33" t="n">
        <v>2026</v>
      </c>
      <c r="B24" s="162" t="inlineStr">
        <is>
          <t>Silver</t>
        </is>
      </c>
      <c r="C24" s="33" t="inlineStr">
        <is>
          <t>IKEA Hidden Tags</t>
        </is>
      </c>
      <c r="D24" s="33" t="inlineStr">
        <is>
          <t>IKEA</t>
        </is>
      </c>
      <c r="E24" s="33" t="inlineStr">
        <is>
          <t>IKEA Furniture</t>
        </is>
      </c>
      <c r="F24" s="33" t="inlineStr">
        <is>
          <t>Uzina Lisbon</t>
        </is>
      </c>
      <c r="G24" s="33" t="inlineStr">
        <is>
          <t>Portugal</t>
        </is>
      </c>
      <c r="H24" s="33" t="inlineStr">
        <is>
          <t>C04 - Retention</t>
        </is>
      </c>
      <c r="I24" s="33" t="inlineStr">
        <is>
          <t>https://ascentialcdn.filespin.io/api/v1/conversion/237ade5924eb407898bf58d19f58a52a</t>
        </is>
      </c>
      <c r="J24" s="33" t="inlineStr">
        <is>
          <t>oKWkHqlt7yA</t>
        </is>
      </c>
      <c r="M24" s="33" t="inlineStr">
        <is>
          <t>For IKEA in Portugal, Uzina turned the small hidden tag printed inside almost every IKEA product — carrying its name, origin and production date — into a nationwide treasure hunt. People were invited to find, photograph and submit the tags on the furniture already in their homes in a search for the oldest IKEA piece in the country, a playful proof of how long the brand's furniture lasts.</t>
        </is>
      </c>
      <c r="N24" s="33" t="inlineStr">
        <is>
          <t>ikea, furniture, home, home furnishings, retail, portugal, hidden tags, durability, longevity, treasure hunt, user generated content, customer engagement, retention, creative effectiveness, uzina, silver</t>
        </is>
      </c>
    </row>
    <row r="25">
      <c r="A25" s="33" t="n">
        <v>2026</v>
      </c>
      <c r="B25" s="162" t="inlineStr">
        <is>
          <t>Silver</t>
        </is>
      </c>
      <c r="C25" s="33" t="inlineStr">
        <is>
          <t>Vaseline Verified</t>
        </is>
      </c>
      <c r="D25" s="33" t="inlineStr">
        <is>
          <t>Vaseline</t>
        </is>
      </c>
      <c r="E25" s="33" t="inlineStr">
        <is>
          <t>Vaseline</t>
        </is>
      </c>
      <c r="F25" s="33" t="inlineStr">
        <is>
          <t>Ogilvy Singapore</t>
        </is>
      </c>
      <c r="G25" s="33" t="inlineStr">
        <is>
          <t>Singapore</t>
        </is>
      </c>
      <c r="H25" s="33" t="inlineStr">
        <is>
          <t>D03 - Market Disruption</t>
        </is>
      </c>
      <c r="I25" s="33" t="inlineStr">
        <is>
          <t>https://ascentialcdn.filespin.io/api/v1/conversion/9d54a70f009d42e1a49944d1de6a39a0</t>
        </is>
      </c>
      <c r="J25" s="33" t="inlineStr">
        <is>
          <t>ApwxlBruV90</t>
        </is>
      </c>
      <c r="L25" s="33" t="inlineStr">
        <is>
          <t>https://www.lovethework.com/work/entries/vaseline-verified-788924</t>
        </is>
      </c>
      <c r="M25" s="33" t="inlineStr">
        <is>
          <t>For Vaseline, Ogilvy Singapore created 'Vaseline Verified,' taking viral user-generated Vaseline Jelly hacks circulating online and putting them through scientific and dermatological testing to validate which ones actually work, showcasing the product's versatility.</t>
        </is>
      </c>
      <c r="N25" s="33" t="inlineStr">
        <is>
          <t>vaseline, petroleum jelly, skincare, personal-care, beauty, personal care, fmcg, unilever, singapore, user generated content, social, hacks, science, dermatology, verification, brand experience, activation, ogilvy, bronze</t>
        </is>
      </c>
    </row>
    <row r="26">
      <c r="A26" s="33" t="n">
        <v>2026</v>
      </c>
      <c r="B26" s="163" t="inlineStr">
        <is>
          <t>Bronze</t>
        </is>
      </c>
      <c r="C26" s="33" t="inlineStr">
        <is>
          <t>My Japan Railway</t>
        </is>
      </c>
      <c r="D26" s="33" t="inlineStr">
        <is>
          <t>JR Group</t>
        </is>
      </c>
      <c r="E26" s="33" t="inlineStr">
        <is>
          <t>Train Trip</t>
        </is>
      </c>
      <c r="F26" s="33" t="inlineStr">
        <is>
          <t>Dentsu Inc. Tokyo</t>
        </is>
      </c>
      <c r="G26" s="33" t="inlineStr">
        <is>
          <t>Japan</t>
        </is>
      </c>
      <c r="H26" s="33" t="inlineStr">
        <is>
          <t>A04 - Travel, Leisure, Retail, Restaurants &amp; Fast-Food Chains</t>
        </is>
      </c>
      <c r="I26" s="33" t="inlineStr">
        <is>
          <t>https://ascentialcdn.filespin.io/api/v1/conversion/1890accae718466e8fd9b145811fd0c7</t>
        </is>
      </c>
      <c r="J26" s="33" t="inlineStr">
        <is>
          <t>FOctNTQH1dM</t>
        </is>
      </c>
      <c r="L26" s="33" t="inlineStr">
        <is>
          <t>https://www.lovethework.com/work/entries/my-japan-railway-789232</t>
        </is>
      </c>
      <c r="M26" s="33" t="inlineStr">
        <is>
          <t>For the six companies of Japan's JR Group, Dentsu marked the railway's 150th anniversary with a web app that recast more than 600 stations as destinations in their own right. Each station got a unique wood-cut-style digital stamp drawn from its local history and culture, and riders collected the stamps as they travelled, building affection for the rail network through more than a thousand pieces of place-specific craft.</t>
        </is>
      </c>
      <c r="N26" s="33" t="inlineStr">
        <is>
          <t>jr group, japan railway, railway, train, rail, transport, travel, tourism, public transport, japan, stamps, wood-cut, craft, anniversary, web app, collectible, loyalty, travel leisure retail restaurants, creative effectiveness, dentsu, bronze</t>
        </is>
      </c>
    </row>
    <row r="27">
      <c r="A27" s="33" t="n">
        <v>2026</v>
      </c>
      <c r="B27" s="163" t="inlineStr">
        <is>
          <t>Bronze</t>
        </is>
      </c>
      <c r="C27" s="33" t="inlineStr">
        <is>
          <t>Preserved Promos</t>
        </is>
      </c>
      <c r="D27" s="33" t="inlineStr">
        <is>
          <t>Ziploc</t>
        </is>
      </c>
      <c r="E27" s="33" t="inlineStr">
        <is>
          <t>Ziploc</t>
        </is>
      </c>
      <c r="F27" s="33" t="inlineStr">
        <is>
          <t>VML New York</t>
        </is>
      </c>
      <c r="G27" s="33" t="inlineStr">
        <is>
          <t>United States</t>
        </is>
      </c>
      <c r="H27" s="33" t="inlineStr">
        <is>
          <t>B01 - Single Market</t>
        </is>
      </c>
      <c r="I27" s="33" t="inlineStr">
        <is>
          <t>https://ascentialcdn.filespin.io/api/v1/conversion/8223f25b769b40e3b665c4ec19e2e12c</t>
        </is>
      </c>
      <c r="J27" s="33" t="inlineStr">
        <is>
          <t>F9CTRsV3N7k</t>
        </is>
      </c>
      <c r="L27" s="33" t="inlineStr">
        <is>
          <t>https://www.lovethework.com/work/entries/preserved-promos-789229</t>
        </is>
      </c>
      <c r="M27" s="33" t="inlineStr">
        <is>
          <t>For SC Johnson's Ziploc, VML gave expired supermarket coupons a second life. Shoppers could photograph any lapsed food promotion and 'preserve' it for a fresh offer redeemable at major retailers — provided a Ziploc product was in the cart — repositioning the storage bag as the thing that keeps a good deal, like food, from going to waste.</t>
        </is>
      </c>
      <c r="N27" s="33" t="inlineStr">
        <is>
          <t>ziploc, sc johnson, storage bags, food storage, household, home, fmcg, cpg, united states, coupons, promotions, expired, retail, savings, commerce, single market, creative effectiveness, vml, bronze</t>
        </is>
      </c>
    </row>
    <row r="28">
      <c r="A28" s="33" t="n">
        <v>2026</v>
      </c>
      <c r="B28" s="163" t="inlineStr">
        <is>
          <t>Bronze</t>
        </is>
      </c>
      <c r="C28" s="33" t="inlineStr">
        <is>
          <t>Vaseline Verified</t>
        </is>
      </c>
      <c r="D28" s="33" t="inlineStr">
        <is>
          <t>Vaseline</t>
        </is>
      </c>
      <c r="E28" s="33" t="inlineStr">
        <is>
          <t>Vaseline</t>
        </is>
      </c>
      <c r="F28" s="33" t="inlineStr">
        <is>
          <t>Ogilvy Singapore</t>
        </is>
      </c>
      <c r="G28" s="33" t="inlineStr">
        <is>
          <t>Singapore</t>
        </is>
      </c>
      <c r="H28" s="33" t="inlineStr">
        <is>
          <t>B03 - Global Market</t>
        </is>
      </c>
      <c r="I28" s="33" t="inlineStr">
        <is>
          <t>https://ascentialcdn.filespin.io/api/v1/conversion/9d54a70f009d42e1a49944d1de6a39a0</t>
        </is>
      </c>
      <c r="J28" s="33" t="inlineStr">
        <is>
          <t>ApwxlBruV90</t>
        </is>
      </c>
      <c r="L28" s="33" t="inlineStr">
        <is>
          <t>https://www.lovethework.com/work/entries/vaseline-verified-788913</t>
        </is>
      </c>
      <c r="M28" s="33" t="inlineStr">
        <is>
          <t>For Vaseline, Ogilvy Singapore created 'Vaseline Verified,' taking viral user-generated Vaseline Jelly hacks circulating online and putting them through scientific and dermatological testing to validate which ones actually work, showcasing the product's versatility.</t>
        </is>
      </c>
      <c r="N28" s="33" t="inlineStr">
        <is>
          <t>vaseline, petroleum jelly, skincare, personal-care, beauty, personal care, fmcg, unilever, singapore, user generated content, social, hacks, science, dermatology, verification, brand experience, activation, ogilvy, bronze</t>
        </is>
      </c>
    </row>
    <row r="29">
      <c r="A29" s="33" t="n">
        <v>2026</v>
      </c>
      <c r="B29" s="163" t="inlineStr">
        <is>
          <t>Bronze</t>
        </is>
      </c>
      <c r="C29" s="33" t="inlineStr">
        <is>
          <t>Pedigree Caramelo</t>
        </is>
      </c>
      <c r="D29" s="33" t="inlineStr">
        <is>
          <t>Pedigree</t>
        </is>
      </c>
      <c r="E29" s="33" t="inlineStr">
        <is>
          <t>Pedigree</t>
        </is>
      </c>
      <c r="F29" s="33" t="inlineStr">
        <is>
          <t>AlmapBBDO Sao Paulo</t>
        </is>
      </c>
      <c r="G29" s="33" t="inlineStr">
        <is>
          <t>Brazil</t>
        </is>
      </c>
      <c r="H29" s="33" t="inlineStr">
        <is>
          <t>B04 - Creative Effectiveness for Good</t>
        </is>
      </c>
      <c r="I29" s="33" t="inlineStr">
        <is>
          <t>https://ascentialcdn.filespin.io/api/v1/conversion/61f3c230a91e417397304be1d6a0ef2d</t>
        </is>
      </c>
      <c r="J29" s="33" t="inlineStr">
        <is>
          <t>RbwafQ9RKM0</t>
        </is>
      </c>
      <c r="L29" s="33" t="inlineStr">
        <is>
          <t>https://www.lovethework.com/work/entries/pedigree-caramelo-788575</t>
        </is>
      </c>
      <c r="M29" s="33" t="inlineStr">
        <is>
          <t>For Pedigree, AlmapBBDO Sao Paulo built 'Caramelo' around the caramel-coated mixed-breed street dog that is a beloved Brazilian icon, giving the mongrel a full visual identity and brand platform to champion the adoption of mixed-breed dogs.</t>
        </is>
      </c>
      <c r="N29" s="33" t="inlineStr">
        <is>
          <t>pedigree, mars, dog food, pet food, pets, dogs, fmcg, brazil, caramelo, mixed breed, mongrel, street dog, adoption, identity, social behaviour, brand experience, activation, almapbbdo, bronze</t>
        </is>
      </c>
    </row>
    <row r="30">
      <c r="A30" s="33" t="n">
        <v>2026</v>
      </c>
      <c r="B30" s="163" t="inlineStr">
        <is>
          <t>Bronze</t>
        </is>
      </c>
      <c r="C30" s="33" t="inlineStr">
        <is>
          <t>Three Words</t>
        </is>
      </c>
      <c r="D30" s="33" t="inlineStr">
        <is>
          <t>AXA France</t>
        </is>
      </c>
      <c r="E30" s="33" t="inlineStr">
        <is>
          <t>Home Insurance Policies</t>
        </is>
      </c>
      <c r="F30" s="33" t="inlineStr">
        <is>
          <t>Publicis Conseil Paris</t>
        </is>
      </c>
      <c r="G30" s="33" t="inlineStr">
        <is>
          <t>France</t>
        </is>
      </c>
      <c r="H30" s="33" t="inlineStr">
        <is>
          <t>C01 - Launch</t>
        </is>
      </c>
      <c r="I30" s="33" t="inlineStr">
        <is>
          <t>https://ascentialcdn.filespin.io/api/v1/conversion/e1a85ff134e545c7b049791151432028</t>
        </is>
      </c>
      <c r="J30" s="33" t="inlineStr">
        <is>
          <t>pY-03zuV7mE</t>
        </is>
      </c>
      <c r="L30" s="33" t="inlineStr">
        <is>
          <t>https://www.lovethework.com/work/entries/three-words-788918</t>
        </is>
      </c>
      <c r="M30" s="33" t="inlineStr">
        <is>
          <t>For AXA, Publicis Conseil added three words — 'and domestic violence' — to the brand's home insurance policy in France, extending coverage so that a victim who calls is immediately rehoused and given legal, psychological and financial support. The campaign turned the insurance product itself into the idea, protecting people from the home they need to escape.</t>
        </is>
      </c>
      <c r="N30" s="33" t="inlineStr">
        <is>
          <t>axa, insurance, financial-services, finance, home insurance, financial services, france, domestic violence, victims, rehousing, legal support, product innovation, social behaviour, public service, creative effectiveness for good, creative effectiveness, publicis conseil, grand prix</t>
        </is>
      </c>
    </row>
    <row r="31">
      <c r="A31" s="33" t="n">
        <v>2026</v>
      </c>
      <c r="B31" s="163" t="inlineStr">
        <is>
          <t>Bronze</t>
        </is>
      </c>
      <c r="C31" s="33" t="inlineStr">
        <is>
          <t>U Up?</t>
        </is>
      </c>
      <c r="D31" s="33" t="inlineStr">
        <is>
          <t>IKEA</t>
        </is>
      </c>
      <c r="E31" s="33" t="inlineStr">
        <is>
          <t>IKEA</t>
        </is>
      </c>
      <c r="F31" s="33" t="inlineStr">
        <is>
          <t>Rethink Toronto</t>
        </is>
      </c>
      <c r="G31" s="33" t="inlineStr">
        <is>
          <t>Canada</t>
        </is>
      </c>
      <c r="H31" s="33" t="inlineStr">
        <is>
          <t>D01 - Breakthrough on a Budget</t>
        </is>
      </c>
      <c r="I31" s="33" t="inlineStr">
        <is>
          <t>https://ascentialcdn.filespin.io/api/v1/conversion/1d6f8cfcad1b47c9beaa5f403844ec8a</t>
        </is>
      </c>
      <c r="J31" s="33" t="inlineStr">
        <is>
          <t>tJ4yKUxPxKE</t>
        </is>
      </c>
      <c r="L31" s="33" t="inlineStr">
        <is>
          <t>https://www.lovethework.com/work/entries/u-up-788832</t>
        </is>
      </c>
      <c r="M31" s="33" t="inlineStr">
        <is>
          <t>For IKEA Canada, Rethink flipped a late-night dating cliche into a mattress pitch. On Valentine's night the brand slid into the DMs of sleepless Canadians with a single 'U up?', and anyone who replied was sent an instant discount on an IKEA mattress — a low-budget, precisely-timed play that tied restless nights directly to the product that fixes them.</t>
        </is>
      </c>
      <c r="N31" s="33" t="inlineStr">
        <is>
          <t>ikea, furniture, home, mattress, sleep, bedding, retail, canada, valentines day, dms, direct message, late night, social, breakthrough on a budget, low budget, creative effectiveness, rethink, bronze</t>
        </is>
      </c>
    </row>
    <row r="32">
      <c r="A32" s="33" t="n">
        <v>2026</v>
      </c>
      <c r="B32" s="163" t="inlineStr">
        <is>
          <t>Bronze</t>
        </is>
      </c>
      <c r="C32" s="33" t="inlineStr">
        <is>
          <t>The Final Copy of Ilon Specht</t>
        </is>
      </c>
      <c r="D32" s="33" t="inlineStr">
        <is>
          <t>L'Oréal Paris</t>
        </is>
      </c>
      <c r="E32" s="33" t="inlineStr">
        <is>
          <t>L'Oréal Paris</t>
        </is>
      </c>
      <c r="F32" s="33" t="inlineStr">
        <is>
          <t>McCann Paris</t>
        </is>
      </c>
      <c r="G32" s="33" t="inlineStr">
        <is>
          <t>France</t>
        </is>
      </c>
      <c r="H32" s="33" t="inlineStr">
        <is>
          <t>D03 - Market Disruption</t>
        </is>
      </c>
      <c r="I32" s="33" t="inlineStr">
        <is>
          <t>https://ascentialcdn.filespin.io/api/v1/conversion/34b62cde994e47d49bb27f4b3e44ff90</t>
        </is>
      </c>
      <c r="J32" s="33" t="inlineStr">
        <is>
          <t>-4o8bCc6-GM</t>
        </is>
      </c>
      <c r="L32" s="33" t="inlineStr">
        <is>
          <t>https://www.lovethework.com/work/entries/the-final-copy-of-ilon-specht-788602</t>
        </is>
      </c>
      <c r="M32" s="33" t="inlineStr">
        <is>
          <t>For L'Oreal Paris, McCann Paris told the untold story behind 'Because I'm Worth It.' A documentary directed by Ben Proudfoot centres on Ilon Specht — the young McCann copywriter who wrote the four-word line in 1971 as a feminist response to ads that treated women as objects — filmed unfiltered near the end of her life, reclaiming the human origin of one of advertising's most enduring slogans.</t>
        </is>
      </c>
      <c r="N32" s="33" t="inlineStr">
        <is>
          <t>loreal paris, loreal, beauty, cosmetics, personal-care, personal care, fmcg, france, united states, because im worth it, ilon specht, copywriter, documentary, film, entertainment, cinema, ben proudfoot, feminism, brand heritage, storytelling, market disruption, creative effectiveness, mccann, bronze</t>
        </is>
      </c>
    </row>
  </sheetData>
  <autoFilter ref="A1:N18"/>
  <hyperlinks>
    <hyperlink xmlns:r="http://schemas.openxmlformats.org/officeDocument/2006/relationships" ref="I2" r:id="rId1"/>
    <hyperlink xmlns:r="http://schemas.openxmlformats.org/officeDocument/2006/relationships" ref="L2" r:id="rId2"/>
    <hyperlink xmlns:r="http://schemas.openxmlformats.org/officeDocument/2006/relationships" ref="I3" r:id="rId3"/>
    <hyperlink xmlns:r="http://schemas.openxmlformats.org/officeDocument/2006/relationships" ref="L3" r:id="rId4"/>
    <hyperlink xmlns:r="http://schemas.openxmlformats.org/officeDocument/2006/relationships" ref="L4" r:id="rId5"/>
    <hyperlink xmlns:r="http://schemas.openxmlformats.org/officeDocument/2006/relationships" ref="I5" r:id="rId6"/>
    <hyperlink xmlns:r="http://schemas.openxmlformats.org/officeDocument/2006/relationships" ref="L5" r:id="rId7"/>
    <hyperlink xmlns:r="http://schemas.openxmlformats.org/officeDocument/2006/relationships" ref="I6" r:id="rId8"/>
    <hyperlink xmlns:r="http://schemas.openxmlformats.org/officeDocument/2006/relationships" ref="L6" r:id="rId9"/>
    <hyperlink xmlns:r="http://schemas.openxmlformats.org/officeDocument/2006/relationships" ref="I7" r:id="rId10"/>
    <hyperlink xmlns:r="http://schemas.openxmlformats.org/officeDocument/2006/relationships" ref="L7" r:id="rId11"/>
    <hyperlink xmlns:r="http://schemas.openxmlformats.org/officeDocument/2006/relationships" ref="I8" r:id="rId12"/>
    <hyperlink xmlns:r="http://schemas.openxmlformats.org/officeDocument/2006/relationships" ref="L8" r:id="rId13"/>
    <hyperlink xmlns:r="http://schemas.openxmlformats.org/officeDocument/2006/relationships" ref="I9" r:id="rId14"/>
    <hyperlink xmlns:r="http://schemas.openxmlformats.org/officeDocument/2006/relationships" ref="L9" r:id="rId15"/>
    <hyperlink xmlns:r="http://schemas.openxmlformats.org/officeDocument/2006/relationships" ref="I10" r:id="rId16"/>
    <hyperlink xmlns:r="http://schemas.openxmlformats.org/officeDocument/2006/relationships" ref="L10" r:id="rId17"/>
    <hyperlink xmlns:r="http://schemas.openxmlformats.org/officeDocument/2006/relationships" ref="I11" r:id="rId18"/>
    <hyperlink xmlns:r="http://schemas.openxmlformats.org/officeDocument/2006/relationships" ref="L11" r:id="rId19"/>
    <hyperlink xmlns:r="http://schemas.openxmlformats.org/officeDocument/2006/relationships" ref="I12" r:id="rId20"/>
    <hyperlink xmlns:r="http://schemas.openxmlformats.org/officeDocument/2006/relationships" ref="L12" r:id="rId21"/>
    <hyperlink xmlns:r="http://schemas.openxmlformats.org/officeDocument/2006/relationships" ref="I13" r:id="rId22"/>
    <hyperlink xmlns:r="http://schemas.openxmlformats.org/officeDocument/2006/relationships" ref="L13" r:id="rId23"/>
    <hyperlink xmlns:r="http://schemas.openxmlformats.org/officeDocument/2006/relationships" ref="I14" r:id="rId24"/>
    <hyperlink xmlns:r="http://schemas.openxmlformats.org/officeDocument/2006/relationships" ref="L14" r:id="rId25"/>
    <hyperlink xmlns:r="http://schemas.openxmlformats.org/officeDocument/2006/relationships" ref="I15" r:id="rId26"/>
    <hyperlink xmlns:r="http://schemas.openxmlformats.org/officeDocument/2006/relationships" ref="L15" r:id="rId27"/>
    <hyperlink xmlns:r="http://schemas.openxmlformats.org/officeDocument/2006/relationships" ref="I16" r:id="rId28"/>
    <hyperlink xmlns:r="http://schemas.openxmlformats.org/officeDocument/2006/relationships" ref="L16" r:id="rId29"/>
    <hyperlink xmlns:r="http://schemas.openxmlformats.org/officeDocument/2006/relationships" ref="I17" r:id="rId30"/>
    <hyperlink xmlns:r="http://schemas.openxmlformats.org/officeDocument/2006/relationships" ref="L17" r:id="rId31"/>
    <hyperlink xmlns:r="http://schemas.openxmlformats.org/officeDocument/2006/relationships" ref="I18" r:id="rId32"/>
    <hyperlink xmlns:r="http://schemas.openxmlformats.org/officeDocument/2006/relationships" ref="L18" r:id="rId33"/>
    <hyperlink xmlns:r="http://schemas.openxmlformats.org/officeDocument/2006/relationships" ref="I19" r:id="rId34"/>
    <hyperlink xmlns:r="http://schemas.openxmlformats.org/officeDocument/2006/relationships" ref="L19" r:id="rId35"/>
    <hyperlink xmlns:r="http://schemas.openxmlformats.org/officeDocument/2006/relationships" ref="I20" r:id="rId36"/>
    <hyperlink xmlns:r="http://schemas.openxmlformats.org/officeDocument/2006/relationships" ref="L20" r:id="rId37"/>
    <hyperlink xmlns:r="http://schemas.openxmlformats.org/officeDocument/2006/relationships" ref="I21" r:id="rId38"/>
    <hyperlink xmlns:r="http://schemas.openxmlformats.org/officeDocument/2006/relationships" ref="L21" r:id="rId39"/>
    <hyperlink xmlns:r="http://schemas.openxmlformats.org/officeDocument/2006/relationships" ref="I22" r:id="rId40"/>
    <hyperlink xmlns:r="http://schemas.openxmlformats.org/officeDocument/2006/relationships" ref="L22" r:id="rId41"/>
    <hyperlink xmlns:r="http://schemas.openxmlformats.org/officeDocument/2006/relationships" ref="I23" r:id="rId42"/>
    <hyperlink xmlns:r="http://schemas.openxmlformats.org/officeDocument/2006/relationships" ref="L23" r:id="rId43"/>
    <hyperlink xmlns:r="http://schemas.openxmlformats.org/officeDocument/2006/relationships" ref="I24" r:id="rId44"/>
    <hyperlink xmlns:r="http://schemas.openxmlformats.org/officeDocument/2006/relationships" ref="I25" r:id="rId45"/>
    <hyperlink xmlns:r="http://schemas.openxmlformats.org/officeDocument/2006/relationships" ref="L25" r:id="rId46"/>
    <hyperlink xmlns:r="http://schemas.openxmlformats.org/officeDocument/2006/relationships" ref="I26" r:id="rId47"/>
    <hyperlink xmlns:r="http://schemas.openxmlformats.org/officeDocument/2006/relationships" ref="L26" r:id="rId48"/>
    <hyperlink xmlns:r="http://schemas.openxmlformats.org/officeDocument/2006/relationships" ref="I27" r:id="rId49"/>
    <hyperlink xmlns:r="http://schemas.openxmlformats.org/officeDocument/2006/relationships" ref="L27" r:id="rId50"/>
    <hyperlink xmlns:r="http://schemas.openxmlformats.org/officeDocument/2006/relationships" ref="I28" r:id="rId51"/>
    <hyperlink xmlns:r="http://schemas.openxmlformats.org/officeDocument/2006/relationships" ref="L28" r:id="rId52"/>
    <hyperlink xmlns:r="http://schemas.openxmlformats.org/officeDocument/2006/relationships" ref="I29" r:id="rId53"/>
    <hyperlink xmlns:r="http://schemas.openxmlformats.org/officeDocument/2006/relationships" ref="L29" r:id="rId54"/>
    <hyperlink xmlns:r="http://schemas.openxmlformats.org/officeDocument/2006/relationships" ref="I30" r:id="rId55"/>
    <hyperlink xmlns:r="http://schemas.openxmlformats.org/officeDocument/2006/relationships" ref="L30" r:id="rId56"/>
    <hyperlink xmlns:r="http://schemas.openxmlformats.org/officeDocument/2006/relationships" ref="I31" r:id="rId57"/>
    <hyperlink xmlns:r="http://schemas.openxmlformats.org/officeDocument/2006/relationships" ref="L31" r:id="rId58"/>
    <hyperlink xmlns:r="http://schemas.openxmlformats.org/officeDocument/2006/relationships" ref="I32" r:id="rId59"/>
    <hyperlink xmlns:r="http://schemas.openxmlformats.org/officeDocument/2006/relationships" ref="L32" r:id="rId60"/>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N51"/>
  <sheetViews>
    <sheetView workbookViewId="0">
      <pane ySplit="1" topLeftCell="A2" activePane="bottomLeft" state="frozen"/>
      <selection pane="bottomLeft" activeCell="A1" sqref="A1"/>
    </sheetView>
  </sheetViews>
  <sheetFormatPr baseColWidth="8" defaultRowHeight="15"/>
  <cols>
    <col width="6" customWidth="1" style="34" min="1" max="1"/>
    <col width="16" customWidth="1" style="34" min="2" max="2"/>
    <col width="34" customWidth="1" style="34" min="3" max="3"/>
    <col width="22" customWidth="1" style="34" min="4" max="4"/>
    <col width="26" customWidth="1" style="34" min="5" max="5"/>
    <col width="28" customWidth="1" style="34" min="6" max="6"/>
    <col width="16" customWidth="1" style="34" min="7" max="7"/>
    <col width="34" customWidth="1" style="34" min="8" max="8"/>
    <col width="18" customWidth="1" style="34" min="9" max="9"/>
    <col width="16" customWidth="1" style="34" min="10" max="10"/>
    <col width="22" customWidth="1" style="34" min="11" max="11"/>
    <col hidden="1" width="20" customWidth="1" style="34" min="12" max="12"/>
    <col width="60" customWidth="1" style="34" min="13" max="13"/>
    <col width="40" customWidth="1" style="34" min="14" max="14"/>
  </cols>
  <sheetData>
    <row r="1" ht="22" customHeight="1" s="34">
      <c r="A1" s="122" t="inlineStr">
        <is>
          <t>Year</t>
        </is>
      </c>
      <c r="B1" s="122" t="inlineStr">
        <is>
          <t>Tier</t>
        </is>
      </c>
      <c r="C1" s="122" t="inlineStr">
        <is>
          <t>Campaign</t>
        </is>
      </c>
      <c r="D1" s="122" t="inlineStr">
        <is>
          <t>Brand</t>
        </is>
      </c>
      <c r="E1" s="122" t="inlineStr">
        <is>
          <t>Product/Service</t>
        </is>
      </c>
      <c r="F1" s="122" t="inlineStr">
        <is>
          <t>Agency</t>
        </is>
      </c>
      <c r="G1" s="122" t="inlineStr">
        <is>
          <t>Country</t>
        </is>
      </c>
      <c r="H1" s="122" t="inlineStr">
        <is>
          <t>Subcategory</t>
        </is>
      </c>
      <c r="I1" s="122" t="inlineStr">
        <is>
          <t>Image URL</t>
        </is>
      </c>
      <c r="J1" s="122" t="inlineStr">
        <is>
          <t>YouTube ID</t>
        </is>
      </c>
      <c r="K1" s="122" t="inlineStr">
        <is>
          <t>Campaign Group</t>
        </is>
      </c>
      <c r="L1" s="122" t="inlineStr">
        <is>
          <t>Entry URL</t>
        </is>
      </c>
      <c r="M1" s="122" t="inlineStr">
        <is>
          <t>Description</t>
        </is>
      </c>
      <c r="N1" s="122" t="inlineStr">
        <is>
          <t>Keywords</t>
        </is>
      </c>
    </row>
    <row r="2">
      <c r="A2" s="127" t="n">
        <v>2025</v>
      </c>
      <c r="B2" s="139" t="inlineStr">
        <is>
          <t>Grand Prix</t>
        </is>
      </c>
      <c r="C2" s="127" t="inlineStr">
        <is>
          <t>Real Beauty: How a Soap Brand Created a Global Self-Esteem Movement</t>
        </is>
      </c>
      <c r="D2" s="127" t="inlineStr">
        <is>
          <t>Dove</t>
        </is>
      </c>
      <c r="E2" s="127" t="inlineStr">
        <is>
          <t>Dove</t>
        </is>
      </c>
      <c r="F2" s="127" t="inlineStr">
        <is>
          <t>Ogilvy UK</t>
        </is>
      </c>
      <c r="G2" s="127" t="inlineStr">
        <is>
          <t>United Kingdom</t>
        </is>
      </c>
      <c r="H2" s="113" t="inlineStr">
        <is>
          <t>Long-Term Brand Platform</t>
        </is>
      </c>
      <c r="I2" s="127" t="inlineStr">
        <is>
          <t>digital-presentation-images/creative-strategy-dove-real-beauty-how-a-soap-brand-created-a-global-self-esteem-movement.webp</t>
        </is>
      </c>
      <c r="J2" s="127" t="inlineStr">
        <is>
          <t>puQ0PNZ1W-A</t>
        </is>
      </c>
      <c r="K2" s="127" t="n"/>
      <c r="L2" s="128" t="inlineStr">
        <is>
          <t>https://www.lovethework.com/work/entries/real-beauty-how-a-soap-brand-created-a-global-self-esteem-movement-757207</t>
        </is>
      </c>
      <c r="M2" s="113" t="inlineStr">
        <is>
          <t>A long-term brand platform Ogilvy UK built for Dove over more than two decades, beginning with the 2004 "Real Beauty" campaign and expanding into a structured self-esteem education program delivered through schools, social media, and partnerships with organizations including the World Association of Girl Guides and Girl Scouts. The platform is rooted in research showing that the majority of women and girls opt out of activities — job applications, social situations, medical appointments — when they feel bad about their appearance, and it ties Dove's product positioning directly to a publicly stated goal of reaching young people with body-confidence curricula before those behaviors take hold.</t>
        </is>
      </c>
      <c r="N2" s="113" t="inlineStr">
        <is>
          <t>personal-care, long-term-platform, ooh, social-media, self-esteem, united-kingdom, united-states, education, brand-purpose</t>
        </is>
      </c>
    </row>
    <row r="3">
      <c r="A3" s="127" t="n">
        <v>2025</v>
      </c>
      <c r="B3" s="140" t="inlineStr">
        <is>
          <t>Gold</t>
        </is>
      </c>
      <c r="C3" s="127" t="inlineStr">
        <is>
          <t>Sato 2531</t>
        </is>
      </c>
      <c r="D3" s="127" t="inlineStr">
        <is>
          <t>Asuniwa</t>
        </is>
      </c>
      <c r="E3" s="127" t="inlineStr">
        <is>
          <t>Think Name Project</t>
        </is>
      </c>
      <c r="F3" s="127" t="inlineStr">
        <is>
          <t>Dentsu Digital</t>
        </is>
      </c>
      <c r="G3" s="127" t="inlineStr">
        <is>
          <t>Japan</t>
        </is>
      </c>
      <c r="H3" s="113" t="inlineStr">
        <is>
          <t>Data &amp; Analytics</t>
        </is>
      </c>
      <c r="I3" s="127" t="inlineStr">
        <is>
          <t>digital-presentation-images/creative-strategy-asuniwa-sato-2531.webp</t>
        </is>
      </c>
      <c r="J3" s="127" t="inlineStr">
        <is>
          <t>BW5T0gC6o3o</t>
        </is>
      </c>
      <c r="K3" s="127" t="n"/>
      <c r="L3" s="128" t="inlineStr">
        <is>
          <t>https://www.lovethework.com/work/entries/sato-2531-756616</t>
        </is>
      </c>
      <c r="M3" s="113" t="inlineStr">
        <is>
          <t>A data projection commissioned by Asuniwa, a Japanese gender equality organization, modeling the long-term impact of Japan's law requiring married couples to share a single surname — a rule that in practice leads most wives to take their husband's name. Working with an academic partner, the project calculated that if the law remains unchanged, "Sato" — currently Japan's most common surname — would mathematically become the only surviving family name in the country by the year 2531. To force the finding into public conversation, 40 organizations renamed their assets, accounts, and properties to "Sato."</t>
        </is>
      </c>
      <c r="N3" s="113" t="inlineStr">
        <is>
          <t>gender-equality, social-good, data-visualization, public-awareness, research, nonprofit, japan, social-issue, naming, activation</t>
        </is>
      </c>
    </row>
    <row r="4">
      <c r="A4" s="127" t="n">
        <v>2025</v>
      </c>
      <c r="B4" s="140" t="inlineStr">
        <is>
          <t>Gold</t>
        </is>
      </c>
      <c r="C4" s="127" t="inlineStr">
        <is>
          <t>Humanimal Tourism</t>
        </is>
      </c>
      <c r="D4" s="127" t="inlineStr">
        <is>
          <t>ProColombia</t>
        </is>
      </c>
      <c r="E4" s="127" t="inlineStr">
        <is>
          <t>Colombia, the Country of Beauty</t>
        </is>
      </c>
      <c r="F4" s="127" t="inlineStr">
        <is>
          <t>DDB Colombia</t>
        </is>
      </c>
      <c r="G4" s="127" t="inlineStr">
        <is>
          <t>Colombia</t>
        </is>
      </c>
      <c r="H4" s="113" t="inlineStr">
        <is>
          <t>Data &amp; Analytics</t>
        </is>
      </c>
      <c r="I4" s="127" t="inlineStr">
        <is>
          <t>digital-presentation-images/creative-strategy-procolombia-humanimal-tourism.webp</t>
        </is>
      </c>
      <c r="J4" s="127" t="inlineStr">
        <is>
          <t>1r6DMx0FOYk</t>
        </is>
      </c>
      <c r="K4" s="127" t="n"/>
      <c r="L4" s="128" t="inlineStr">
        <is>
          <t>https://www.lovethework.com/work/entries/humanimal-tourism-756682</t>
        </is>
      </c>
      <c r="M4" s="113" t="inlineStr">
        <is>
          <t>A tourism model built on matching the migratory patterns, habitats, and behavioral data of Colombia's endemic animal species to travel itineraries — so visitors follow the same routes as humpback whales, spectacled bears, or poison dart frogs through the country's ecosystems. DDB Colombia developed the system for ProColombia as a data-driven alternative to conventional destination marketing, using biodiversity as the navigation layer for human travel.</t>
        </is>
      </c>
      <c r="N4" s="113" t="inlineStr">
        <is>
          <t>tourism, travel, data, colombia, wildlife, mobile-app, travel-marketing, biodiversity, creative-data</t>
        </is>
      </c>
    </row>
    <row r="5">
      <c r="A5" s="127" t="n">
        <v>2025</v>
      </c>
      <c r="B5" s="140" t="inlineStr">
        <is>
          <t>Gold</t>
        </is>
      </c>
      <c r="C5" s="127" t="inlineStr">
        <is>
          <t>AXA - Three Words</t>
        </is>
      </c>
      <c r="D5" s="127" t="inlineStr">
        <is>
          <t>AXA</t>
        </is>
      </c>
      <c r="E5" s="127" t="inlineStr">
        <is>
          <t>Insurance</t>
        </is>
      </c>
      <c r="F5" s="127" t="inlineStr">
        <is>
          <t>Publicis Conseil</t>
        </is>
      </c>
      <c r="G5" s="127" t="inlineStr">
        <is>
          <t>France</t>
        </is>
      </c>
      <c r="H5" s="113" t="inlineStr">
        <is>
          <t>Products/Services</t>
        </is>
      </c>
      <c r="I5" s="127" t="inlineStr">
        <is>
          <t>digital-presentation-images/creative-strategy-axa-axa-three-words.webp</t>
        </is>
      </c>
      <c r="J5" s="127" t="inlineStr">
        <is>
          <t>pY-03zuV7mE</t>
        </is>
      </c>
      <c r="K5" s="127" t="n"/>
      <c r="L5" s="128" t="inlineStr">
        <is>
          <t>https://www.lovethework.com/work/entries/axa-three-words-757080</t>
        </is>
      </c>
      <c r="M5" s="113" t="inlineStr">
        <is>
          <t>AXA turned home insurance into a tool for escape by adding three words—“and domestic violence”—to its policies, making abuse a covered risk alongside fire and flood. The change gave victims emergency relocation support at no extra cost, updating 2.5 million contracts and helping women leave the most dangerous place they may face: their own home.</t>
        </is>
      </c>
      <c r="N5" s="113" t="inlineStr">
        <is>
          <t>insurance, financial-services, finance, france, domestic-violence, public-service, digital-platform, consumer-services, housing, publicis-conseil</t>
        </is>
      </c>
    </row>
    <row r="6">
      <c r="A6" s="127" t="n">
        <v>2025</v>
      </c>
      <c r="B6" s="140" t="inlineStr">
        <is>
          <t>Gold</t>
        </is>
      </c>
      <c r="C6" s="127" t="inlineStr">
        <is>
          <t>The New President</t>
        </is>
      </c>
      <c r="D6" s="127" t="inlineStr">
        <is>
          <t>Annahar Newspaper</t>
        </is>
      </c>
      <c r="E6" s="127" t="inlineStr">
        <is>
          <t>Annahar Newspaper</t>
        </is>
      </c>
      <c r="F6" s="127" t="inlineStr">
        <is>
          <t>Impact BBDO</t>
        </is>
      </c>
      <c r="G6" s="127" t="inlineStr">
        <is>
          <t>United Arab Emirates</t>
        </is>
      </c>
      <c r="H6" s="113" t="inlineStr">
        <is>
          <t>Media/Entertainment</t>
        </is>
      </c>
      <c r="I6" s="128" t="inlineStr">
        <is>
          <t>https://ascentialcdn.filespin.io/api/v1/conversion/04e3ef953a454b9da10f1982fa8553b3</t>
        </is>
      </c>
      <c r="J6" s="127" t="inlineStr">
        <is>
          <t>MeCjFylJMVo</t>
        </is>
      </c>
      <c r="K6" s="127" t="n"/>
      <c r="L6" s="128" t="inlineStr">
        <is>
          <t>https://www.lovethework.com/work/entries/the-new-president-756636</t>
        </is>
      </c>
      <c r="M6" s="113" t="inlineStr">
        <is>
          <t>An AI-generated head of state created by AnNahar Newspaper and IMPACT BBDO to fill Lebanon's presidential vacancy — a position left empty by years of political deadlock — and inserted into actual government cabinet sessions. The AI president was used as a functional stand-in during live proceedings, making it the first instance of an AI-generated head of state actively utilized in an official government context.</t>
        </is>
      </c>
      <c r="N6" s="113" t="inlineStr">
        <is>
          <t>newspaper, ai, technology, lebanon, media-entertainment, generative-ai, political, print-media, public-affairs</t>
        </is>
      </c>
    </row>
    <row r="7">
      <c r="A7" s="127" t="n">
        <v>2025</v>
      </c>
      <c r="B7" s="140" t="inlineStr">
        <is>
          <t>Gold</t>
        </is>
      </c>
      <c r="C7" s="127" t="inlineStr">
        <is>
          <t>Pedigree Caramelo</t>
        </is>
      </c>
      <c r="D7" s="127" t="inlineStr">
        <is>
          <t>Pedigree</t>
        </is>
      </c>
      <c r="E7" s="127" t="inlineStr">
        <is>
          <t>Pedigree</t>
        </is>
      </c>
      <c r="F7" s="127" t="inlineStr">
        <is>
          <t>AlmapBBDO</t>
        </is>
      </c>
      <c r="G7" s="127" t="inlineStr">
        <is>
          <t>Brazil</t>
        </is>
      </c>
      <c r="H7" s="113" t="inlineStr">
        <is>
          <t>Brand Strategy</t>
        </is>
      </c>
      <c r="I7" s="127" t="inlineStr">
        <is>
          <t>digital-presentation-images/creative-strategy-pedigree-caramelo.webp</t>
        </is>
      </c>
      <c r="J7" s="127" t="inlineStr">
        <is>
          <t>prMM0H9psRs</t>
        </is>
      </c>
      <c r="K7" s="127" t="n"/>
      <c r="L7" s="128" t="inlineStr">
        <is>
          <t>https://www.lovethework.com/work/entries/pedigree-caramelo-762215</t>
        </is>
      </c>
      <c r="M7" s="113" t="inlineStr">
        <is>
          <t>A campaign by AlmapBBDO São Paulo that officially registered Brazil's most common shelter dog — the caramelo, a generic tan mixed-breed found across the country — as a recognized breed, complete with a formal Pedigree certificate, DNA testing, a Kennel Club, and its own Pedigree branded packaging. The premise was that the caramelo was already everywhere in Brazilian culture — in memes, jokes, and everyday affection — but had never received the official status that purebred dogs carry, which Pedigree used as a reason to give it one.</t>
        </is>
      </c>
      <c r="N7" s="113" t="inlineStr">
        <is>
          <t>dog-food, brazil, shelter-adoption, branded-experience, packaging, public-service, mixed-breed, brand-strategy, pet-care</t>
        </is>
      </c>
    </row>
    <row r="8">
      <c r="A8" s="127" t="n">
        <v>2025</v>
      </c>
      <c r="B8" s="132" t="inlineStr">
        <is>
          <t>Silver</t>
        </is>
      </c>
      <c r="C8" s="127" t="inlineStr">
        <is>
          <t>Choose Uber</t>
        </is>
      </c>
      <c r="D8" s="127" t="inlineStr">
        <is>
          <t>Heetch</t>
        </is>
      </c>
      <c r="E8" s="127" t="inlineStr">
        <is>
          <t>Heetch</t>
        </is>
      </c>
      <c r="F8" s="127" t="inlineStr">
        <is>
          <t>BETC</t>
        </is>
      </c>
      <c r="G8" s="127" t="inlineStr">
        <is>
          <t>France</t>
        </is>
      </c>
      <c r="H8" s="113" t="inlineStr">
        <is>
          <t>Brave Brands</t>
        </is>
      </c>
      <c r="I8" s="128" t="inlineStr">
        <is>
          <t>https://ascentialcdn.filespin.io/api/v1/conversion/fd2b448479ca41b7aa08b7d8a4bd8749</t>
        </is>
      </c>
      <c r="J8" s="127" t="inlineStr">
        <is>
          <t>l9rO0yGTLEM</t>
        </is>
      </c>
      <c r="K8" s="127" t="n"/>
      <c r="L8" s="128" t="inlineStr">
        <is>
          <t>https://www.lovethework.com/work/entries/choose-uber-762197</t>
        </is>
      </c>
      <c r="M8" s="113" t="inlineStr">
        <is>
          <t>An ad campaign across Paris hotels, airports, and tourist sites during the 2024 Olympics — in 12 languages — that explicitly told visitors to choose Uber, Heetch's biggest competitor, for their rides. The deliberate hand-off kept Heetch's small fleet available for Parisian regulars during the summer surge.</t>
        </is>
      </c>
      <c r="N8" s="113" t="inlineStr">
        <is>
          <t>ride-share, mobility, transport, ooh, multilingual, paris, olympics, sport, customer-retention, france</t>
        </is>
      </c>
    </row>
    <row r="9">
      <c r="A9" s="127" t="n">
        <v>2025</v>
      </c>
      <c r="B9" s="132" t="inlineStr">
        <is>
          <t>Silver</t>
        </is>
      </c>
      <c r="C9" s="127" t="inlineStr">
        <is>
          <t>Annahar's Active Journalism</t>
        </is>
      </c>
      <c r="D9" s="127" t="inlineStr">
        <is>
          <t>Annahar</t>
        </is>
      </c>
      <c r="E9" s="127" t="inlineStr">
        <is>
          <t>Annahar</t>
        </is>
      </c>
      <c r="F9" s="127" t="inlineStr">
        <is>
          <t>Impact BBDO</t>
        </is>
      </c>
      <c r="G9" s="127" t="inlineStr">
        <is>
          <t>United Arab Emirates</t>
        </is>
      </c>
      <c r="H9" s="113" t="inlineStr">
        <is>
          <t>Long-Term Brand Platform</t>
        </is>
      </c>
      <c r="I9" s="128" t="inlineStr">
        <is>
          <t>https://ascentialcdn.filespin.io/api/v1/conversion/b4e46a523b114724a7376a0c7e970774</t>
        </is>
      </c>
      <c r="J9" s="127" t="inlineStr">
        <is>
          <t>vimeo:1094885200/2225619ba7</t>
        </is>
      </c>
      <c r="K9" s="127" t="n"/>
      <c r="L9" s="128" t="inlineStr">
        <is>
          <t>https://www.lovethework.com/work/entries/annahars-active-journalism-757177</t>
        </is>
      </c>
      <c r="M9" s="113" t="inlineStr">
        <is>
          <t>An-Nahar revived its fading newspaper brand by transforming journalism from passive reporting into 'active journalism'—a five-year platform that used the paper itself to demand change in Lebanon. From printing a blank edition to protest government inaction, to donating its paper and ink for election ballots, reviving silenced newspapers and even creating an AI president from its archives, An-Nahar repeatedly turned journalism into civic action. The result was renewed relevance, major revenue growth, regional creative leadership and a powerful proof point that the press could still move a country.</t>
        </is>
      </c>
      <c r="N9" s="113" t="inlineStr">
        <is>
          <t>media, newspaper, journalism, social-good, activism, lebanon, brand-platform, public-affairs</t>
        </is>
      </c>
    </row>
    <row r="10">
      <c r="A10" s="127" t="n">
        <v>2025</v>
      </c>
      <c r="B10" s="132" t="inlineStr">
        <is>
          <t>Silver</t>
        </is>
      </c>
      <c r="C10" s="127" t="inlineStr">
        <is>
          <t>Daisy vs Scammers</t>
        </is>
      </c>
      <c r="D10" s="127" t="inlineStr">
        <is>
          <t>O2</t>
        </is>
      </c>
      <c r="E10" s="127" t="inlineStr">
        <is>
          <t>Daisy vs Scammers</t>
        </is>
      </c>
      <c r="F10" s="127" t="inlineStr">
        <is>
          <t>VCCP</t>
        </is>
      </c>
      <c r="G10" s="127" t="inlineStr">
        <is>
          <t>United Kingdom</t>
        </is>
      </c>
      <c r="H10" s="113" t="inlineStr">
        <is>
          <t>Breakthrough on a Budget</t>
        </is>
      </c>
      <c r="I10" s="127" t="inlineStr">
        <is>
          <t>digital-presentation-images/creative-strategy-o2-daisy-vs-scammers.webp</t>
        </is>
      </c>
      <c r="J10" s="127" t="inlineStr">
        <is>
          <t>tnfhe_XMg7U</t>
        </is>
      </c>
      <c r="K10" s="127" t="n"/>
      <c r="L10" s="128" t="inlineStr">
        <is>
          <t>https://www.lovethework.com/work/entries/daisy-vs-scammers-756893</t>
        </is>
      </c>
      <c r="M10" s="113" t="inlineStr">
        <is>
          <t>An AI-generated elderly woman named Daisy, built by O2 and VCCP to engage phone scammers in extended, rambling conversations — keeping them on the line and away from real potential victims. Daisy is deployed as a live phone persona, realistic enough to hold fraudsters in lengthy calls while collecting intelligence on active scam scripts, at a time when 7 in 10 people in the UK were being targeted by scammers.</t>
        </is>
      </c>
      <c r="N10" s="113" t="inlineStr">
        <is>
          <t>telecommunications, ai, technology, public-safety, conversational-ai, united-kingdom, use-of-technology, consumer-protection, voice</t>
        </is>
      </c>
    </row>
    <row r="11">
      <c r="A11" s="127" t="n">
        <v>2025</v>
      </c>
      <c r="B11" s="132" t="inlineStr">
        <is>
          <t>Silver</t>
        </is>
      </c>
      <c r="C11" s="127" t="inlineStr">
        <is>
          <t>Found in Translation</t>
        </is>
      </c>
      <c r="D11" s="127" t="inlineStr">
        <is>
          <t>Medalla Light</t>
        </is>
      </c>
      <c r="E11" s="127" t="inlineStr">
        <is>
          <t>Medalla Light</t>
        </is>
      </c>
      <c r="F11" s="127" t="inlineStr">
        <is>
          <t>DDB Latina Puerto Rico</t>
        </is>
      </c>
      <c r="G11" s="127" t="inlineStr">
        <is>
          <t>Puerto Rico</t>
        </is>
      </c>
      <c r="H11" s="113" t="inlineStr">
        <is>
          <t>Cultural Engagement</t>
        </is>
      </c>
      <c r="I11" s="127" t="inlineStr">
        <is>
          <t>digital-presentation-images/creative-strategy-medalla-light-found-in-translation.webp</t>
        </is>
      </c>
      <c r="J11" s="127" t="inlineStr">
        <is>
          <t>O_uAjIgBx2g</t>
        </is>
      </c>
      <c r="K11" s="127" t="n"/>
      <c r="L11" s="128" t="inlineStr">
        <is>
          <t>https://www.lovethework.com/work/entries/found-in-translation-757072</t>
        </is>
      </c>
      <c r="M11" s="113" t="inlineStr">
        <is>
          <t>A print and outdoor campaign for Medalla Light, Puerto Rico's local beer, that turned the Spanglish spoken by the Puerto Rican diaspora in the U.S. into the creative medium — blending Spanish and English mid-sentence to reflect how the community actually talks. The ads ran in U.S. markets where Puerto Ricans live, treating their hybrid language not as a barrier but as a distinct cultural identity worth celebrating.</t>
        </is>
      </c>
      <c r="N11" s="113" t="inlineStr">
        <is>
          <t>beer, alcohol, print, ooh, cultural-engagement, diaspora, spanglish, puerto-rico, united-states, language</t>
        </is>
      </c>
    </row>
    <row r="12">
      <c r="A12" s="127" t="n">
        <v>2025</v>
      </c>
      <c r="B12" s="132" t="inlineStr">
        <is>
          <t>Silver</t>
        </is>
      </c>
      <c r="C12" s="127" t="inlineStr">
        <is>
          <t>The Last Barf Bag</t>
        </is>
      </c>
      <c r="D12" s="127" t="inlineStr">
        <is>
          <t>Dramamine</t>
        </is>
      </c>
      <c r="E12" s="127" t="inlineStr">
        <is>
          <t>Dramamine</t>
        </is>
      </c>
      <c r="F12" s="127" t="inlineStr">
        <is>
          <t>FCB Chicago</t>
        </is>
      </c>
      <c r="G12" s="127" t="inlineStr">
        <is>
          <t>United States</t>
        </is>
      </c>
      <c r="H12" s="113" t="inlineStr">
        <is>
          <t>Healthcare</t>
        </is>
      </c>
      <c r="I12" s="127" t="inlineStr">
        <is>
          <t>digital-presentation-images/creative-strategy-dramamine-the-last-barf-bag.webp</t>
        </is>
      </c>
      <c r="J12" s="127" t="inlineStr">
        <is>
          <t>QEJe_2ygBzQ</t>
        </is>
      </c>
      <c r="K12" s="127" t="n"/>
      <c r="L12" s="128" t="inlineStr">
        <is>
          <t>https://www.lovethework.com/work/entries/the-last-barf-bag-756641</t>
        </is>
      </c>
      <c r="M12" s="113" t="inlineStr">
        <is>
          <t>A 12-minute documentary produced by FCB Chicago and The Shipyard, in which Dramamine — crediting its own effectiveness at preventing nausea — stages a grand farewell to the airline barf bag, an object it claims to be accidentally driving to extinction. The campaign extended into OOH movie-style posters, the first-ever barf bag museum on Broadway Avenue in New York City, and an e-commerce platform selling repurposed bags for every use except catching vomit.</t>
        </is>
      </c>
      <c r="N12" s="113" t="inlineStr">
        <is>
          <t>motion-sickness-medication, documentary, film, entertainment, cinema, ooh, pop-up, e-commerce, united-states, healthcare</t>
        </is>
      </c>
    </row>
    <row r="13">
      <c r="A13" s="127" t="n">
        <v>2025</v>
      </c>
      <c r="B13" s="132" t="inlineStr">
        <is>
          <t>Silver</t>
        </is>
      </c>
      <c r="C13" s="127" t="inlineStr">
        <is>
          <t>It's a Cheetos Thing</t>
        </is>
      </c>
      <c r="D13" s="127" t="inlineStr">
        <is>
          <t>Cheetos</t>
        </is>
      </c>
      <c r="E13" s="127" t="inlineStr">
        <is>
          <t>Cheetos</t>
        </is>
      </c>
      <c r="F13" s="127" t="inlineStr">
        <is>
          <t>Goodby Silverstein &amp; Partners</t>
        </is>
      </c>
      <c r="G13" s="127" t="inlineStr">
        <is>
          <t>United States</t>
        </is>
      </c>
      <c r="H13" s="113" t="inlineStr">
        <is>
          <t>Long-Term Brand Platform</t>
        </is>
      </c>
      <c r="I13" s="127" t="inlineStr">
        <is>
          <t>digital-presentation-images/creative-strategy-cheetos-pepsico-its-a-cheetos-thing.webp</t>
        </is>
      </c>
      <c r="J13" s="127" t="inlineStr">
        <is>
          <t>vimeo:1094791063/08d1ef48b6</t>
        </is>
      </c>
      <c r="K13" s="127" t="n"/>
      <c r="L13" s="128" t="inlineStr">
        <is>
          <t>https://www.lovethework.com/work/entries/its-a-cheetos-thing-757167</t>
        </is>
      </c>
      <c r="M13" s="113" t="inlineStr">
        <is>
          <t>A long-term brand platform built around the orange dust — "Cheetle" — that coats fingers after eating Cheetos, repositioning the mess as the reason fans eat with their non-dominant hand and leave orange prints on everything they touch. The platform spans Super Bowl TV spots featuring MC Hammer and Simu Liu, OOH highlighting left-handed Cheetos eaters, a hands-free experience at SXSW, and a courtside celebrity stunt, all anchored to the shared behavior as a badge of fandom.</t>
        </is>
      </c>
      <c r="N13" s="113" t="inlineStr">
        <is>
          <t>snack, food, packaged-goods, cpg, fmcg, brand-platform, television, ooh, experiential, united-states, celebrity, integrated-campaign, long-term-platform</t>
        </is>
      </c>
    </row>
    <row r="14">
      <c r="A14" s="127" t="n">
        <v>2025</v>
      </c>
      <c r="B14" s="132" t="inlineStr">
        <is>
          <t>Silver</t>
        </is>
      </c>
      <c r="C14" s="127" t="inlineStr">
        <is>
          <t>AXA - Three Words</t>
        </is>
      </c>
      <c r="D14" s="127" t="inlineStr">
        <is>
          <t>AXA</t>
        </is>
      </c>
      <c r="E14" s="127" t="inlineStr">
        <is>
          <t>Insurance</t>
        </is>
      </c>
      <c r="F14" s="127" t="inlineStr">
        <is>
          <t>Publicis Conseil</t>
        </is>
      </c>
      <c r="G14" s="127" t="inlineStr">
        <is>
          <t>France</t>
        </is>
      </c>
      <c r="H14" s="113" t="inlineStr">
        <is>
          <t>Corporate Purpose &amp; Social Responsibility</t>
        </is>
      </c>
      <c r="I14" s="127" t="inlineStr">
        <is>
          <t>digital-presentation-images/creative-strategy-axa-axa-three-words.webp</t>
        </is>
      </c>
      <c r="J14" s="127" t="inlineStr">
        <is>
          <t>pY-03zuV7mE</t>
        </is>
      </c>
      <c r="K14" s="127" t="n"/>
      <c r="L14" s="128" t="inlineStr">
        <is>
          <t>https://www.lovethework.com/work/entries/axa-three-words-756914</t>
        </is>
      </c>
      <c r="M14" s="113" t="inlineStr">
        <is>
          <t>AXA turned home insurance into a tool for escape by adding three words—“and domestic violence”—to its policies, making abuse a covered risk alongside fire and flood. The change gave victims emergency relocation support at no extra cost, updating 2.5 million contracts and helping women leave the most dangerous place they may face: their own home.</t>
        </is>
      </c>
      <c r="N14" s="113" t="inlineStr">
        <is>
          <t>insurance, financial-services, finance, france, domestic-violence, public-service, digital-platform, consumer-services, housing, publicis-conseil</t>
        </is>
      </c>
    </row>
    <row r="15">
      <c r="A15" s="127" t="n">
        <v>2025</v>
      </c>
      <c r="B15" s="132" t="inlineStr">
        <is>
          <t>Silver</t>
        </is>
      </c>
      <c r="C15" s="127" t="inlineStr">
        <is>
          <t>Get Comfortable</t>
        </is>
      </c>
      <c r="D15" s="127" t="inlineStr">
        <is>
          <t>Andrex</t>
        </is>
      </c>
      <c r="E15" s="127" t="inlineStr">
        <is>
          <t>Andrex</t>
        </is>
      </c>
      <c r="F15" s="127" t="inlineStr">
        <is>
          <t>FCB London</t>
        </is>
      </c>
      <c r="G15" s="127" t="inlineStr">
        <is>
          <t>United Kingdom</t>
        </is>
      </c>
      <c r="H15" s="113" t="inlineStr">
        <is>
          <t>Consumer Goods</t>
        </is>
      </c>
      <c r="I15" s="127" t="inlineStr">
        <is>
          <t>digital-presentation-images/creative-strategy-andrex-get-comfortable.webp</t>
        </is>
      </c>
      <c r="J15" s="127" t="inlineStr">
        <is>
          <t>gGnarGs_icM</t>
        </is>
      </c>
      <c r="K15" s="127" t="n"/>
      <c r="L15" s="128" t="inlineStr">
        <is>
          <t>https://www.lovethework.com/work/entries/get-comfortable-756571</t>
        </is>
      </c>
      <c r="M15" s="113" t="inlineStr">
        <is>
          <t>A brand platform built around confronting British toileting taboos — the fact that 47% of Brits won't use the toilet at work and 1 in 5 avoid speaking to a GP about bowel health — using TV, national OOH, a Waterloo Station toilet takeover, a Celebrity Big Brother ITV partnership, and a contextual digi-van campaign. Developed with FCB London in partnership with Bowel Cancer UK, the Andrex puppy was repositioned as a prompt for openness about bowel symptoms rather than a softness metaphor.</t>
        </is>
      </c>
      <c r="N15" s="113" t="inlineStr">
        <is>
          <t>toilet-tissue, public-health, united-kingdom, ooh, television, social, partnership, consumer-goods, cpg, fmcg, bowel-health</t>
        </is>
      </c>
    </row>
    <row r="16">
      <c r="A16" s="127" t="n">
        <v>2025</v>
      </c>
      <c r="B16" s="132" t="inlineStr">
        <is>
          <t>Silver</t>
        </is>
      </c>
      <c r="C16" s="127" t="inlineStr">
        <is>
          <t>The Princess &amp; the Crown</t>
        </is>
      </c>
      <c r="D16" s="127" t="inlineStr">
        <is>
          <t>Seda, Droga5</t>
        </is>
      </c>
      <c r="E16" s="127" t="inlineStr">
        <is>
          <t>Seda Shampoo</t>
        </is>
      </c>
      <c r="F16" s="127" t="inlineStr">
        <is>
          <t>Part of Accenture Song</t>
        </is>
      </c>
      <c r="G16" s="127" t="inlineStr">
        <is>
          <t>Brazil</t>
        </is>
      </c>
      <c r="H16" s="113" t="inlineStr">
        <is>
          <t>Audience Insight</t>
        </is>
      </c>
      <c r="I16" s="127" t="inlineStr">
        <is>
          <t>digital-presentation-images/creative-strategy-seda-droga5-the-princess-and-the-crown.webp</t>
        </is>
      </c>
      <c r="J16" s="127" t="inlineStr">
        <is>
          <t>J750Ylo52is</t>
        </is>
      </c>
      <c r="K16" s="127" t="n"/>
      <c r="L16" s="128" t="inlineStr">
        <is>
          <t>https://www.lovethework.com/work/entries/the-princess-the-crown-756938</t>
        </is>
      </c>
      <c r="M16" s="113" t="inlineStr">
        <is>
          <t>A redesigned Disney Princess Tiana doll, developed in partnership with Disney, that gives the character full natural coily hair — a version of the princess that had never appeared in official merchandise. Seda, a Brazilian curly hair care brand, commissioned the prototype in response to the near-total absence of Black characters in Brazilian children's media, where Black characters represent only 5% of all representation despite Black and mixed-race Brazilians making up more than 56% of the population. The official doll is manufactured by Black entrepreneurs in Salvador, Bahia, where 80% of the population identifies as Black or brown.</t>
        </is>
      </c>
      <c r="N16" s="113" t="inlineStr">
        <is>
          <t>hair-care, product-design, brazil, licensing-partnership, black-representation, children, packaging, beauty, curly-hair</t>
        </is>
      </c>
    </row>
    <row r="17">
      <c r="A17" s="127" t="n">
        <v>2025</v>
      </c>
      <c r="B17" s="133" t="inlineStr">
        <is>
          <t>Bronze</t>
        </is>
      </c>
      <c r="C17" s="127" t="inlineStr">
        <is>
          <t>Guarded Bus Stop</t>
        </is>
      </c>
      <c r="D17" s="127" t="inlineStr">
        <is>
          <t>Eletromidia</t>
        </is>
      </c>
      <c r="E17" s="127" t="inlineStr">
        <is>
          <t>Guarded Bus Stop</t>
        </is>
      </c>
      <c r="F17" s="127" t="inlineStr">
        <is>
          <t>AlmapBBDO</t>
        </is>
      </c>
      <c r="G17" s="127" t="inlineStr">
        <is>
          <t>Brazil</t>
        </is>
      </c>
      <c r="H17" s="113" t="inlineStr">
        <is>
          <t>Corporate Purpose &amp; Social Responsibility</t>
        </is>
      </c>
      <c r="I17" s="127" t="inlineStr">
        <is>
          <t>digital-presentation-images/creative-strategy-eletromidia-guarded-bus-stop.webp</t>
        </is>
      </c>
      <c r="J17" s="127" t="inlineStr">
        <is>
          <t>vimeo:844081201</t>
        </is>
      </c>
      <c r="K17" s="127" t="n"/>
      <c r="L17" s="128" t="inlineStr">
        <is>
          <t>https://www.lovethework.com/work/entries/guarded-bus-stop-762347</t>
        </is>
      </c>
      <c r="M17" s="113" t="inlineStr">
        <is>
          <t>A network of digital out-of-home bus shelter screens in Campinas, São Paulo, and Rio de Janeiro — Brazil's most deserted stops, identified by mapping — retrofitted with night-vision cameras, microphones, presence sensors, and internet connections so that a woman waiting alone at night can touch the screen to start a live video call with a surveillance company professional. The existing advertising panels do the work: no new structures were installed, just hardware added to Eletromidia's own inventory, with major brands sponsoring the slots to fund the service.</t>
        </is>
      </c>
      <c r="N17" s="113" t="inlineStr">
        <is>
          <t>out-of-home, interactive-ooh, public-safety, women-safety, brazil, dooh, video-call, urban-infrastructure, corporate-purpose</t>
        </is>
      </c>
    </row>
    <row r="18">
      <c r="A18" s="127" t="n">
        <v>2025</v>
      </c>
      <c r="B18" s="133" t="inlineStr">
        <is>
          <t>Bronze</t>
        </is>
      </c>
      <c r="C18" s="127" t="inlineStr">
        <is>
          <t>Meet Marina Prieto</t>
        </is>
      </c>
      <c r="D18" s="127" t="inlineStr">
        <is>
          <t>Jc Decaux</t>
        </is>
      </c>
      <c r="E18" s="127" t="inlineStr">
        <is>
          <t>Media Channel</t>
        </is>
      </c>
      <c r="F18" s="127" t="inlineStr">
        <is>
          <t>David</t>
        </is>
      </c>
      <c r="G18" s="127" t="inlineStr">
        <is>
          <t>Spain</t>
        </is>
      </c>
      <c r="H18" s="113" t="inlineStr">
        <is>
          <t>Consumer Services/Business to Business</t>
        </is>
      </c>
      <c r="I18" s="127" t="inlineStr">
        <is>
          <t>digital-presentation-images/creative-strategy-jc-decaux-meet-marina-prieto.webp</t>
        </is>
      </c>
      <c r="J18" s="127" t="inlineStr">
        <is>
          <t>4j2UkSs-cSo</t>
        </is>
      </c>
      <c r="K18" s="127" t="n"/>
      <c r="L18" s="128" t="inlineStr">
        <is>
          <t>https://www.lovethework.com/work/entries/meet-marina-prieto-756662</t>
        </is>
      </c>
      <c r="M18" s="113" t="inlineStr">
        <is>
          <t>A JCDecaux out-of-home campaign that filled more than 850 unbought subway ad spaces across Madrid with the 54 Instagram posts of Marina Prieto — a 100-year-old Galician woman with 28 followers, photographed gardening, eating churros, and taking naps — with no brand attribution or explanation. In 2023, subway ad investment in Spain had dropped 7%, and the campaign was built to demonstrate to brands that the medium still works, by making an entirely unknown person go viral through it alone.</t>
        </is>
      </c>
      <c r="N18" s="113" t="inlineStr">
        <is>
          <t>outdoor-advertising, ooh, metro, spain, social-media, b2b, business, influencer, media-channel, unsold-inventory</t>
        </is>
      </c>
    </row>
    <row r="19">
      <c r="A19" s="127" t="n">
        <v>2025</v>
      </c>
      <c r="B19" s="133" t="inlineStr">
        <is>
          <t>Bronze</t>
        </is>
      </c>
      <c r="C19" s="127" t="inlineStr">
        <is>
          <t>Transition Body Lotion</t>
        </is>
      </c>
      <c r="D19" s="127" t="inlineStr">
        <is>
          <t>Unilever</t>
        </is>
      </c>
      <c r="E19" s="127" t="inlineStr">
        <is>
          <t>Vaseline Pro Derma Transition Body Lotion</t>
        </is>
      </c>
      <c r="F19" s="127" t="inlineStr">
        <is>
          <t>Ogilvy</t>
        </is>
      </c>
      <c r="G19" s="127" t="inlineStr">
        <is>
          <t>Singapore</t>
        </is>
      </c>
      <c r="H19" s="113" t="inlineStr">
        <is>
          <t>Products/Services</t>
        </is>
      </c>
      <c r="I19" s="127" t="inlineStr">
        <is>
          <t>digital-presentation-images/creative-strategy-unilever-transition-body-lotion.webp</t>
        </is>
      </c>
      <c r="J19" s="127" t="inlineStr">
        <is>
          <t>adj2vS3ZLUw</t>
        </is>
      </c>
      <c r="K19" s="127" t="n"/>
      <c r="L19" s="128" t="inlineStr">
        <is>
          <t>https://www.lovethework.com/work/entries/transition-body-lotion-757003</t>
        </is>
      </c>
      <c r="M19" s="113" t="inlineStr">
        <is>
          <t>A body lotion developed by Vaseline and Ogilvy Singapore specifically for the skin changes transgender women experience during and after hormone therapy — dryness, sensitivity, and texture shifts that existing products weren't formulated to address. Vaseline Pro Derma Transition Body Lotion was sold as a retail product, making it both a piece of communication and a functional item on the shelf.</t>
        </is>
      </c>
      <c r="N19" s="113" t="inlineStr">
        <is>
          <t>body-lotion, skincare, personal-care, beauty, transgender, product-innovation, singapore, ogilvy, market-disruption, packaging</t>
        </is>
      </c>
    </row>
    <row r="20">
      <c r="A20" s="127" t="n">
        <v>2025</v>
      </c>
      <c r="B20" s="133" t="inlineStr">
        <is>
          <t>Bronze</t>
        </is>
      </c>
      <c r="C20" s="127" t="inlineStr">
        <is>
          <t>Pub Museums</t>
        </is>
      </c>
      <c r="D20" s="127" t="inlineStr">
        <is>
          <t>Heineken</t>
        </is>
      </c>
      <c r="E20" s="127" t="inlineStr">
        <is>
          <t>Heineken</t>
        </is>
      </c>
      <c r="F20" s="127" t="inlineStr">
        <is>
          <t>LePub</t>
        </is>
      </c>
      <c r="G20" s="127" t="inlineStr">
        <is>
          <t>Italy</t>
        </is>
      </c>
      <c r="H20" s="113" t="inlineStr">
        <is>
          <t>Corporate Purpose &amp; Social Responsibility</t>
        </is>
      </c>
      <c r="I20" s="128" t="inlineStr">
        <is>
          <t>https://ascentialcdn.filespin.io/api/v1/conversion/86282110e23b4b43a6d78c517dc757a2</t>
        </is>
      </c>
      <c r="J20" s="127" t="inlineStr">
        <is>
          <t>Qp8Od1eQOt4</t>
        </is>
      </c>
      <c r="K20" s="127" t="n"/>
      <c r="L20" s="128" t="inlineStr">
        <is>
          <t>https://www.lovethework.com/work/entries/pub-museums-756811</t>
        </is>
      </c>
      <c r="M20" s="113" t="inlineStr">
        <is>
          <t>A legal reclassification scheme that registered historic Irish pubs as virtual museums under the Irish Heritage Council's protected-status framework — a designation that unlocks tax support and financial benefits for sites open to the public. By creating navigable online museum experiences for qualifying pubs, Heineken and Publicis Dublin allowed struggling venues to access the same institutional protections given to heritage buildings.</t>
        </is>
      </c>
      <c r="N20" s="113" t="inlineStr">
        <is>
          <t>beer, alcohol, ireland, digital, heritage, single-market-campaign, public-relations, branded-utility, lepub</t>
        </is>
      </c>
    </row>
    <row r="21">
      <c r="A21" s="127" t="n">
        <v>2025</v>
      </c>
      <c r="B21" s="133" t="inlineStr">
        <is>
          <t>Bronze</t>
        </is>
      </c>
      <c r="C21" s="127" t="inlineStr">
        <is>
          <t>Child Wedding Cards</t>
        </is>
      </c>
      <c r="D21" s="127" t="inlineStr">
        <is>
          <t>UN Women</t>
        </is>
      </c>
      <c r="E21" s="127" t="inlineStr">
        <is>
          <t>UN Women</t>
        </is>
      </c>
      <c r="F21" s="127" t="inlineStr">
        <is>
          <t>Impact BBDO</t>
        </is>
      </c>
      <c r="G21" s="127" t="inlineStr">
        <is>
          <t>United Arab Emirates</t>
        </is>
      </c>
      <c r="H21" s="113" t="inlineStr">
        <is>
          <t>Breakthrough on a Budget</t>
        </is>
      </c>
      <c r="I21" s="128" t="inlineStr">
        <is>
          <t>https://ascentialcdn.filespin.io/api/v1/conversion/abc63dd6ae264a01a36dad6fe71eb424</t>
        </is>
      </c>
      <c r="J21" s="127" t="inlineStr">
        <is>
          <t>G_dzr4SJqjY</t>
        </is>
      </c>
      <c r="K21" s="127" t="n"/>
      <c r="L21" s="128" t="inlineStr">
        <is>
          <t>https://www.lovethework.com/work/entries/child-wedding-cards-756874</t>
        </is>
      </c>
      <c r="M21" s="113" t="inlineStr">
        <is>
          <t>A direct-mail campaign that sent hand-delivered wedding invitation cards — a culturally significant tradition in Pakistan, where printed cards are still delivered in person — to Pakistani lawmakers, each one made to appear crafted by a child. Produced in collaboration with BBDO Pakistan for under $1,500, the cards were designed to pressure legislators into raising the country's minimum marriage age to 18.</t>
        </is>
      </c>
      <c r="N21" s="113" t="inlineStr">
        <is>
          <t>un-women, direct-mail, public-health, child-marriage, pakistan, united-arab-emirates, low-budget, advocacy, print</t>
        </is>
      </c>
    </row>
    <row r="22">
      <c r="A22" s="127" t="n">
        <v>2025</v>
      </c>
      <c r="B22" s="133" t="inlineStr">
        <is>
          <t>Bronze</t>
        </is>
      </c>
      <c r="C22" s="127" t="inlineStr">
        <is>
          <t>Michael Cerave</t>
        </is>
      </c>
      <c r="D22" s="127" t="inlineStr">
        <is>
          <t>Cerave</t>
        </is>
      </c>
      <c r="E22" s="127" t="inlineStr">
        <is>
          <t>Cerave</t>
        </is>
      </c>
      <c r="F22" s="127" t="inlineStr">
        <is>
          <t>Ogilvy PR</t>
        </is>
      </c>
      <c r="G22" s="127" t="inlineStr">
        <is>
          <t>United States</t>
        </is>
      </c>
      <c r="H22" s="113" t="inlineStr">
        <is>
          <t>Market Disruption</t>
        </is>
      </c>
      <c r="I22" s="127" t="inlineStr">
        <is>
          <t>digital-presentation-images/creative-strategy-cerave-michael-cerave.webp</t>
        </is>
      </c>
      <c r="J22" s="127" t="inlineStr">
        <is>
          <t>vimeo:924148167</t>
        </is>
      </c>
      <c r="K22" s="127" t="n"/>
      <c r="L22" s="128" t="inlineStr">
        <is>
          <t>https://www.lovethework.com/work/entries/michael-cerave-762224</t>
        </is>
      </c>
      <c r="M22" s="113" t="inlineStr">
        <is>
          <t>A months-long social media and influencer conspiracy seeding the false claim that actor Michael Cera had secretly developed CeraVe skincare, built across earned, paid, and owned channels before being formally debunked on live television by a boardroom of CeraVe dermatologists in a Super Bowl commercial. The campaign was developed by Ogilvy PR New York and WPP Onefluence, using the prank's escalating absurdity to draw audiences in before the brand's actual credential — dermatologist development — delivered the punchline.</t>
        </is>
      </c>
      <c r="N22" s="113" t="inlineStr">
        <is>
          <t>skincare, personal-care, beauty, social-media, influencer, super-bowl, television, healthcare, united-states, multi-platform, pr</t>
        </is>
      </c>
    </row>
    <row r="23">
      <c r="A23" s="127" t="n">
        <v>2025</v>
      </c>
      <c r="B23" s="133" t="inlineStr">
        <is>
          <t>Bronze</t>
        </is>
      </c>
      <c r="C23" s="127" t="inlineStr">
        <is>
          <t>The Hidden Eye Test</t>
        </is>
      </c>
      <c r="D23" s="127" t="inlineStr">
        <is>
          <t>1001 Optometry</t>
        </is>
      </c>
      <c r="E23" s="127" t="inlineStr">
        <is>
          <t>1001 Optometry</t>
        </is>
      </c>
      <c r="F23" s="127" t="inlineStr">
        <is>
          <t>VML</t>
        </is>
      </c>
      <c r="G23" s="127" t="inlineStr">
        <is>
          <t>Australia</t>
        </is>
      </c>
      <c r="H23" s="113" t="inlineStr">
        <is>
          <t>Travel, Leisure, Retail, Restaurants &amp; Fast-Food Chains</t>
        </is>
      </c>
      <c r="I23" s="127" t="inlineStr">
        <is>
          <t>digital-presentation-images/creative-strategy-1001-optometry-the-hidden-eye-test.webp</t>
        </is>
      </c>
      <c r="J23" s="127" t="inlineStr">
        <is>
          <t>vimeo:1077848029</t>
        </is>
      </c>
      <c r="K23" s="127" t="n"/>
      <c r="L23" s="128" t="inlineStr">
        <is>
          <t>https://www.lovethework.com/work/entries/the-hidden-eye-test-756664</t>
        </is>
      </c>
      <c r="M23" s="113" t="inlineStr">
        <is>
          <t>A series of out-of-home billboards designed in collaboration with optometrists and AI artists, in which messages — "Eye Test," "Eye Scan," and "Eyecare" — are embedded within folds of fabric, shadows, and shapes using deliberate colour contrast, visual layering, and photographic detail, making them legible only to people with blurry vision. Built on a bespoke pipeline of AI programs trained on high-fashion imagery over 12 months, the boards function as a passive, condition-triggered prompt: passers-by who can read the hidden text are directed to book an eye test at 1001 Optometry, working on the insight that 90% of eye conditions are treatable when caught early but most Australians act only once symptoms appear.</t>
        </is>
      </c>
      <c r="N23" s="113" t="inlineStr">
        <is>
          <t>optometry, ooh, ai, technology, australia, out-of-home, health-awareness, typography, retail, eye-care, healthcare, medical</t>
        </is>
      </c>
    </row>
    <row r="24">
      <c r="A24" s="127" t="n">
        <v>2025</v>
      </c>
      <c r="B24" s="133" t="inlineStr">
        <is>
          <t>Bronze</t>
        </is>
      </c>
      <c r="C24" s="127" t="inlineStr">
        <is>
          <t>Sounds Right</t>
        </is>
      </c>
      <c r="D24" s="127" t="inlineStr">
        <is>
          <t>Museum for the United Nations - UN Live</t>
        </is>
      </c>
      <c r="E24" s="127" t="inlineStr">
        <is>
          <t>Music</t>
        </is>
      </c>
      <c r="F24" s="127" t="inlineStr">
        <is>
          <t>AKQA</t>
        </is>
      </c>
      <c r="G24" s="127" t="inlineStr">
        <is>
          <t>Denmark</t>
        </is>
      </c>
      <c r="H24" s="113" t="inlineStr">
        <is>
          <t>Media/Entertainment</t>
        </is>
      </c>
      <c r="I24" s="127" t="inlineStr">
        <is>
          <t>digital-presentation-images/creative-strategy-museum-for-the-united-nations-sounds-right.webp</t>
        </is>
      </c>
      <c r="J24" s="127" t="inlineStr">
        <is>
          <t>vimeo:1094746280</t>
        </is>
      </c>
      <c r="K24" s="127" t="n"/>
      <c r="L24" s="128" t="inlineStr">
        <is>
          <t>https://www.lovethework.com/work/entries/sounds-right-756651</t>
        </is>
      </c>
      <c r="M24" s="113" t="inlineStr">
        <is>
          <t>A Spotify initiative, developed by AKQA for Museum for the United Nations – UN Live, that registers NATURE as an official credited artist on the platform — so that existing songs featuring natural soundscapes, from artists including V of BTS, David Bowie, Brian Eno, AURORA, and Ellie Goulding, list NATURE as a collaborator with its own verified artist profile. Streaming royalties attributed to NATURE's credit are directed toward nature conservation funding.</t>
        </is>
      </c>
      <c r="N24" s="113" t="inlineStr">
        <is>
          <t>music, entertainment, streaming, tv, spotify, mobile-app, conservation, public-service, corporate-social-responsibility, denmark, akqa</t>
        </is>
      </c>
    </row>
    <row r="25">
      <c r="A25" s="127" t="n">
        <v>2025</v>
      </c>
      <c r="B25" s="133" t="inlineStr">
        <is>
          <t>Bronze</t>
        </is>
      </c>
      <c r="C25" s="127" t="inlineStr">
        <is>
          <t>Football Is for Food</t>
        </is>
      </c>
      <c r="D25" s="127" t="inlineStr">
        <is>
          <t>Uber Eats</t>
        </is>
      </c>
      <c r="E25" s="127" t="inlineStr">
        <is>
          <t>Uber Eats</t>
        </is>
      </c>
      <c r="F25" s="127" t="inlineStr">
        <is>
          <t>Special</t>
        </is>
      </c>
      <c r="G25" s="127" t="inlineStr">
        <is>
          <t>United States</t>
        </is>
      </c>
      <c r="H25" s="113" t="inlineStr">
        <is>
          <t>Travel, Leisure, Retail, Restaurants &amp; Fast-Food Chains</t>
        </is>
      </c>
      <c r="I25" s="127" t="inlineStr">
        <is>
          <t>digital-presentation-images/creative-strategy-uber-eats-football-is-for-food.webp</t>
        </is>
      </c>
      <c r="J25" s="127" t="inlineStr">
        <is>
          <t>Mi_cxUyqH4Q</t>
        </is>
      </c>
      <c r="K25" s="127" t="n"/>
      <c r="L25" s="128" t="inlineStr">
        <is>
          <t>https://www.lovethework.com/work/entries/football-is-for-food-756733</t>
        </is>
      </c>
      <c r="M25" s="113" t="inlineStr">
        <is>
          <t>A season-long campaign that reframed the entire NFL as a covert advertisement for food delivery — with a conspiracy theory, seeded across multiple spots, connecting football touchdowns, huddles, and tailgates to the act of ordering food. Matthew McConaughey and NFL star Christian McCaffrey fronted the launch film, which kicked off a rolling series of fabricated "evidence" uncovering hundreds of links between football and eating, created by Special US.</t>
        </is>
      </c>
      <c r="N25" s="113" t="inlineStr">
        <is>
          <t>food-delivery, food, restaurant, ecommerce, retail, online-shopping, television, brand-integration, nfl, united-states, conspiracy, humor, sports-sponsorship</t>
        </is>
      </c>
    </row>
    <row r="26">
      <c r="A26" s="127" t="n">
        <v>2025</v>
      </c>
      <c r="B26" s="133" t="inlineStr">
        <is>
          <t>Bronze</t>
        </is>
      </c>
      <c r="C26" s="127" t="inlineStr">
        <is>
          <t>Waiting to Live</t>
        </is>
      </c>
      <c r="D26" s="127" t="inlineStr">
        <is>
          <t>NHS</t>
        </is>
      </c>
      <c r="E26" s="127" t="inlineStr">
        <is>
          <t>NHS Blood &amp; Transplant</t>
        </is>
      </c>
      <c r="F26" s="127" t="inlineStr">
        <is>
          <t>VML</t>
        </is>
      </c>
      <c r="G26" s="127" t="inlineStr">
        <is>
          <t>United Kingdom</t>
        </is>
      </c>
      <c r="H26" s="113" t="inlineStr">
        <is>
          <t>Not-for-Profit / Charity / Government</t>
        </is>
      </c>
      <c r="I26" s="127" t="inlineStr">
        <is>
          <t>digital-presentation-images/creative-strategy-nhs-waiting-to-live.webp</t>
        </is>
      </c>
      <c r="J26" s="127" t="inlineStr">
        <is>
          <t>OyiFnpmTFsY</t>
        </is>
      </c>
      <c r="K26" s="127" t="n"/>
      <c r="L26" s="128" t="inlineStr">
        <is>
          <t>https://www.lovethework.com/work/entries/waiting-to-live-756712</t>
        </is>
      </c>
      <c r="M26" s="113" t="inlineStr">
        <is>
          <t>A set of 233 handcrafted dolls, each representing one of the real children on the UK transplant waiting list, placed in the waiting rooms of their local hospitals alongside a QR code badge carrying the child's name and condition. Scanning the badge opens a dedicated site — waitingtolive.org, built by VML — where visitors hear that specific child's story and can register their own child on the NHS Organ Donor Register.</t>
        </is>
      </c>
      <c r="N26" s="113" t="inlineStr">
        <is>
          <t>public-health, not-for-profit, charity, ngo, social-good, experiential, ooh, qr-code, craft, organ-donation, healthcare, medical, united-kingdom</t>
        </is>
      </c>
    </row>
    <row r="27">
      <c r="A27" s="127" t="n">
        <v>2025</v>
      </c>
      <c r="B27" s="133" t="inlineStr">
        <is>
          <t>Bronze</t>
        </is>
      </c>
      <c r="C27" s="127" t="inlineStr">
        <is>
          <t>The 26th Minute</t>
        </is>
      </c>
      <c r="D27" s="127" t="inlineStr">
        <is>
          <t>Dublin Samaritans, Droga5</t>
        </is>
      </c>
      <c r="E27" s="127" t="inlineStr">
        <is>
          <t>Samaritans Volunteer Recruitment</t>
        </is>
      </c>
      <c r="F27" s="127" t="inlineStr">
        <is>
          <t>Part of Accenture Song</t>
        </is>
      </c>
      <c r="G27" s="127" t="inlineStr">
        <is>
          <t>Ireland</t>
        </is>
      </c>
      <c r="H27" s="113" t="inlineStr">
        <is>
          <t>Audience Insight</t>
        </is>
      </c>
      <c r="I27" s="127" t="inlineStr">
        <is>
          <t>digital-presentation-images/creative-strategy-dublin-samaritans-droga5-the-26th-minute.webp</t>
        </is>
      </c>
      <c r="J27" s="127" t="inlineStr">
        <is>
          <t>vimeo:1156074978</t>
        </is>
      </c>
      <c r="K27" s="127" t="n"/>
      <c r="L27" s="128" t="inlineStr">
        <is>
          <t>https://www.lovethework.com/work/entries/the-26th-minute-756951</t>
        </is>
      </c>
      <c r="M27" s="113" t="inlineStr">
        <is>
          <t>A series of hyper-targeted media interruptions placed at the 26th minute — the average length of a Samaritans call — across podcasts, live Premier League football broadcasts, and rock gigs in Ireland, reaching people while they were already listening for exactly that duration. The creative insight addressed a specific recruitment barrier: many people believe volunteering requires formal qualifications, when the only skill needed is the ability to listen for 26 minutes. Developed by Droga5 Dublin, part of Accenture Song, the campaign ran across Dublin to fill night-shift volunteer slots for Ireland's only 24-hour emotional distress helpline.</t>
        </is>
      </c>
      <c r="N27" s="113" t="inlineStr">
        <is>
          <t>nonprofit, volunteer-recruitment, podcast, live-events, sports-broadcast, media-placement, ireland, mental-health, healthcare, medical, audience-insight</t>
        </is>
      </c>
    </row>
    <row r="28">
      <c r="A28" s="127" t="n">
        <v>2025</v>
      </c>
      <c r="B28" s="133" t="inlineStr">
        <is>
          <t>Bronze</t>
        </is>
      </c>
      <c r="C28" s="127" t="inlineStr">
        <is>
          <t>The New President</t>
        </is>
      </c>
      <c r="D28" s="127" t="inlineStr">
        <is>
          <t>Annahar Newspaper</t>
        </is>
      </c>
      <c r="E28" s="127" t="inlineStr">
        <is>
          <t>Annahar Newspaper</t>
        </is>
      </c>
      <c r="F28" s="127" t="inlineStr">
        <is>
          <t>Impact BBDO</t>
        </is>
      </c>
      <c r="G28" s="127" t="inlineStr">
        <is>
          <t>United Arab Emirates</t>
        </is>
      </c>
      <c r="H28" s="113" t="inlineStr">
        <is>
          <t>Brave Brands</t>
        </is>
      </c>
      <c r="I28" s="128" t="inlineStr">
        <is>
          <t>https://ascentialcdn.filespin.io/api/v1/conversion/04e3ef953a454b9da10f1982fa8553b3</t>
        </is>
      </c>
      <c r="J28" s="127" t="inlineStr">
        <is>
          <t>MeCjFylJMVo</t>
        </is>
      </c>
      <c r="K28" s="127" t="n"/>
      <c r="L28" s="128" t="inlineStr">
        <is>
          <t>https://www.lovethework.com/work/entries/the-new-president-757020</t>
        </is>
      </c>
      <c r="M28" s="113" t="inlineStr">
        <is>
          <t>An AI-generated head of state created by AnNahar Newspaper and IMPACT BBDO to fill Lebanon's presidential vacancy — a position left empty by years of political deadlock — and inserted into actual government cabinet sessions. The AI president was used as a functional stand-in during live proceedings, making it the first instance of an AI-generated head of state actively utilized in an official government context.</t>
        </is>
      </c>
      <c r="N28" s="113" t="inlineStr">
        <is>
          <t>newspaper, ai, technology, lebanon, media-entertainment, generative-ai, political, print-media, public-affairs</t>
        </is>
      </c>
    </row>
    <row r="29">
      <c r="A29" s="127" t="n">
        <v>2025</v>
      </c>
      <c r="B29" s="133" t="inlineStr">
        <is>
          <t>Bronze</t>
        </is>
      </c>
      <c r="C29" s="127" t="inlineStr">
        <is>
          <t>Sato 2531</t>
        </is>
      </c>
      <c r="D29" s="127" t="inlineStr">
        <is>
          <t>Asuniwa</t>
        </is>
      </c>
      <c r="E29" s="127" t="inlineStr">
        <is>
          <t>Think Name Project</t>
        </is>
      </c>
      <c r="F29" s="127" t="inlineStr">
        <is>
          <t>Dentsu Digital</t>
        </is>
      </c>
      <c r="G29" s="127" t="inlineStr">
        <is>
          <t>Japan</t>
        </is>
      </c>
      <c r="H29" s="113" t="inlineStr">
        <is>
          <t>Cultural Engagement</t>
        </is>
      </c>
      <c r="I29" s="127" t="inlineStr">
        <is>
          <t>digital-presentation-images/creative-strategy-asuniwa-sato-2531.webp</t>
        </is>
      </c>
      <c r="J29" s="127" t="inlineStr">
        <is>
          <t>BW5T0gC6o3o</t>
        </is>
      </c>
      <c r="K29" s="127" t="n"/>
      <c r="L29" s="128" t="inlineStr">
        <is>
          <t>https://www.lovethework.com/work/entries/sato-2531-757065</t>
        </is>
      </c>
      <c r="M29" s="113" t="inlineStr">
        <is>
          <t>A data projection commissioned by Asuniwa, a Japanese gender equality organization, modeling the long-term impact of Japan's law requiring married couples to share a single surname — a rule that in practice leads most wives to take their husband's name. Working with an academic partner, the project calculated that if the law remains unchanged, "Sato" — currently Japan's most common surname — would mathematically become the only surviving family name in the country by the year 2531. To force the finding into public conversation, 40 organizations renamed their assets, accounts, and properties to "Sato."</t>
        </is>
      </c>
      <c r="N29" s="113" t="inlineStr">
        <is>
          <t>gender-equality, social-good, data-visualization, public-awareness, research, nonprofit, japan, social-issue, naming, activation</t>
        </is>
      </c>
    </row>
    <row r="30">
      <c r="A30" s="33" t="n">
        <v>2026</v>
      </c>
      <c r="B30" s="160" t="inlineStr">
        <is>
          <t>Grand Prix</t>
        </is>
      </c>
      <c r="C30" s="33" t="inlineStr">
        <is>
          <t>The Pub That Refused to Die</t>
        </is>
      </c>
      <c r="D30" s="33" t="inlineStr">
        <is>
          <t>Heineken</t>
        </is>
      </c>
      <c r="E30" s="33" t="inlineStr">
        <is>
          <t>Heineken Green</t>
        </is>
      </c>
      <c r="F30" s="33" t="inlineStr">
        <is>
          <t>LePub Milan / Publicis Dublin</t>
        </is>
      </c>
      <c r="G30" s="33" t="inlineStr">
        <is>
          <t>Italy</t>
        </is>
      </c>
      <c r="H30" s="33" t="inlineStr">
        <is>
          <t>Cultural Engagement</t>
        </is>
      </c>
      <c r="I30" s="33" t="inlineStr">
        <is>
          <t>https://i.ytimg.com/vi/fbfxwHTi2S4/maxresdefault.jpg</t>
        </is>
      </c>
      <c r="J30" s="33" t="inlineStr">
        <is>
          <t>U0FNEVBwVi0</t>
        </is>
      </c>
      <c r="L30" s="33" t="inlineStr">
        <is>
          <t>https://www.lovethework.com/work/entries/the-pub-that-refused-to-die-791532</t>
        </is>
      </c>
      <c r="M30" s="33" t="inlineStr">
        <is>
          <t>Part of Heineken's 'For the Love of Pubs' platform by LePub and Publicis Dublin: a documentary following a struggling Irish local in Kilteely as its community fights to keep it open, framing pub culture and social connection as something worth safeguarding.</t>
        </is>
      </c>
      <c r="N30" s="33" t="inlineStr">
        <is>
          <t>heineken, beer, alcohol, drinks, pubs, bars, hospitality, ireland, documentary, film, entertainment, cinema, community, corporate purpose, social responsibility, b2b, business, lepub, publicis, italy, bronze</t>
        </is>
      </c>
    </row>
    <row r="31">
      <c r="A31" s="33" t="n">
        <v>2026</v>
      </c>
      <c r="B31" s="161" t="inlineStr">
        <is>
          <t>Gold</t>
        </is>
      </c>
      <c r="C31" s="33" t="inlineStr">
        <is>
          <t>The Faroe Islands Space Program</t>
        </is>
      </c>
      <c r="D31" s="33" t="inlineStr">
        <is>
          <t>SKF</t>
        </is>
      </c>
      <c r="E31" s="33" t="inlineStr">
        <is>
          <t>Technical Solutions and Innovations, Bearings, Seals and Lubrication</t>
        </is>
      </c>
      <c r="F31" s="33" t="inlineStr">
        <is>
          <t>NORD Stockholm</t>
        </is>
      </c>
      <c r="G31" s="33" t="inlineStr">
        <is>
          <t>Sweden</t>
        </is>
      </c>
      <c r="H31" s="33" t="inlineStr">
        <is>
          <t>Consumer Services/Business to Business</t>
        </is>
      </c>
      <c r="I31" s="33" t="inlineStr">
        <is>
          <t>https://ascentialcdn.filespin.io/api/v1/conversion/8cc6a1fe5a8848148606cea4c9ae9d72</t>
        </is>
      </c>
      <c r="J31" s="33" t="inlineStr">
        <is>
          <t>4T-yf1v1rfI</t>
        </is>
      </c>
      <c r="L31" s="33" t="inlineStr">
        <is>
          <t>https://www.lovethework.com/work/entries/the-faroe-islands-space-program-791486</t>
        </is>
      </c>
      <c r="M31" s="33" t="inlineStr">
        <is>
          <t>The Creative B2B Grand Prix. A daring platform from NORD Stockholm for Swedish bearing, seal and lubrication maker SKF that recasts an overlooked, commodity engineering brand around a bold sustainability story, staged under the provocative banner of a 'space program' for the remote Faroe Islands. Despite the name, the work is about industry and the environment rather than space travel, proving creative bravery is possible even in an unglamorous category.</t>
        </is>
      </c>
      <c r="N31" s="33" t="inlineStr">
        <is>
          <t>skf, bearings, seals, lubrication, engineering, manufacturing, industrial, machinery, b2b, business, sustainability, environment, craft in b2b, faroe islands, nord, sweden, grand prix</t>
        </is>
      </c>
    </row>
    <row r="32">
      <c r="A32" s="33" t="n">
        <v>2026</v>
      </c>
      <c r="B32" s="161" t="inlineStr">
        <is>
          <t>Gold</t>
        </is>
      </c>
      <c r="C32" s="33" t="inlineStr">
        <is>
          <t>Dove R/eal Reviews</t>
        </is>
      </c>
      <c r="D32" s="33" t="inlineStr">
        <is>
          <t>Dove Hair</t>
        </is>
      </c>
      <c r="E32" s="33" t="inlineStr">
        <is>
          <t>Dove 10-in-1 Serum Mask</t>
        </is>
      </c>
      <c r="F32" s="33" t="inlineStr">
        <is>
          <t>DAVID London / DAVID Madrid</t>
        </is>
      </c>
      <c r="G32" s="33" t="inlineStr">
        <is>
          <t>United Kingdom</t>
        </is>
      </c>
      <c r="H32" s="33" t="inlineStr">
        <is>
          <t>Audience Insight</t>
        </is>
      </c>
      <c r="I32" s="33" t="inlineStr">
        <is>
          <t>https://ascentialcdn.filespin.io/api/v1/conversion/3e59ad3ef8694b63bc7bfb791b7bd884</t>
        </is>
      </c>
      <c r="J32" s="33" t="inlineStr">
        <is>
          <t>vimeo:1204109832</t>
        </is>
      </c>
      <c r="L32" s="33" t="inlineStr">
        <is>
          <t>https://www.lovethework.com/work/entries/dove-real-reviews-790905</t>
        </is>
      </c>
      <c r="M32" s="33" t="inlineStr">
        <is>
          <t>For Dove, DAVID published unfiltered Reddit feedback for its hair masks, drawing on the candour of Reddit's 'r/' communities to surface raw, real user commentary and build trust at a time of influencer fatigue and review skepticism.</t>
        </is>
      </c>
      <c r="N32" s="33" t="inlineStr">
        <is>
          <t>dove, haircare, personal-care, beauty, personal care, fmcg, unilever, reddit, reviews, authenticity, ugc, social, consumer goods, united kingdom, david, bronze</t>
        </is>
      </c>
    </row>
    <row r="33">
      <c r="A33" s="33" t="n">
        <v>2026</v>
      </c>
      <c r="B33" s="161" t="inlineStr">
        <is>
          <t>Gold</t>
        </is>
      </c>
      <c r="C33" s="33" t="inlineStr">
        <is>
          <t>The Swedish Prescription</t>
        </is>
      </c>
      <c r="D33" s="33" t="inlineStr">
        <is>
          <t>Visit Sweden</t>
        </is>
      </c>
      <c r="E33" s="33" t="inlineStr">
        <is>
          <t>Visit Sweden</t>
        </is>
      </c>
      <c r="F33" s="33" t="inlineStr">
        <is>
          <t>Prime Weber Shandwick Stockholm</t>
        </is>
      </c>
      <c r="G33" s="33" t="inlineStr">
        <is>
          <t>Sweden</t>
        </is>
      </c>
      <c r="H33" s="33" t="inlineStr">
        <is>
          <t>Challenger Brand Strategy</t>
        </is>
      </c>
      <c r="I33" s="33" t="inlineStr">
        <is>
          <t>https://ascentialcdn.filespin.io/api/v1/conversion/0a091e19f5b24275be9e1ace70d87d4a</t>
        </is>
      </c>
      <c r="J33" s="33" t="inlineStr">
        <is>
          <t>RrfinNs6MXY</t>
        </is>
      </c>
      <c r="L33" s="33" t="inlineStr">
        <is>
          <t>https://www.lovethework.com/work/entries/the-swedish-prescription-790909</t>
        </is>
      </c>
      <c r="M33" s="33" t="inlineStr">
        <is>
          <t>For Visit Sweden, Prime Weber Shandwick made Sweden the first country to be prescribed by doctors. Drawing on research into nature-based 'social prescribing' and verified by a Karolinska Institute professor, the campaign packaged Swedish habits — forest bathing, wild swimming, sauna-and-plunge, fika — as a doctor-backed prescription for wellbeing that travellers could download.</t>
        </is>
      </c>
      <c r="N33" s="33" t="inlineStr">
        <is>
          <t>visit sweden, tourism, travel, destination, wellbeing, wellness, health, nature, sweden, prescription, forest bathing, doctors, challenger brand, public relations, pr, prime weber shandwick, silver</t>
        </is>
      </c>
    </row>
    <row r="34">
      <c r="A34" s="33" t="n">
        <v>2026</v>
      </c>
      <c r="B34" s="161" t="inlineStr">
        <is>
          <t>Gold</t>
        </is>
      </c>
      <c r="C34" s="33" t="inlineStr">
        <is>
          <t>Tocayos</t>
        </is>
      </c>
      <c r="D34" s="33" t="inlineStr">
        <is>
          <t>Heineken</t>
        </is>
      </c>
      <c r="E34" s="33" t="inlineStr">
        <is>
          <t>Heineken Beer</t>
        </is>
      </c>
      <c r="F34" s="33" t="inlineStr">
        <is>
          <t>LePub Milan</t>
        </is>
      </c>
      <c r="G34" s="33" t="inlineStr">
        <is>
          <t>Italy</t>
        </is>
      </c>
      <c r="H34" s="33" t="inlineStr">
        <is>
          <t>Cultural Engagement</t>
        </is>
      </c>
      <c r="I34" s="33" t="inlineStr">
        <is>
          <t>https://ascentialcdn.filespin.io/api/v1/conversion/f94212ccbc4f4a5bb5d68cee89cab74d</t>
        </is>
      </c>
      <c r="J34" s="33" t="inlineStr">
        <is>
          <t>SOQiRoFlrdQ</t>
        </is>
      </c>
      <c r="L34" s="33" t="inlineStr">
        <is>
          <t>https://www.lovethework.com/work/entries/tocayos-792007</t>
        </is>
      </c>
      <c r="M34" s="33" t="inlineStr">
        <is>
          <t>A Heineken campaign by LePub that connects independent neighbourhood bars which already share one thing in common, their name, rallying these 'namesake' bars to support one another and preserve traditional local bar culture.</t>
        </is>
      </c>
      <c r="N34" s="33" t="inlineStr">
        <is>
          <t>heineken, beer, alcohol, drinks, bars, pubs, hospitality, on-trade, b2b, business, targeting, engagement, community, namesakes, lepub, italy, gold</t>
        </is>
      </c>
    </row>
    <row r="35">
      <c r="A35" s="33" t="n">
        <v>2026</v>
      </c>
      <c r="B35" s="162" t="inlineStr">
        <is>
          <t>Silver</t>
        </is>
      </c>
      <c r="C35" s="33" t="inlineStr">
        <is>
          <t>Made to Share</t>
        </is>
      </c>
      <c r="D35" s="33" t="inlineStr">
        <is>
          <t>Cadbury</t>
        </is>
      </c>
      <c r="E35" s="33" t="inlineStr">
        <is>
          <t>Dairy Milk</t>
        </is>
      </c>
      <c r="F35" s="33" t="inlineStr">
        <is>
          <t>VCCP London</t>
        </is>
      </c>
      <c r="G35" s="33" t="inlineStr">
        <is>
          <t>United Kingdom</t>
        </is>
      </c>
      <c r="H35" s="33" t="inlineStr">
        <is>
          <t>Consumer Goods</t>
        </is>
      </c>
      <c r="I35" s="33" t="inlineStr">
        <is>
          <t>https://ascentialcdn.filespin.io/api/v1/conversion/e8adc13b9108423d81f397fa0733aba6</t>
        </is>
      </c>
      <c r="J35" s="33" t="inlineStr">
        <is>
          <t>2bdvoVr64HI</t>
        </is>
      </c>
      <c r="L35" s="33" t="inlineStr">
        <is>
          <t>https://www.lovethework.com/work/entries/made-to-share-779270</t>
        </is>
      </c>
      <c r="M35" s="33" t="inlineStr">
        <is>
          <t>A series of limited-edition Cadbury Dairy Milk bar wrappers, designed by VCCP, where the copy and chunk layout on pack celebrate the small, unspoken acts of kindness that often go unnoticed — the quiet favours, the thankless tasks, the gestures nobody acknowledges. Each bar's packaging reframes the physical act of breaking off a chunk as a prompt to share with someone who deserves recognition for exactly that kind of moment.</t>
        </is>
      </c>
      <c r="N35" s="33" t="inlineStr">
        <is>
          <t>cadbury, chocolate, confectionery, candy, snack, packaged-goods, food, cpg, fmcg, packaging, copywriting, limited-edition, ooh, united kingdom, generosity, kindness, sharing, consumer goods, creative strategy, vccp, silver</t>
        </is>
      </c>
    </row>
    <row r="36">
      <c r="A36" s="33" t="n">
        <v>2026</v>
      </c>
      <c r="B36" s="162" t="inlineStr">
        <is>
          <t>Silver</t>
        </is>
      </c>
      <c r="C36" s="33" t="inlineStr">
        <is>
          <t>#UncensorYourHealth</t>
        </is>
      </c>
      <c r="D36" s="33" t="inlineStr">
        <is>
          <t>Ladywell</t>
        </is>
      </c>
      <c r="E36" s="33" t="inlineStr">
        <is>
          <t>Ladywell Supplements for Women</t>
        </is>
      </c>
      <c r="F36" s="33" t="inlineStr">
        <is>
          <t>Saatchi &amp; Saatchi El Segundo</t>
        </is>
      </c>
      <c r="G36" s="33" t="inlineStr">
        <is>
          <t>United States</t>
        </is>
      </c>
      <c r="H36" s="33" t="inlineStr">
        <is>
          <t>Healthcare</t>
        </is>
      </c>
      <c r="I36" s="33" t="inlineStr">
        <is>
          <t>https://i.ytimg.com/vi/8rr_up6f5EE/maxresdefault.jpg</t>
        </is>
      </c>
      <c r="J36" s="33" t="inlineStr">
        <is>
          <t>8rr_up6f5EE</t>
        </is>
      </c>
      <c r="L36" s="33" t="inlineStr">
        <is>
          <t>https://www.lovethework.com/work/entries/uncensoryourhealth-780254</t>
        </is>
      </c>
      <c r="M36" s="33" t="inlineStr">
        <is>
          <t>For Ladywell, a women's hormone-health supplement brand, Saatchi &amp; Saatchi tackled the way social platforms routinely flag, down-rank or remove women's health content — terms like 'hormones,' 'fertility' and 'discharge' tripping automated moderation filters. The campaign exploited 'typoglycemia,' the quirk that lets people read words whose inner letters are scrambled while algorithms cannot, running deliberately misspelled, moderation-proof ads and releasing a free web tool that let any women-led business scramble its own copy to slip past the filters.</t>
        </is>
      </c>
      <c r="N36" s="33" t="inlineStr">
        <is>
          <t>ladywell, supplements, womens health, hormones, femcare, personal care, wellness, health, fmcg, united states, censorship, social media, algorithms, typoglycemia, moderation, web tool, audience insight, healthcare, creative strategy, saatchi, silver</t>
        </is>
      </c>
    </row>
    <row r="37">
      <c r="A37" s="33" t="n">
        <v>2026</v>
      </c>
      <c r="B37" s="162" t="inlineStr">
        <is>
          <t>Silver</t>
        </is>
      </c>
      <c r="C37" s="33" t="inlineStr">
        <is>
          <t>Vaseline Verified</t>
        </is>
      </c>
      <c r="D37" s="33" t="inlineStr">
        <is>
          <t>Vaseline</t>
        </is>
      </c>
      <c r="E37" s="33" t="inlineStr">
        <is>
          <t>Vaseline</t>
        </is>
      </c>
      <c r="F37" s="33" t="inlineStr">
        <is>
          <t>Ogilvy Singapore</t>
        </is>
      </c>
      <c r="G37" s="33" t="inlineStr">
        <is>
          <t>Singapore</t>
        </is>
      </c>
      <c r="H37" s="33" t="inlineStr">
        <is>
          <t>Audience Insight</t>
        </is>
      </c>
      <c r="I37" s="33" t="inlineStr">
        <is>
          <t>https://ascentialcdn.filespin.io/api/v1/conversion/9d54a70f009d42e1a49944d1de6a39a0</t>
        </is>
      </c>
      <c r="J37" s="33" t="inlineStr">
        <is>
          <t>ApwxlBruV90</t>
        </is>
      </c>
      <c r="L37" s="33" t="inlineStr">
        <is>
          <t>https://www.lovethework.com/work/entries/vaseline-verified-791685</t>
        </is>
      </c>
      <c r="M37" s="33" t="inlineStr">
        <is>
          <t>For Vaseline, Ogilvy Singapore created 'Vaseline Verified,' taking viral user-generated Vaseline Jelly hacks circulating online and putting them through scientific and dermatological testing to validate which ones actually work, showcasing the product's versatility.</t>
        </is>
      </c>
      <c r="N37" s="33" t="inlineStr">
        <is>
          <t>vaseline, petroleum jelly, skincare, personal-care, beauty, personal care, fmcg, unilever, singapore, user generated content, social, hacks, science, dermatology, verification, brand experience, activation, ogilvy, bronze</t>
        </is>
      </c>
    </row>
    <row r="38">
      <c r="A38" s="33" t="n">
        <v>2026</v>
      </c>
      <c r="B38" s="162" t="inlineStr">
        <is>
          <t>Silver</t>
        </is>
      </c>
      <c r="C38" s="33" t="inlineStr">
        <is>
          <t>A Time and a Place</t>
        </is>
      </c>
      <c r="D38" s="33" t="inlineStr">
        <is>
          <t>Claude</t>
        </is>
      </c>
      <c r="E38" s="33" t="inlineStr">
        <is>
          <t>Claude</t>
        </is>
      </c>
      <c r="F38" s="33" t="inlineStr">
        <is>
          <t>Mother London</t>
        </is>
      </c>
      <c r="G38" s="33" t="inlineStr">
        <is>
          <t>United Kingdom</t>
        </is>
      </c>
      <c r="H38" s="33" t="inlineStr">
        <is>
          <t>Challenger Brand Strategy</t>
        </is>
      </c>
      <c r="I38" s="33" t="inlineStr">
        <is>
          <t>https://resized-media.entries.clios.com/companies/141675/media/c35f4ca9-48e7-4488-ff89-08de69f995ed-xlarge.jpg.webp</t>
        </is>
      </c>
      <c r="J38" s="33" t="inlineStr">
        <is>
          <t>UOdh90TqXPY</t>
        </is>
      </c>
      <c r="L38" s="33" t="inlineStr">
        <is>
          <t>https://www.lovethework.com/work/entries/a-time-and-a-place-791695</t>
        </is>
      </c>
      <c r="M38" s="33" t="inlineStr">
        <is>
          <t>For Anthropic's Claude, Mother imagined a near-future in which AI answers come sponsored — a pointed jab at rivals introducing ads into their chatbots. Four darkly comedic films, each named after a real question people ask AI about health, relationships or work, show a very human moment interrupted by an ad-supported chatbot response, positioning Claude as the assistant that keeps advertising out of the conversation.</t>
        </is>
      </c>
      <c r="N38" s="33" t="inlineStr">
        <is>
          <t>claude, anthropic, ai, technology, artificial intelligence, chatbot, software, tech, united kingdom, united states, advertising, ad-free, films, comedy, super bowl, challenger brand, brand strategy, creative strategy, mother, silver</t>
        </is>
      </c>
    </row>
    <row r="39">
      <c r="A39" s="33" t="n">
        <v>2026</v>
      </c>
      <c r="B39" s="162" t="inlineStr">
        <is>
          <t>Silver</t>
        </is>
      </c>
      <c r="C39" s="33" t="inlineStr">
        <is>
          <t>U Up?</t>
        </is>
      </c>
      <c r="D39" s="33" t="inlineStr">
        <is>
          <t>IKEA</t>
        </is>
      </c>
      <c r="E39" s="33" t="inlineStr">
        <is>
          <t>IKEA</t>
        </is>
      </c>
      <c r="F39" s="33" t="inlineStr">
        <is>
          <t>Rethink Toronto</t>
        </is>
      </c>
      <c r="G39" s="33" t="inlineStr">
        <is>
          <t>Canada</t>
        </is>
      </c>
      <c r="H39" s="33" t="inlineStr">
        <is>
          <t>Breakthrough on a Budget</t>
        </is>
      </c>
      <c r="I39" s="33" t="inlineStr">
        <is>
          <t>https://ascentialcdn.filespin.io/api/v1/conversion/1d6f8cfcad1b47c9beaa5f403844ec8a</t>
        </is>
      </c>
      <c r="J39" s="33" t="inlineStr">
        <is>
          <t>VT02JDQuMxM</t>
        </is>
      </c>
      <c r="L39" s="33" t="inlineStr">
        <is>
          <t>https://www.lovethework.com/work/entries/u-up-791270</t>
        </is>
      </c>
      <c r="M39" s="33" t="inlineStr">
        <is>
          <t>For IKEA Canada, Rethink flipped a late-night dating cliche into a mattress pitch. On Valentine's night the brand slid into the DMs of sleepless Canadians with a single 'U up?', and anyone who replied was sent an instant discount on an IKEA mattress — a low-budget, precisely-timed play that tied restless nights directly to the product that fixes them.</t>
        </is>
      </c>
      <c r="N39" s="33" t="inlineStr">
        <is>
          <t>ikea, furniture, home, mattress, sleep, bedding, retail, canada, valentines day, dms, direct message, late night, social, breakthrough on a budget, low budget, creative effectiveness, rethink, bronze</t>
        </is>
      </c>
    </row>
    <row r="40">
      <c r="A40" s="33" t="n">
        <v>2026</v>
      </c>
      <c r="B40" s="162" t="inlineStr">
        <is>
          <t>Silver</t>
        </is>
      </c>
      <c r="C40" s="33" t="inlineStr">
        <is>
          <t>Tocayos</t>
        </is>
      </c>
      <c r="D40" s="33" t="inlineStr">
        <is>
          <t>Heineken</t>
        </is>
      </c>
      <c r="E40" s="33" t="inlineStr">
        <is>
          <t>Heineken Beer</t>
        </is>
      </c>
      <c r="F40" s="33" t="inlineStr">
        <is>
          <t>LePub Milan</t>
        </is>
      </c>
      <c r="G40" s="33" t="inlineStr">
        <is>
          <t>Italy</t>
        </is>
      </c>
      <c r="H40" s="33" t="inlineStr">
        <is>
          <t>Collaboration</t>
        </is>
      </c>
      <c r="I40" s="33" t="inlineStr">
        <is>
          <t>https://ascentialcdn.filespin.io/api/v1/conversion/f94212ccbc4f4a5bb5d68cee89cab74d</t>
        </is>
      </c>
      <c r="J40" s="33" t="inlineStr">
        <is>
          <t>SOQiRoFlrdQ</t>
        </is>
      </c>
      <c r="L40" s="33" t="inlineStr">
        <is>
          <t>https://www.lovethework.com/work/entries/tocayos-792011</t>
        </is>
      </c>
      <c r="M40" s="33" t="inlineStr">
        <is>
          <t>A Heineken campaign by LePub that connects independent neighbourhood bars which already share one thing in common, their name, rallying these 'namesake' bars to support one another and preserve traditional local bar culture.</t>
        </is>
      </c>
      <c r="N40" s="33" t="inlineStr">
        <is>
          <t>heineken, beer, alcohol, drinks, bars, pubs, hospitality, on-trade, b2b, business, targeting, engagement, community, namesakes, lepub, italy, gold</t>
        </is>
      </c>
    </row>
    <row r="41">
      <c r="A41" s="33" t="n">
        <v>2026</v>
      </c>
      <c r="B41" s="162" t="inlineStr">
        <is>
          <t>Silver</t>
        </is>
      </c>
      <c r="C41" s="33" t="inlineStr">
        <is>
          <t>Delivered by Tetris</t>
        </is>
      </c>
      <c r="D41" s="33" t="inlineStr">
        <is>
          <t>La Poste</t>
        </is>
      </c>
      <c r="E41" s="33" t="inlineStr">
        <is>
          <t>La Poste</t>
        </is>
      </c>
      <c r="F41" s="33" t="inlineStr">
        <is>
          <t>BETC Paris / Havas Paris</t>
        </is>
      </c>
      <c r="G41" s="33" t="inlineStr">
        <is>
          <t>France</t>
        </is>
      </c>
      <c r="H41" s="33" t="inlineStr">
        <is>
          <t>Collaboration</t>
        </is>
      </c>
      <c r="I41" s="33" t="inlineStr">
        <is>
          <t>https://ascentialcdn.filespin.io/api/v1/conversion/f5e1bc20285e48d5a7618fa0222f1489</t>
        </is>
      </c>
      <c r="J41" s="33" t="inlineStr">
        <is>
          <t>eNLN8sjP7SA</t>
        </is>
      </c>
      <c r="L41" s="33" t="inlineStr">
        <is>
          <t>https://www.lovethework.com/work/entries/delivered-by-tetris-776607</t>
        </is>
      </c>
      <c r="M41" s="33" t="inlineStr">
        <is>
          <t>A collaboration between La Poste and Tetris that applies the puzzle game's spatial-packing logic to real-world parcel loading. Wings (BETC Paris and Havas Paris) reframed the game's stacking principles as a method for optimising how delivery trucks are loaded.</t>
        </is>
      </c>
      <c r="N41" s="33" t="inlineStr">
        <is>
          <t>la poste, postal service, logistics, delivery, shipping, gaming, video-games, entertainment, video games, games, tetris, puzzle game, brand partnership, optimisation, france, betc, havas paris, bronze</t>
        </is>
      </c>
    </row>
    <row r="42">
      <c r="A42" s="33" t="n">
        <v>2026</v>
      </c>
      <c r="B42" s="163" t="inlineStr">
        <is>
          <t>Bronze</t>
        </is>
      </c>
      <c r="C42" s="33" t="inlineStr">
        <is>
          <t>Dove R/eal Reviews</t>
        </is>
      </c>
      <c r="D42" s="33" t="inlineStr">
        <is>
          <t>Dove Hair</t>
        </is>
      </c>
      <c r="E42" s="33" t="inlineStr">
        <is>
          <t>Dove 10-in-1 Serum Mask</t>
        </is>
      </c>
      <c r="F42" s="33" t="inlineStr">
        <is>
          <t>DAVID London / DAVID Madrid</t>
        </is>
      </c>
      <c r="G42" s="33" t="inlineStr">
        <is>
          <t>United Kingdom</t>
        </is>
      </c>
      <c r="H42" s="33" t="inlineStr">
        <is>
          <t>Consumer Goods</t>
        </is>
      </c>
      <c r="I42" s="33" t="inlineStr">
        <is>
          <t>https://ascentialcdn.filespin.io/api/v1/conversion/3e59ad3ef8694b63bc7bfb791b7bd884</t>
        </is>
      </c>
      <c r="J42" s="33" t="inlineStr">
        <is>
          <t>vimeo:1204109832</t>
        </is>
      </c>
      <c r="L42" s="33" t="inlineStr">
        <is>
          <t>https://www.lovethework.com/work/entries/dove-real-reviews-790829</t>
        </is>
      </c>
      <c r="M42" s="33" t="inlineStr">
        <is>
          <t>For Dove, DAVID published unfiltered Reddit feedback for its hair masks, drawing on the candour of Reddit's 'r/' communities to surface raw, real user commentary and build trust at a time of influencer fatigue and review skepticism.</t>
        </is>
      </c>
      <c r="N42" s="33" t="inlineStr">
        <is>
          <t>dove, haircare, personal-care, beauty, personal care, fmcg, unilever, reddit, reviews, authenticity, ugc, social, consumer goods, united kingdom, david, bronze</t>
        </is>
      </c>
    </row>
    <row r="43">
      <c r="A43" s="33" t="n">
        <v>2026</v>
      </c>
      <c r="B43" s="163" t="inlineStr">
        <is>
          <t>Bronze</t>
        </is>
      </c>
      <c r="C43" s="33" t="inlineStr">
        <is>
          <t>Paid Sick Leave for Cows</t>
        </is>
      </c>
      <c r="D43" s="33" t="inlineStr">
        <is>
          <t>Too Good</t>
        </is>
      </c>
      <c r="E43" s="33" t="inlineStr">
        <is>
          <t>Milk</t>
        </is>
      </c>
      <c r="F43" s="33" t="inlineStr">
        <is>
          <t>The Partnership Agency Nairobi</t>
        </is>
      </c>
      <c r="G43" s="33" t="inlineStr">
        <is>
          <t>Kenya</t>
        </is>
      </c>
      <c r="H43" s="33" t="inlineStr">
        <is>
          <t>Consumer Goods</t>
        </is>
      </c>
      <c r="I43" s="33" t="inlineStr">
        <is>
          <t>https://ascentialcdn.filespin.io/api/v1/conversion/ba601fa991524bd185313c5190831c7f</t>
        </is>
      </c>
      <c r="J43" s="33" t="inlineStr">
        <is>
          <t>96kfscgNh9g</t>
        </is>
      </c>
      <c r="L43" s="33" t="inlineStr">
        <is>
          <t>https://www.lovethework.com/work/entries/paid-sick-leave-for-cows-791761</t>
        </is>
      </c>
      <c r="M43" s="33" t="inlineStr">
        <is>
          <t>For Kenyan milk brand Too Good, The Partnership Agency built its strategy around dairy-cow welfare, giving sick cows the equivalent of paid sick leave — time off from milking to recover rather than being milked through illness — and reframing animal wellbeing as the foundation of a cleaner, better-quality milk and more dignified dairy farming.</t>
        </is>
      </c>
      <c r="N43" s="33" t="inlineStr">
        <is>
          <t>too good, milk, dairy, fmcg, food, beverages, kenya, cows, cattle, animal welfare, dairy farming, sick leave, farmers, product quality, decent work, consumer goods, creative strategy, the partnership agency, bronze</t>
        </is>
      </c>
    </row>
    <row r="44">
      <c r="A44" s="33" t="n">
        <v>2026</v>
      </c>
      <c r="B44" s="163" t="inlineStr">
        <is>
          <t>Bronze</t>
        </is>
      </c>
      <c r="C44" s="33" t="inlineStr">
        <is>
          <t>Preserved Promos</t>
        </is>
      </c>
      <c r="D44" s="33" t="inlineStr">
        <is>
          <t>Ziploc</t>
        </is>
      </c>
      <c r="E44" s="33" t="inlineStr">
        <is>
          <t>Ziploc</t>
        </is>
      </c>
      <c r="F44" s="33" t="inlineStr">
        <is>
          <t>VML New York</t>
        </is>
      </c>
      <c r="G44" s="33" t="inlineStr">
        <is>
          <t>United States</t>
        </is>
      </c>
      <c r="H44" s="33" t="inlineStr">
        <is>
          <t>Consumer Goods</t>
        </is>
      </c>
      <c r="I44" s="33" t="inlineStr">
        <is>
          <t>https://ascentialcdn.filespin.io/api/v1/conversion/8223f25b769b40e3b665c4ec19e2e12c</t>
        </is>
      </c>
      <c r="J44" s="33" t="inlineStr">
        <is>
          <t>F9CTRsV3N7k</t>
        </is>
      </c>
      <c r="L44" s="33" t="inlineStr">
        <is>
          <t>https://www.lovethework.com/work/entries/preserved-promos-777728</t>
        </is>
      </c>
      <c r="M44" s="33" t="inlineStr">
        <is>
          <t>For SC Johnson's Ziploc, VML gave expired supermarket coupons a second life. Shoppers could photograph any lapsed food promotion and 'preserve' it for a fresh offer redeemable at major retailers — provided a Ziploc product was in the cart — repositioning the storage bag as the thing that keeps a good deal, like food, from going to waste.</t>
        </is>
      </c>
      <c r="N44" s="33" t="inlineStr">
        <is>
          <t>ziploc, sc johnson, storage bags, food storage, household, home, fmcg, cpg, united states, coupons, promotions, expired, retail, savings, commerce, single market, creative effectiveness, vml, bronze</t>
        </is>
      </c>
    </row>
    <row r="45">
      <c r="A45" s="33" t="n">
        <v>2026</v>
      </c>
      <c r="B45" s="163" t="inlineStr">
        <is>
          <t>Bronze</t>
        </is>
      </c>
      <c r="C45" s="33" t="inlineStr">
        <is>
          <t>Zip Code Exam</t>
        </is>
      </c>
      <c r="D45" s="33" t="inlineStr">
        <is>
          <t>Equality Health Foundation</t>
        </is>
      </c>
      <c r="E45" s="33" t="inlineStr">
        <is>
          <t>Zip Code Exam</t>
        </is>
      </c>
      <c r="F45" s="33" t="inlineStr">
        <is>
          <t>Area 23 New York</t>
        </is>
      </c>
      <c r="G45" s="33" t="inlineStr">
        <is>
          <t>United States</t>
        </is>
      </c>
      <c r="H45" s="33" t="inlineStr">
        <is>
          <t>Data &amp; Analytics</t>
        </is>
      </c>
      <c r="I45" s="33" t="inlineStr">
        <is>
          <t>https://ascentialcdn.filespin.io/api/v1/conversion/b3d90269b33e4a59bf35bb51f993a884</t>
        </is>
      </c>
      <c r="J45" s="33" t="inlineStr">
        <is>
          <t>2f0k9hGHLuA</t>
        </is>
      </c>
      <c r="L45" s="33" t="inlineStr">
        <is>
          <t>https://www.lovethework.com/work/entries/zip-code-exam-791493</t>
        </is>
      </c>
      <c r="M45" s="33" t="inlineStr">
        <is>
          <t>A digital health experience from the Equality Health Foundation that begins not with a stethoscope but with your address. By examining how a person's ZIP code shapes their environment, it reveals how place affects health and life expectancy — turning location data into a personal health assessment.</t>
        </is>
      </c>
      <c r="N45" s="33" t="inlineStr">
        <is>
          <t>equality health foundation, healthcare, health, public health, zip code, data, digital design, design-driven effectiveness, social determinants, nonprofit, design, area 23, united states</t>
        </is>
      </c>
    </row>
    <row r="46">
      <c r="A46" s="33" t="n">
        <v>2026</v>
      </c>
      <c r="B46" s="163" t="inlineStr">
        <is>
          <t>Bronze</t>
        </is>
      </c>
      <c r="C46" s="33" t="inlineStr">
        <is>
          <t>Recipe for Change</t>
        </is>
      </c>
      <c r="D46" s="33" t="inlineStr">
        <is>
          <t>Puck</t>
        </is>
      </c>
      <c r="E46" s="33" t="inlineStr">
        <is>
          <t>Spread Cheese</t>
        </is>
      </c>
      <c r="F46" s="33" t="inlineStr">
        <is>
          <t>FP7 McCann Dubai</t>
        </is>
      </c>
      <c r="G46" s="33" t="inlineStr">
        <is>
          <t>United Arab Emirates</t>
        </is>
      </c>
      <c r="H46" s="33" t="inlineStr">
        <is>
          <t>Corporate Purpose &amp; Social Responsibility</t>
        </is>
      </c>
      <c r="I46" s="33" t="inlineStr">
        <is>
          <t>https://ascentialcdn.filespin.io/api/v1/conversion/75a2011a253e487e9b57b4d575a5db74</t>
        </is>
      </c>
      <c r="J46" s="33" t="inlineStr">
        <is>
          <t>j6OkO3aRS3g</t>
        </is>
      </c>
      <c r="L46" s="33" t="inlineStr">
        <is>
          <t>https://www.lovethework.com/work/entries/recipe-for-change-790932</t>
        </is>
      </c>
      <c r="M46" s="33" t="inlineStr">
        <is>
          <t>For Puck (Arla Foods), FP7 McCann turned Lebanese family recipes into a sustainable business model, partnering with restaurants and chefs so dishes from displaced women could feature on menus, with proceeds via Dubai Cares supporting families in crisis.</t>
        </is>
      </c>
      <c r="N46" s="33" t="inlineStr">
        <is>
          <t>puck, arla, cheese, dairy, food, fmcg, lebanon, refugees, displaced families, women, recipes, restaurants, social responsibility, dubai cares, united arab emirates, fp7 mccann, silver</t>
        </is>
      </c>
    </row>
    <row r="47">
      <c r="A47" s="33" t="n">
        <v>2026</v>
      </c>
      <c r="B47" s="163" t="inlineStr">
        <is>
          <t>Bronze</t>
        </is>
      </c>
      <c r="C47" s="33" t="inlineStr">
        <is>
          <t>The Period Uniform</t>
        </is>
      </c>
      <c r="D47" s="33" t="inlineStr">
        <is>
          <t>Somos Martina</t>
        </is>
      </c>
      <c r="E47" s="33" t="inlineStr">
        <is>
          <t>Somos Martina</t>
        </is>
      </c>
      <c r="F47" s="33" t="inlineStr">
        <is>
          <t>Serviceplan Germany Munich</t>
        </is>
      </c>
      <c r="G47" s="33" t="inlineStr">
        <is>
          <t>Germany</t>
        </is>
      </c>
      <c r="H47" s="33" t="inlineStr">
        <is>
          <t>Corporate Purpose &amp; Social Responsibility</t>
        </is>
      </c>
      <c r="I47" s="33" t="inlineStr">
        <is>
          <t>https://ascentialcdn.filespin.io/api/v1/conversion/1709928304da45eb95b6483c496484be</t>
        </is>
      </c>
      <c r="J47" s="33" t="inlineStr">
        <is>
          <t>rPKj4Tmjxcg</t>
        </is>
      </c>
      <c r="L47" s="33" t="inlineStr">
        <is>
          <t>https://www.lovethework.com/work/entries/the-period-uniform-791284</t>
        </is>
      </c>
      <c r="M47" s="33" t="inlineStr">
        <is>
          <t>For Somos Martina, Serviceplan Germany created 'The Period Uniform,' integrating reusable period underwear into the standard Colombian school uniform system so menstruating students have built-in protection as part of their everyday uniform.</t>
        </is>
      </c>
      <c r="N47" s="33" t="inlineStr">
        <is>
          <t>somos martina, period underwear, menstruation, period care, femcare, apparel, colombia, germany, school, uniform, students, education, reusable, social behaviour, brand experience, activation, serviceplan, bronze</t>
        </is>
      </c>
    </row>
    <row r="48">
      <c r="A48" s="33" t="n">
        <v>2026</v>
      </c>
      <c r="B48" s="163" t="inlineStr">
        <is>
          <t>Bronze</t>
        </is>
      </c>
      <c r="C48" s="33" t="inlineStr">
        <is>
          <t>No Frame Missed</t>
        </is>
      </c>
      <c r="D48" s="33" t="inlineStr">
        <is>
          <t>Apple</t>
        </is>
      </c>
      <c r="E48" s="33" t="inlineStr">
        <is>
          <t>iPhone</t>
        </is>
      </c>
      <c r="F48" s="33" t="inlineStr">
        <is>
          <t>TBWA\Media Arts Lab Los Angeles</t>
        </is>
      </c>
      <c r="G48" s="33" t="inlineStr">
        <is>
          <t>United States</t>
        </is>
      </c>
      <c r="H48" s="33" t="inlineStr">
        <is>
          <t>Cultural Engagement</t>
        </is>
      </c>
      <c r="I48" s="33" t="inlineStr">
        <is>
          <t>https://ascentialcdn.filespin.io/api/v1/conversion/62c0c233f40144d7970516cb87619496</t>
        </is>
      </c>
      <c r="J48" s="33" t="inlineStr">
        <is>
          <t>vimeo:1112735008</t>
        </is>
      </c>
      <c r="L48" s="33" t="inlineStr">
        <is>
          <t>https://www.lovethework.com/work/entries/no-frame-missed-777409</t>
        </is>
      </c>
      <c r="M48" s="33" t="inlineStr">
        <is>
          <t>A docu-style short film for Apple showing how the new iPhone's stabilisation helps people living with Parkinson's capture steady footage. The craft sits in the moving image — emotional, observational filmmaking shot on iPhone. (Video/Moving Image entry.)</t>
        </is>
      </c>
      <c r="N48" s="33" t="inlineStr">
        <is>
          <t>apple, iphone, smartphone, technology, parkinsons, accessibility, film, cinema, entertainment, moving image, documentary, video craft, digital craft, tbwa media arts lab, united states</t>
        </is>
      </c>
    </row>
    <row r="49">
      <c r="A49" s="33" t="n">
        <v>2026</v>
      </c>
      <c r="B49" s="163" t="inlineStr">
        <is>
          <t>Bronze</t>
        </is>
      </c>
      <c r="C49" s="33" t="inlineStr">
        <is>
          <t>Explore Your Story</t>
        </is>
      </c>
      <c r="D49" s="33" t="inlineStr">
        <is>
          <t>Coach</t>
        </is>
      </c>
      <c r="E49" s="33" t="inlineStr">
        <is>
          <t>Luxury Fashion Accessories</t>
        </is>
      </c>
      <c r="F49" s="33" t="inlineStr">
        <is>
          <t>Forsman &amp; Bodenfors Gothenburg / Mandai Loop Stockholm</t>
        </is>
      </c>
      <c r="G49" s="33" t="inlineStr">
        <is>
          <t>Sweden</t>
        </is>
      </c>
      <c r="H49" s="33" t="inlineStr">
        <is>
          <t>Collaboration</t>
        </is>
      </c>
      <c r="I49" s="33" t="inlineStr">
        <is>
          <t>https://image.adsoftheworld.com/2o9dzip0ckp89izpg96u6g9he8id</t>
        </is>
      </c>
      <c r="J49" s="33" t="inlineStr">
        <is>
          <t>nxsN46De98A</t>
        </is>
      </c>
      <c r="L49" s="33" t="inlineStr">
        <is>
          <t>https://www.lovethework.com/work/entries/explore-your-story-790966</t>
        </is>
      </c>
      <c r="M49" s="33" t="inlineStr">
        <is>
          <t>For Coach, Forsman &amp; Bodenfors turned the luxury brand's bag charms into a stand for storytelling against a wave of book bans. Partnering with Penguin Random House in the US and independent publishers across Asia-Pacific, Coach created fully readable miniature book charms — many of them banned titles — that clip onto its bags, with a campaign film starring Elle Fanning, Storm Reid and Paige Bueckers that plunges its cast into the worlds of the books they read.</t>
        </is>
      </c>
      <c r="N49" s="33" t="inlineStr">
        <is>
          <t>coach, luxury, fashion, accessories, handbags, apparel, retail, sweden, united states, book bans, banned books, censorship, literature, reading, penguin random house, collaboration, brand partnership, creative strategy, forsman bodenfors, bronze</t>
        </is>
      </c>
    </row>
    <row r="50">
      <c r="A50" s="33" t="n">
        <v>2026</v>
      </c>
      <c r="B50" s="163" t="inlineStr">
        <is>
          <t>Bronze</t>
        </is>
      </c>
      <c r="C50" s="33" t="inlineStr">
        <is>
          <t>Long Lasting Passport</t>
        </is>
      </c>
      <c r="D50" s="33" t="inlineStr">
        <is>
          <t>Darty</t>
        </is>
      </c>
      <c r="E50" s="33" t="inlineStr">
        <is>
          <t>Long Lasting Passport</t>
        </is>
      </c>
      <c r="F50" s="33" t="inlineStr">
        <is>
          <t>Publicis Conseil Paris</t>
        </is>
      </c>
      <c r="G50" s="33" t="inlineStr">
        <is>
          <t>France</t>
        </is>
      </c>
      <c r="H50" s="33" t="inlineStr">
        <is>
          <t>Products/Services</t>
        </is>
      </c>
      <c r="I50" s="33" t="inlineStr">
        <is>
          <t>https://ascentialcdn.filespin.io/api/v1/conversion/354ca9800b0a44e3b70906747ccfe4d6</t>
        </is>
      </c>
      <c r="J50" s="33" t="inlineStr">
        <is>
          <t>vimeo:1093368537</t>
        </is>
      </c>
      <c r="L50" s="33" t="inlineStr">
        <is>
          <t>https://www.lovethework.com/work/entries/long-lasting-passport-791967</t>
        </is>
      </c>
      <c r="M50" s="33" t="inlineStr">
        <is>
          <t>For French electronics retailer Darty, Publicis Conseil created a 'long-lasting passport' — a maintenance record for major household appliances — and shifted the brand's review system to contact customers months after purchase rather than days. By gathering feedback only once products had been lived with over time, the work surfaced which appliances truly last, steering future buyers toward durability and away from premature obsolescence.</t>
        </is>
      </c>
      <c r="N50" s="33" t="inlineStr">
        <is>
          <t>darty, electronics, appliances, retail, home, consumer electronics, france, durability, longevity, repair, reviews, sustainability, anti-obsolescence, product passport, products services, creative strategy, publicis conseil, bronze</t>
        </is>
      </c>
    </row>
    <row r="51">
      <c r="A51" s="33" t="n">
        <v>2026</v>
      </c>
      <c r="B51" s="163" t="inlineStr">
        <is>
          <t>Bronze</t>
        </is>
      </c>
      <c r="C51" s="33" t="inlineStr">
        <is>
          <t>Columbia</t>
        </is>
      </c>
      <c r="D51" s="33" t="inlineStr">
        <is>
          <t>Columbia Sportswear</t>
        </is>
      </c>
      <c r="E51" s="33" t="inlineStr">
        <is>
          <t>Columbia Sportswear</t>
        </is>
      </c>
      <c r="F51" s="33" t="inlineStr">
        <is>
          <t>Columbia Portland / adam&amp;eve\TBWA London</t>
        </is>
      </c>
      <c r="G51" s="33" t="inlineStr">
        <is>
          <t>United States</t>
        </is>
      </c>
      <c r="H51" s="33" t="inlineStr">
        <is>
          <t>Brand Strategy</t>
        </is>
      </c>
      <c r="I51" s="33" t="inlineStr">
        <is>
          <t>https://ascentialcdn.filespin.io/api/v1/storyboard/ecd8151c6f764c36b7bd37393fdf96de/storyboard_000008.jpg</t>
        </is>
      </c>
      <c r="J51" s="33" t="inlineStr">
        <is>
          <t>_J795sI6eC4</t>
        </is>
      </c>
      <c r="L51" s="33" t="inlineStr">
        <is>
          <t>https://www.lovethework.com/work/entries/columbia-792016</t>
        </is>
      </c>
      <c r="M51" s="33" t="inlineStr">
        <is>
          <t>For Columbia Sportswear, adam&amp;eve\TBWA and Columbia's in-house team relaunched the brand around 'Engineered for Whatever,' its first major platform in a decade. Rather than idealising the outdoors, the work leans into nature's chaos — people hunted by vultures, swallowed by snow drifts, flattened by hidden potholes — to reassert Columbia's irreverent voice and dramatise the reliability and durability of its gear.</t>
        </is>
      </c>
      <c r="N51" s="33" t="inlineStr">
        <is>
          <t>columbia sportswear, columbia, outdoor, apparel, clothing, gear, retail, united states, engineered for whatever, brand platform, durability, reliability, nature, humour, brand relaunch, brand strategy, creative strategy, adam eve tbwa, bronze</t>
        </is>
      </c>
    </row>
  </sheetData>
  <autoFilter ref="A1:N29"/>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I6" r:id="rId5"/>
    <hyperlink xmlns:r="http://schemas.openxmlformats.org/officeDocument/2006/relationships" ref="L6" r:id="rId6"/>
    <hyperlink xmlns:r="http://schemas.openxmlformats.org/officeDocument/2006/relationships" ref="L7" r:id="rId7"/>
    <hyperlink xmlns:r="http://schemas.openxmlformats.org/officeDocument/2006/relationships" ref="I8" r:id="rId8"/>
    <hyperlink xmlns:r="http://schemas.openxmlformats.org/officeDocument/2006/relationships" ref="L8" r:id="rId9"/>
    <hyperlink xmlns:r="http://schemas.openxmlformats.org/officeDocument/2006/relationships" ref="I9" r:id="rId10"/>
    <hyperlink xmlns:r="http://schemas.openxmlformats.org/officeDocument/2006/relationships" ref="L9" r:id="rId11"/>
    <hyperlink xmlns:r="http://schemas.openxmlformats.org/officeDocument/2006/relationships" ref="L10" r:id="rId12"/>
    <hyperlink xmlns:r="http://schemas.openxmlformats.org/officeDocument/2006/relationships" ref="L11" r:id="rId13"/>
    <hyperlink xmlns:r="http://schemas.openxmlformats.org/officeDocument/2006/relationships" ref="L12" r:id="rId14"/>
    <hyperlink xmlns:r="http://schemas.openxmlformats.org/officeDocument/2006/relationships" ref="L13" r:id="rId15"/>
    <hyperlink xmlns:r="http://schemas.openxmlformats.org/officeDocument/2006/relationships" ref="L14" r:id="rId16"/>
    <hyperlink xmlns:r="http://schemas.openxmlformats.org/officeDocument/2006/relationships" ref="L15" r:id="rId17"/>
    <hyperlink xmlns:r="http://schemas.openxmlformats.org/officeDocument/2006/relationships" ref="L16" r:id="rId18"/>
    <hyperlink xmlns:r="http://schemas.openxmlformats.org/officeDocument/2006/relationships" ref="L17" r:id="rId19"/>
    <hyperlink xmlns:r="http://schemas.openxmlformats.org/officeDocument/2006/relationships" ref="L18" r:id="rId20"/>
    <hyperlink xmlns:r="http://schemas.openxmlformats.org/officeDocument/2006/relationships" ref="L19" r:id="rId21"/>
    <hyperlink xmlns:r="http://schemas.openxmlformats.org/officeDocument/2006/relationships" ref="I20" r:id="rId22"/>
    <hyperlink xmlns:r="http://schemas.openxmlformats.org/officeDocument/2006/relationships" ref="L20" r:id="rId23"/>
    <hyperlink xmlns:r="http://schemas.openxmlformats.org/officeDocument/2006/relationships" ref="I21" r:id="rId24"/>
    <hyperlink xmlns:r="http://schemas.openxmlformats.org/officeDocument/2006/relationships" ref="L21" r:id="rId25"/>
    <hyperlink xmlns:r="http://schemas.openxmlformats.org/officeDocument/2006/relationships" ref="L22" r:id="rId26"/>
    <hyperlink xmlns:r="http://schemas.openxmlformats.org/officeDocument/2006/relationships" ref="L23" r:id="rId27"/>
    <hyperlink xmlns:r="http://schemas.openxmlformats.org/officeDocument/2006/relationships" ref="L24" r:id="rId28"/>
    <hyperlink xmlns:r="http://schemas.openxmlformats.org/officeDocument/2006/relationships" ref="L25" r:id="rId29"/>
    <hyperlink xmlns:r="http://schemas.openxmlformats.org/officeDocument/2006/relationships" ref="L26" r:id="rId30"/>
    <hyperlink xmlns:r="http://schemas.openxmlformats.org/officeDocument/2006/relationships" ref="L27" r:id="rId31"/>
    <hyperlink xmlns:r="http://schemas.openxmlformats.org/officeDocument/2006/relationships" ref="I28" r:id="rId32"/>
    <hyperlink xmlns:r="http://schemas.openxmlformats.org/officeDocument/2006/relationships" ref="L28" r:id="rId33"/>
    <hyperlink xmlns:r="http://schemas.openxmlformats.org/officeDocument/2006/relationships" ref="L29" r:id="rId34"/>
    <hyperlink xmlns:r="http://schemas.openxmlformats.org/officeDocument/2006/relationships" ref="I30" r:id="rId35"/>
    <hyperlink xmlns:r="http://schemas.openxmlformats.org/officeDocument/2006/relationships" ref="L30" r:id="rId36"/>
    <hyperlink xmlns:r="http://schemas.openxmlformats.org/officeDocument/2006/relationships" ref="I31" r:id="rId37"/>
    <hyperlink xmlns:r="http://schemas.openxmlformats.org/officeDocument/2006/relationships" ref="L31" r:id="rId38"/>
    <hyperlink xmlns:r="http://schemas.openxmlformats.org/officeDocument/2006/relationships" ref="I32" r:id="rId39"/>
    <hyperlink xmlns:r="http://schemas.openxmlformats.org/officeDocument/2006/relationships" ref="L32" r:id="rId40"/>
    <hyperlink xmlns:r="http://schemas.openxmlformats.org/officeDocument/2006/relationships" ref="I33" r:id="rId41"/>
    <hyperlink xmlns:r="http://schemas.openxmlformats.org/officeDocument/2006/relationships" ref="L33" r:id="rId42"/>
    <hyperlink xmlns:r="http://schemas.openxmlformats.org/officeDocument/2006/relationships" ref="I34" r:id="rId43"/>
    <hyperlink xmlns:r="http://schemas.openxmlformats.org/officeDocument/2006/relationships" ref="L34" r:id="rId44"/>
    <hyperlink xmlns:r="http://schemas.openxmlformats.org/officeDocument/2006/relationships" ref="I35" r:id="rId45"/>
    <hyperlink xmlns:r="http://schemas.openxmlformats.org/officeDocument/2006/relationships" ref="L35" r:id="rId46"/>
    <hyperlink xmlns:r="http://schemas.openxmlformats.org/officeDocument/2006/relationships" ref="I36" r:id="rId47"/>
    <hyperlink xmlns:r="http://schemas.openxmlformats.org/officeDocument/2006/relationships" ref="L36" r:id="rId48"/>
    <hyperlink xmlns:r="http://schemas.openxmlformats.org/officeDocument/2006/relationships" ref="I37" r:id="rId49"/>
    <hyperlink xmlns:r="http://schemas.openxmlformats.org/officeDocument/2006/relationships" ref="L37" r:id="rId50"/>
    <hyperlink xmlns:r="http://schemas.openxmlformats.org/officeDocument/2006/relationships" ref="I38" r:id="rId51"/>
    <hyperlink xmlns:r="http://schemas.openxmlformats.org/officeDocument/2006/relationships" ref="L38" r:id="rId52"/>
    <hyperlink xmlns:r="http://schemas.openxmlformats.org/officeDocument/2006/relationships" ref="I39" r:id="rId53"/>
    <hyperlink xmlns:r="http://schemas.openxmlformats.org/officeDocument/2006/relationships" ref="L39" r:id="rId54"/>
    <hyperlink xmlns:r="http://schemas.openxmlformats.org/officeDocument/2006/relationships" ref="I40" r:id="rId55"/>
    <hyperlink xmlns:r="http://schemas.openxmlformats.org/officeDocument/2006/relationships" ref="L40" r:id="rId56"/>
    <hyperlink xmlns:r="http://schemas.openxmlformats.org/officeDocument/2006/relationships" ref="I41" r:id="rId57"/>
    <hyperlink xmlns:r="http://schemas.openxmlformats.org/officeDocument/2006/relationships" ref="L41" r:id="rId58"/>
    <hyperlink xmlns:r="http://schemas.openxmlformats.org/officeDocument/2006/relationships" ref="I42" r:id="rId59"/>
    <hyperlink xmlns:r="http://schemas.openxmlformats.org/officeDocument/2006/relationships" ref="L42" r:id="rId60"/>
    <hyperlink xmlns:r="http://schemas.openxmlformats.org/officeDocument/2006/relationships" ref="I43" r:id="rId61"/>
    <hyperlink xmlns:r="http://schemas.openxmlformats.org/officeDocument/2006/relationships" ref="L43" r:id="rId62"/>
    <hyperlink xmlns:r="http://schemas.openxmlformats.org/officeDocument/2006/relationships" ref="I44" r:id="rId63"/>
    <hyperlink xmlns:r="http://schemas.openxmlformats.org/officeDocument/2006/relationships" ref="L44" r:id="rId64"/>
    <hyperlink xmlns:r="http://schemas.openxmlformats.org/officeDocument/2006/relationships" ref="I45" r:id="rId65"/>
    <hyperlink xmlns:r="http://schemas.openxmlformats.org/officeDocument/2006/relationships" ref="L45" r:id="rId66"/>
    <hyperlink xmlns:r="http://schemas.openxmlformats.org/officeDocument/2006/relationships" ref="I46" r:id="rId67"/>
    <hyperlink xmlns:r="http://schemas.openxmlformats.org/officeDocument/2006/relationships" ref="L46" r:id="rId68"/>
    <hyperlink xmlns:r="http://schemas.openxmlformats.org/officeDocument/2006/relationships" ref="I47" r:id="rId69"/>
    <hyperlink xmlns:r="http://schemas.openxmlformats.org/officeDocument/2006/relationships" ref="L47" r:id="rId70"/>
    <hyperlink xmlns:r="http://schemas.openxmlformats.org/officeDocument/2006/relationships" ref="I48" r:id="rId71"/>
    <hyperlink xmlns:r="http://schemas.openxmlformats.org/officeDocument/2006/relationships" ref="L48" r:id="rId72"/>
    <hyperlink xmlns:r="http://schemas.openxmlformats.org/officeDocument/2006/relationships" ref="I49" r:id="rId73"/>
    <hyperlink xmlns:r="http://schemas.openxmlformats.org/officeDocument/2006/relationships" ref="L49" r:id="rId74"/>
    <hyperlink xmlns:r="http://schemas.openxmlformats.org/officeDocument/2006/relationships" ref="I50" r:id="rId75"/>
    <hyperlink xmlns:r="http://schemas.openxmlformats.org/officeDocument/2006/relationships" ref="L50" r:id="rId76"/>
    <hyperlink xmlns:r="http://schemas.openxmlformats.org/officeDocument/2006/relationships" ref="I51" r:id="rId77"/>
    <hyperlink xmlns:r="http://schemas.openxmlformats.org/officeDocument/2006/relationships" ref="L51" r:id="rId78"/>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N10"/>
  <sheetViews>
    <sheetView workbookViewId="0">
      <pane ySplit="1" topLeftCell="A2" activePane="bottomLeft" state="frozen"/>
      <selection pane="bottomLeft" activeCell="A1" sqref="A1"/>
    </sheetView>
  </sheetViews>
  <sheetFormatPr baseColWidth="8" defaultRowHeight="15"/>
  <cols>
    <col width="6" customWidth="1" style="34" min="1" max="1"/>
    <col width="16" customWidth="1" style="34" min="2" max="2"/>
    <col width="34" customWidth="1" style="34" min="3" max="3"/>
    <col width="22" customWidth="1" style="34" min="4" max="4"/>
    <col width="26" customWidth="1" style="34" min="5" max="5"/>
    <col width="28" customWidth="1" style="34" min="6" max="6"/>
    <col width="16" customWidth="1" style="34" min="7" max="7"/>
    <col width="34" customWidth="1" style="34" min="8" max="8"/>
    <col width="18" customWidth="1" style="34" min="9" max="9"/>
    <col width="16" customWidth="1" style="34" min="10" max="10"/>
    <col width="22" customWidth="1" style="34" min="11" max="11"/>
    <col hidden="1" width="20" customWidth="1" style="34" min="12" max="12"/>
    <col width="60" customWidth="1" style="34" min="13" max="13"/>
    <col width="40" customWidth="1" style="34" min="14" max="14"/>
  </cols>
  <sheetData>
    <row r="1" ht="22" customHeight="1" s="34">
      <c r="A1" s="122" t="inlineStr">
        <is>
          <t>Year</t>
        </is>
      </c>
      <c r="B1" s="122" t="inlineStr">
        <is>
          <t>Tier</t>
        </is>
      </c>
      <c r="C1" s="122" t="inlineStr">
        <is>
          <t>Campaign</t>
        </is>
      </c>
      <c r="D1" s="122" t="inlineStr">
        <is>
          <t>Brand</t>
        </is>
      </c>
      <c r="E1" s="122" t="inlineStr">
        <is>
          <t>Product/Service</t>
        </is>
      </c>
      <c r="F1" s="122" t="inlineStr">
        <is>
          <t>Agency</t>
        </is>
      </c>
      <c r="G1" s="122" t="inlineStr">
        <is>
          <t>Country</t>
        </is>
      </c>
      <c r="H1" s="122" t="inlineStr">
        <is>
          <t>Subcategory</t>
        </is>
      </c>
      <c r="I1" s="122" t="inlineStr">
        <is>
          <t>Image URL</t>
        </is>
      </c>
      <c r="J1" s="122" t="inlineStr">
        <is>
          <t>YouTube ID</t>
        </is>
      </c>
      <c r="K1" s="122" t="inlineStr">
        <is>
          <t>Campaign Group</t>
        </is>
      </c>
      <c r="L1" s="122" t="inlineStr">
        <is>
          <t>Entry URL</t>
        </is>
      </c>
      <c r="M1" s="122" t="inlineStr">
        <is>
          <t>Description</t>
        </is>
      </c>
      <c r="N1" s="122" t="inlineStr">
        <is>
          <t>Keywords</t>
        </is>
      </c>
    </row>
    <row r="2">
      <c r="A2" s="127" t="n">
        <v>2025</v>
      </c>
      <c r="B2" s="139" t="inlineStr">
        <is>
          <t>Titanium Grand Prix</t>
        </is>
      </c>
      <c r="C2" s="127" t="inlineStr">
        <is>
          <t>AXA - Three Words</t>
        </is>
      </c>
      <c r="D2" s="127" t="inlineStr">
        <is>
          <t>AXA</t>
        </is>
      </c>
      <c r="E2" s="127" t="inlineStr">
        <is>
          <t>Insurance</t>
        </is>
      </c>
      <c r="F2" s="127" t="inlineStr">
        <is>
          <t>Publicis Conseil</t>
        </is>
      </c>
      <c r="G2" s="127" t="inlineStr">
        <is>
          <t>France</t>
        </is>
      </c>
      <c r="H2" s="113" t="inlineStr">
        <is>
          <t>Titanium</t>
        </is>
      </c>
      <c r="I2" s="128" t="inlineStr">
        <is>
          <t>https://ascentialcdn.filespin.io/api/v1/conversion/e1a85ff134e545c7b049791151432028</t>
        </is>
      </c>
      <c r="J2" s="127" t="inlineStr">
        <is>
          <t>pY-03zuV7mE</t>
        </is>
      </c>
      <c r="K2" s="127" t="n"/>
      <c r="L2" s="128" t="inlineStr">
        <is>
          <t>https://www.lovethework.com/work/entries/axa-three-words-748384</t>
        </is>
      </c>
      <c r="M2" s="113" t="inlineStr">
        <is>
          <t>AXA turned home insurance into a tool for escape by adding three words—“and domestic violence”—to its policies, making abuse a covered risk alongside fire and flood. The change gave victims emergency relocation support at no extra cost, updating 2.5 million contracts and helping women leave the most dangerous place they may face: their own home.</t>
        </is>
      </c>
      <c r="N2" s="113" t="inlineStr">
        <is>
          <t>insurance, financial-services, finance, france, domestic-violence, public-service, digital-platform, consumer-services, housing, publicis-conseil</t>
        </is>
      </c>
    </row>
    <row r="3">
      <c r="A3" s="127" t="n">
        <v>2025</v>
      </c>
      <c r="B3" s="158" t="inlineStr">
        <is>
          <t>Titanium</t>
        </is>
      </c>
      <c r="C3" s="127" t="inlineStr">
        <is>
          <t>Pedigree Caramelo</t>
        </is>
      </c>
      <c r="D3" s="127" t="inlineStr">
        <is>
          <t>Pedigree</t>
        </is>
      </c>
      <c r="E3" s="127" t="inlineStr">
        <is>
          <t>Pedigree</t>
        </is>
      </c>
      <c r="F3" s="127" t="inlineStr">
        <is>
          <t>AlmapBBDO</t>
        </is>
      </c>
      <c r="G3" s="127" t="inlineStr">
        <is>
          <t>Brazil</t>
        </is>
      </c>
      <c r="H3" s="113" t="inlineStr">
        <is>
          <t>Titanium</t>
        </is>
      </c>
      <c r="I3" s="128" t="inlineStr">
        <is>
          <t>https://ascentialcdn.filespin.io/api/v1/conversion/61f3c230a91e417397304be1d6a0ef2d</t>
        </is>
      </c>
      <c r="J3" s="127" t="inlineStr">
        <is>
          <t>prMM0H9psRs</t>
        </is>
      </c>
      <c r="K3" s="127" t="n"/>
      <c r="L3" s="128" t="inlineStr">
        <is>
          <t>https://www.lovethework.com/work/entries/pedigree-caramelo-758945</t>
        </is>
      </c>
      <c r="M3" s="113" t="inlineStr">
        <is>
          <t>A campaign by AlmapBBDO São Paulo that officially registered Brazil's most common shelter dog — the caramelo, a generic tan mixed-breed found across the country — as a recognized breed, complete with a formal Pedigree certificate, DNA testing, a Kennel Club, and its own Pedigree branded packaging. The premise was that the caramelo was already everywhere in Brazilian culture — in memes, jokes, and everyday affection — but had never received the official status that purebred dogs carry, which Pedigree used as a reason to give it one.</t>
        </is>
      </c>
      <c r="N3" s="113" t="inlineStr">
        <is>
          <t>dog-food, brazil, shelter-adoption, branded-experience, packaging, public-service, mixed-breed, brand-strategy, pet-care</t>
        </is>
      </c>
    </row>
    <row r="4">
      <c r="A4" s="127" t="n">
        <v>2025</v>
      </c>
      <c r="B4" s="158" t="inlineStr">
        <is>
          <t>Titanium</t>
        </is>
      </c>
      <c r="C4" s="127" t="inlineStr">
        <is>
          <t>Vaseline Verified</t>
        </is>
      </c>
      <c r="D4" s="127" t="inlineStr">
        <is>
          <t>Unilever</t>
        </is>
      </c>
      <c r="E4" s="127" t="inlineStr">
        <is>
          <t>Vaseline</t>
        </is>
      </c>
      <c r="F4" s="127" t="inlineStr">
        <is>
          <t>Ogilvy</t>
        </is>
      </c>
      <c r="G4" s="127" t="inlineStr">
        <is>
          <t>Singapore</t>
        </is>
      </c>
      <c r="H4" s="113" t="inlineStr">
        <is>
          <t>Titanium</t>
        </is>
      </c>
      <c r="I4" s="128" t="inlineStr">
        <is>
          <t>https://ascentialcdn.filespin.io/api/v1/conversion/faf0755b0d4e4594ad93cb75d6288e3d</t>
        </is>
      </c>
      <c r="J4" s="127" t="inlineStr">
        <is>
          <t>vimeo:1082798104</t>
        </is>
      </c>
      <c r="K4" s="127" t="n"/>
      <c r="L4" s="128" t="inlineStr">
        <is>
          <t>https://www.lovethework.com/work/entries/vaseline-verified-758815</t>
        </is>
      </c>
      <c r="M4" s="113" t="inlineStr">
        <is>
          <t>A community management campaign built around the 6,000-plus organic social media posts showing unofficial uses of Vaseline Petroleum Jelly: Ogilvy Singapore had dermatologists review each hack, awarding a "Vaseline Verified" seal to those that held up and publicly debunking those that didn't. The system turned user-generated content into a live, brand-endorsed verification layer — embracing the existing conversation rather than replacing it with controlled messaging.</t>
        </is>
      </c>
      <c r="N4" s="113" t="inlineStr">
        <is>
          <t>skincare, personal-care, beauty, community-management, social-media, user-generated-content, ooh, singapore, health-wellness, dermatology</t>
        </is>
      </c>
    </row>
    <row r="5">
      <c r="A5" s="127" t="n">
        <v>2025</v>
      </c>
      <c r="B5" s="158" t="inlineStr">
        <is>
          <t>Titanium</t>
        </is>
      </c>
      <c r="C5" s="127" t="inlineStr">
        <is>
          <t>Caption with Intention</t>
        </is>
      </c>
      <c r="D5" s="127" t="inlineStr">
        <is>
          <t>Academy of Motion Picture Arts &amp; Sciences</t>
        </is>
      </c>
      <c r="E5" s="127" t="inlineStr">
        <is>
          <t>Closed Captioning</t>
        </is>
      </c>
      <c r="F5" s="127" t="inlineStr">
        <is>
          <t>FCB Chicago</t>
        </is>
      </c>
      <c r="G5" s="127" t="inlineStr">
        <is>
          <t>United States</t>
        </is>
      </c>
      <c r="H5" s="113" t="inlineStr">
        <is>
          <t>Titanium</t>
        </is>
      </c>
      <c r="I5" s="128" t="inlineStr">
        <is>
          <t>https://ascentialcdn.filespin.io/api/v1/conversion/ec33dea7945841b0a0833542b60f5b36</t>
        </is>
      </c>
      <c r="J5" s="127" t="inlineStr">
        <is>
          <t>F48khKZhKHM</t>
        </is>
      </c>
      <c r="K5" s="127" t="n"/>
      <c r="L5" s="128" t="inlineStr">
        <is>
          <t>https://www.lovethework.com/work/entries/caption-with-intention-748572</t>
        </is>
      </c>
      <c r="M5" s="113" t="inlineStr">
        <is>
          <t>A caption design system for film and television that moves beyond static white text — word-by-word sync pairs with expressive typography, where type weight, color, and motion signal volume, tone, and speaker identity. Developed by FCB Chicago in close partnership with the Chicago Hearing Society, Rakish, and the Academy of Motion Picture Arts and Sciences, which adopted it as a new standard for cinematic accessibility.</t>
        </is>
      </c>
      <c r="N5" s="113" t="inlineStr">
        <is>
          <t>closed-captioning, accessibility, typography, film, cinema, entertainment, societal-innovation, united-states, design-system, deaf-hard-of-hearing</t>
        </is>
      </c>
    </row>
    <row r="6">
      <c r="A6" s="33" t="n">
        <v>2026</v>
      </c>
      <c r="B6" s="33" t="inlineStr">
        <is>
          <t>Titanium Grand Prix</t>
        </is>
      </c>
      <c r="C6" s="33" t="inlineStr">
        <is>
          <t>Haven</t>
        </is>
      </c>
      <c r="D6" s="33" t="inlineStr">
        <is>
          <t>Suncorp Insurance</t>
        </is>
      </c>
      <c r="E6" s="33" t="inlineStr">
        <is>
          <t>Insurance</t>
        </is>
      </c>
      <c r="F6" s="33" t="inlineStr">
        <is>
          <t>Leo Australia</t>
        </is>
      </c>
      <c r="G6" s="33" t="inlineStr">
        <is>
          <t>Australia</t>
        </is>
      </c>
      <c r="H6" s="33" t="inlineStr">
        <is>
          <t>Titanium</t>
        </is>
      </c>
      <c r="I6" s="33" t="inlineStr">
        <is>
          <t>https://ascentialcdn.filespin.io/api/v1/conversion/77cfcfb8b3214196bb50aae00975065b</t>
        </is>
      </c>
      <c r="J6" s="33" t="inlineStr">
        <is>
          <t>Pwf50R9flkU</t>
        </is>
      </c>
      <c r="K6" s="33" t="inlineStr"/>
      <c r="L6" s="33" t="inlineStr">
        <is>
          <t>https://www.lovethework.com/work/entries/haven-793348</t>
        </is>
      </c>
      <c r="M6" s="33" t="inlineStr">
        <is>
          <t>A digital platform for Suncorp Insurance, built by Leo Australia, that lets any Australian homeowner enter their address and receive a tailored report and video outlining the property's flood, bushfire, cyclone and storm risks, drawing on live weather, property and natural-peril data to deliver personalised resilience advice.</t>
        </is>
      </c>
      <c r="N6" s="33" t="inlineStr">
        <is>
          <t>suncorp insurance, insurance, financial-services, finance, financial services, australia, home, property, climate, sustainability, environment, natural disasters, flood, bushfire, cyclone, weather data, risk, resilience, platform, data, leo australia, silver</t>
        </is>
      </c>
    </row>
    <row r="7">
      <c r="A7" s="33" t="n">
        <v>2026</v>
      </c>
      <c r="B7" s="33" t="inlineStr">
        <is>
          <t>Titanium</t>
        </is>
      </c>
      <c r="C7" s="33" t="inlineStr">
        <is>
          <t>The Legacy of Virginia Giuffre</t>
        </is>
      </c>
      <c r="D7" s="33" t="inlineStr">
        <is>
          <t>Virginia Giuffre</t>
        </is>
      </c>
      <c r="E7" s="33" t="inlineStr">
        <is>
          <t>Virginia Giuffre</t>
        </is>
      </c>
      <c r="F7" s="33" t="inlineStr">
        <is>
          <t>Dini von Mueffling Communications</t>
        </is>
      </c>
      <c r="G7" s="33" t="inlineStr">
        <is>
          <t>United States</t>
        </is>
      </c>
      <c r="H7" s="33" t="inlineStr">
        <is>
          <t>Titanium</t>
        </is>
      </c>
      <c r="I7" s="33" t="inlineStr">
        <is>
          <t>https://ascentialcdn.filespin.io/api/v1/conversion/2dd18c8da8ce4ce2b169587c6309a015</t>
        </is>
      </c>
      <c r="J7" s="33" t="inlineStr">
        <is>
          <t>qSMEPOYNGew</t>
        </is>
      </c>
      <c r="K7" s="33" t="inlineStr"/>
      <c r="L7" s="33" t="inlineStr">
        <is>
          <t>https://www.lovethework.com/work/entries/the-legacy-of-virginia-giuffre-793354</t>
        </is>
      </c>
      <c r="M7" s="33" t="inlineStr">
        <is>
          <t>A media-relations effort by Dini von Mueffling Communications to steward the public legacy of Virginia Giuffre, the survivor and advocate whose testimony helped expose sexual abuse by powerful figures, working to ensure her advocacy and story continued to be represented accurately in the press.</t>
        </is>
      </c>
      <c r="N7" s="33" t="inlineStr">
        <is>
          <t>virginia giuffre, advocacy, survivor, human rights, justice, awareness, united states, legacy, media relations, public relations, pr, dini von mueffling communications, bronze</t>
        </is>
      </c>
    </row>
    <row r="8">
      <c r="A8" s="33" t="n">
        <v>2026</v>
      </c>
      <c r="B8" s="33" t="inlineStr">
        <is>
          <t>Titanium</t>
        </is>
      </c>
      <c r="C8" s="33" t="inlineStr">
        <is>
          <t>Oreo Cows</t>
        </is>
      </c>
      <c r="D8" s="33" t="inlineStr">
        <is>
          <t>Oreo</t>
        </is>
      </c>
      <c r="E8" s="33" t="inlineStr">
        <is>
          <t>Oreo</t>
        </is>
      </c>
      <c r="F8" s="33" t="inlineStr">
        <is>
          <t>VML</t>
        </is>
      </c>
      <c r="G8" s="33" t="inlineStr">
        <is>
          <t>United States</t>
        </is>
      </c>
      <c r="H8" s="33" t="inlineStr">
        <is>
          <t>Titanium</t>
        </is>
      </c>
      <c r="I8" s="33" t="inlineStr">
        <is>
          <t>https://ascentialcdn.filespin.io/api/v1/conversion/f34bbf1c3b224a62a7b93946bce31756</t>
        </is>
      </c>
      <c r="J8" s="33" t="inlineStr">
        <is>
          <t>F2EjJgR0adE</t>
        </is>
      </c>
      <c r="K8" s="33" t="inlineStr"/>
      <c r="L8" s="33" t="inlineStr">
        <is>
          <t>https://www.lovethework.com/work/entries/oreo-cows-793409</t>
        </is>
      </c>
      <c r="M8" s="33" t="inlineStr">
        <is>
          <t>A Consumer Goods Gold for Oreo, created by VML New York and VML Mexico City. The campaign brings Oreo's black-and-white world to life through 'Oreo Cows', a playful idea rooted in the cookie's classic pairing with a glass of milk.</t>
        </is>
      </c>
      <c r="N8" s="33" t="inlineStr">
        <is>
          <t>oreo, cookies, biscuits, snacks, fmcg, food, mondelez, milk, dairy, cows, consumer goods, united states, mexico, direct, vml, gold</t>
        </is>
      </c>
    </row>
    <row r="9">
      <c r="A9" s="33" t="n">
        <v>2026</v>
      </c>
      <c r="B9" s="33" t="inlineStr">
        <is>
          <t>Titanium</t>
        </is>
      </c>
      <c r="C9" s="33" t="inlineStr">
        <is>
          <t>Expedition Impossible</t>
        </is>
      </c>
      <c r="D9" s="33" t="inlineStr">
        <is>
          <t>Columbia Sportswear</t>
        </is>
      </c>
      <c r="E9" s="33" t="inlineStr">
        <is>
          <t>Sportswear</t>
        </is>
      </c>
      <c r="F9" s="33" t="inlineStr">
        <is>
          <t>adam&amp;eve\TBWA London</t>
        </is>
      </c>
      <c r="G9" s="33" t="inlineStr">
        <is>
          <t>United Kingdom</t>
        </is>
      </c>
      <c r="H9" s="33" t="inlineStr">
        <is>
          <t>Titanium</t>
        </is>
      </c>
      <c r="I9" s="33" t="inlineStr">
        <is>
          <t>https://ascentialcdn.filespin.io/api/v1/conversion/bf27011e79f94826a41c286a1bbd22d5</t>
        </is>
      </c>
      <c r="J9" s="33" t="inlineStr">
        <is>
          <t>iOhH_1iHrkM</t>
        </is>
      </c>
      <c r="K9" s="33" t="inlineStr"/>
      <c r="L9" s="33" t="inlineStr">
        <is>
          <t>https://www.lovethework.com/work/entries/expedition-impossible-793436</t>
        </is>
      </c>
      <c r="M9" s="33" t="inlineStr">
        <is>
          <t>A Use of Humour Gold for Columbia Sportswear by adam&amp;eve\TBWA, London. Since Columbia builds gear for the edges of the Earth, the brand challenged the flat-earth community to actually go and find one, funding an 'Expedition Impossible' to the supposed edge of a flat planet, kitted head to toe in Columbia.</t>
        </is>
      </c>
      <c r="N9" s="33" t="inlineStr">
        <is>
          <t>columbia sportswear, sportswear, apparel, clothing, outdoor gear, retail, flat earth, expedition, humour, comedy, use of humour, united kingdom, direct, adam&amp;eve tbwa, tbwa, grand prix</t>
        </is>
      </c>
    </row>
    <row r="10">
      <c r="A10" s="33" t="n">
        <v>2026</v>
      </c>
      <c r="B10" s="33" t="inlineStr">
        <is>
          <t>Titanium</t>
        </is>
      </c>
      <c r="C10" s="33" t="inlineStr">
        <is>
          <t>600K Network</t>
        </is>
      </c>
      <c r="D10" s="33" t="inlineStr">
        <is>
          <t>Comando Con Venezuela</t>
        </is>
      </c>
      <c r="E10" s="33" t="inlineStr">
        <is>
          <t>Comando Con Venezuela</t>
        </is>
      </c>
      <c r="F10" s="33" t="inlineStr">
        <is>
          <t>Rainbow Lobster</t>
        </is>
      </c>
      <c r="G10" s="33" t="inlineStr">
        <is>
          <t>Mexico</t>
        </is>
      </c>
      <c r="H10" s="33" t="inlineStr">
        <is>
          <t>Titanium</t>
        </is>
      </c>
      <c r="I10" s="33" t="inlineStr">
        <is>
          <t>https://ascentialcdn.filespin.io/api/v1/conversion/7c4188ed3df9424d9968561891b8be22</t>
        </is>
      </c>
      <c r="J10" s="33" t="inlineStr">
        <is>
          <t>egeVlZsJZfc</t>
        </is>
      </c>
      <c r="K10" s="33" t="inlineStr"/>
      <c r="L10" s="33" t="inlineStr">
        <is>
          <t>https://www.lovethework.com/work/entries/600k-network-793442</t>
        </is>
      </c>
      <c r="M10" s="33" t="inlineStr">
        <is>
          <t>For the Venezuelan citizen movement Comando con Venezuela, Rainbow Lobster built a real-time network that captured, digitised and verified electoral tally sheets (actas) as votes came in, turning a distributed civic effort into a transparent, public record of the result.</t>
        </is>
      </c>
      <c r="N10" s="33" t="inlineStr">
        <is>
          <t>comando con venezuela, venezuela, civic, activism, social-good, elections, voting, democracy, electoral records, transparency, real-time data, crowdsourcing, network, data, rainbow lobster, mexico, gold</t>
        </is>
      </c>
    </row>
  </sheetData>
  <autoFilter ref="A1:N5"/>
  <hyperlinks>
    <hyperlink xmlns:r="http://schemas.openxmlformats.org/officeDocument/2006/relationships" ref="I2" r:id="rId1"/>
    <hyperlink xmlns:r="http://schemas.openxmlformats.org/officeDocument/2006/relationships" ref="L2" r:id="rId2"/>
    <hyperlink xmlns:r="http://schemas.openxmlformats.org/officeDocument/2006/relationships" ref="I3" r:id="rId3"/>
    <hyperlink xmlns:r="http://schemas.openxmlformats.org/officeDocument/2006/relationships" ref="L3" r:id="rId4"/>
    <hyperlink xmlns:r="http://schemas.openxmlformats.org/officeDocument/2006/relationships" ref="I4" r:id="rId5"/>
    <hyperlink xmlns:r="http://schemas.openxmlformats.org/officeDocument/2006/relationships" ref="L4" r:id="rId6"/>
    <hyperlink xmlns:r="http://schemas.openxmlformats.org/officeDocument/2006/relationships" ref="I5" r:id="rId7"/>
    <hyperlink xmlns:r="http://schemas.openxmlformats.org/officeDocument/2006/relationships" ref="L5" r:id="rId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2026-04-02T04:55:11Z</dcterms:created>
  <dcterms:modified xmlns:dcterms="http://purl.org/dc/terms/" xmlns:xsi="http://www.w3.org/2001/XMLSchema-instance" xsi:type="dcterms:W3CDTF">2026-06-29T22:37:09Z</dcterms:modified>
  <cp:revision>0</cp:revision>
</cp:coreProperties>
</file>