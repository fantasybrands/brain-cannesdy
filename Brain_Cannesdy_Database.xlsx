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Audio &amp; Radio" sheetId="2" state="visible" r:id="rId2"/>
    <sheet xmlns:r="http://schemas.openxmlformats.org/officeDocument/2006/relationships" name="Film" sheetId="3" state="visible" r:id="rId3"/>
    <sheet xmlns:r="http://schemas.openxmlformats.org/officeDocument/2006/relationships" name="Outdoor" sheetId="4" state="visible" r:id="rId4"/>
    <sheet xmlns:r="http://schemas.openxmlformats.org/officeDocument/2006/relationships" name="Print &amp; Publishing" sheetId="5" state="visible" r:id="rId5"/>
    <sheet xmlns:r="http://schemas.openxmlformats.org/officeDocument/2006/relationships" name="Design" sheetId="6" state="visible" r:id="rId6"/>
    <sheet xmlns:r="http://schemas.openxmlformats.org/officeDocument/2006/relationships" name="Digital Craft" sheetId="7" state="visible" r:id="rId7"/>
    <sheet xmlns:r="http://schemas.openxmlformats.org/officeDocument/2006/relationships" name="Film Craft" sheetId="8" state="visible" r:id="rId8"/>
    <sheet xmlns:r="http://schemas.openxmlformats.org/officeDocument/2006/relationships" name="Industry Craft" sheetId="9" state="visible" r:id="rId9"/>
    <sheet xmlns:r="http://schemas.openxmlformats.org/officeDocument/2006/relationships" name="Creative B2B" sheetId="10" state="visible" r:id="rId10"/>
    <sheet xmlns:r="http://schemas.openxmlformats.org/officeDocument/2006/relationships" name="Creative Data" sheetId="11" state="visible" r:id="rId11"/>
    <sheet xmlns:r="http://schemas.openxmlformats.org/officeDocument/2006/relationships" name="Direct" sheetId="12" state="visible" r:id="rId12"/>
    <sheet xmlns:r="http://schemas.openxmlformats.org/officeDocument/2006/relationships" name="Media" sheetId="13" state="visible" r:id="rId13"/>
    <sheet xmlns:r="http://schemas.openxmlformats.org/officeDocument/2006/relationships" name="PR" sheetId="14" state="visible" r:id="rId14"/>
    <sheet xmlns:r="http://schemas.openxmlformats.org/officeDocument/2006/relationships" name="Social &amp; Creator" sheetId="15" state="visible" r:id="rId15"/>
    <sheet xmlns:r="http://schemas.openxmlformats.org/officeDocument/2006/relationships" name="Entertainment" sheetId="16" state="visible" r:id="rId16"/>
    <sheet xmlns:r="http://schemas.openxmlformats.org/officeDocument/2006/relationships" name="Entertainment Lions for Gaming" sheetId="17" state="visible" r:id="rId17"/>
    <sheet xmlns:r="http://schemas.openxmlformats.org/officeDocument/2006/relationships" name="Entertainment Lions for Music" sheetId="18" state="visible" r:id="rId18"/>
    <sheet xmlns:r="http://schemas.openxmlformats.org/officeDocument/2006/relationships" name="Entertainment Lions for Sport" sheetId="19" state="visible" r:id="rId19"/>
    <sheet xmlns:r="http://schemas.openxmlformats.org/officeDocument/2006/relationships" name="Brand Experience &amp; Activation" sheetId="20" state="visible" r:id="rId20"/>
    <sheet xmlns:r="http://schemas.openxmlformats.org/officeDocument/2006/relationships" name="Creative Bus. Transformation" sheetId="21" state="visible" r:id="rId21"/>
    <sheet xmlns:r="http://schemas.openxmlformats.org/officeDocument/2006/relationships" name="Creative Commerce" sheetId="22" state="visible" r:id="rId22"/>
    <sheet xmlns:r="http://schemas.openxmlformats.org/officeDocument/2006/relationships" name="Innovation" sheetId="23" state="visible" r:id="rId23"/>
    <sheet xmlns:r="http://schemas.openxmlformats.org/officeDocument/2006/relationships" name="Luxury" sheetId="24" state="visible" r:id="rId24"/>
    <sheet xmlns:r="http://schemas.openxmlformats.org/officeDocument/2006/relationships" name="Glass - The Lion for Change" sheetId="25" state="visible" r:id="rId25"/>
    <sheet xmlns:r="http://schemas.openxmlformats.org/officeDocument/2006/relationships" name="Grand Prix for Good" sheetId="26" state="visible" r:id="rId26"/>
    <sheet xmlns:r="http://schemas.openxmlformats.org/officeDocument/2006/relationships" name="Sustainable Development Goals" sheetId="27" state="visible" r:id="rId27"/>
    <sheet xmlns:r="http://schemas.openxmlformats.org/officeDocument/2006/relationships" name="Health &amp; Wellness" sheetId="28" state="visible" r:id="rId28"/>
    <sheet xmlns:r="http://schemas.openxmlformats.org/officeDocument/2006/relationships" name="Health Grand Prix for Good" sheetId="29" state="visible" r:id="rId29"/>
    <sheet xmlns:r="http://schemas.openxmlformats.org/officeDocument/2006/relationships" name="Pharma" sheetId="30" state="visible" r:id="rId30"/>
    <sheet xmlns:r="http://schemas.openxmlformats.org/officeDocument/2006/relationships" name="Creative Effectiveness" sheetId="31" state="visible" r:id="rId31"/>
    <sheet xmlns:r="http://schemas.openxmlformats.org/officeDocument/2006/relationships" name="Creative Strategy" sheetId="32" state="visible" r:id="rId32"/>
    <sheet xmlns:r="http://schemas.openxmlformats.org/officeDocument/2006/relationships" name="Titanium" sheetId="33" state="visible" r:id="rId33"/>
  </sheets>
  <definedNames>
    <definedName name="_xlnm._FilterDatabase" localSheetId="1" hidden="1">'Audio &amp; Radio'!$A$1:$N$28</definedName>
    <definedName name="_xlnm._FilterDatabase" localSheetId="2" hidden="1">'Film'!$A$1:$N$53</definedName>
    <definedName name="_xlnm._FilterDatabase" localSheetId="3" hidden="1">'Outdoor'!$A$1:$N$78</definedName>
    <definedName name="_xlnm._FilterDatabase" localSheetId="4" hidden="1">'Print &amp; Publishing'!$A$1:$N$47</definedName>
    <definedName name="_xlnm._FilterDatabase" localSheetId="5" hidden="1">'Design'!$A$1:$N$32</definedName>
    <definedName name="_xlnm._FilterDatabase" localSheetId="6" hidden="1">'Digital Craft'!$A$1:$N$18</definedName>
    <definedName name="_xlnm._FilterDatabase" localSheetId="7" hidden="1">'Film Craft'!$A$1:$N$50</definedName>
    <definedName name="_xlnm._FilterDatabase" localSheetId="8" hidden="1">'Industry Craft'!$A$1:$N$31</definedName>
    <definedName name="_xlnm._FilterDatabase" localSheetId="9" hidden="1">'Creative B2B'!$A$1:$N$14</definedName>
    <definedName name="_xlnm._FilterDatabase" localSheetId="10" hidden="1">'Creative Data'!$A$1:$N$18</definedName>
    <definedName name="_xlnm._FilterDatabase" localSheetId="11" hidden="1">'Direct'!$A$1:$N$60</definedName>
    <definedName name="_xlnm._FilterDatabase" localSheetId="12" hidden="1">'Media'!$A$1:$N$67</definedName>
    <definedName name="_xlnm._FilterDatabase" localSheetId="13" hidden="1">'PR'!$A$1:$N$45</definedName>
    <definedName name="_xlnm._FilterDatabase" localSheetId="14" hidden="1">'Social &amp; Creator'!$A$1:$N$51</definedName>
    <definedName name="_xlnm._FilterDatabase" localSheetId="15" hidden="1">'Entertainment'!$A$1:$N$23</definedName>
    <definedName name="_xlnm._FilterDatabase" localSheetId="16" hidden="1">'Entertainment Lions for Gaming'!$A$1:$N$12</definedName>
    <definedName name="_xlnm._FilterDatabase" localSheetId="17" hidden="1">'Entertainment Lions for Music'!$A$1:$N$17</definedName>
    <definedName name="_xlnm._FilterDatabase" localSheetId="18" hidden="1">'Entertainment Lions for Sport'!$A$1:$N$27</definedName>
    <definedName name="_xlnm._FilterDatabase" localSheetId="19" hidden="1">'Brand Experience &amp; Activation'!$A$1:$N$68</definedName>
    <definedName name="_xlnm._FilterDatabase" localSheetId="20" hidden="1">'Creative Bus. Transformation'!$A$1:$N$8</definedName>
    <definedName name="_xlnm._FilterDatabase" localSheetId="21" hidden="1">'Creative Commerce'!$A$1:$N$21</definedName>
    <definedName name="_xlnm._FilterDatabase" localSheetId="22" hidden="1">'Innovation'!$A$1:$N$8</definedName>
    <definedName name="_xlnm._FilterDatabase" localSheetId="23" hidden="1">'Luxury'!$A$1:$N$8</definedName>
    <definedName name="_xlnm._FilterDatabase" localSheetId="24" hidden="1">'Glass - The Lion for Change'!$A$1:$N$9</definedName>
    <definedName name="_xlnm._FilterDatabase" localSheetId="25" hidden="1">'Grand Prix for Good'!$A$1:$N$2</definedName>
    <definedName name="_xlnm._FilterDatabase" localSheetId="26" hidden="1">'Sustainable Development Goals'!$A$1:$N$17</definedName>
    <definedName name="_xlnm._FilterDatabase" localSheetId="27" hidden="1">'Health &amp; Wellness'!$A$1:$N$34</definedName>
    <definedName name="_xlnm._FilterDatabase" localSheetId="28" hidden="1">'Health Grand Prix for Good'!$A$1:$N$2</definedName>
    <definedName name="_xlnm._FilterDatabase" localSheetId="29" hidden="1">'Pharma'!$A$1:$N$10</definedName>
    <definedName name="_xlnm._FilterDatabase" localSheetId="30" hidden="1">'Creative Effectiveness'!$A$1:$N$18</definedName>
    <definedName name="_xlnm._FilterDatabase" localSheetId="31" hidden="1">'Creative Strategy'!$A$1:$N$29</definedName>
    <definedName name="_xlnm._FilterDatabase" localSheetId="32" hidden="1">'Titanium'!$A$1:$N$5</definedName>
  </definedNames>
  <calcPr calcId="124519" fullCalcOnLoad="1" refMode="A1" iterate="0" iterateCount="100" iterateDelta="0.0001"/>
</workbook>
</file>

<file path=xl/styles.xml><?xml version="1.0" encoding="utf-8"?>
<styleSheet xmlns="http://schemas.openxmlformats.org/spreadsheetml/2006/main">
  <numFmts count="0"/>
  <fonts count="3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000000"/>
      <sz val="10"/>
    </font>
    <font>
      <name val="Arial"/>
      <charset val="1"/>
      <family val="0"/>
      <b val="1"/>
      <sz val="10"/>
    </font>
    <font>
      <name val="Arial"/>
      <charset val="1"/>
      <family val="0"/>
      <color rgb="FF0563C1"/>
      <sz val="10"/>
      <u val="single"/>
    </font>
    <font>
      <name val="Arial"/>
      <charset val="1"/>
      <family val="0"/>
      <b val="1"/>
      <sz val="11"/>
    </font>
    <font>
      <name val="Arial"/>
      <charset val="1"/>
      <family val="0"/>
      <b val="1"/>
      <color rgb="FFFFFFFF"/>
      <sz val="10"/>
    </font>
    <font>
      <name val="Arial"/>
      <b val="1"/>
      <color rgb="00FFFFFF"/>
      <sz val="10"/>
    </font>
    <font>
      <name val="Arial"/>
      <sz val="10"/>
    </font>
    <font>
      <name val="Arial"/>
      <b val="1"/>
      <sz val="10"/>
    </font>
    <font>
      <name val="Arial"/>
      <b val="1"/>
      <sz val="11"/>
    </font>
    <font>
      <name val="Arial"/>
      <b val="1"/>
      <color rgb="FFFFFFFF"/>
      <sz val="11"/>
    </font>
    <font>
      <name val="Arial"/>
      <b val="1"/>
      <color rgb="FFFFFFFF"/>
      <sz val="10"/>
    </font>
    <font>
      <b val="1"/>
      <color rgb="00FFFFFF"/>
      <sz val="10"/>
    </font>
    <font>
      <b val="1"/>
      <color rgb="00000000"/>
      <sz val="10"/>
    </font>
    <font>
      <sz val="10"/>
    </font>
    <font>
      <b val="1"/>
      <sz val="10"/>
    </font>
    <font>
      <color rgb="000563C1"/>
      <sz val="10"/>
    </font>
    <font>
      <b val="1"/>
      <color rgb="FFFFFFFF"/>
      <sz val="10"/>
    </font>
    <font>
      <b val="1"/>
      <color rgb="FF000000"/>
      <sz val="10"/>
    </font>
    <font>
      <color rgb="FF0563C1"/>
      <sz val="10"/>
    </font>
    <font>
      <name val="Calibri"/>
      <b val="1"/>
      <color rgb="00FFFFFF"/>
      <sz val="11"/>
    </font>
    <font>
      <name val="Calibri"/>
      <sz val="11"/>
    </font>
    <font>
      <name val="Calibri"/>
      <b val="1"/>
      <sz val="11"/>
    </font>
    <font>
      <b val="1"/>
      <color rgb="00FFFFFF"/>
    </font>
    <font>
      <b val="1"/>
    </font>
    <font>
      <b val="1"/>
      <color rgb="001A1A2E"/>
      <sz val="16"/>
    </font>
    <font>
      <i val="1"/>
      <color rgb="00808080"/>
      <sz val="9"/>
    </font>
    <font>
      <b val="1"/>
      <color rgb="001A1A2E"/>
      <sz val="12"/>
    </font>
    <font>
      <color rgb="001155CC"/>
      <u val="single"/>
    </font>
  </fonts>
  <fills count="24">
    <fill>
      <patternFill/>
    </fill>
    <fill>
      <patternFill patternType="gray125"/>
    </fill>
    <fill>
      <patternFill patternType="solid">
        <fgColor rgb="FF1A1A2E"/>
        <bgColor rgb="FF333300"/>
      </patternFill>
    </fill>
    <fill>
      <patternFill patternType="solid">
        <fgColor rgb="FFFFD700"/>
        <bgColor rgb="FFFFFF00"/>
      </patternFill>
    </fill>
    <fill>
      <patternFill patternType="solid">
        <fgColor rgb="FFFFF3CD"/>
        <bgColor rgb="FFF5E6D3"/>
      </patternFill>
    </fill>
    <fill>
      <patternFill patternType="solid">
        <fgColor rgb="FFE8E8E8"/>
        <bgColor rgb="FFF5E6D3"/>
      </patternFill>
    </fill>
    <fill>
      <patternFill patternType="solid">
        <fgColor rgb="FFF5E6D3"/>
        <bgColor rgb="FFE8E8E8"/>
      </patternFill>
    </fill>
    <fill>
      <patternFill patternType="solid">
        <fgColor rgb="001A1A2E"/>
      </patternFill>
    </fill>
    <fill>
      <patternFill patternType="solid">
        <fgColor rgb="00FFF3CD"/>
      </patternFill>
    </fill>
    <fill>
      <patternFill patternType="solid">
        <fgColor rgb="00F5E6D3"/>
      </patternFill>
    </fill>
    <fill>
      <patternFill patternType="solid">
        <fgColor rgb="00FFD700"/>
      </patternFill>
    </fill>
    <fill>
      <patternFill patternType="solid">
        <fgColor rgb="00E8E8E8"/>
      </patternFill>
    </fill>
    <fill>
      <patternFill patternType="solid">
        <fgColor rgb="FF1A1A2E"/>
      </patternFill>
    </fill>
    <fill>
      <patternFill patternType="solid">
        <fgColor rgb="FFFFD700"/>
      </patternFill>
    </fill>
    <fill>
      <patternFill patternType="solid">
        <fgColor rgb="FFFFF3CD"/>
      </patternFill>
    </fill>
    <fill>
      <patternFill patternType="solid">
        <fgColor rgb="FFE8E8E8"/>
      </patternFill>
    </fill>
    <fill>
      <patternFill patternType="solid">
        <fgColor rgb="FFF5E6D3"/>
      </patternFill>
    </fill>
    <fill>
      <patternFill patternType="solid">
        <fgColor rgb="001A1A2E"/>
        <bgColor rgb="001A1A2E"/>
      </patternFill>
    </fill>
    <fill>
      <patternFill patternType="solid">
        <fgColor rgb="FF1A1A2E"/>
        <bgColor rgb="FF1A1A2E"/>
      </patternFill>
    </fill>
    <fill>
      <patternFill patternType="solid">
        <fgColor rgb="00F1C40F"/>
      </patternFill>
    </fill>
    <fill>
      <patternFill patternType="solid">
        <fgColor rgb="00FCF3CF"/>
      </patternFill>
    </fill>
    <fill>
      <patternFill patternType="solid">
        <fgColor rgb="00EAECEE"/>
      </patternFill>
    </fill>
    <fill>
      <patternFill patternType="solid">
        <fgColor rgb="00F6DDCC"/>
      </patternFill>
    </fill>
    <fill>
      <patternFill patternType="solid">
        <fgColor rgb="00D5DBDB"/>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00D0D0D8"/>
      </left>
      <right style="thin">
        <color rgb="00D0D0D8"/>
      </right>
      <top style="thin">
        <color rgb="00D0D0D8"/>
      </top>
      <bottom style="thin">
        <color rgb="00D0D0D8"/>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xf>
    <xf numFmtId="0" fontId="5" fillId="0" borderId="1" applyAlignment="1" pivotButton="0" quotePrefix="0" xfId="0">
      <alignment horizontal="center" vertical="bottom"/>
    </xf>
    <xf numFmtId="0" fontId="6" fillId="3" borderId="1" applyAlignment="1" pivotButton="0" quotePrefix="0" xfId="0">
      <alignment horizontal="center" vertical="bottom"/>
    </xf>
    <xf numFmtId="0" fontId="7" fillId="0" borderId="1" applyAlignment="1" pivotButton="0" quotePrefix="0" xfId="0">
      <alignment horizontal="general" vertical="center" wrapText="1"/>
    </xf>
    <xf numFmtId="0" fontId="5" fillId="0" borderId="1" applyAlignment="1" pivotButton="0" quotePrefix="0" xfId="0">
      <alignment horizontal="general" vertical="center" wrapText="1"/>
    </xf>
    <xf numFmtId="0" fontId="8" fillId="0" borderId="1" applyAlignment="1" pivotButton="0" quotePrefix="0" xfId="0">
      <alignment horizontal="general" vertical="center" wrapText="1"/>
    </xf>
    <xf numFmtId="0" fontId="5" fillId="4" borderId="1" applyAlignment="1" pivotButton="0" quotePrefix="0" xfId="0">
      <alignment horizontal="center" vertical="bottom"/>
    </xf>
    <xf numFmtId="0" fontId="5" fillId="5" borderId="1" applyAlignment="1" pivotButton="0" quotePrefix="0" xfId="0">
      <alignment horizontal="center" vertical="bottom"/>
    </xf>
    <xf numFmtId="0" fontId="5" fillId="6" borderId="1" applyAlignment="1" pivotButton="0" quotePrefix="0" xfId="0">
      <alignment horizontal="center" vertical="bottom"/>
    </xf>
    <xf numFmtId="0" fontId="9" fillId="0" borderId="0" applyAlignment="1" pivotButton="0" quotePrefix="0" xfId="0">
      <alignment horizontal="general" vertical="bottom"/>
    </xf>
    <xf numFmtId="0" fontId="10" fillId="2" borderId="0" applyAlignment="1" pivotButton="0" quotePrefix="0" xfId="0">
      <alignment horizontal="left"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10" fillId="2" borderId="0" applyAlignment="1" pivotButton="0" quotePrefix="0" xfId="0">
      <alignment horizontal="left" vertical="center"/>
    </xf>
    <xf numFmtId="0" fontId="5" fillId="0" borderId="0" applyAlignment="1" pivotButton="0" quotePrefix="0" xfId="0">
      <alignment horizontal="left" vertical="center"/>
    </xf>
    <xf numFmtId="0" fontId="7" fillId="3" borderId="0" applyAlignment="1" pivotButton="0" quotePrefix="0" xfId="0">
      <alignment horizontal="left" vertical="center"/>
    </xf>
    <xf numFmtId="0" fontId="7" fillId="0" borderId="0" applyAlignment="1" pivotButton="0" quotePrefix="0" xfId="0">
      <alignment horizontal="left" vertical="center"/>
    </xf>
    <xf numFmtId="0" fontId="7" fillId="4" borderId="0" applyAlignment="1" pivotButton="0" quotePrefix="0" xfId="0">
      <alignment horizontal="left" vertical="center"/>
    </xf>
    <xf numFmtId="0" fontId="7" fillId="5" borderId="0" applyAlignment="1" pivotButton="0" quotePrefix="0" xfId="0">
      <alignment horizontal="left" vertical="center"/>
    </xf>
    <xf numFmtId="0" fontId="7" fillId="6" borderId="0" applyAlignment="1" pivotButton="0" quotePrefix="0" xfId="0">
      <alignment horizontal="left"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xf>
    <xf numFmtId="0" fontId="5" fillId="0" borderId="1" applyAlignment="1" pivotButton="0" quotePrefix="0" xfId="0">
      <alignment horizontal="center" vertical="bottom"/>
    </xf>
    <xf numFmtId="0" fontId="6" fillId="3" borderId="1" applyAlignment="1" pivotButton="0" quotePrefix="0" xfId="0">
      <alignment horizontal="center" vertical="bottom"/>
    </xf>
    <xf numFmtId="0" fontId="7" fillId="0" borderId="1" applyAlignment="1" pivotButton="0" quotePrefix="0" xfId="0">
      <alignment horizontal="general" vertical="center" wrapText="1"/>
    </xf>
    <xf numFmtId="0" fontId="5" fillId="0" borderId="1" applyAlignment="1" pivotButton="0" quotePrefix="0" xfId="0">
      <alignment horizontal="general" vertical="center" wrapText="1"/>
    </xf>
    <xf numFmtId="0" fontId="8" fillId="0" borderId="1" applyAlignment="1" pivotButton="0" quotePrefix="0" xfId="0">
      <alignment horizontal="general" vertical="center" wrapText="1"/>
    </xf>
    <xf numFmtId="0" fontId="5" fillId="4" borderId="1" applyAlignment="1" pivotButton="0" quotePrefix="0" xfId="0">
      <alignment horizontal="center" vertical="bottom"/>
    </xf>
    <xf numFmtId="0" fontId="5" fillId="5" borderId="1" applyAlignment="1" pivotButton="0" quotePrefix="0" xfId="0">
      <alignment horizontal="center" vertical="bottom"/>
    </xf>
    <xf numFmtId="0" fontId="5" fillId="6" borderId="1" applyAlignment="1" pivotButton="0" quotePrefix="0" xfId="0">
      <alignment horizontal="center" vertical="bottom"/>
    </xf>
    <xf numFmtId="0" fontId="9" fillId="0" borderId="0" applyAlignment="1" pivotButton="0" quotePrefix="0" xfId="0">
      <alignment horizontal="general" vertical="bottom"/>
    </xf>
    <xf numFmtId="0" fontId="10" fillId="2" borderId="0" applyAlignment="1" pivotButton="0" quotePrefix="0" xfId="0">
      <alignment horizontal="left" vertical="bottom"/>
    </xf>
    <xf numFmtId="0" fontId="5" fillId="3"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7" fillId="0" borderId="0" applyAlignment="1" pivotButton="0" quotePrefix="0" xfId="0">
      <alignment horizontal="general" vertical="bottom"/>
    </xf>
    <xf numFmtId="0" fontId="10" fillId="2" borderId="0" applyAlignment="1" pivotButton="0" quotePrefix="0" xfId="0">
      <alignment horizontal="left" vertical="center"/>
    </xf>
    <xf numFmtId="0" fontId="5" fillId="0" borderId="0" applyAlignment="1" pivotButton="0" quotePrefix="0" xfId="0">
      <alignment horizontal="left" vertical="center"/>
    </xf>
    <xf numFmtId="0" fontId="7" fillId="3" borderId="0" applyAlignment="1" pivotButton="0" quotePrefix="0" xfId="0">
      <alignment horizontal="left" vertical="center"/>
    </xf>
    <xf numFmtId="0" fontId="7" fillId="0" borderId="0" applyAlignment="1" pivotButton="0" quotePrefix="0" xfId="0">
      <alignment horizontal="left" vertical="center"/>
    </xf>
    <xf numFmtId="0" fontId="7" fillId="4" borderId="0" applyAlignment="1" pivotButton="0" quotePrefix="0" xfId="0">
      <alignment horizontal="left" vertical="center"/>
    </xf>
    <xf numFmtId="0" fontId="7" fillId="5" borderId="0" applyAlignment="1" pivotButton="0" quotePrefix="0" xfId="0">
      <alignment horizontal="left" vertical="center"/>
    </xf>
    <xf numFmtId="0" fontId="7" fillId="6" borderId="0" applyAlignment="1" pivotButton="0" quotePrefix="0" xfId="0">
      <alignment horizontal="left" vertical="center"/>
    </xf>
    <xf numFmtId="0" fontId="14" fillId="0" borderId="0" pivotButton="0" quotePrefix="0" xfId="0"/>
    <xf numFmtId="0" fontId="11" fillId="7" borderId="0" applyAlignment="1" pivotButton="0" quotePrefix="0" xfId="0">
      <alignment horizontal="left"/>
    </xf>
    <xf numFmtId="0" fontId="12" fillId="10" borderId="0" pivotButton="0" quotePrefix="0" xfId="0"/>
    <xf numFmtId="0" fontId="12" fillId="0" borderId="0" pivotButton="0" quotePrefix="0" xfId="0"/>
    <xf numFmtId="0" fontId="12" fillId="8" borderId="0" pivotButton="0" quotePrefix="0" xfId="0"/>
    <xf numFmtId="0" fontId="12" fillId="11" borderId="0" pivotButton="0" quotePrefix="0" xfId="0"/>
    <xf numFmtId="0" fontId="12" fillId="9" borderId="0" pivotButton="0" quotePrefix="0" xfId="0"/>
    <xf numFmtId="0" fontId="13" fillId="0" borderId="0" pivotButton="0" quotePrefix="0" xfId="0"/>
    <xf numFmtId="0" fontId="11" fillId="7" borderId="0" applyAlignment="1" pivotButton="0" quotePrefix="0" xfId="0">
      <alignment horizontal="left" vertical="center"/>
    </xf>
    <xf numFmtId="0" fontId="12" fillId="0" borderId="0" applyAlignment="1" pivotButton="0" quotePrefix="0" xfId="0">
      <alignment horizontal="left" vertical="center"/>
    </xf>
    <xf numFmtId="0" fontId="13" fillId="8" borderId="0" applyAlignment="1" pivotButton="0" quotePrefix="0" xfId="0">
      <alignment horizontal="left" vertical="center"/>
    </xf>
    <xf numFmtId="0" fontId="13" fillId="0" borderId="0" applyAlignment="1" pivotButton="0" quotePrefix="0" xfId="0">
      <alignment horizontal="left" vertical="center"/>
    </xf>
    <xf numFmtId="0" fontId="13" fillId="9" borderId="0" applyAlignment="1" pivotButton="0" quotePrefix="0" xfId="0">
      <alignment horizontal="left" vertical="center"/>
    </xf>
    <xf numFmtId="0" fontId="13" fillId="10" borderId="0" applyAlignment="1" pivotButton="0" quotePrefix="0" xfId="0">
      <alignment horizontal="left" vertical="center"/>
    </xf>
    <xf numFmtId="0" fontId="13" fillId="11" borderId="0" applyAlignment="1" pivotButton="0" quotePrefix="0" xfId="0">
      <alignment horizontal="left" vertical="center"/>
    </xf>
    <xf numFmtId="0" fontId="15" fillId="12" borderId="0" applyAlignment="1" pivotButton="0" quotePrefix="0" xfId="0">
      <alignment horizontal="left" vertical="center"/>
    </xf>
    <xf numFmtId="0" fontId="16" fillId="12" borderId="0" applyAlignment="1" pivotButton="0" quotePrefix="0" xfId="0">
      <alignment horizontal="left" vertical="center"/>
    </xf>
    <xf numFmtId="0" fontId="17" fillId="7" borderId="0" applyAlignment="1" pivotButton="0" quotePrefix="0" xfId="0">
      <alignment horizontal="center" vertical="center"/>
    </xf>
    <xf numFmtId="0" fontId="19" fillId="0" borderId="0" applyAlignment="1" pivotButton="0" quotePrefix="0" xfId="0">
      <alignment horizontal="center" vertical="center"/>
    </xf>
    <xf numFmtId="0" fontId="18" fillId="10" borderId="0" applyAlignment="1" pivotButton="0" quotePrefix="0" xfId="0">
      <alignment horizontal="center" vertical="center"/>
    </xf>
    <xf numFmtId="0" fontId="20" fillId="0" borderId="0" applyAlignment="1" pivotButton="0" quotePrefix="0" xfId="0">
      <alignment vertical="top" wrapText="1"/>
    </xf>
    <xf numFmtId="0" fontId="19" fillId="0" borderId="0" applyAlignment="1" pivotButton="0" quotePrefix="0" xfId="0">
      <alignment vertical="top" wrapText="1"/>
    </xf>
    <xf numFmtId="0" fontId="21" fillId="0" borderId="0" applyAlignment="1" pivotButton="0" quotePrefix="0" xfId="0">
      <alignment vertical="top" wrapText="1"/>
    </xf>
    <xf numFmtId="0" fontId="18" fillId="8" borderId="0" applyAlignment="1" pivotButton="0" quotePrefix="0" xfId="0">
      <alignment horizontal="center" vertical="center"/>
    </xf>
    <xf numFmtId="0" fontId="18" fillId="11" borderId="0" applyAlignment="1" pivotButton="0" quotePrefix="0" xfId="0">
      <alignment horizontal="center" vertical="center"/>
    </xf>
    <xf numFmtId="0" fontId="18" fillId="9" borderId="0" applyAlignment="1" pivotButton="0" quotePrefix="0" xfId="0">
      <alignment horizontal="center" vertical="center"/>
    </xf>
    <xf numFmtId="0" fontId="22" fillId="12" borderId="0" applyAlignment="1" pivotButton="0" quotePrefix="0" xfId="0">
      <alignment horizontal="center" vertical="center"/>
    </xf>
    <xf numFmtId="0" fontId="23" fillId="13" borderId="0" applyAlignment="1" pivotButton="0" quotePrefix="0" xfId="0">
      <alignment horizontal="center" vertical="center" wrapText="1"/>
    </xf>
    <xf numFmtId="0" fontId="24" fillId="0" borderId="0" applyAlignment="1" pivotButton="0" quotePrefix="0" xfId="0">
      <alignment vertical="top" wrapText="1"/>
    </xf>
    <xf numFmtId="0" fontId="19" fillId="14" borderId="0" applyAlignment="1" pivotButton="0" quotePrefix="0" xfId="0">
      <alignment horizontal="center" vertical="center" wrapText="1"/>
    </xf>
    <xf numFmtId="0" fontId="19" fillId="15" borderId="0" applyAlignment="1" pivotButton="0" quotePrefix="0" xfId="0">
      <alignment horizontal="center" vertical="center" wrapText="1"/>
    </xf>
    <xf numFmtId="0" fontId="19" fillId="16" borderId="0" applyAlignment="1" pivotButton="0" quotePrefix="0" xfId="0">
      <alignment horizontal="center" vertical="center" wrapText="1"/>
    </xf>
    <xf numFmtId="0" fontId="25" fillId="7" borderId="0" applyAlignment="1" pivotButton="0" quotePrefix="0" xfId="0">
      <alignment horizontal="center" vertical="center"/>
    </xf>
    <xf numFmtId="0" fontId="26" fillId="0" borderId="0" applyAlignment="1" pivotButton="0" quotePrefix="0" xfId="0">
      <alignment vertical="center"/>
    </xf>
    <xf numFmtId="0" fontId="26" fillId="10" borderId="0" applyAlignment="1" pivotButton="0" quotePrefix="0" xfId="0">
      <alignment vertical="center"/>
    </xf>
    <xf numFmtId="0" fontId="27" fillId="0" borderId="0" applyAlignment="1" pivotButton="0" quotePrefix="0" xfId="0">
      <alignment vertical="center"/>
    </xf>
    <xf numFmtId="0" fontId="26" fillId="0" borderId="0" applyAlignment="1" pivotButton="0" quotePrefix="0" xfId="0">
      <alignment vertical="center" wrapText="1"/>
    </xf>
    <xf numFmtId="0" fontId="26" fillId="11" borderId="0" applyAlignment="1" pivotButton="0" quotePrefix="0" xfId="0">
      <alignment vertical="center"/>
    </xf>
    <xf numFmtId="0" fontId="26" fillId="9" borderId="0" applyAlignment="1" pivotButton="0" quotePrefix="0" xfId="0">
      <alignment vertical="center"/>
    </xf>
    <xf numFmtId="0" fontId="28" fillId="7" borderId="0" applyAlignment="1" pivotButton="0" quotePrefix="0" xfId="0">
      <alignment horizontal="center" vertical="center" wrapText="1"/>
    </xf>
    <xf numFmtId="0" fontId="0" fillId="0" borderId="0" applyAlignment="1" pivotButton="0" quotePrefix="0" xfId="0">
      <alignment vertical="center"/>
    </xf>
    <xf numFmtId="0" fontId="29" fillId="10" borderId="0" applyAlignment="1" pivotButton="0" quotePrefix="0" xfId="0">
      <alignment vertical="center"/>
    </xf>
    <xf numFmtId="0" fontId="29" fillId="0" borderId="0" applyAlignment="1" pivotButton="0" quotePrefix="0" xfId="0">
      <alignment vertical="center" wrapText="1"/>
    </xf>
    <xf numFmtId="0" fontId="0" fillId="0" borderId="0" applyAlignment="1" pivotButton="0" quotePrefix="0" xfId="0">
      <alignment vertical="center" wrapText="1"/>
    </xf>
    <xf numFmtId="0" fontId="29" fillId="11" borderId="0" applyAlignment="1" pivotButton="0" quotePrefix="0" xfId="0">
      <alignment vertical="center"/>
    </xf>
    <xf numFmtId="0" fontId="29" fillId="9" borderId="0" applyAlignment="1" pivotButton="0" quotePrefix="0" xfId="0">
      <alignment vertical="center"/>
    </xf>
    <xf numFmtId="0" fontId="28" fillId="7" borderId="0" applyAlignment="1" pivotButton="0" quotePrefix="0" xfId="0">
      <alignment horizontal="center" vertical="center"/>
    </xf>
    <xf numFmtId="0" fontId="29" fillId="10" borderId="0" applyAlignment="1" pivotButton="0" quotePrefix="0" xfId="0">
      <alignment horizontal="center"/>
    </xf>
    <xf numFmtId="0" fontId="29" fillId="0" borderId="0" pivotButton="0" quotePrefix="0" xfId="0"/>
    <xf numFmtId="0" fontId="29" fillId="11" borderId="0" applyAlignment="1" pivotButton="0" quotePrefix="0" xfId="0">
      <alignment horizontal="center"/>
    </xf>
    <xf numFmtId="0" fontId="29" fillId="9" borderId="0" applyAlignment="1" pivotButton="0" quotePrefix="0" xfId="0">
      <alignment horizontal="center"/>
    </xf>
    <xf numFmtId="0" fontId="28" fillId="17" borderId="0" applyAlignment="1" pivotButton="0" quotePrefix="0" xfId="0">
      <alignment horizontal="left" vertical="center"/>
    </xf>
    <xf numFmtId="0" fontId="4" fillId="2" borderId="0" applyAlignment="1" pivotButton="0" quotePrefix="0" xfId="0">
      <alignment horizontal="center" vertical="center"/>
    </xf>
    <xf numFmtId="0" fontId="15" fillId="18" borderId="0" applyAlignment="1" pivotButton="0" quotePrefix="0" xfId="0">
      <alignment horizontal="center" vertical="center" wrapText="1"/>
    </xf>
    <xf numFmtId="0" fontId="0" fillId="0" borderId="0" applyAlignment="1" pivotButton="0" quotePrefix="0" xfId="0">
      <alignment vertical="top" wrapText="1"/>
    </xf>
    <xf numFmtId="0" fontId="30" fillId="0" borderId="0" pivotButton="0" quotePrefix="0" xfId="0"/>
    <xf numFmtId="0" fontId="31" fillId="0" borderId="0" pivotButton="0" quotePrefix="0" xfId="0"/>
    <xf numFmtId="0" fontId="32" fillId="0" borderId="0" pivotButton="0" quotePrefix="0" xfId="0"/>
    <xf numFmtId="0" fontId="28" fillId="7" borderId="2" applyAlignment="1" pivotButton="0" quotePrefix="0" xfId="0">
      <alignment horizontal="center" vertical="center"/>
    </xf>
    <xf numFmtId="0" fontId="0" fillId="0" borderId="2" pivotButton="0" quotePrefix="0" xfId="0"/>
    <xf numFmtId="0" fontId="0" fillId="0" borderId="2" applyAlignment="1" pivotButton="0" quotePrefix="0" xfId="0">
      <alignment horizontal="center"/>
    </xf>
    <xf numFmtId="0" fontId="29" fillId="0" borderId="2" pivotButton="0" quotePrefix="0" xfId="0"/>
    <xf numFmtId="0" fontId="29" fillId="0" borderId="2" applyAlignment="1" pivotButton="0" quotePrefix="0" xfId="0">
      <alignment horizontal="center"/>
    </xf>
    <xf numFmtId="0" fontId="28" fillId="7" borderId="0" applyAlignment="1" pivotButton="0" quotePrefix="0" xfId="0">
      <alignment horizontal="left" vertical="center"/>
    </xf>
    <xf numFmtId="0" fontId="26" fillId="0" borderId="0" applyAlignment="1" pivotButton="0" quotePrefix="0" xfId="0">
      <alignment vertical="center"/>
    </xf>
    <xf numFmtId="0" fontId="26" fillId="19" borderId="0" applyAlignment="1" pivotButton="0" quotePrefix="0" xfId="0">
      <alignment vertical="center"/>
    </xf>
    <xf numFmtId="0" fontId="27" fillId="0" borderId="0" applyAlignment="1" pivotButton="0" quotePrefix="0" xfId="0">
      <alignment vertical="center"/>
    </xf>
    <xf numFmtId="0" fontId="26" fillId="0" borderId="0" applyAlignment="1" pivotButton="0" quotePrefix="0" xfId="0">
      <alignment vertical="top" wrapText="1"/>
    </xf>
    <xf numFmtId="0" fontId="0" fillId="0" borderId="0" applyAlignment="1" pivotButton="0" quotePrefix="0" xfId="0">
      <alignment vertical="center"/>
    </xf>
    <xf numFmtId="0" fontId="33" fillId="0" borderId="0" applyAlignment="1" pivotButton="0" quotePrefix="0" xfId="0">
      <alignment vertical="center"/>
    </xf>
    <xf numFmtId="0" fontId="26" fillId="20" borderId="0" applyAlignment="1" pivotButton="0" quotePrefix="0" xfId="0">
      <alignment vertical="center"/>
    </xf>
    <xf numFmtId="0" fontId="26" fillId="21" borderId="0" applyAlignment="1" pivotButton="0" quotePrefix="0" xfId="0">
      <alignment vertical="center"/>
    </xf>
    <xf numFmtId="0" fontId="26" fillId="22" borderId="0" applyAlignment="1" pivotButton="0" quotePrefix="0" xfId="0">
      <alignment vertical="center"/>
    </xf>
    <xf numFmtId="0" fontId="0" fillId="21" borderId="0" applyAlignment="1" pivotButton="0" quotePrefix="0" xfId="0">
      <alignment vertical="center"/>
    </xf>
    <xf numFmtId="0" fontId="0" fillId="22" borderId="0" applyAlignment="1" pivotButton="0" quotePrefix="0" xfId="0">
      <alignment vertical="center"/>
    </xf>
    <xf numFmtId="0" fontId="29" fillId="19" borderId="0" applyAlignment="1" pivotButton="0" quotePrefix="0" xfId="0">
      <alignment vertical="center"/>
    </xf>
    <xf numFmtId="0" fontId="29" fillId="0" borderId="0" applyAlignment="1" pivotButton="0" quotePrefix="0" xfId="0">
      <alignment vertical="center"/>
    </xf>
    <xf numFmtId="0" fontId="29" fillId="20" borderId="0" applyAlignment="1" pivotButton="0" quotePrefix="0" xfId="0">
      <alignment vertical="center"/>
    </xf>
    <xf numFmtId="0" fontId="29" fillId="21" borderId="0" applyAlignment="1" pivotButton="0" quotePrefix="0" xfId="0">
      <alignment vertical="center"/>
    </xf>
    <xf numFmtId="0" fontId="29" fillId="22" borderId="0" applyAlignment="1" pivotButton="0" quotePrefix="0" xfId="0">
      <alignment vertical="center"/>
    </xf>
    <xf numFmtId="0" fontId="0" fillId="19" borderId="0" applyAlignment="1" pivotButton="0" quotePrefix="0" xfId="0">
      <alignment vertical="center"/>
    </xf>
    <xf numFmtId="0" fontId="0" fillId="20" borderId="0" applyAlignment="1" pivotButton="0" quotePrefix="0" xfId="0">
      <alignment vertical="center"/>
    </xf>
    <xf numFmtId="0" fontId="19" fillId="0" borderId="0" applyAlignment="1" pivotButton="0" quotePrefix="0" xfId="0">
      <alignment vertical="center"/>
    </xf>
    <xf numFmtId="0" fontId="23" fillId="19" borderId="0" applyAlignment="1" pivotButton="0" quotePrefix="0" xfId="0">
      <alignment vertical="center"/>
    </xf>
    <xf numFmtId="0" fontId="20" fillId="0" borderId="0" applyAlignment="1" pivotButton="0" quotePrefix="0" xfId="0">
      <alignment vertical="center"/>
    </xf>
    <xf numFmtId="0" fontId="19" fillId="20" borderId="0" applyAlignment="1" pivotButton="0" quotePrefix="0" xfId="0">
      <alignment vertical="center"/>
    </xf>
    <xf numFmtId="0" fontId="19" fillId="21" borderId="0" applyAlignment="1" pivotButton="0" quotePrefix="0" xfId="0">
      <alignment vertical="center"/>
    </xf>
    <xf numFmtId="0" fontId="19" fillId="22" borderId="0" applyAlignment="1" pivotButton="0" quotePrefix="0" xfId="0">
      <alignment vertical="center"/>
    </xf>
    <xf numFmtId="0" fontId="24" fillId="0" borderId="0" applyAlignment="1" pivotButton="0" quotePrefix="0" xfId="0">
      <alignment vertical="center"/>
    </xf>
    <xf numFmtId="0" fontId="28" fillId="7" borderId="1" applyAlignment="1" pivotButton="0" quotePrefix="0" xfId="0">
      <alignment horizontal="left" vertical="center"/>
    </xf>
    <xf numFmtId="0" fontId="5" fillId="0" borderId="1" applyAlignment="1" pivotButton="0" quotePrefix="0" xfId="0">
      <alignment vertical="center"/>
    </xf>
    <xf numFmtId="0" fontId="6" fillId="19" borderId="1" applyAlignment="1" pivotButton="0" quotePrefix="0" xfId="0">
      <alignment vertical="center"/>
    </xf>
    <xf numFmtId="0" fontId="7" fillId="0" borderId="1" applyAlignment="1" pivotButton="0" quotePrefix="0" xfId="0">
      <alignment vertical="center"/>
    </xf>
    <xf numFmtId="0" fontId="5" fillId="0" borderId="1" applyAlignment="1" pivotButton="0" quotePrefix="0" xfId="0">
      <alignment vertical="top" wrapText="1"/>
    </xf>
    <xf numFmtId="0" fontId="33" fillId="0" borderId="1" applyAlignment="1" pivotButton="0" quotePrefix="0" xfId="0">
      <alignment vertical="center"/>
    </xf>
    <xf numFmtId="0" fontId="5" fillId="20" borderId="1" applyAlignment="1" pivotButton="0" quotePrefix="0" xfId="0">
      <alignment vertical="center"/>
    </xf>
    <xf numFmtId="0" fontId="5" fillId="21" borderId="1" applyAlignment="1" pivotButton="0" quotePrefix="0" xfId="0">
      <alignment vertical="center"/>
    </xf>
    <xf numFmtId="0" fontId="8" fillId="0" borderId="1" applyAlignment="1" pivotButton="0" quotePrefix="0" xfId="0">
      <alignment vertical="center"/>
    </xf>
    <xf numFmtId="0" fontId="5" fillId="22" borderId="1" applyAlignment="1" pivotButton="0" quotePrefix="0" xfId="0">
      <alignment vertical="center"/>
    </xf>
    <xf numFmtId="0" fontId="0" fillId="23" borderId="0" applyAlignment="1" pivotButton="0" quotePrefix="0" xfId="0">
      <alignmen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A1A2E"/>
          <bgColor rgb="FF000000"/>
        </patternFill>
      </fill>
    </dxf>
    <dxf>
      <fill>
        <patternFill patternType="solid">
          <bgColor rgb="FF000000"/>
        </patternFill>
      </fill>
    </dxf>
    <dxf>
      <fill>
        <patternFill patternType="solid">
          <fgColor rgb="FFFFFFFF"/>
          <bgColor rgb="FF000000"/>
        </patternFill>
      </fill>
    </dxf>
    <dxf>
      <fill>
        <patternFill patternType="solid">
          <fgColor rgb="FFE8E8E8"/>
          <bgColor rgb="FF000000"/>
        </patternFill>
      </fill>
    </dxf>
    <dxf>
      <fill>
        <patternFill patternType="solid">
          <fgColor rgb="FFF5E6D3"/>
          <bgColor rgb="FF000000"/>
        </patternFill>
      </fill>
    </dxf>
    <dxf>
      <fill>
        <patternFill patternType="solid">
          <fgColor rgb="FFFFD700"/>
          <bgColor rgb="FF000000"/>
        </patternFill>
      </fill>
    </dxf>
    <dxf>
      <fill>
        <patternFill patternType="solid">
          <fgColor rgb="FFFFF3CD"/>
          <bgColor rgb="FF000000"/>
        </patternFill>
      </fill>
    </dxf>
    <dxf>
      <fill>
        <patternFill patternType="solid">
          <fgColor rgb="FF000000"/>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E8E8E8"/>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5E6D3"/>
      <rgbColor rgb="FF99CCFF"/>
      <rgbColor rgb="FFFF99CC"/>
      <rgbColor rgb="FFCC99FF"/>
      <rgbColor rgb="FFFFCC99"/>
      <rgbColor rgb="FF3366FF"/>
      <rgbColor rgb="FF33CCCC"/>
      <rgbColor rgb="FF99CC00"/>
      <rgbColor rgb="FFFFD700"/>
      <rgbColor rgb="FFFF9900"/>
      <rgbColor rgb="FFFF6600"/>
      <rgbColor rgb="FF666699"/>
      <rgbColor rgb="FF969696"/>
      <rgbColor rgb="FF003366"/>
      <rgbColor rgb="FF339966"/>
      <rgbColor rgb="FF003300"/>
      <rgbColor rgb="FF333300"/>
      <rgbColor rgb="FF993300"/>
      <rgbColor rgb="FF993366"/>
      <rgbColor rgb="FF333399"/>
      <rgbColor rgb="FF1A1A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lovethework.com/work/entries/one-second-ads-741948" TargetMode="External" Id="rId1"/><Relationship Type="http://schemas.openxmlformats.org/officeDocument/2006/relationships/hyperlink" Target="https://www.lovethework.com/work/entries/name-this-oreo-741853" TargetMode="External" Id="rId2"/><Relationship Type="http://schemas.openxmlformats.org/officeDocument/2006/relationships/hyperlink" Target="https://www.lovethework.com/work/entries/one-second-ads-741888" TargetMode="External" Id="rId3"/><Relationship Type="http://schemas.openxmlformats.org/officeDocument/2006/relationships/hyperlink" Target="https://www.lovethework.com/work/entries/the-second-release-742149" TargetMode="External" Id="rId4"/><Relationship Type="http://schemas.openxmlformats.org/officeDocument/2006/relationships/hyperlink" Target="https://www.lovethework.com/work/entries/name-this-oreo-741778" TargetMode="External" Id="rId5"/><Relationship Type="http://schemas.openxmlformats.org/officeDocument/2006/relationships/hyperlink" Target="https://www.lovethework.com/work/entries/fishermen-storytellers-764514" TargetMode="External" Id="rId6"/><Relationship Type="http://schemas.openxmlformats.org/officeDocument/2006/relationships/hyperlink" Target="https://ascentialcdn.filespin.io/api/v1/storyboard/846afe3e468240929823119e42cf3b99/storyboard_000008.jpg" TargetMode="External" Id="rId7"/><Relationship Type="http://schemas.openxmlformats.org/officeDocument/2006/relationships/hyperlink" Target="https://www.lovethework.com/work/entries/1-high-energy-intern-762404" TargetMode="External" Id="rId8"/><Relationship Type="http://schemas.openxmlformats.org/officeDocument/2006/relationships/hyperlink" Target="https://www.lovethework.com/work/entries/chill-enough-762433" TargetMode="External" Id="rId9"/><Relationship Type="http://schemas.openxmlformats.org/officeDocument/2006/relationships/hyperlink" Target="https://www.lovethework.com/work/entries/burger-to-king-763482" TargetMode="External" Id="rId10"/><Relationship Type="http://schemas.openxmlformats.org/officeDocument/2006/relationships/hyperlink" Target="https://www.lovethework.com/work/entries/the-second-release-742142" TargetMode="External" Id="rId11"/><Relationship Type="http://schemas.openxmlformats.org/officeDocument/2006/relationships/hyperlink" Target="https://ascentialcdn.filespin.io/api/v1/conversion/2c4c0601d34e42cf931304cf072f6fa8" TargetMode="External" Id="rId12"/><Relationship Type="http://schemas.openxmlformats.org/officeDocument/2006/relationships/hyperlink" Target="https://www.lovethework.com/work/entries/from-hurt-to-hit-742107" TargetMode="External" Id="rId13"/><Relationship Type="http://schemas.openxmlformats.org/officeDocument/2006/relationships/hyperlink" Target="https://ascentialcdn.filespin.io/api/v1/conversion/a6ac5c5dd4fc4487966ae01ac52f95ff" TargetMode="External" Id="rId14"/><Relationship Type="http://schemas.openxmlformats.org/officeDocument/2006/relationships/hyperlink" Target="https://www.lovethework.com/work/entries/me-feat-me-742031" TargetMode="External" Id="rId15"/><Relationship Type="http://schemas.openxmlformats.org/officeDocument/2006/relationships/hyperlink" Target="https://ascentialcdn.filespin.io/api/v1/conversion/4e75651ba0a54a7fbba80de2e2684670" TargetMode="External" Id="rId16"/><Relationship Type="http://schemas.openxmlformats.org/officeDocument/2006/relationships/hyperlink" Target="https://www.lovethework.com/work/entries/the-future-fan-stage-741957" TargetMode="External" Id="rId17"/><Relationship Type="http://schemas.openxmlformats.org/officeDocument/2006/relationships/hyperlink" Target="https://www.lovethework.com/work/entries/roobadge-741761" TargetMode="External" Id="rId18"/><Relationship Type="http://schemas.openxmlformats.org/officeDocument/2006/relationships/hyperlink" Target="https://www.lovethework.com/work/entries/the-sound-of-divorce-764375" TargetMode="External" Id="rId19"/><Relationship Type="http://schemas.openxmlformats.org/officeDocument/2006/relationships/hyperlink" Target="https://www.lovethework.com/work/entries/megan-thee-741954" TargetMode="External" Id="rId20"/><Relationship Type="http://schemas.openxmlformats.org/officeDocument/2006/relationships/hyperlink" Target="https://ascentialcdn.filespin.io/api/v1/conversion/a6ac5c5dd4fc4487966ae01ac52f95ff" TargetMode="External" Id="rId21"/><Relationship Type="http://schemas.openxmlformats.org/officeDocument/2006/relationships/hyperlink" Target="https://www.lovethework.com/work/entries/me-feat-me-741958" TargetMode="External" Id="rId22"/><Relationship Type="http://schemas.openxmlformats.org/officeDocument/2006/relationships/hyperlink" Target="https://ascentialcdn.filespin.io/api/v1/storyboard/0bca684772274dd9a6e2c0c6cd401876/storyboard_000008.jpg" TargetMode="External" Id="rId23"/><Relationship Type="http://schemas.openxmlformats.org/officeDocument/2006/relationships/hyperlink" Target="https://www.lovethework.com/work/entries/whats-gucci-741935" TargetMode="External" Id="rId24"/><Relationship Type="http://schemas.openxmlformats.org/officeDocument/2006/relationships/hyperlink" Target="https://www.lovethework.com/work/entries/harmoniser-742056" TargetMode="External" Id="rId25"/><Relationship Type="http://schemas.openxmlformats.org/officeDocument/2006/relationships/hyperlink" Target="https://ascentialcdn.filespin.io/api/v1/conversion/0b397234b3d74a5aa798ad871042c23c" TargetMode="External" Id="rId26"/><Relationship Type="http://schemas.openxmlformats.org/officeDocument/2006/relationships/hyperlink" Target="https://www.lovethework.com/work/entries/football-lover-fm-741973" TargetMode="External" Id="rId27"/><Relationship Type="http://schemas.openxmlformats.org/officeDocument/2006/relationships/hyperlink" Target="https://www.lovethework.com/work/entries/sounds-right-759882" TargetMode="External" Id="rId28"/><Relationship Type="http://schemas.openxmlformats.org/officeDocument/2006/relationships/hyperlink" Target="https://ascentialcdn.filespin.io/api/v1/storyboard/846afe3e468240929823119e42cf3b99/storyboard_000008.jpg" TargetMode="External" Id="rId29"/><Relationship Type="http://schemas.openxmlformats.org/officeDocument/2006/relationships/hyperlink" Target="https://ascentialcdn.filespin.io/api/v1/storyboard/846afe3e468240929823119e42cf3b99/storyboard_000008.jpg" TargetMode="External" Id="rId30"/><Relationship Type="http://schemas.openxmlformats.org/officeDocument/2006/relationships/hyperlink" Target="https://ascentialcdn.filespin.io/api/v1/storyboard/0bca684772274dd9a6e2c0c6cd401876/storyboard_000008.jpg" TargetMode="External" Id="rId31"/><Relationship Type="http://schemas.openxmlformats.org/officeDocument/2006/relationships/hyperlink" Target="https://ascentialcdn.filespin.io/api/v1/storyboard/0bca684772274dd9a6e2c0c6cd401876/storyboard_000008.jpg" TargetMode="External" Id="rId32"/></Relationships>
</file>

<file path=xl/worksheets/_rels/sheet3.xml.rels><Relationships xmlns="http://schemas.openxmlformats.org/package/2006/relationships"><Relationship Type="http://schemas.openxmlformats.org/officeDocument/2006/relationships/hyperlink" Target="https://www.lovethework.com/work/entries/paris-paralympics-2024-considering-what-738686" TargetMode="External" Id="rId1"/><Relationship Type="http://schemas.openxmlformats.org/officeDocument/2006/relationships/hyperlink" Target="https://www.lovethework.com/work/entries/the-final-copy-of-ilon-specht-739568" TargetMode="External" Id="rId2"/><Relationship Type="http://schemas.openxmlformats.org/officeDocument/2006/relationships/hyperlink" Target="https://www.lovethework.com/work/entries/find-your-friends-738592" TargetMode="External" Id="rId3"/><Relationship Type="http://schemas.openxmlformats.org/officeDocument/2006/relationships/hyperlink" Target="https://www.lovethework.com/work/entries/never-just-a-period-738863" TargetMode="External" Id="rId4"/><Relationship Type="http://schemas.openxmlformats.org/officeDocument/2006/relationships/hyperlink" Target="https://ascentialcdn.filespin.io/api/v1/storyboard/880f481b580e4ddbb51427137d8c2233/storyboard_000008.jpg" TargetMode="External" Id="rId5"/><Relationship Type="http://schemas.openxmlformats.org/officeDocument/2006/relationships/hyperlink" Target="https://www.lovethework.com/work/entries/let-there-be-cake-759113" TargetMode="External" Id="rId6"/><Relationship Type="http://schemas.openxmlformats.org/officeDocument/2006/relationships/hyperlink" Target="https://www.lovethework.com/work/entries/the-last-birthday-739026" TargetMode="External" Id="rId7"/><Relationship Type="http://schemas.openxmlformats.org/officeDocument/2006/relationships/hyperlink" Target="https://www.lovethework.com/work/entries/telstra-better-on-a-better-network-739331" TargetMode="External" Id="rId8"/><Relationship Type="http://schemas.openxmlformats.org/officeDocument/2006/relationships/hyperlink" Target="https://www.lovethework.com/work/entries/the-best-place-in-the-world-to-have-herpes-739431" TargetMode="External" Id="rId9"/><Relationship Type="http://schemas.openxmlformats.org/officeDocument/2006/relationships/hyperlink" Target="https://www.lovethework.com/work/entries/brian-cox-goes-to-college-739411" TargetMode="External" Id="rId10"/><Relationship Type="http://schemas.openxmlformats.org/officeDocument/2006/relationships/hyperlink" Target="https://www.lovethework.com/work/entries/group-therapy-739424" TargetMode="External" Id="rId11"/><Relationship Type="http://schemas.openxmlformats.org/officeDocument/2006/relationships/hyperlink" Target="https://www.lovethework.com/work/entries/flock-738495" TargetMode="External" Id="rId12"/><Relationship Type="http://schemas.openxmlformats.org/officeDocument/2006/relationships/hyperlink" Target="https://www.lovethework.com/work/entries/jordan-cant-ban-greatness-738501" TargetMode="External" Id="rId13"/><Relationship Type="http://schemas.openxmlformats.org/officeDocument/2006/relationships/hyperlink" Target="https://www.lovethework.com/work/entries/winning-isnt-for-everyone-738402" TargetMode="External" Id="rId14"/><Relationship Type="http://schemas.openxmlformats.org/officeDocument/2006/relationships/hyperlink" Target="https://ascentialcdn.filespin.io/api/v1/storyboard/9b40129018d74d94bf27680ed70fddbf/storyboard_000008.jpg" TargetMode="External" Id="rId15"/><Relationship Type="http://schemas.openxmlformats.org/officeDocument/2006/relationships/hyperlink" Target="https://www.lovethework.com/work/entries/snitch-760290" TargetMode="External" Id="rId16"/><Relationship Type="http://schemas.openxmlformats.org/officeDocument/2006/relationships/hyperlink" Target="https://www.lovethework.com/work/entries/a-tale-as-old-as-websites-738642" TargetMode="External" Id="rId17"/><Relationship Type="http://schemas.openxmlformats.org/officeDocument/2006/relationships/hyperlink" Target="https://ascentialcdn.filespin.io/api/v1/storyboard/2775467c7cd54c3d9baa72e25671a229/storyboard_000008.jpg" TargetMode="External" Id="rId18"/><Relationship Type="http://schemas.openxmlformats.org/officeDocument/2006/relationships/hyperlink" Target="https://www.lovethework.com/work/entries/warren-738574" TargetMode="External" Id="rId19"/><Relationship Type="http://schemas.openxmlformats.org/officeDocument/2006/relationships/hyperlink" Target="https://www.lovethework.com/work/entries/100-years-of-meisterstck-montblanc-x-wes-anderson-738682" TargetMode="External" Id="rId20"/><Relationship Type="http://schemas.openxmlformats.org/officeDocument/2006/relationships/hyperlink" Target="https://ascentialcdn.filespin.io/api/v1/storyboard/b0649b3b520e450ca4b8d80fb3fb66ca/storyboard_000008.jpg" TargetMode="External" Id="rId21"/><Relationship Type="http://schemas.openxmlformats.org/officeDocument/2006/relationships/hyperlink" Target="https://www.lovethework.com/work/entries/is-it-even-a-city-738902" TargetMode="External" Id="rId22"/><Relationship Type="http://schemas.openxmlformats.org/officeDocument/2006/relationships/hyperlink" Target="https://www.lovethework.com/work/entries/the-shooting-759301" TargetMode="External" Id="rId23"/><Relationship Type="http://schemas.openxmlformats.org/officeDocument/2006/relationships/hyperlink" Target="https://ascentialcdn.filespin.io/api/v1/storyboard/e88276602e7e4dcc875c78f16cb77a65/storyboard_000008.jpg" TargetMode="External" Id="rId24"/><Relationship Type="http://schemas.openxmlformats.org/officeDocument/2006/relationships/hyperlink" Target="https://www.lovethework.com/work/entries/everything-covered-100-years-of-the-new-yorker-760528" TargetMode="External" Id="rId25"/><Relationship Type="http://schemas.openxmlformats.org/officeDocument/2006/relationships/hyperlink" Target="https://www.lovethework.com/work/entries/the-count-738967" TargetMode="External" Id="rId26"/><Relationship Type="http://schemas.openxmlformats.org/officeDocument/2006/relationships/hyperlink" Target="https://www.lovethework.com/work/entries/the-comments-section-739054" TargetMode="External" Id="rId27"/><Relationship Type="http://schemas.openxmlformats.org/officeDocument/2006/relationships/hyperlink" Target="https://www.lovethework.com/work/entries/someday-739091" TargetMode="External" Id="rId28"/><Relationship Type="http://schemas.openxmlformats.org/officeDocument/2006/relationships/hyperlink" Target="https://www.lovethework.com/work/entries/night-fishing-739123" TargetMode="External" Id="rId29"/><Relationship Type="http://schemas.openxmlformats.org/officeDocument/2006/relationships/hyperlink" Target="https://www.lovethework.com/work/entries/love-captured-739069" TargetMode="External" Id="rId30"/><Relationship Type="http://schemas.openxmlformats.org/officeDocument/2006/relationships/hyperlink" Target="https://www.lovethework.com/work/entries/so-win-738552" TargetMode="External" Id="rId31"/><Relationship Type="http://schemas.openxmlformats.org/officeDocument/2006/relationships/hyperlink" Target="https://ascentialcdn.filespin.io/api/v1/storyboard/21b5a87a37054403bf6297def115d30e/storyboard_000008.jpg" TargetMode="External" Id="rId32"/><Relationship Type="http://schemas.openxmlformats.org/officeDocument/2006/relationships/hyperlink" Target="https://www.lovethework.com/work/entries/go-further-738542" TargetMode="External" Id="rId33"/><Relationship Type="http://schemas.openxmlformats.org/officeDocument/2006/relationships/hyperlink" Target="https://ascentialcdn.filespin.io/api/v1/storyboard/e82a1b3a62ff4635b7d927f608411604/storyboard_000008.jpg" TargetMode="External" Id="rId34"/><Relationship Type="http://schemas.openxmlformats.org/officeDocument/2006/relationships/hyperlink" Target="https://www.lovethework.com/work/entries/century-of-cravings-738462" TargetMode="External" Id="rId35"/><Relationship Type="http://schemas.openxmlformats.org/officeDocument/2006/relationships/hyperlink" Target="https://www.lovethework.com/work/entries/obsession-738673" TargetMode="External" Id="rId36"/><Relationship Type="http://schemas.openxmlformats.org/officeDocument/2006/relationships/hyperlink" Target="https://www.lovethework.com/work/entries/together-is-for-christmas-738755" TargetMode="External" Id="rId37"/><Relationship Type="http://schemas.openxmlformats.org/officeDocument/2006/relationships/hyperlink" Target="https://www.lovethework.com/work/entries/orange-the-greatest-run-738603" TargetMode="External" Id="rId38"/><Relationship Type="http://schemas.openxmlformats.org/officeDocument/2006/relationships/hyperlink" Target="https://ascentialcdn.filespin.io/api/v1/storyboard/1912e691abfe4b2ea4037335ca76487c/storyboard_000008.jpg" TargetMode="External" Id="rId39"/><Relationship Type="http://schemas.openxmlformats.org/officeDocument/2006/relationships/hyperlink" Target="https://www.lovethework.com/work/entries/the-ugliest-sweater-764667" TargetMode="External" Id="rId40"/><Relationship Type="http://schemas.openxmlformats.org/officeDocument/2006/relationships/hyperlink" Target="https://ascentialcdn.filespin.io/api/v1/storyboard/cee60b478e9e4b1cbf40f1225c244475/storyboard_000008.jpg" TargetMode="External" Id="rId41"/><Relationship Type="http://schemas.openxmlformats.org/officeDocument/2006/relationships/hyperlink" Target="https://www.lovethework.com/work/entries/dog-738683" TargetMode="External" Id="rId42"/><Relationship Type="http://schemas.openxmlformats.org/officeDocument/2006/relationships/hyperlink" Target="https://www.lovethework.com/work/entries/call-me-when-you-need-me-738636" TargetMode="External" Id="rId43"/><Relationship Type="http://schemas.openxmlformats.org/officeDocument/2006/relationships/hyperlink" Target="https://www.lovethework.com/work/entries/invisible-stain-738669" TargetMode="External" Id="rId44"/><Relationship Type="http://schemas.openxmlformats.org/officeDocument/2006/relationships/hyperlink" Target="https://ascentialcdn.filespin.io/api/v1/storyboard/9fa88b83d0b8433088c04fb2f6724d65/storyboard_000008.jpg" TargetMode="External" Id="rId45"/><Relationship Type="http://schemas.openxmlformats.org/officeDocument/2006/relationships/hyperlink" Target="https://www.lovethework.com/work/entries/cats-lose-their-cool-dj-cat-738942" TargetMode="External" Id="rId46"/><Relationship Type="http://schemas.openxmlformats.org/officeDocument/2006/relationships/hyperlink" Target="https://www.lovethework.com/work/entries/lynx-with-catnip-738842" TargetMode="External" Id="rId47"/><Relationship Type="http://schemas.openxmlformats.org/officeDocument/2006/relationships/hyperlink" Target="https://ascentialcdn.filespin.io/api/v1/storyboard/5ed8965efd35470096adab00a480bd1c/storyboard_000008.jpg" TargetMode="External" Id="rId48"/><Relationship Type="http://schemas.openxmlformats.org/officeDocument/2006/relationships/hyperlink" Target="https://www.lovethework.com/work/entries/the-reinfall-738770" TargetMode="External" Id="rId49"/><Relationship Type="http://schemas.openxmlformats.org/officeDocument/2006/relationships/hyperlink" Target="https://www.lovethework.com/work/entries/irmela-vs-nazis-739076" TargetMode="External" Id="rId50"/><Relationship Type="http://schemas.openxmlformats.org/officeDocument/2006/relationships/hyperlink" Target="https://ascentialcdn.filespin.io/api/v1/storyboard/e26b3466ac96451cb63011afdbc16dc4/storyboard_000008.jpg" TargetMode="External" Id="rId51"/><Relationship Type="http://schemas.openxmlformats.org/officeDocument/2006/relationships/hyperlink" Target="https://www.lovethework.com/work/entries/you-have-what-it-takes-738975" TargetMode="External" Id="rId52"/><Relationship Type="http://schemas.openxmlformats.org/officeDocument/2006/relationships/hyperlink" Target="https://www.lovethework.com/work/entries/submerged-765078" TargetMode="External" Id="rId53"/><Relationship Type="http://schemas.openxmlformats.org/officeDocument/2006/relationships/hyperlink" Target="https://www.lovethework.com/work/entries/gambol-dare-to-step-758622" TargetMode="External" Id="rId54"/><Relationship Type="http://schemas.openxmlformats.org/officeDocument/2006/relationships/hyperlink" Target="https://ascentialcdn.filespin.io/api/v1/storyboard/9ec1161c272f499ea887c4236fda3363/storyboard_000008.jpg" TargetMode="External" Id="rId55"/><Relationship Type="http://schemas.openxmlformats.org/officeDocument/2006/relationships/hyperlink" Target="https://www.lovethework.com/work/entries/steal-739321" TargetMode="External" Id="rId56"/><Relationship Type="http://schemas.openxmlformats.org/officeDocument/2006/relationships/hyperlink" Target="https://www.lovethework.com/work/entries/miracle-739313" TargetMode="External" Id="rId57"/><Relationship Type="http://schemas.openxmlformats.org/officeDocument/2006/relationships/hyperlink" Target="https://www.lovethework.com/work/entries/hey-jude-739186" TargetMode="External" Id="rId58"/><Relationship Type="http://schemas.openxmlformats.org/officeDocument/2006/relationships/hyperlink" Target="https://www.lovethework.com/work/entries/fer-739197" TargetMode="External" Id="rId59"/><Relationship Type="http://schemas.openxmlformats.org/officeDocument/2006/relationships/hyperlink" Target="https://www.lovethework.com/work/entries/18-months-739267" TargetMode="External" Id="rId60"/><Relationship Type="http://schemas.openxmlformats.org/officeDocument/2006/relationships/hyperlink" Target="https://ascentialcdn.filespin.io/api/v1/conversion/fdf308fea817428794e5b51cfe09d79e" TargetMode="External" Id="rId61"/><Relationship Type="http://schemas.openxmlformats.org/officeDocument/2006/relationships/hyperlink" Target="https://www.lovethework.com/work/entries/read-better-762379" TargetMode="External" Id="rId62"/><Relationship Type="http://schemas.openxmlformats.org/officeDocument/2006/relationships/hyperlink" Target="https://www.lovethework.com/work/entries/telstra-better-on-a-better-network-739394" TargetMode="External" Id="rId63"/><Relationship Type="http://schemas.openxmlformats.org/officeDocument/2006/relationships/hyperlink" Target="https://ascentialcdn.filespin.io/api/v1/conversion/d7137ce2bd54485cbcd0f8ed8ef89240" TargetMode="External" Id="rId64"/><Relationship Type="http://schemas.openxmlformats.org/officeDocument/2006/relationships/hyperlink" Target="https://www.lovethework.com/work/entries/squad-up-739443" TargetMode="External" Id="rId65"/><Relationship Type="http://schemas.openxmlformats.org/officeDocument/2006/relationships/hyperlink" Target="https://www.lovethework.com/work/entries/paris-paralympics-2024-considering-what-739501" TargetMode="External" Id="rId66"/><Relationship Type="http://schemas.openxmlformats.org/officeDocument/2006/relationships/hyperlink" Target="https://www.lovethework.com/work/entries/skin-739661" TargetMode="External" Id="rId67"/></Relationships>
</file>

<file path=xl/worksheets/_rels/sheet4.xml.rels><Relationships xmlns="http://schemas.openxmlformats.org/package/2006/relationships"><Relationship Type="http://schemas.openxmlformats.org/officeDocument/2006/relationships/hyperlink" Target="https://ascentialcdn.filespin.io/api/v1/conversion/6dc8ee87b55d449f88c8f8a0868b533a" TargetMode="External" Id="rId1"/><Relationship Type="http://schemas.openxmlformats.org/officeDocument/2006/relationships/hyperlink" Target="https://www.lovethework.com/work/entries/crowd-740225" TargetMode="External" Id="rId2"/><Relationship Type="http://schemas.openxmlformats.org/officeDocument/2006/relationships/hyperlink" Target="https://ascentialcdn.filespin.io/api/v1/conversion/9b1fc196d863402282277d81f4bdf031" TargetMode="External" Id="rId3"/><Relationship Type="http://schemas.openxmlformats.org/officeDocument/2006/relationships/hyperlink" Target="https://www.lovethework.com/work/entries/public-transport-758659" TargetMode="External" Id="rId4"/><Relationship Type="http://schemas.openxmlformats.org/officeDocument/2006/relationships/hyperlink" Target="https://ascentialcdn.filespin.io/api/v1/conversion/ad97fbb0d50649118006eac4d5a902a7" TargetMode="External" Id="rId5"/><Relationship Type="http://schemas.openxmlformats.org/officeDocument/2006/relationships/hyperlink" Target="https://www.lovethework.com/work/entries/street-758667" TargetMode="External" Id="rId6"/><Relationship Type="http://schemas.openxmlformats.org/officeDocument/2006/relationships/hyperlink" Target="https://ascentialcdn.filespin.io/api/v1/conversion/60aa1888e5b6444381b060dc1801de84" TargetMode="External" Id="rId7"/><Relationship Type="http://schemas.openxmlformats.org/officeDocument/2006/relationships/hyperlink" Target="https://www.lovethework.com/work/entries/olympic-games-opening-ceremony-paris-2024-740923" TargetMode="External" Id="rId8"/><Relationship Type="http://schemas.openxmlformats.org/officeDocument/2006/relationships/hyperlink" Target="https://ascentialcdn.filespin.io/api/v1/conversion/bc046e548975443980453424bc30515a" TargetMode="External" Id="rId9"/><Relationship Type="http://schemas.openxmlformats.org/officeDocument/2006/relationships/hyperlink" Target="https://www.lovethework.com/work/entries/the-sip-of-sanctuary-740333" TargetMode="External" Id="rId10"/><Relationship Type="http://schemas.openxmlformats.org/officeDocument/2006/relationships/hyperlink" Target="https://ascentialcdn.filespin.io/api/v1/conversion/a33c9462c05d4330895b056745b6a602" TargetMode="External" Id="rId11"/><Relationship Type="http://schemas.openxmlformats.org/officeDocument/2006/relationships/hyperlink" Target="https://www.lovethework.com/work/entries/protector-of-the-chalice-740342" TargetMode="External" Id="rId12"/><Relationship Type="http://schemas.openxmlformats.org/officeDocument/2006/relationships/hyperlink" Target="https://ascentialcdn.filespin.io/api/v1/conversion/882ea591b6fa40b29a529180b71afa65" TargetMode="External" Id="rId13"/><Relationship Type="http://schemas.openxmlformats.org/officeDocument/2006/relationships/hyperlink" Target="https://www.lovethework.com/work/entries/happiness-within-chaos-740351" TargetMode="External" Id="rId14"/><Relationship Type="http://schemas.openxmlformats.org/officeDocument/2006/relationships/hyperlink" Target="https://ascentialcdn.filespin.io/api/v1/conversion/9e7a10af468b4293bb13624b6ac695d7" TargetMode="External" Id="rId15"/><Relationship Type="http://schemas.openxmlformats.org/officeDocument/2006/relationships/hyperlink" Target="https://www.lovethework.com/work/entries/fries-740416" TargetMode="External" Id="rId16"/><Relationship Type="http://schemas.openxmlformats.org/officeDocument/2006/relationships/hyperlink" Target="https://ascentialcdn.filespin.io/api/v1/conversion/98502860304b486096f96cbacf35f7ac" TargetMode="External" Id="rId17"/><Relationship Type="http://schemas.openxmlformats.org/officeDocument/2006/relationships/hyperlink" Target="https://www.lovethework.com/work/entries/chips-740534" TargetMode="External" Id="rId18"/><Relationship Type="http://schemas.openxmlformats.org/officeDocument/2006/relationships/hyperlink" Target="https://ascentialcdn.filespin.io/api/v1/conversion/19b79ceaf445400d88e358d61316e067" TargetMode="External" Id="rId19"/><Relationship Type="http://schemas.openxmlformats.org/officeDocument/2006/relationships/hyperlink" Target="https://www.lovethework.com/work/entries/toast-740549" TargetMode="External" Id="rId20"/><Relationship Type="http://schemas.openxmlformats.org/officeDocument/2006/relationships/hyperlink" Target="https://ascentialcdn.filespin.io/api/v1/conversion/a4189a00c22b49558f6796c1b0fdf90c" TargetMode="External" Id="rId21"/><Relationship Type="http://schemas.openxmlformats.org/officeDocument/2006/relationships/hyperlink" Target="https://www.lovethework.com/work/entries/scratch-sniff-740665" TargetMode="External" Id="rId22"/><Relationship Type="http://schemas.openxmlformats.org/officeDocument/2006/relationships/hyperlink" Target="https://ascentialcdn.filespin.io/api/v1/conversion/b9b1ac806434448cb6648aa308f263db" TargetMode="External" Id="rId23"/><Relationship Type="http://schemas.openxmlformats.org/officeDocument/2006/relationships/hyperlink" Target="https://www.lovethework.com/work/entries/shades-of-red-740785" TargetMode="External" Id="rId24"/><Relationship Type="http://schemas.openxmlformats.org/officeDocument/2006/relationships/hyperlink" Target="https://ascentialcdn.filespin.io/api/v1/conversion/238b3e3f0aab4c3fa9adf2b23d50eab3" TargetMode="External" Id="rId25"/><Relationship Type="http://schemas.openxmlformats.org/officeDocument/2006/relationships/hyperlink" Target="https://www.lovethework.com/work/entries/missed-birthdays-740958" TargetMode="External" Id="rId26"/><Relationship Type="http://schemas.openxmlformats.org/officeDocument/2006/relationships/hyperlink" Target="https://ascentialcdn.filespin.io/api/v1/conversion/8c433c0437494277a7cb3b8c1148b82c" TargetMode="External" Id="rId27"/><Relationship Type="http://schemas.openxmlformats.org/officeDocument/2006/relationships/hyperlink" Target="https://www.lovethework.com/work/entries/tracking-bad-bunny-759229" TargetMode="External" Id="rId28"/><Relationship Type="http://schemas.openxmlformats.org/officeDocument/2006/relationships/hyperlink" Target="https://ascentialcdn.filespin.io/api/v1/conversion/afa88aa8421b41a18c68b9863bb6926c" TargetMode="External" Id="rId29"/><Relationship Type="http://schemas.openxmlformats.org/officeDocument/2006/relationships/hyperlink" Target="https://www.lovethework.com/work/entries/gulf-of-mexico-bar-741350" TargetMode="External" Id="rId30"/><Relationship Type="http://schemas.openxmlformats.org/officeDocument/2006/relationships/hyperlink" Target="https://ascentialcdn.filespin.io/api/v1/conversion/67b6df2a0fe64deeb274c91d50040c54" TargetMode="External" Id="rId31"/><Relationship Type="http://schemas.openxmlformats.org/officeDocument/2006/relationships/hyperlink" Target="https://www.lovethework.com/work/entries/price-packs-741243" TargetMode="External" Id="rId32"/><Relationship Type="http://schemas.openxmlformats.org/officeDocument/2006/relationships/hyperlink" Target="https://ascentialcdn.filespin.io/api/v1/conversion/7771593e59654e55b2c0654f5d61ec8e" TargetMode="External" Id="rId33"/><Relationship Type="http://schemas.openxmlformats.org/officeDocument/2006/relationships/hyperlink" Target="https://www.lovethework.com/work/entries/lucky-yatra-741463" TargetMode="External" Id="rId34"/><Relationship Type="http://schemas.openxmlformats.org/officeDocument/2006/relationships/hyperlink" Target="https://ascentialcdn.filespin.io/api/v1/conversion/2f9ebcc7b9ec4ad9a4dcf79bd56fa88b" TargetMode="External" Id="rId35"/><Relationship Type="http://schemas.openxmlformats.org/officeDocument/2006/relationships/hyperlink" Target="https://www.lovethework.com/work/entries/windsurf-740535" TargetMode="External" Id="rId36"/><Relationship Type="http://schemas.openxmlformats.org/officeDocument/2006/relationships/hyperlink" Target="https://ascentialcdn.filespin.io/api/v1/conversion/9ceaf650a007496f90b6d5670786b4df" TargetMode="External" Id="rId37"/><Relationship Type="http://schemas.openxmlformats.org/officeDocument/2006/relationships/hyperlink" Target="https://www.lovethework.com/work/entries/surfer-740546" TargetMode="External" Id="rId38"/><Relationship Type="http://schemas.openxmlformats.org/officeDocument/2006/relationships/hyperlink" Target="https://ascentialcdn.filespin.io/api/v1/conversion/35c567148f6e40e1a267849bde62ba92" TargetMode="External" Id="rId39"/><Relationship Type="http://schemas.openxmlformats.org/officeDocument/2006/relationships/hyperlink" Target="https://www.lovethework.com/work/entries/waves-740554" TargetMode="External" Id="rId40"/><Relationship Type="http://schemas.openxmlformats.org/officeDocument/2006/relationships/hyperlink" Target="https://ascentialcdn.filespin.io/api/v1/conversion/3a177c8b37754037a19ddf0d99c858db" TargetMode="External" Id="rId41"/><Relationship Type="http://schemas.openxmlformats.org/officeDocument/2006/relationships/hyperlink" Target="https://www.lovethework.com/work/entries/boat-740365" TargetMode="External" Id="rId42"/><Relationship Type="http://schemas.openxmlformats.org/officeDocument/2006/relationships/hyperlink" Target="https://www.lovethework.com/work/entries/bundles-of-joy-ooh2-740450" TargetMode="External" Id="rId43"/><Relationship Type="http://schemas.openxmlformats.org/officeDocument/2006/relationships/hyperlink" Target="https://www.lovethework.com/work/entries/bundles-of-joy-ooh1-740460" TargetMode="External" Id="rId44"/><Relationship Type="http://schemas.openxmlformats.org/officeDocument/2006/relationships/hyperlink" Target="https://www.lovethework.com/work/entries/bundles-of-joy-ooh4-740466" TargetMode="External" Id="rId45"/><Relationship Type="http://schemas.openxmlformats.org/officeDocument/2006/relationships/hyperlink" Target="https://www.lovethework.com/work/entries/bundles-of-joy-ooh3-762361" TargetMode="External" Id="rId46"/><Relationship Type="http://schemas.openxmlformats.org/officeDocument/2006/relationships/hyperlink" Target="https://ascentialcdn.filespin.io/api/v1/conversion/7c797fcbd4784d318b810a3e30777a8a" TargetMode="External" Id="rId47"/><Relationship Type="http://schemas.openxmlformats.org/officeDocument/2006/relationships/hyperlink" Target="https://www.lovethework.com/work/entries/til-i-died-740701" TargetMode="External" Id="rId48"/><Relationship Type="http://schemas.openxmlformats.org/officeDocument/2006/relationships/hyperlink" Target="https://ascentialcdn.filespin.io/api/v1/conversion/5c6b7faa74e6455a830e3ef1f22b78d7" TargetMode="External" Id="rId49"/><Relationship Type="http://schemas.openxmlformats.org/officeDocument/2006/relationships/hyperlink" Target="https://www.lovethework.com/work/entries/winter-takes-on-colors-740759" TargetMode="External" Id="rId50"/><Relationship Type="http://schemas.openxmlformats.org/officeDocument/2006/relationships/hyperlink" Target="https://ascentialcdn.filespin.io/api/v1/conversion/08a2258d5d1348b1bc8f6014ff0c6655" TargetMode="External" Id="rId51"/><Relationship Type="http://schemas.openxmlformats.org/officeDocument/2006/relationships/hyperlink" Target="https://www.lovethework.com/work/entries/night-signals-741104" TargetMode="External" Id="rId52"/><Relationship Type="http://schemas.openxmlformats.org/officeDocument/2006/relationships/hyperlink" Target="https://ascentialcdn.filespin.io/api/v1/conversion/7e353b967fd64b6692fd97647bd4fbd2" TargetMode="External" Id="rId53"/><Relationship Type="http://schemas.openxmlformats.org/officeDocument/2006/relationships/hyperlink" Target="https://www.lovethework.com/work/entries/speed-coupons-741121" TargetMode="External" Id="rId54"/><Relationship Type="http://schemas.openxmlformats.org/officeDocument/2006/relationships/hyperlink" Target="https://ascentialcdn.filespin.io/api/v1/conversion/652b705dcecc4cb7a72c76e4e22c80e5" TargetMode="External" Id="rId55"/><Relationship Type="http://schemas.openxmlformats.org/officeDocument/2006/relationships/hyperlink" Target="https://www.lovethework.com/work/entries/sun-reserve-741012" TargetMode="External" Id="rId56"/><Relationship Type="http://schemas.openxmlformats.org/officeDocument/2006/relationships/hyperlink" Target="https://ascentialcdn.filespin.io/api/v1/conversion/a41ca6a9e9454bb585e089d1abcf0187" TargetMode="External" Id="rId57"/><Relationship Type="http://schemas.openxmlformats.org/officeDocument/2006/relationships/hyperlink" Target="https://www.lovethework.com/work/entries/the-philharmonic-prints-741191" TargetMode="External" Id="rId58"/><Relationship Type="http://schemas.openxmlformats.org/officeDocument/2006/relationships/hyperlink" Target="https://ascentialcdn.filespin.io/api/v1/conversion/f23ad7b894c14298b819130d99bc560f" TargetMode="External" Id="rId59"/><Relationship Type="http://schemas.openxmlformats.org/officeDocument/2006/relationships/hyperlink" Target="https://www.lovethework.com/work/entries/see-them-for-real-741246" TargetMode="External" Id="rId60"/><Relationship Type="http://schemas.openxmlformats.org/officeDocument/2006/relationships/hyperlink" Target="https://ascentialcdn.filespin.io/api/v1/conversion/51f7223ae6f6484caace1b6d0e8df74c" TargetMode="External" Id="rId61"/><Relationship Type="http://schemas.openxmlformats.org/officeDocument/2006/relationships/hyperlink" Target="https://www.lovethework.com/work/entries/bumpboards-741287" TargetMode="External" Id="rId62"/><Relationship Type="http://schemas.openxmlformats.org/officeDocument/2006/relationships/hyperlink" Target="https://www.lovethework.com/work/entries/balikbayan-magic-philippine-oriental-food-market-741455" TargetMode="External" Id="rId63"/><Relationship Type="http://schemas.openxmlformats.org/officeDocument/2006/relationships/hyperlink" Target="https://ascentialcdn.filespin.io/api/v1/conversion/e4e51d450eb8458dab81e55d80f5d56b" TargetMode="External" Id="rId64"/><Relationship Type="http://schemas.openxmlformats.org/officeDocument/2006/relationships/hyperlink" Target="https://www.lovethework.com/work/entries/meet-me-at-the-coke-sign-741472" TargetMode="External" Id="rId65"/><Relationship Type="http://schemas.openxmlformats.org/officeDocument/2006/relationships/hyperlink" Target="https://ascentialcdn.filespin.io/api/v1/conversion/716b17d07a0d40d2b7b2a29d2ae9e171" TargetMode="External" Id="rId66"/><Relationship Type="http://schemas.openxmlformats.org/officeDocument/2006/relationships/hyperlink" Target="https://www.lovethework.com/work/entries/nature-shapes-britannia-741532" TargetMode="External" Id="rId67"/><Relationship Type="http://schemas.openxmlformats.org/officeDocument/2006/relationships/hyperlink" Target="https://ascentialcdn.filespin.io/api/v1/conversion/cb9c8fa9b4464dc6bdc84535bb7991d5" TargetMode="External" Id="rId68"/><Relationship Type="http://schemas.openxmlformats.org/officeDocument/2006/relationships/hyperlink" Target="https://www.lovethework.com/work/entries/too-yumm-to-cheer-741592" TargetMode="External" Id="rId69"/><Relationship Type="http://schemas.openxmlformats.org/officeDocument/2006/relationships/hyperlink" Target="https://ascentialcdn.filespin.io/api/v1/conversion/0ee92655171346d888a62ac1b5baeb96" TargetMode="External" Id="rId70"/><Relationship Type="http://schemas.openxmlformats.org/officeDocument/2006/relationships/hyperlink" Target="https://www.lovethework.com/work/entries/estibadores-741560" TargetMode="External" Id="rId71"/><Relationship Type="http://schemas.openxmlformats.org/officeDocument/2006/relationships/hyperlink" Target="https://ascentialcdn.filespin.io/api/v1/conversion/dd37db0fdabf4182b51ade62463b79e2" TargetMode="External" Id="rId72"/><Relationship Type="http://schemas.openxmlformats.org/officeDocument/2006/relationships/hyperlink" Target="https://www.lovethework.com/work/entries/still-open-741731" TargetMode="External" Id="rId73"/><Relationship Type="http://schemas.openxmlformats.org/officeDocument/2006/relationships/hyperlink" Target="https://ascentialcdn.filespin.io/api/v1/conversion/60aa1888e5b6444381b060dc1801de84" TargetMode="External" Id="rId74"/><Relationship Type="http://schemas.openxmlformats.org/officeDocument/2006/relationships/hyperlink" Target="https://www.lovethework.com/work/entries/olympic-games-opening-ceremony-paris-2024-741644" TargetMode="External" Id="rId75"/><Relationship Type="http://schemas.openxmlformats.org/officeDocument/2006/relationships/hyperlink" Target="https://ascentialcdn.filespin.io/api/v1/conversion/aa75461755994abb9341413d542beaa8" TargetMode="External" Id="rId76"/><Relationship Type="http://schemas.openxmlformats.org/officeDocument/2006/relationships/hyperlink" Target="https://www.lovethework.com/work/entries/found-in-translation-741695" TargetMode="External" Id="rId77"/><Relationship Type="http://schemas.openxmlformats.org/officeDocument/2006/relationships/hyperlink" Target="https://ascentialcdn.filespin.io/api/v1/conversion/a8d4e72bb1ce47508dcea8db73d16b01" TargetMode="External" Id="rId78"/><Relationship Type="http://schemas.openxmlformats.org/officeDocument/2006/relationships/hyperlink" Target="https://www.lovethework.com/work/entries/pub-succession-741618" TargetMode="External" Id="rId79"/><Relationship Type="http://schemas.openxmlformats.org/officeDocument/2006/relationships/hyperlink" Target="https://ascentialcdn.filespin.io/api/v1/conversion/44405bf6f33b4e919c5b283211199392" TargetMode="External" Id="rId80"/><Relationship Type="http://schemas.openxmlformats.org/officeDocument/2006/relationships/hyperlink" Target="https://www.lovethework.com/work/entries/the-shining-740263" TargetMode="External" Id="rId81"/><Relationship Type="http://schemas.openxmlformats.org/officeDocument/2006/relationships/hyperlink" Target="https://ascentialcdn.filespin.io/api/v1/conversion/476f91b3c4024d889f9c5a3071d2af7f" TargetMode="External" Id="rId82"/><Relationship Type="http://schemas.openxmlformats.org/officeDocument/2006/relationships/hyperlink" Target="https://www.lovethework.com/work/entries/mimis-red-740318" TargetMode="External" Id="rId83"/><Relationship Type="http://schemas.openxmlformats.org/officeDocument/2006/relationships/hyperlink" Target="https://ascentialcdn.filespin.io/api/v1/conversion/9d778b6a2550440b9a1b11e17c7ad280" TargetMode="External" Id="rId84"/><Relationship Type="http://schemas.openxmlformats.org/officeDocument/2006/relationships/hyperlink" Target="https://www.lovethework.com/work/entries/prados-red-740326" TargetMode="External" Id="rId85"/><Relationship Type="http://schemas.openxmlformats.org/officeDocument/2006/relationships/hyperlink" Target="https://ascentialcdn.filespin.io/api/v1/conversion/cc0c84dd54874fdea4173e4874a381c3" TargetMode="External" Id="rId86"/><Relationship Type="http://schemas.openxmlformats.org/officeDocument/2006/relationships/hyperlink" Target="https://www.lovethework.com/work/entries/el-campos-red-740334" TargetMode="External" Id="rId87"/><Relationship Type="http://schemas.openxmlformats.org/officeDocument/2006/relationships/hyperlink" Target="https://ascentialcdn.filespin.io/api/v1/conversion/77eb12aacaf340e1b7d9e79c99556281" TargetMode="External" Id="rId88"/><Relationship Type="http://schemas.openxmlformats.org/officeDocument/2006/relationships/hyperlink" Target="https://www.lovethework.com/work/entries/corona-eclipse-uruguay-740235" TargetMode="External" Id="rId89"/><Relationship Type="http://schemas.openxmlformats.org/officeDocument/2006/relationships/hyperlink" Target="https://ascentialcdn.filespin.io/api/v1/conversion/923c26278b3042ac83d908e11d20b46c" TargetMode="External" Id="rId90"/><Relationship Type="http://schemas.openxmlformats.org/officeDocument/2006/relationships/hyperlink" Target="https://www.lovethework.com/work/entries/corona-eclipse-argentina-1-740248" TargetMode="External" Id="rId91"/><Relationship Type="http://schemas.openxmlformats.org/officeDocument/2006/relationships/hyperlink" Target="https://ascentialcdn.filespin.io/api/v1/conversion/7a260b4ceb6f4f7c998edf6aa5b09344" TargetMode="External" Id="rId92"/><Relationship Type="http://schemas.openxmlformats.org/officeDocument/2006/relationships/hyperlink" Target="https://www.lovethework.com/work/entries/corona-eclipse-argentina-2-740260" TargetMode="External" Id="rId93"/><Relationship Type="http://schemas.openxmlformats.org/officeDocument/2006/relationships/hyperlink" Target="https://ascentialcdn.filespin.io/api/v1/conversion/27ff97121fa2498480c1c23ae148604d" TargetMode="External" Id="rId94"/><Relationship Type="http://schemas.openxmlformats.org/officeDocument/2006/relationships/hyperlink" Target="https://www.lovethework.com/work/entries/price-packs-chips-740364" TargetMode="External" Id="rId95"/><Relationship Type="http://schemas.openxmlformats.org/officeDocument/2006/relationships/hyperlink" Target="https://ascentialcdn.filespin.io/api/v1/conversion/c3069b2a659a442aaabf5389719b9fa6" TargetMode="External" Id="rId96"/><Relationship Type="http://schemas.openxmlformats.org/officeDocument/2006/relationships/hyperlink" Target="https://www.lovethework.com/work/entries/price-packs-oatmeal-740376" TargetMode="External" Id="rId97"/><Relationship Type="http://schemas.openxmlformats.org/officeDocument/2006/relationships/hyperlink" Target="https://ascentialcdn.filespin.io/api/v1/conversion/0f62d161bf704e03bcece90e78e11d29" TargetMode="External" Id="rId98"/><Relationship Type="http://schemas.openxmlformats.org/officeDocument/2006/relationships/hyperlink" Target="https://www.lovethework.com/work/entries/price-packs-toast-740385" TargetMode="External" Id="rId99"/><Relationship Type="http://schemas.openxmlformats.org/officeDocument/2006/relationships/hyperlink" Target="https://ascentialcdn.filespin.io/api/v1/conversion/bc046e548975443980453424bc30515a" TargetMode="External" Id="rId100"/><Relationship Type="http://schemas.openxmlformats.org/officeDocument/2006/relationships/hyperlink" Target="https://www.lovethework.com/work/entries/the-sip-of-sanctuary-740553" TargetMode="External" Id="rId101"/><Relationship Type="http://schemas.openxmlformats.org/officeDocument/2006/relationships/hyperlink" Target="https://ascentialcdn.filespin.io/api/v1/conversion/882ea591b6fa40b29a529180b71afa65" TargetMode="External" Id="rId102"/><Relationship Type="http://schemas.openxmlformats.org/officeDocument/2006/relationships/hyperlink" Target="https://www.lovethework.com/work/entries/happiness-within-chaos-740366" TargetMode="External" Id="rId103"/><Relationship Type="http://schemas.openxmlformats.org/officeDocument/2006/relationships/hyperlink" Target="https://ascentialcdn.filespin.io/api/v1/conversion/a33c9462c05d4330895b056745b6a602" TargetMode="External" Id="rId104"/><Relationship Type="http://schemas.openxmlformats.org/officeDocument/2006/relationships/hyperlink" Target="https://www.lovethework.com/work/entries/protector-of-the-chalice-740439" TargetMode="External" Id="rId105"/><Relationship Type="http://schemas.openxmlformats.org/officeDocument/2006/relationships/hyperlink" Target="https://ascentialcdn.filespin.io/api/v1/conversion/9e6eef6a84b640f9b2da45ad47d321c9" TargetMode="External" Id="rId106"/><Relationship Type="http://schemas.openxmlformats.org/officeDocument/2006/relationships/hyperlink" Target="https://www.lovethework.com/work/entries/likes-763469" TargetMode="External" Id="rId107"/><Relationship Type="http://schemas.openxmlformats.org/officeDocument/2006/relationships/hyperlink" Target="https://ascentialcdn.filespin.io/api/v1/conversion/848c6f5fe00a4cc2be171136fcd87b87" TargetMode="External" Id="rId108"/><Relationship Type="http://schemas.openxmlformats.org/officeDocument/2006/relationships/hyperlink" Target="https://www.lovethework.com/work/entries/marches-763480" TargetMode="External" Id="rId109"/><Relationship Type="http://schemas.openxmlformats.org/officeDocument/2006/relationships/hyperlink" Target="https://ascentialcdn.filespin.io/api/v1/conversion/2aba4c2194414c37b9cf328c0dcc193f" TargetMode="External" Id="rId110"/><Relationship Type="http://schemas.openxmlformats.org/officeDocument/2006/relationships/hyperlink" Target="https://www.lovethework.com/work/entries/crimes-763490" TargetMode="External" Id="rId111"/><Relationship Type="http://schemas.openxmlformats.org/officeDocument/2006/relationships/hyperlink" Target="https://ascentialcdn.filespin.io/api/v1/conversion/09dbff10bf5e4eaeae2d578fe9cc19b0" TargetMode="External" Id="rId112"/><Relationship Type="http://schemas.openxmlformats.org/officeDocument/2006/relationships/hyperlink" Target="https://www.lovethework.com/work/entries/signs-from-heaven-740708" TargetMode="External" Id="rId113"/><Relationship Type="http://schemas.openxmlformats.org/officeDocument/2006/relationships/hyperlink" Target="https://ascentialcdn.filespin.io/api/v1/conversion/102f0d648c284c6e98ed2de341d6a49d" TargetMode="External" Id="rId114"/><Relationship Type="http://schemas.openxmlformats.org/officeDocument/2006/relationships/hyperlink" Target="https://www.lovethework.com/work/entries/smile-20-740676" TargetMode="External" Id="rId115"/><Relationship Type="http://schemas.openxmlformats.org/officeDocument/2006/relationships/hyperlink" Target="https://ascentialcdn.filespin.io/api/v1/conversion/7aeda253bc4a4f4e8c659c64a4721596" TargetMode="External" Id="rId116"/><Relationship Type="http://schemas.openxmlformats.org/officeDocument/2006/relationships/hyperlink" Target="https://www.lovethework.com/work/entries/carrefoursa-ghost-town-740781" TargetMode="External" Id="rId117"/><Relationship Type="http://schemas.openxmlformats.org/officeDocument/2006/relationships/hyperlink" Target="https://ascentialcdn.filespin.io/api/v1/conversion/b79b43804eae486ea54374794321d26f" TargetMode="External" Id="rId118"/><Relationship Type="http://schemas.openxmlformats.org/officeDocument/2006/relationships/hyperlink" Target="https://www.lovethework.com/work/entries/chai-bansuri-the-tea-flute-740791" TargetMode="External" Id="rId119"/><Relationship Type="http://schemas.openxmlformats.org/officeDocument/2006/relationships/hyperlink" Target="https://ascentialcdn.filespin.io/api/v1/conversion/0e92a3c97dfe4f05b663ae448b0f27d4" TargetMode="External" Id="rId120"/><Relationship Type="http://schemas.openxmlformats.org/officeDocument/2006/relationships/hyperlink" Target="https://www.lovethework.com/work/entries/worst-childrens-library-740810" TargetMode="External" Id="rId121"/><Relationship Type="http://schemas.openxmlformats.org/officeDocument/2006/relationships/hyperlink" Target="https://ascentialcdn.filespin.io/api/v1/conversion/2f963ba6e5b3402fb58a7907daa78953" TargetMode="External" Id="rId122"/><Relationship Type="http://schemas.openxmlformats.org/officeDocument/2006/relationships/hyperlink" Target="https://www.lovethework.com/work/entries/mayo-exchange-740956" TargetMode="External" Id="rId123"/><Relationship Type="http://schemas.openxmlformats.org/officeDocument/2006/relationships/hyperlink" Target="https://ascentialcdn.filespin.io/api/v1/conversion/e14b84bfe13a475898db5ad4b54d8a97" TargetMode="External" Id="rId124"/><Relationship Type="http://schemas.openxmlformats.org/officeDocument/2006/relationships/hyperlink" Target="https://www.lovethework.com/work/entries/touchboards-discount-740763" TargetMode="External" Id="rId125"/><Relationship Type="http://schemas.openxmlformats.org/officeDocument/2006/relationships/hyperlink" Target="https://ascentialcdn.filespin.io/api/v1/conversion/3f6078e96a9a4e17acada7c2ad04d652" TargetMode="External" Id="rId126"/><Relationship Type="http://schemas.openxmlformats.org/officeDocument/2006/relationships/hyperlink" Target="https://www.lovethework.com/work/entries/followers-store-741098" TargetMode="External" Id="rId127"/><Relationship Type="http://schemas.openxmlformats.org/officeDocument/2006/relationships/hyperlink" Target="https://ascentialcdn.filespin.io/api/v1/conversion/cf238077a73e4204aff7e28913d98b1d" TargetMode="External" Id="rId128"/><Relationship Type="http://schemas.openxmlformats.org/officeDocument/2006/relationships/hyperlink" Target="https://www.lovethework.com/work/entries/lucky-yatra-741094" TargetMode="External" Id="rId129"/><Relationship Type="http://schemas.openxmlformats.org/officeDocument/2006/relationships/hyperlink" Target="https://ascentialcdn.filespin.io/api/v1/conversion/459dc31c901d4c3385f219939e6621a9" TargetMode="External" Id="rId130"/><Relationship Type="http://schemas.openxmlformats.org/officeDocument/2006/relationships/hyperlink" Target="https://www.lovethework.com/work/entries/hidden-message-741175" TargetMode="External" Id="rId131"/><Relationship Type="http://schemas.openxmlformats.org/officeDocument/2006/relationships/hyperlink" Target="https://ascentialcdn.filespin.io/api/v1/conversion/a5387631458b48648c6dba4b21efb3d0" TargetMode="External" Id="rId132"/><Relationship Type="http://schemas.openxmlformats.org/officeDocument/2006/relationships/hyperlink" Target="https://www.lovethework.com/work/entries/the-shaded-route-741203" TargetMode="External" Id="rId133"/><Relationship Type="http://schemas.openxmlformats.org/officeDocument/2006/relationships/hyperlink" Target="https://www.lovethework.com/work/entries/winning-isnt-comfortable-741524" TargetMode="External" Id="rId134"/><Relationship Type="http://schemas.openxmlformats.org/officeDocument/2006/relationships/hyperlink" Target="https://ascentialcdn.filespin.io/api/v1/conversion/591a046477ac42a3973af316aacb0ac5" TargetMode="External" Id="rId135"/><Relationship Type="http://schemas.openxmlformats.org/officeDocument/2006/relationships/hyperlink" Target="https://www.lovethework.com/work/entries/not-for-first-dates-741459" TargetMode="External" Id="rId136"/><Relationship Type="http://schemas.openxmlformats.org/officeDocument/2006/relationships/hyperlink" Target="https://ascentialcdn.filespin.io/api/v1/conversion/acd8d741c65343949410395ac1ef1341" TargetMode="External" Id="rId137"/><Relationship Type="http://schemas.openxmlformats.org/officeDocument/2006/relationships/hyperlink" Target="https://www.lovethework.com/work/entries/awkboards-741401" TargetMode="External" Id="rId138"/><Relationship Type="http://schemas.openxmlformats.org/officeDocument/2006/relationships/hyperlink" Target="https://ascentialcdn.filespin.io/api/v1/conversion/2e3e8abad74c4c44a8e303b53e1f6eea" TargetMode="External" Id="rId139"/><Relationship Type="http://schemas.openxmlformats.org/officeDocument/2006/relationships/hyperlink" Target="https://www.lovethework.com/work/entries/trollboards-741387" TargetMode="External" Id="rId140"/><Relationship Type="http://schemas.openxmlformats.org/officeDocument/2006/relationships/hyperlink" Target="https://ascentialcdn.filespin.io/api/v1/conversion/01a9990a2bf44119a25722e3b82f52aa" TargetMode="External" Id="rId141"/><Relationship Type="http://schemas.openxmlformats.org/officeDocument/2006/relationships/hyperlink" Target="https://www.lovethework.com/work/entries/save-us-from-the-usa-741701" TargetMode="External" Id="rId142"/><Relationship Type="http://schemas.openxmlformats.org/officeDocument/2006/relationships/hyperlink" Target="https://ascentialcdn.filespin.io/api/v1/conversion/50b54ec5009448c5b2d59e4b93bfd487" TargetMode="External" Id="rId143"/><Relationship Type="http://schemas.openxmlformats.org/officeDocument/2006/relationships/hyperlink" Target="https://www.lovethework.com/work/entries/see-my-name-741591" TargetMode="External" Id="rId144"/><Relationship Type="http://schemas.openxmlformats.org/officeDocument/2006/relationships/hyperlink" Target="https://ascentialcdn.filespin.io/api/v1/conversion/b018a310a849410db9cc6b9091ca2dcb" TargetMode="External" Id="rId145"/><Relationship Type="http://schemas.openxmlformats.org/officeDocument/2006/relationships/hyperlink" Target="https://www.lovethework.com/work/entries/vi-guardian-beads-741561" TargetMode="External" Id="rId146"/><Relationship Type="http://schemas.openxmlformats.org/officeDocument/2006/relationships/hyperlink" Target="https://ascentialcdn.filespin.io/api/v1/conversion/f9f2a8cb575c498084f110de98272a4a" TargetMode="External" Id="rId147"/><Relationship Type="http://schemas.openxmlformats.org/officeDocument/2006/relationships/hyperlink" Target="https://www.lovethework.com/work/entries/aeromexicanos-741588" TargetMode="External" Id="rId148"/></Relationships>
</file>

<file path=xl/worksheets/_rels/sheet5.xml.rels><Relationships xmlns="http://schemas.openxmlformats.org/package/2006/relationships"><Relationship Type="http://schemas.openxmlformats.org/officeDocument/2006/relationships/hyperlink" Target="https://ascentialcdn.filespin.io/api/v1/conversion/67b6df2a0fe64deeb274c91d50040c54" TargetMode="External" Id="rId1"/><Relationship Type="http://schemas.openxmlformats.org/officeDocument/2006/relationships/hyperlink" Target="https://www.lovethework.com/work/entries/price-packs-740125" TargetMode="External" Id="rId2"/><Relationship Type="http://schemas.openxmlformats.org/officeDocument/2006/relationships/hyperlink" Target="https://www.lovethework.com/work/entries/ink-of-democracy-740050" TargetMode="External" Id="rId3"/><Relationship Type="http://schemas.openxmlformats.org/officeDocument/2006/relationships/hyperlink" Target="https://ascentialcdn.filespin.io/api/v1/conversion/8487f504004046b3b4f39c80f9542955" TargetMode="External" Id="rId4"/><Relationship Type="http://schemas.openxmlformats.org/officeDocument/2006/relationships/hyperlink" Target="https://www.lovethework.com/work/entries/holi-739718" TargetMode="External" Id="rId5"/><Relationship Type="http://schemas.openxmlformats.org/officeDocument/2006/relationships/hyperlink" Target="https://ascentialcdn.filespin.io/api/v1/conversion/372489df63044fcf8bfb5e5cca943bfe" TargetMode="External" Id="rId6"/><Relationship Type="http://schemas.openxmlformats.org/officeDocument/2006/relationships/hyperlink" Target="https://www.lovethework.com/work/entries/st-patricks-day-739704" TargetMode="External" Id="rId7"/><Relationship Type="http://schemas.openxmlformats.org/officeDocument/2006/relationships/hyperlink" Target="https://ascentialcdn.filespin.io/api/v1/conversion/882ea591b6fa40b29a529180b71afa65" TargetMode="External" Id="rId8"/><Relationship Type="http://schemas.openxmlformats.org/officeDocument/2006/relationships/hyperlink" Target="https://www.lovethework.com/work/entries/happiness-within-chaos-739654" TargetMode="External" Id="rId9"/><Relationship Type="http://schemas.openxmlformats.org/officeDocument/2006/relationships/hyperlink" Target="https://ascentialcdn.filespin.io/api/v1/conversion/38e5adf42b364346bf882ff41160aabc" TargetMode="External" Id="rId10"/><Relationship Type="http://schemas.openxmlformats.org/officeDocument/2006/relationships/hyperlink" Target="https://www.lovethework.com/work/entries/new-years-739696" TargetMode="External" Id="rId11"/><Relationship Type="http://schemas.openxmlformats.org/officeDocument/2006/relationships/hyperlink" Target="https://ascentialcdn.filespin.io/api/v1/conversion/616e9779606e4684a96c828d12a9b7a0" TargetMode="External" Id="rId12"/><Relationship Type="http://schemas.openxmlformats.org/officeDocument/2006/relationships/hyperlink" Target="https://www.lovethework.com/work/entries/mardi-gras-739712" TargetMode="External" Id="rId13"/><Relationship Type="http://schemas.openxmlformats.org/officeDocument/2006/relationships/hyperlink" Target="https://ascentialcdn.filespin.io/api/v1/conversion/3bc75956d7df4f839632c72343fb5cb5" TargetMode="External" Id="rId14"/><Relationship Type="http://schemas.openxmlformats.org/officeDocument/2006/relationships/hyperlink" Target="https://www.lovethework.com/work/entries/carnaval-739726" TargetMode="External" Id="rId15"/><Relationship Type="http://schemas.openxmlformats.org/officeDocument/2006/relationships/hyperlink" Target="https://ascentialcdn.filespin.io/api/v1/conversion/bc046e548975443980453424bc30515a" TargetMode="External" Id="rId16"/><Relationship Type="http://schemas.openxmlformats.org/officeDocument/2006/relationships/hyperlink" Target="https://www.lovethework.com/work/entries/the-sip-of-sanctuary-739632" TargetMode="External" Id="rId17"/><Relationship Type="http://schemas.openxmlformats.org/officeDocument/2006/relationships/hyperlink" Target="https://ascentialcdn.filespin.io/api/v1/conversion/a33c9462c05d4330895b056745b6a602" TargetMode="External" Id="rId18"/><Relationship Type="http://schemas.openxmlformats.org/officeDocument/2006/relationships/hyperlink" Target="https://www.lovethework.com/work/entries/protector-of-the-chalice-739644" TargetMode="External" Id="rId19"/><Relationship Type="http://schemas.openxmlformats.org/officeDocument/2006/relationships/hyperlink" Target="https://ascentialcdn.filespin.io/api/v1/conversion/7e2d8fe4c7af49f0b2003ab42f27074e" TargetMode="External" Id="rId20"/><Relationship Type="http://schemas.openxmlformats.org/officeDocument/2006/relationships/hyperlink" Target="https://www.lovethework.com/work/entries/roses-764508" TargetMode="External" Id="rId21"/><Relationship Type="http://schemas.openxmlformats.org/officeDocument/2006/relationships/hyperlink" Target="https://ascentialcdn.filespin.io/api/v1/conversion/96ea34877f1644f4a22d867dfa8e2f5d" TargetMode="External" Id="rId22"/><Relationship Type="http://schemas.openxmlformats.org/officeDocument/2006/relationships/hyperlink" Target="https://www.lovethework.com/work/entries/toilet-paper-764491" TargetMode="External" Id="rId23"/><Relationship Type="http://schemas.openxmlformats.org/officeDocument/2006/relationships/hyperlink" Target="https://ascentialcdn.filespin.io/api/v1/conversion/7795062110544927acc4f73eedfb3d7d" TargetMode="External" Id="rId24"/><Relationship Type="http://schemas.openxmlformats.org/officeDocument/2006/relationships/hyperlink" Target="https://www.lovethework.com/work/entries/not-every-smile-starts-as-a-smile-740106" TargetMode="External" Id="rId25"/><Relationship Type="http://schemas.openxmlformats.org/officeDocument/2006/relationships/hyperlink" Target="https://ascentialcdn.filespin.io/api/v1/conversion/26f992b0fc0e4479b962853921264524" TargetMode="External" Id="rId26"/><Relationship Type="http://schemas.openxmlformats.org/officeDocument/2006/relationships/hyperlink" Target="https://www.lovethework.com/work/entries/notes-on-notes-739979" TargetMode="External" Id="rId27"/><Relationship Type="http://schemas.openxmlformats.org/officeDocument/2006/relationships/hyperlink" Target="https://ascentialcdn.filespin.io/api/v1/conversion/5faffc268ac047f7a20b5bf0e2fb5e1a" TargetMode="External" Id="rId28"/><Relationship Type="http://schemas.openxmlformats.org/officeDocument/2006/relationships/hyperlink" Target="https://www.lovethework.com/work/entries/public-transport-760550" TargetMode="External" Id="rId29"/><Relationship Type="http://schemas.openxmlformats.org/officeDocument/2006/relationships/hyperlink" Target="https://ascentialcdn.filespin.io/api/v1/conversion/1d6b4cb3e726479c8a6b03da24a5d79e" TargetMode="External" Id="rId30"/><Relationship Type="http://schemas.openxmlformats.org/officeDocument/2006/relationships/hyperlink" Target="https://www.lovethework.com/work/entries/street-760556" TargetMode="External" Id="rId31"/><Relationship Type="http://schemas.openxmlformats.org/officeDocument/2006/relationships/hyperlink" Target="https://ascentialcdn.filespin.io/api/v1/conversion/f6a6e5cb949d4b8fa071221329aa94bf" TargetMode="External" Id="rId32"/><Relationship Type="http://schemas.openxmlformats.org/officeDocument/2006/relationships/hyperlink" Target="https://www.lovethework.com/work/entries/crowd-760545" TargetMode="External" Id="rId33"/><Relationship Type="http://schemas.openxmlformats.org/officeDocument/2006/relationships/hyperlink" Target="https://ascentialcdn.filespin.io/api/v1/conversion/7bfaee649e4b417698823553cddf194e" TargetMode="External" Id="rId34"/><Relationship Type="http://schemas.openxmlformats.org/officeDocument/2006/relationships/hyperlink" Target="https://www.lovethework.com/work/entries/game-day-739606" TargetMode="External" Id="rId35"/><Relationship Type="http://schemas.openxmlformats.org/officeDocument/2006/relationships/hyperlink" Target="https://ascentialcdn.filespin.io/api/v1/conversion/7bfaee649e4b417698823553cddf194e" TargetMode="External" Id="rId36"/><Relationship Type="http://schemas.openxmlformats.org/officeDocument/2006/relationships/hyperlink" Target="https://www.lovethework.com/work/entries/birthday-party-739588" TargetMode="External" Id="rId37"/><Relationship Type="http://schemas.openxmlformats.org/officeDocument/2006/relationships/hyperlink" Target="https://ascentialcdn.filespin.io/api/v1/conversion/7bfaee649e4b417698823553cddf194e" TargetMode="External" Id="rId38"/><Relationship Type="http://schemas.openxmlformats.org/officeDocument/2006/relationships/hyperlink" Target="https://www.lovethework.com/work/entries/dinner-739600" TargetMode="External" Id="rId39"/><Relationship Type="http://schemas.openxmlformats.org/officeDocument/2006/relationships/hyperlink" Target="https://ascentialcdn.filespin.io/api/v1/conversion/2e8876adc7f74c79b691fdfab21733d3" TargetMode="External" Id="rId40"/><Relationship Type="http://schemas.openxmlformats.org/officeDocument/2006/relationships/hyperlink" Target="https://www.lovethework.com/work/entries/bananas-764516" TargetMode="External" Id="rId41"/><Relationship Type="http://schemas.openxmlformats.org/officeDocument/2006/relationships/hyperlink" Target="https://ascentialcdn.filespin.io/api/v1/conversion/bde69bf2e7be40499498d5c2b091ec54" TargetMode="External" Id="rId42"/><Relationship Type="http://schemas.openxmlformats.org/officeDocument/2006/relationships/hyperlink" Target="https://www.lovethework.com/work/entries/eggs-764497" TargetMode="External" Id="rId43"/><Relationship Type="http://schemas.openxmlformats.org/officeDocument/2006/relationships/hyperlink" Target="https://ascentialcdn.filespin.io/api/v1/conversion/3bc3455889f14af89ad13e749464c1f2" TargetMode="External" Id="rId44"/><Relationship Type="http://schemas.openxmlformats.org/officeDocument/2006/relationships/hyperlink" Target="https://www.lovethework.com/work/entries/the-shakespeare-bic-740046" TargetMode="External" Id="rId45"/><Relationship Type="http://schemas.openxmlformats.org/officeDocument/2006/relationships/hyperlink" Target="https://ascentialcdn.filespin.io/api/v1/conversion/2b000adce52c43929b343bdac9dd757a" TargetMode="External" Id="rId46"/><Relationship Type="http://schemas.openxmlformats.org/officeDocument/2006/relationships/hyperlink" Target="https://www.lovethework.com/work/entries/duck-764523" TargetMode="External" Id="rId47"/><Relationship Type="http://schemas.openxmlformats.org/officeDocument/2006/relationships/hyperlink" Target="https://ascentialcdn.filespin.io/api/v1/conversion/f853d90cf7e444e99add88e4dc3a069b" TargetMode="External" Id="rId48"/><Relationship Type="http://schemas.openxmlformats.org/officeDocument/2006/relationships/hyperlink" Target="https://www.lovethework.com/work/entries/corona-eclipse-740137" TargetMode="External" Id="rId49"/><Relationship Type="http://schemas.openxmlformats.org/officeDocument/2006/relationships/hyperlink" Target="https://ascentialcdn.filespin.io/api/v1/conversion/c5b031a5911b4850a76ea7fd56dbea94" TargetMode="External" Id="rId50"/><Relationship Type="http://schemas.openxmlformats.org/officeDocument/2006/relationships/hyperlink" Target="https://www.lovethework.com/work/entries/jordan-23-739924" TargetMode="External" Id="rId51"/><Relationship Type="http://schemas.openxmlformats.org/officeDocument/2006/relationships/hyperlink" Target="https://ascentialcdn.filespin.io/api/v1/conversion/7f9c50afbfc4459aa7a6bc82ca0b9c86" TargetMode="External" Id="rId52"/><Relationship Type="http://schemas.openxmlformats.org/officeDocument/2006/relationships/hyperlink" Target="https://www.lovethework.com/work/entries/running-739716" TargetMode="External" Id="rId53"/><Relationship Type="http://schemas.openxmlformats.org/officeDocument/2006/relationships/hyperlink" Target="https://ascentialcdn.filespin.io/api/v1/conversion/35c567148f6e40e1a267849bde62ba92" TargetMode="External" Id="rId54"/><Relationship Type="http://schemas.openxmlformats.org/officeDocument/2006/relationships/hyperlink" Target="https://www.lovethework.com/work/entries/waves-758582" TargetMode="External" Id="rId55"/><Relationship Type="http://schemas.openxmlformats.org/officeDocument/2006/relationships/hyperlink" Target="https://ascentialcdn.filespin.io/api/v1/conversion/07c2f6587e874a9db8f1446fd7f9d520" TargetMode="External" Id="rId56"/><Relationship Type="http://schemas.openxmlformats.org/officeDocument/2006/relationships/hyperlink" Target="https://www.lovethework.com/work/entries/history-outnumbered-760429" TargetMode="External" Id="rId57"/><Relationship Type="http://schemas.openxmlformats.org/officeDocument/2006/relationships/hyperlink" Target="https://ascentialcdn.filespin.io/api/v1/conversion/2f9ebcc7b9ec4ad9a4dcf79bd56fa88b" TargetMode="External" Id="rId58"/><Relationship Type="http://schemas.openxmlformats.org/officeDocument/2006/relationships/hyperlink" Target="https://www.lovethework.com/work/entries/windsurf-758599" TargetMode="External" Id="rId59"/><Relationship Type="http://schemas.openxmlformats.org/officeDocument/2006/relationships/hyperlink" Target="https://ascentialcdn.filespin.io/api/v1/conversion/e7cc0c06262e42b19cab333197725351" TargetMode="External" Id="rId60"/><Relationship Type="http://schemas.openxmlformats.org/officeDocument/2006/relationships/hyperlink" Target="https://www.lovethework.com/work/entries/shaq-34-739934" TargetMode="External" Id="rId61"/><Relationship Type="http://schemas.openxmlformats.org/officeDocument/2006/relationships/hyperlink" Target="https://ascentialcdn.filespin.io/api/v1/conversion/38843c3e975e4cdfb57d5df8c625382d" TargetMode="External" Id="rId62"/><Relationship Type="http://schemas.openxmlformats.org/officeDocument/2006/relationships/hyperlink" Target="https://www.lovethework.com/work/entries/kick-boxing-739728" TargetMode="External" Id="rId63"/><Relationship Type="http://schemas.openxmlformats.org/officeDocument/2006/relationships/hyperlink" Target="https://ascentialcdn.filespin.io/api/v1/conversion/c9a1239df73f4604809221939576d7f1" TargetMode="External" Id="rId64"/><Relationship Type="http://schemas.openxmlformats.org/officeDocument/2006/relationships/hyperlink" Target="https://www.lovethework.com/work/entries/lebron-6-739952" TargetMode="External" Id="rId65"/><Relationship Type="http://schemas.openxmlformats.org/officeDocument/2006/relationships/hyperlink" Target="https://ascentialcdn.filespin.io/api/v1/conversion/e7509fe94193449ab6656099498b127b" TargetMode="External" Id="rId66"/><Relationship Type="http://schemas.openxmlformats.org/officeDocument/2006/relationships/hyperlink" Target="https://www.lovethework.com/work/entries/found-in-translation-740061" TargetMode="External" Id="rId67"/><Relationship Type="http://schemas.openxmlformats.org/officeDocument/2006/relationships/hyperlink" Target="https://ascentialcdn.filespin.io/api/v1/conversion/e42388f28bfb41c7ad9b20fe7d0d6982" TargetMode="External" Id="rId68"/><Relationship Type="http://schemas.openxmlformats.org/officeDocument/2006/relationships/hyperlink" Target="https://www.lovethework.com/work/entries/diver-758726" TargetMode="External" Id="rId69"/><Relationship Type="http://schemas.openxmlformats.org/officeDocument/2006/relationships/hyperlink" Target="https://ascentialcdn.filespin.io/api/v1/conversion/13a4275fa0744f33abce7c940e31f041" TargetMode="External" Id="rId70"/><Relationship Type="http://schemas.openxmlformats.org/officeDocument/2006/relationships/hyperlink" Target="https://www.lovethework.com/work/entries/eye-shot-on-faber-castell-739620" TargetMode="External" Id="rId71"/><Relationship Type="http://schemas.openxmlformats.org/officeDocument/2006/relationships/hyperlink" Target="https://ascentialcdn.filespin.io/api/v1/conversion/3a177c8b37754037a19ddf0d99c858db" TargetMode="External" Id="rId72"/><Relationship Type="http://schemas.openxmlformats.org/officeDocument/2006/relationships/hyperlink" Target="https://www.lovethework.com/work/entries/boat-758573" TargetMode="External" Id="rId73"/><Relationship Type="http://schemas.openxmlformats.org/officeDocument/2006/relationships/hyperlink" Target="https://ascentialcdn.filespin.io/api/v1/conversion/3a49c191a12941509feeea5c2f551a2b" TargetMode="External" Id="rId74"/><Relationship Type="http://schemas.openxmlformats.org/officeDocument/2006/relationships/hyperlink" Target="https://www.lovethework.com/work/entries/lemon-shot-on-faber-castell-739605" TargetMode="External" Id="rId75"/><Relationship Type="http://schemas.openxmlformats.org/officeDocument/2006/relationships/hyperlink" Target="https://ascentialcdn.filespin.io/api/v1/conversion/9ceaf650a007496f90b6d5670786b4df" TargetMode="External" Id="rId76"/><Relationship Type="http://schemas.openxmlformats.org/officeDocument/2006/relationships/hyperlink" Target="https://www.lovethework.com/work/entries/surfer-758590" TargetMode="External" Id="rId77"/><Relationship Type="http://schemas.openxmlformats.org/officeDocument/2006/relationships/hyperlink" Target="https://ascentialcdn.filespin.io/api/v1/conversion/d693c1e769a741a4b475d5ec8a7e89a1" TargetMode="External" Id="rId78"/><Relationship Type="http://schemas.openxmlformats.org/officeDocument/2006/relationships/hyperlink" Target="https://www.lovethework.com/work/entries/kobe-8-739945" TargetMode="External" Id="rId79"/><Relationship Type="http://schemas.openxmlformats.org/officeDocument/2006/relationships/hyperlink" Target="https://ascentialcdn.filespin.io/api/v1/conversion/9dcab7bc84b744cea2a588c2b63f30c2" TargetMode="External" Id="rId80"/><Relationship Type="http://schemas.openxmlformats.org/officeDocument/2006/relationships/hyperlink" Target="https://www.lovethework.com/work/entries/scholarship-in-books-740104" TargetMode="External" Id="rId81"/><Relationship Type="http://schemas.openxmlformats.org/officeDocument/2006/relationships/hyperlink" Target="https://www.lovethework.com/work/entries/pubic-service-announcement-760516" TargetMode="External" Id="rId82"/><Relationship Type="http://schemas.openxmlformats.org/officeDocument/2006/relationships/hyperlink" Target="https://ascentialcdn.filespin.io/api/v1/conversion/2d1f419e936b4d0ea17e3840fa1b8a50" TargetMode="External" Id="rId83"/><Relationship Type="http://schemas.openxmlformats.org/officeDocument/2006/relationships/hyperlink" Target="https://www.lovethework.com/work/entries/coffee-shot-on-faber-castell-739612" TargetMode="External" Id="rId84"/><Relationship Type="http://schemas.openxmlformats.org/officeDocument/2006/relationships/hyperlink" Target="https://ascentialcdn.filespin.io/api/v1/conversion/9d66925a6eb0418eb99f0354abd04b27" TargetMode="External" Id="rId85"/><Relationship Type="http://schemas.openxmlformats.org/officeDocument/2006/relationships/hyperlink" Target="https://www.lovethework.com/work/entries/football-739709" TargetMode="External" Id="rId86"/><Relationship Type="http://schemas.openxmlformats.org/officeDocument/2006/relationships/hyperlink" Target="https://ascentialcdn.filespin.io/api/v1/conversion/36fd55aacbed488286697152f0a3eeb3" TargetMode="External" Id="rId87"/><Relationship Type="http://schemas.openxmlformats.org/officeDocument/2006/relationships/hyperlink" Target="https://www.lovethework.com/work/entries/coupon-rain-760474" TargetMode="External" Id="rId88"/><Relationship Type="http://schemas.openxmlformats.org/officeDocument/2006/relationships/hyperlink" Target="https://ascentialcdn.filespin.io/api/v1/conversion/e09e1f0a06fc44109db762800cac9584" TargetMode="External" Id="rId89"/><Relationship Type="http://schemas.openxmlformats.org/officeDocument/2006/relationships/hyperlink" Target="https://www.lovethework.com/work/entries/the-freedom-edition-740070" TargetMode="External" Id="rId90"/></Relationships>
</file>

<file path=xl/worksheets/_rels/sheet6.xml.rels><Relationships xmlns="http://schemas.openxmlformats.org/package/2006/relationships"><Relationship Type="http://schemas.openxmlformats.org/officeDocument/2006/relationships/hyperlink" Target="https://ascentialcdn.filespin.io/api/v1/conversion/1a22539ff6e94e288d6a3aa1a3a9ace5" TargetMode="External" Id="rId1"/><Relationship Type="http://schemas.openxmlformats.org/officeDocument/2006/relationships/hyperlink" Target="https://www.lovethework.com/work/entries/caption-with-intention-758922" TargetMode="External" Id="rId2"/><Relationship Type="http://schemas.openxmlformats.org/officeDocument/2006/relationships/hyperlink" Target="https://ascentialcdn.filespin.io/api/v1/conversion/d124f3704bf34fe8a63e19e8325d9220" TargetMode="External" Id="rId3"/><Relationship Type="http://schemas.openxmlformats.org/officeDocument/2006/relationships/hyperlink" Target="https://www.lovethework.com/work/entries/airpods-pro-2-hearing-aid-feature-748829" TargetMode="External" Id="rId4"/><Relationship Type="http://schemas.openxmlformats.org/officeDocument/2006/relationships/hyperlink" Target="https://ascentialcdn.filespin.io/api/v1/conversion/83e9fc2a93254c029a34755ff3c96853" TargetMode="External" Id="rId5"/><Relationship Type="http://schemas.openxmlformats.org/officeDocument/2006/relationships/hyperlink" Target="https://www.lovethework.com/work/entries/nigrum-corpus-764511" TargetMode="External" Id="rId6"/><Relationship Type="http://schemas.openxmlformats.org/officeDocument/2006/relationships/hyperlink" Target="https://ascentialcdn.filespin.io/api/v1/conversion/a8b0865217084e348df3921cebc7c41f" TargetMode="External" Id="rId7"/><Relationship Type="http://schemas.openxmlformats.org/officeDocument/2006/relationships/hyperlink" Target="https://www.lovethework.com/work/entries/carrefoursa-ghost-town-748805" TargetMode="External" Id="rId8"/><Relationship Type="http://schemas.openxmlformats.org/officeDocument/2006/relationships/hyperlink" Target="https://ascentialcdn.filespin.io/api/v1/conversion/4ebdb10e5b80456a925dc283ac7e501a" TargetMode="External" Id="rId9"/><Relationship Type="http://schemas.openxmlformats.org/officeDocument/2006/relationships/hyperlink" Target="https://www.lovethework.com/work/entries/spreadbeats-748953" TargetMode="External" Id="rId10"/><Relationship Type="http://schemas.openxmlformats.org/officeDocument/2006/relationships/hyperlink" Target="https://ascentialcdn.filespin.io/api/v1/conversion/1cc1b629542a4d1db92e5b0d90116de7" TargetMode="External" Id="rId11"/><Relationship Type="http://schemas.openxmlformats.org/officeDocument/2006/relationships/hyperlink" Target="https://www.lovethework.com/work/entries/spreadbeats-748925" TargetMode="External" Id="rId12"/><Relationship Type="http://schemas.openxmlformats.org/officeDocument/2006/relationships/hyperlink" Target="https://ascentialcdn.filespin.io/api/v1/conversion/67b6df2a0fe64deeb274c91d50040c54" TargetMode="External" Id="rId13"/><Relationship Type="http://schemas.openxmlformats.org/officeDocument/2006/relationships/hyperlink" Target="https://www.lovethework.com/work/entries/price-packs-748846" TargetMode="External" Id="rId14"/><Relationship Type="http://schemas.openxmlformats.org/officeDocument/2006/relationships/hyperlink" Target="https://ascentialcdn.filespin.io/api/v1/conversion/352257f3d008491e95e0ccbdfe8a4469" TargetMode="External" Id="rId15"/><Relationship Type="http://schemas.openxmlformats.org/officeDocument/2006/relationships/hyperlink" Target="https://www.lovethework.com/work/entries/the-shakespeare-bic-749146" TargetMode="External" Id="rId16"/><Relationship Type="http://schemas.openxmlformats.org/officeDocument/2006/relationships/hyperlink" Target="https://ascentialcdn.filespin.io/api/v1/conversion/19a407ae77ab4664baed61135cc5ae9f" TargetMode="External" Id="rId17"/><Relationship Type="http://schemas.openxmlformats.org/officeDocument/2006/relationships/hyperlink" Target="https://www.lovethework.com/work/entries/sounds-of-the-land-758892" TargetMode="External" Id="rId18"/><Relationship Type="http://schemas.openxmlformats.org/officeDocument/2006/relationships/hyperlink" Target="https://ascentialcdn.filespin.io/api/v1/conversion/dc773a5191b947ea85626af886046a69" TargetMode="External" Id="rId19"/><Relationship Type="http://schemas.openxmlformats.org/officeDocument/2006/relationships/hyperlink" Target="https://www.lovethework.com/work/entries/code-my-crown-749303" TargetMode="External" Id="rId20"/><Relationship Type="http://schemas.openxmlformats.org/officeDocument/2006/relationships/hyperlink" Target="https://ascentialcdn.filespin.io/api/v1/conversion/a9e8fdb5892d441587b7c4c55eb3d5fb" TargetMode="External" Id="rId21"/><Relationship Type="http://schemas.openxmlformats.org/officeDocument/2006/relationships/hyperlink" Target="https://www.lovethework.com/work/entries/1837-tiffany-blue-conservation-749213" TargetMode="External" Id="rId22"/><Relationship Type="http://schemas.openxmlformats.org/officeDocument/2006/relationships/hyperlink" Target="https://ascentialcdn.filespin.io/api/v1/conversion/9e978f653c5c45cf903985a90708656d" TargetMode="External" Id="rId23"/><Relationship Type="http://schemas.openxmlformats.org/officeDocument/2006/relationships/hyperlink" Target="https://www.lovethework.com/work/entries/fixables-761443" TargetMode="External" Id="rId24"/><Relationship Type="http://schemas.openxmlformats.org/officeDocument/2006/relationships/hyperlink" Target="https://ascentialcdn.filespin.io/api/v1/conversion/14dd689fdcf14ce4a777dc6c4aad2522" TargetMode="External" Id="rId25"/><Relationship Type="http://schemas.openxmlformats.org/officeDocument/2006/relationships/hyperlink" Target="https://www.lovethework.com/work/entries/airquity-749221" TargetMode="External" Id="rId26"/><Relationship Type="http://schemas.openxmlformats.org/officeDocument/2006/relationships/hyperlink" Target="https://ascentialcdn.filespin.io/api/v1/conversion/b852cca2fa1a4002b499bc5cf7f064f1" TargetMode="External" Id="rId27"/><Relationship Type="http://schemas.openxmlformats.org/officeDocument/2006/relationships/hyperlink" Target="https://www.lovethework.com/work/entries/the-100-home-compostable-sticker-749240" TargetMode="External" Id="rId28"/><Relationship Type="http://schemas.openxmlformats.org/officeDocument/2006/relationships/hyperlink" Target="https://ascentialcdn.filespin.io/api/v1/conversion/897a79315f0b4bf2a5afd35d6e3217ac" TargetMode="External" Id="rId29"/><Relationship Type="http://schemas.openxmlformats.org/officeDocument/2006/relationships/hyperlink" Target="https://www.lovethework.com/work/entries/self-packing-cheese-758771" TargetMode="External" Id="rId30"/><Relationship Type="http://schemas.openxmlformats.org/officeDocument/2006/relationships/hyperlink" Target="https://ascentialcdn.filespin.io/api/v1/conversion/760f7006f943444ab3c918192eebdfad" TargetMode="External" Id="rId31"/><Relationship Type="http://schemas.openxmlformats.org/officeDocument/2006/relationships/hyperlink" Target="https://www.lovethework.com/work/entries/forest-carbon-in-tune-with-nature-748684" TargetMode="External" Id="rId32"/><Relationship Type="http://schemas.openxmlformats.org/officeDocument/2006/relationships/hyperlink" Target="https://ascentialcdn.filespin.io/api/v1/conversion/145b3050646d4642adeb6588b0db97cf" TargetMode="External" Id="rId33"/><Relationship Type="http://schemas.openxmlformats.org/officeDocument/2006/relationships/hyperlink" Target="https://www.lovethework.com/work/entries/imperia-genius-of-form-and-substance-748618" TargetMode="External" Id="rId34"/><Relationship Type="http://schemas.openxmlformats.org/officeDocument/2006/relationships/hyperlink" Target="https://ascentialcdn.filespin.io/api/v1/conversion/5d4639fd2bc1430db0604b45d23a8ed6" TargetMode="External" Id="rId35"/><Relationship Type="http://schemas.openxmlformats.org/officeDocument/2006/relationships/hyperlink" Target="https://www.lovethework.com/work/entries/fc25-758851" TargetMode="External" Id="rId36"/><Relationship Type="http://schemas.openxmlformats.org/officeDocument/2006/relationships/hyperlink" Target="https://ascentialcdn.filespin.io/api/v1/conversion/67b6df2a0fe64deeb274c91d50040c54" TargetMode="External" Id="rId37"/><Relationship Type="http://schemas.openxmlformats.org/officeDocument/2006/relationships/hyperlink" Target="https://www.lovethework.com/work/entries/price-packs-748709" TargetMode="External" Id="rId38"/><Relationship Type="http://schemas.openxmlformats.org/officeDocument/2006/relationships/hyperlink" Target="https://ascentialcdn.filespin.io/api/v1/conversion/558c6e807d6740a6a711540be7529132" TargetMode="External" Id="rId39"/><Relationship Type="http://schemas.openxmlformats.org/officeDocument/2006/relationships/hyperlink" Target="https://www.lovethework.com/work/entries/mattel-creations-not-wheels-748931" TargetMode="External" Id="rId40"/><Relationship Type="http://schemas.openxmlformats.org/officeDocument/2006/relationships/hyperlink" Target="https://ascentialcdn.filespin.io/api/v1/conversion/0bcb01dc0d92499c8033fe42497178ff" TargetMode="External" Id="rId41"/><Relationship Type="http://schemas.openxmlformats.org/officeDocument/2006/relationships/hyperlink" Target="https://www.lovethework.com/work/entries/winter-takes-on-colors-748849" TargetMode="External" Id="rId42"/><Relationship Type="http://schemas.openxmlformats.org/officeDocument/2006/relationships/hyperlink" Target="https://ascentialcdn.filespin.io/api/v1/conversion/09f9e036aeb845c58e96f2c55d8dd7f9" TargetMode="External" Id="rId43"/><Relationship Type="http://schemas.openxmlformats.org/officeDocument/2006/relationships/hyperlink" Target="https://www.lovethework.com/work/entries/justice-by-her-type-748777" TargetMode="External" Id="rId44"/><Relationship Type="http://schemas.openxmlformats.org/officeDocument/2006/relationships/hyperlink" Target="https://ascentialcdn.filespin.io/api/v1/conversion/b1a090f7c816487f8dcee01d4c656df9" TargetMode="External" Id="rId45"/><Relationship Type="http://schemas.openxmlformats.org/officeDocument/2006/relationships/hyperlink" Target="https://www.lovethework.com/work/entries/sad-kama-chan-748974" TargetMode="External" Id="rId46"/><Relationship Type="http://schemas.openxmlformats.org/officeDocument/2006/relationships/hyperlink" Target="https://ascentialcdn.filespin.io/api/v1/conversion/1403dc4c3f49430e95623bac41b290a1" TargetMode="External" Id="rId47"/><Relationship Type="http://schemas.openxmlformats.org/officeDocument/2006/relationships/hyperlink" Target="https://www.lovethework.com/work/entries/packed-full-of-history-749085" TargetMode="External" Id="rId48"/><Relationship Type="http://schemas.openxmlformats.org/officeDocument/2006/relationships/hyperlink" Target="https://ascentialcdn.filespin.io/api/v1/conversion/e1437e92753d4a789ee8e1f1be1c30ba" TargetMode="External" Id="rId49"/><Relationship Type="http://schemas.openxmlformats.org/officeDocument/2006/relationships/hyperlink" Target="https://www.lovethework.com/work/entries/eye-test-menu-748977" TargetMode="External" Id="rId50"/><Relationship Type="http://schemas.openxmlformats.org/officeDocument/2006/relationships/hyperlink" Target="https://ascentialcdn.filespin.io/api/v1/conversion/4023e98735c5497cb6e2d7dea5c76318" TargetMode="External" Id="rId51"/><Relationship Type="http://schemas.openxmlformats.org/officeDocument/2006/relationships/hyperlink" Target="https://www.lovethework.com/work/entries/rice-of-glory-749256" TargetMode="External" Id="rId52"/><Relationship Type="http://schemas.openxmlformats.org/officeDocument/2006/relationships/hyperlink" Target="https://ascentialcdn.filespin.io/api/v1/conversion/eeb72dfd60ee48fa902e472badb2512e" TargetMode="External" Id="rId53"/><Relationship Type="http://schemas.openxmlformats.org/officeDocument/2006/relationships/hyperlink" Target="https://www.lovethework.com/work/entries/workwear-for-kids-749238" TargetMode="External" Id="rId54"/><Relationship Type="http://schemas.openxmlformats.org/officeDocument/2006/relationships/hyperlink" Target="https://ascentialcdn.filespin.io/api/v1/conversion/afc236f1ded24f46a0b77a8e8bbb969b" TargetMode="External" Id="rId55"/><Relationship Type="http://schemas.openxmlformats.org/officeDocument/2006/relationships/hyperlink" Target="https://www.lovethework.com/work/entries/project-voice-749358" TargetMode="External" Id="rId56"/><Relationship Type="http://schemas.openxmlformats.org/officeDocument/2006/relationships/hyperlink" Target="https://ascentialcdn.filespin.io/api/v1/conversion/2d6b647363d9454ea677267064f19ea9" TargetMode="External" Id="rId57"/><Relationship Type="http://schemas.openxmlformats.org/officeDocument/2006/relationships/hyperlink" Target="https://www.lovethework.com/work/entries/roobadge-749288" TargetMode="External" Id="rId58"/><Relationship Type="http://schemas.openxmlformats.org/officeDocument/2006/relationships/hyperlink" Target="https://ascentialcdn.filespin.io/api/v1/conversion/09dbff10bf5e4eaeae2d578fe9cc19b0" TargetMode="External" Id="rId59"/><Relationship Type="http://schemas.openxmlformats.org/officeDocument/2006/relationships/hyperlink" Target="https://www.lovethework.com/work/entries/signs-from-heaven-749243" TargetMode="External" Id="rId60"/><Relationship Type="http://schemas.openxmlformats.org/officeDocument/2006/relationships/hyperlink" Target="https://ascentialcdn.filespin.io/api/v1/conversion/9e978f653c5c45cf903985a90708656d" TargetMode="External" Id="rId61"/><Relationship Type="http://schemas.openxmlformats.org/officeDocument/2006/relationships/hyperlink" Target="https://www.lovethework.com/work/entries/fixables-761474" TargetMode="External" Id="rId62"/></Relationships>
</file>

<file path=xl/worksheets/_rels/sheet7.xml.rels><Relationships xmlns="http://schemas.openxmlformats.org/package/2006/relationships"><Relationship Type="http://schemas.openxmlformats.org/officeDocument/2006/relationships/hyperlink" Target="https://ascentialcdn.filespin.io/api/v1/conversion/3a8020f6426f40968730b5a8c68a0b35" TargetMode="External" Id="rId1"/><Relationship Type="http://schemas.openxmlformats.org/officeDocument/2006/relationships/hyperlink" Target="https://www.lovethework.com/work/entries/caption-with-intention-754389" TargetMode="External" Id="rId2"/><Relationship Type="http://schemas.openxmlformats.org/officeDocument/2006/relationships/hyperlink" Target="https://ascentialcdn.filespin.io/api/v1/conversion/82542e7381744bb783bb6c60f2929b2c" TargetMode="External" Id="rId3"/><Relationship Type="http://schemas.openxmlformats.org/officeDocument/2006/relationships/hyperlink" Target="https://www.lovethework.com/work/entries/tree-correspondents-762045" TargetMode="External" Id="rId4"/><Relationship Type="http://schemas.openxmlformats.org/officeDocument/2006/relationships/hyperlink" Target="https://ascentialcdn.filespin.io/api/v1/conversion/6e437af497a34d6bbc71738a2b9c581b" TargetMode="External" Id="rId5"/><Relationship Type="http://schemas.openxmlformats.org/officeDocument/2006/relationships/hyperlink" Target="https://www.lovethework.com/work/entries/caption-with-intention-754831" TargetMode="External" Id="rId6"/><Relationship Type="http://schemas.openxmlformats.org/officeDocument/2006/relationships/hyperlink" Target="https://ascentialcdn.filespin.io/api/v1/conversion/82542e7381744bb783bb6c60f2929b2c" TargetMode="External" Id="rId7"/><Relationship Type="http://schemas.openxmlformats.org/officeDocument/2006/relationships/hyperlink" Target="https://www.lovethework.com/work/entries/tree-correspondents-762045" TargetMode="External" Id="rId8"/><Relationship Type="http://schemas.openxmlformats.org/officeDocument/2006/relationships/hyperlink" Target="https://ascentialcdn.filespin.io/api/v1/conversion/a5387631458b48648c6dba4b21efb3d0" TargetMode="External" Id="rId9"/><Relationship Type="http://schemas.openxmlformats.org/officeDocument/2006/relationships/hyperlink" Target="https://www.lovethework.com/work/entries/the-shaded-route-754725" TargetMode="External" Id="rId10"/><Relationship Type="http://schemas.openxmlformats.org/officeDocument/2006/relationships/hyperlink" Target="https://ascentialcdn.filespin.io/api/v1/conversion/82542e7381744bb783bb6c60f2929b2c" TargetMode="External" Id="rId11"/><Relationship Type="http://schemas.openxmlformats.org/officeDocument/2006/relationships/hyperlink" Target="https://www.lovethework.com/work/entries/tree-correspondents-762150" TargetMode="External" Id="rId12"/><Relationship Type="http://schemas.openxmlformats.org/officeDocument/2006/relationships/hyperlink" Target="https://ascentialcdn.filespin.io/api/v1/conversion/f2ca9488d23e45d5b432ce4a6c2e8f08" TargetMode="External" Id="rId13"/><Relationship Type="http://schemas.openxmlformats.org/officeDocument/2006/relationships/hyperlink" Target="https://www.lovethework.com/work/entries/in-hot-water-754526" TargetMode="External" Id="rId14"/><Relationship Type="http://schemas.openxmlformats.org/officeDocument/2006/relationships/hyperlink" Target="https://ascentialcdn.filespin.io/api/v1/conversion/68f2c53ebcea42bd9ab7b58852b5aa95" TargetMode="External" Id="rId15"/><Relationship Type="http://schemas.openxmlformats.org/officeDocument/2006/relationships/hyperlink" Target="https://www.lovethework.com/work/entries/saltanat-light-764174" TargetMode="External" Id="rId16"/><Relationship Type="http://schemas.openxmlformats.org/officeDocument/2006/relationships/hyperlink" Target="https://ascentialcdn.filespin.io/api/v1/conversion/2d7855910ffa41a78e83fffe11540c7b" TargetMode="External" Id="rId17"/><Relationship Type="http://schemas.openxmlformats.org/officeDocument/2006/relationships/hyperlink" Target="https://www.lovethework.com/work/entries/daisy-vs-scammers-754726" TargetMode="External" Id="rId18"/><Relationship Type="http://schemas.openxmlformats.org/officeDocument/2006/relationships/hyperlink" Target="https://ascentialcdn.filespin.io/api/v1/conversion/5bdbab28251f44eda6fdb7d90fe1a6eb" TargetMode="External" Id="rId19"/><Relationship Type="http://schemas.openxmlformats.org/officeDocument/2006/relationships/hyperlink" Target="https://www.lovethework.com/work/entries/allevia-pollen-passport-754613" TargetMode="External" Id="rId20"/><Relationship Type="http://schemas.openxmlformats.org/officeDocument/2006/relationships/hyperlink" Target="https://ascentialcdn.filespin.io/api/v1/conversion/c56cee379a1249b9912bbe50964ff0d2" TargetMode="External" Id="rId21"/><Relationship Type="http://schemas.openxmlformats.org/officeDocument/2006/relationships/hyperlink" Target="https://www.lovethework.com/work/entries/apple-100-best-albums-754412" TargetMode="External" Id="rId22"/><Relationship Type="http://schemas.openxmlformats.org/officeDocument/2006/relationships/hyperlink" Target="https://ascentialcdn.filespin.io/api/v1/conversion/d824fa39d9d94210af54fc45e5e11735" TargetMode="External" Id="rId23"/><Relationship Type="http://schemas.openxmlformats.org/officeDocument/2006/relationships/hyperlink" Target="https://www.lovethework.com/work/entries/the-odissey-of-wilson-754689" TargetMode="External" Id="rId24"/><Relationship Type="http://schemas.openxmlformats.org/officeDocument/2006/relationships/hyperlink" Target="https://ascentialcdn.filespin.io/api/v1/conversion/898d378102884b909c675f8264248952" TargetMode="External" Id="rId25"/><Relationship Type="http://schemas.openxmlformats.org/officeDocument/2006/relationships/hyperlink" Target="https://www.lovethework.com/work/entries/body-swap-758391" TargetMode="External" Id="rId26"/><Relationship Type="http://schemas.openxmlformats.org/officeDocument/2006/relationships/hyperlink" Target="https://ascentialcdn.filespin.io/api/v1/conversion/f944731d441e4447a823753bb907d334" TargetMode="External" Id="rId27"/><Relationship Type="http://schemas.openxmlformats.org/officeDocument/2006/relationships/hyperlink" Target="https://www.lovethework.com/work/entries/the-final-exam-762133" TargetMode="External" Id="rId28"/><Relationship Type="http://schemas.openxmlformats.org/officeDocument/2006/relationships/hyperlink" Target="https://ascentialcdn.filespin.io/api/v1/conversion/4483476cdcdf4250b70cf3ba56e70e55" TargetMode="External" Id="rId29"/><Relationship Type="http://schemas.openxmlformats.org/officeDocument/2006/relationships/hyperlink" Target="https://www.lovethework.com/work/entries/kia-soundscapes-754384" TargetMode="External" Id="rId30"/><Relationship Type="http://schemas.openxmlformats.org/officeDocument/2006/relationships/hyperlink" Target="https://ascentialcdn.filespin.io/api/v1/conversion/fdf308fea817428794e5b51cfe09d79e" TargetMode="External" Id="rId31"/><Relationship Type="http://schemas.openxmlformats.org/officeDocument/2006/relationships/hyperlink" Target="https://www.lovethework.com/work/entries/read-better-762153" TargetMode="External" Id="rId32"/><Relationship Type="http://schemas.openxmlformats.org/officeDocument/2006/relationships/hyperlink" Target="https://ascentialcdn.filespin.io/api/v1/conversion/15acf37ec83847ee82067e734a40a3de" TargetMode="External" Id="rId33"/><Relationship Type="http://schemas.openxmlformats.org/officeDocument/2006/relationships/hyperlink" Target="https://www.lovethework.com/work/entries/interface-of-humanity-powered-by-ntt-754473" TargetMode="External" Id="rId34"/></Relationships>
</file>

<file path=xl/worksheets/_rels/sheet8.xml.rels><Relationships xmlns="http://schemas.openxmlformats.org/package/2006/relationships"><Relationship Type="http://schemas.openxmlformats.org/officeDocument/2006/relationships/hyperlink" Target="https://www.lovethework.com/work/entries/telstra-better-on-a-better-network-765315" TargetMode="External" Id="rId1"/><Relationship Type="http://schemas.openxmlformats.org/officeDocument/2006/relationships/hyperlink" Target="https://www.lovethework.com/work/entries/telstra-better-on-a-better-network-765311" TargetMode="External" Id="rId2"/><Relationship Type="http://schemas.openxmlformats.org/officeDocument/2006/relationships/hyperlink" Target="https://www.lovethework.com/work/entries/considering-what-765324" TargetMode="External" Id="rId3"/><Relationship Type="http://schemas.openxmlformats.org/officeDocument/2006/relationships/hyperlink" Target="https://www.lovethework.com/work/entries/guao-guao-765356" TargetMode="External" Id="rId4"/><Relationship Type="http://schemas.openxmlformats.org/officeDocument/2006/relationships/hyperlink" Target="https://www.lovethework.com/work/entries/find-your-friends-765322" TargetMode="External" Id="rId5"/><Relationship Type="http://schemas.openxmlformats.org/officeDocument/2006/relationships/hyperlink" Target="https://www.lovethework.com/work/entries/paris-paralympics-2024-considering-what-765981" TargetMode="External" Id="rId6"/><Relationship Type="http://schemas.openxmlformats.org/officeDocument/2006/relationships/hyperlink" Target="https://www.lovethework.com/work/entries/a-tale-as-old-as-websites-765346" TargetMode="External" Id="rId7"/><Relationship Type="http://schemas.openxmlformats.org/officeDocument/2006/relationships/hyperlink" Target="https://www.lovethework.com/work/entries/donkey-765344" TargetMode="External" Id="rId8"/><Relationship Type="http://schemas.openxmlformats.org/officeDocument/2006/relationships/hyperlink" Target="https://ascentialcdn.filespin.io/api/v1/storyboard/7819511744634f7a81824e1b2a278ae1/storyboard_000008.jpg" TargetMode="External" Id="rId9"/><Relationship Type="http://schemas.openxmlformats.org/officeDocument/2006/relationships/hyperlink" Target="https://www.lovethework.com/work/entries/aap-rocky-tailor-swif-765317" TargetMode="External" Id="rId10"/><Relationship Type="http://schemas.openxmlformats.org/officeDocument/2006/relationships/hyperlink" Target="https://www.lovethework.com/work/entries/renault-argentina-766426" TargetMode="External" Id="rId11"/><Relationship Type="http://schemas.openxmlformats.org/officeDocument/2006/relationships/hyperlink" Target="https://www.lovethework.com/work/entries/guao-guao-765357" TargetMode="External" Id="rId12"/><Relationship Type="http://schemas.openxmlformats.org/officeDocument/2006/relationships/hyperlink" Target="https://ascentialcdn.filespin.io/api/v1/storyboard/346a403fc27b4b2db49c84361f4c8081/storyboard_000008.jpg" TargetMode="External" Id="rId13"/><Relationship Type="http://schemas.openxmlformats.org/officeDocument/2006/relationships/hyperlink" Target="https://www.lovethework.com/work/entries/moments-765347" TargetMode="External" Id="rId14"/><Relationship Type="http://schemas.openxmlformats.org/officeDocument/2006/relationships/hyperlink" Target="https://ascentialcdn.filespin.io/api/v1/storyboard/b9ed0aae1ae84082882cb4a1ec460780/storyboard_000008.jpg" TargetMode="External" Id="rId15"/><Relationship Type="http://schemas.openxmlformats.org/officeDocument/2006/relationships/hyperlink" Target="https://www.lovethework.com/work/entries/nike-sunshine-765328" TargetMode="External" Id="rId16"/><Relationship Type="http://schemas.openxmlformats.org/officeDocument/2006/relationships/hyperlink" Target="https://www.lovethework.com/work/entries/a-tale-as-old-as-websites-765331" TargetMode="External" Id="rId17"/><Relationship Type="http://schemas.openxmlformats.org/officeDocument/2006/relationships/hyperlink" Target="https://www.lovethework.com/work/entries/flock-765354" TargetMode="External" Id="rId18"/><Relationship Type="http://schemas.openxmlformats.org/officeDocument/2006/relationships/hyperlink" Target="https://ascentialcdn.filespin.io/api/v1/storyboard/346a403fc27b4b2db49c84361f4c8081/storyboard_000008.jpg" TargetMode="External" Id="rId19"/><Relationship Type="http://schemas.openxmlformats.org/officeDocument/2006/relationships/hyperlink" Target="https://www.lovethework.com/work/entries/moments-765347" TargetMode="External" Id="rId20"/><Relationship Type="http://schemas.openxmlformats.org/officeDocument/2006/relationships/hyperlink" Target="https://www.lovethework.com/work/entries/in-hot-water-765332" TargetMode="External" Id="rId21"/><Relationship Type="http://schemas.openxmlformats.org/officeDocument/2006/relationships/hyperlink" Target="https://www.lovethework.com/work/entries/donkey-765336" TargetMode="External" Id="rId22"/><Relationship Type="http://schemas.openxmlformats.org/officeDocument/2006/relationships/hyperlink" Target="https://ascentialcdn.filespin.io/api/v1/storyboard/3cd320dd9fcd4445a86f756e25d0402e/storyboard_000008.jpg" TargetMode="External" Id="rId23"/><Relationship Type="http://schemas.openxmlformats.org/officeDocument/2006/relationships/hyperlink" Target="https://www.lovethework.com/work/entries/coffin-765342" TargetMode="External" Id="rId24"/><Relationship Type="http://schemas.openxmlformats.org/officeDocument/2006/relationships/hyperlink" Target="https://www.lovethework.com/work/entries/renault-argentina-765345" TargetMode="External" Id="rId25"/><Relationship Type="http://schemas.openxmlformats.org/officeDocument/2006/relationships/hyperlink" Target="https://ascentialcdn.filespin.io/api/v1/storyboard/7819511744634f7a81824e1b2a278ae1/storyboard_000008.jpg" TargetMode="External" Id="rId26"/><Relationship Type="http://schemas.openxmlformats.org/officeDocument/2006/relationships/hyperlink" Target="https://www.lovethework.com/work/entries/aap-rocky-tailor-swif-765343" TargetMode="External" Id="rId27"/><Relationship Type="http://schemas.openxmlformats.org/officeDocument/2006/relationships/hyperlink" Target="https://www.lovethework.com/work/entries/believe-in-chicken-765320" TargetMode="External" Id="rId28"/><Relationship Type="http://schemas.openxmlformats.org/officeDocument/2006/relationships/hyperlink" Target="https://www.lovethework.com/work/entries/flock-765363" TargetMode="External" Id="rId29"/><Relationship Type="http://schemas.openxmlformats.org/officeDocument/2006/relationships/hyperlink" Target="https://ascentialcdn.filespin.io/api/v1/storyboard/99b51143eb5a45779617eee2310c73e0/storyboard_000008.jpg" TargetMode="External" Id="rId30"/><Relationship Type="http://schemas.openxmlformats.org/officeDocument/2006/relationships/hyperlink" Target="https://www.lovethework.com/work/entries/everything-or-nothing-765340" TargetMode="External" Id="rId31"/><Relationship Type="http://schemas.openxmlformats.org/officeDocument/2006/relationships/hyperlink" Target="https://www.lovethework.com/work/entries/never-just-a-period-765319" TargetMode="External" Id="rId32"/><Relationship Type="http://schemas.openxmlformats.org/officeDocument/2006/relationships/hyperlink" Target="https://www.lovethework.com/work/entries/18-months-765335" TargetMode="External" Id="rId33"/><Relationship Type="http://schemas.openxmlformats.org/officeDocument/2006/relationships/hyperlink" Target="https://www.lovethework.com/work/entries/the-shooting-765350" TargetMode="External" Id="rId34"/><Relationship Type="http://schemas.openxmlformats.org/officeDocument/2006/relationships/hyperlink" Target="https://www.lovethework.com/work/entries/a-tale-as-old-as-websites-765338" TargetMode="External" Id="rId35"/><Relationship Type="http://schemas.openxmlformats.org/officeDocument/2006/relationships/hyperlink" Target="https://www.lovethework.com/work/entries/with-love-italy-765329" TargetMode="External" Id="rId36"/><Relationship Type="http://schemas.openxmlformats.org/officeDocument/2006/relationships/hyperlink" Target="https://www.lovethework.com/work/entries/obsession-765355" TargetMode="External" Id="rId37"/><Relationship Type="http://schemas.openxmlformats.org/officeDocument/2006/relationships/hyperlink" Target="https://www.lovethework.com/work/entries/submerged-765360" TargetMode="External" Id="rId38"/><Relationship Type="http://schemas.openxmlformats.org/officeDocument/2006/relationships/hyperlink" Target="https://www.lovethework.com/work/entries/kfc-believe-in-chicken-765358" TargetMode="External" Id="rId39"/><Relationship Type="http://schemas.openxmlformats.org/officeDocument/2006/relationships/hyperlink" Target="https://ascentialcdn.filespin.io/api/v1/storyboard/78d81508b5494a40bba8366f2f62eed1/storyboard_000008.jpg" TargetMode="External" Id="rId40"/><Relationship Type="http://schemas.openxmlformats.org/officeDocument/2006/relationships/hyperlink" Target="https://www.lovethework.com/work/entries/name-the-bias-765351" TargetMode="External" Id="rId41"/><Relationship Type="http://schemas.openxmlformats.org/officeDocument/2006/relationships/hyperlink" Target="https://www.lovethework.com/work/entries/fight-for-thais-gut-765333" TargetMode="External" Id="rId42"/><Relationship Type="http://schemas.openxmlformats.org/officeDocument/2006/relationships/hyperlink" Target="https://ascentialcdn.filespin.io/api/v1/storyboard/9e327b1cbb6d4295ae6a602857eb395c/storyboard_000008.jpg" TargetMode="External" Id="rId43"/><Relationship Type="http://schemas.openxmlformats.org/officeDocument/2006/relationships/hyperlink" Target="https://www.lovethework.com/work/entries/when-youve-done-enough-evild-enough-765334" TargetMode="External" Id="rId44"/><Relationship Type="http://schemas.openxmlformats.org/officeDocument/2006/relationships/hyperlink" Target="https://www.lovethework.com/work/entries/the-final-copy-of-ilon-specht-765362" TargetMode="External" Id="rId45"/><Relationship Type="http://schemas.openxmlformats.org/officeDocument/2006/relationships/hyperlink" Target="https://www.lovethework.com/work/entries/my-gut-friend-765361" TargetMode="External" Id="rId46"/><Relationship Type="http://schemas.openxmlformats.org/officeDocument/2006/relationships/hyperlink" Target="https://www.lovethework.com/work/entries/the-count-765359" TargetMode="External" Id="rId47"/><Relationship Type="http://schemas.openxmlformats.org/officeDocument/2006/relationships/hyperlink" Target="https://ascentialcdn.filespin.io/api/v1/storyboard/2ca4ed7308854564b83b1093ffa844c6/storyboard_000008.jpg" TargetMode="External" Id="rId48"/><Relationship Type="http://schemas.openxmlformats.org/officeDocument/2006/relationships/hyperlink" Target="https://www.lovethework.com/work/entries/wake-up-765330" TargetMode="External" Id="rId49"/><Relationship Type="http://schemas.openxmlformats.org/officeDocument/2006/relationships/hyperlink" Target="https://www.lovethework.com/work/entries/the-cause-of-the-accident-that-started-the-fire-765352" TargetMode="External" Id="rId50"/><Relationship Type="http://schemas.openxmlformats.org/officeDocument/2006/relationships/hyperlink" Target="https://ascentialcdn.filespin.io/api/v1/storyboard/866619c424b04e07b3de2b867203b5ba/storyboard_000008.jpg" TargetMode="External" Id="rId51"/><Relationship Type="http://schemas.openxmlformats.org/officeDocument/2006/relationships/hyperlink" Target="https://www.lovethework.com/work/entries/severance-s2-opening-title-765337" TargetMode="External" Id="rId52"/><Relationship Type="http://schemas.openxmlformats.org/officeDocument/2006/relationships/hyperlink" Target="https://www.lovethework.com/work/entries/considering-what-765318" TargetMode="External" Id="rId53"/><Relationship Type="http://schemas.openxmlformats.org/officeDocument/2006/relationships/hyperlink" Target="https://www.lovethework.com/work/entries/am-i-a-bad-person-765348" TargetMode="External" Id="rId54"/><Relationship Type="http://schemas.openxmlformats.org/officeDocument/2006/relationships/hyperlink" Target="https://ascentialcdn.filespin.io/api/v1/storyboard/3cd320dd9fcd4445a86f756e25d0402e/storyboard_000008.jpg" TargetMode="External" Id="rId55"/><Relationship Type="http://schemas.openxmlformats.org/officeDocument/2006/relationships/hyperlink" Target="https://www.lovethework.com/work/entries/coffin-765325" TargetMode="External" Id="rId56"/><Relationship Type="http://schemas.openxmlformats.org/officeDocument/2006/relationships/hyperlink" Target="https://ascentialcdn.filespin.io/api/v1/storyboard/2ca4ed7308854564b83b1093ffa844c6/storyboard_000008.jpg" TargetMode="External" Id="rId57"/><Relationship Type="http://schemas.openxmlformats.org/officeDocument/2006/relationships/hyperlink" Target="https://www.lovethework.com/work/entries/wake-up-765330" TargetMode="External" Id="rId58"/><Relationship Type="http://schemas.openxmlformats.org/officeDocument/2006/relationships/hyperlink" Target="https://ascentialcdn.filespin.io/api/v1/storyboard/59dfce8e4864466c943faa12518ff439/storyboard_000008.jpg" TargetMode="External" Id="rId59"/><Relationship Type="http://schemas.openxmlformats.org/officeDocument/2006/relationships/hyperlink" Target="https://www.lovethework.com/work/entries/the-shoemaker-765339" TargetMode="External" Id="rId60"/><Relationship Type="http://schemas.openxmlformats.org/officeDocument/2006/relationships/hyperlink" Target="https://www.lovethework.com/work/entries/brian-cox-goes-to-college-765323" TargetMode="External" Id="rId61"/><Relationship Type="http://schemas.openxmlformats.org/officeDocument/2006/relationships/hyperlink" Target="https://ascentialcdn.filespin.io/api/v1/storyboard/40b05878898a453cab28d1b5cee5db91/storyboard_000008.jpg" TargetMode="External" Id="rId62"/><Relationship Type="http://schemas.openxmlformats.org/officeDocument/2006/relationships/hyperlink" Target="https://www.lovethework.com/work/entries/the-journey-765327" TargetMode="External" Id="rId63"/><Relationship Type="http://schemas.openxmlformats.org/officeDocument/2006/relationships/hyperlink" Target="https://ascentialcdn.filespin.io/api/v1/storyboard/a7d2b86e8d154d35bb56d32c7d6f43ca/storyboard_000008.jpg" TargetMode="External" Id="rId64"/><Relationship Type="http://schemas.openxmlformats.org/officeDocument/2006/relationships/hyperlink" Target="https://www.lovethework.com/work/entries/walrus-whizzer-765353" TargetMode="External" Id="rId65"/></Relationships>
</file>

<file path=xl/worksheets/_rels/sheet9.xml.rels><Relationships xmlns="http://schemas.openxmlformats.org/package/2006/relationships"><Relationship Type="http://schemas.openxmlformats.org/officeDocument/2006/relationships/hyperlink" Target="https://ascentialcdn.filespin.io/api/v1/conversion/bf5407e59cfa412f991854f10cadc2f2" TargetMode="External" Id="rId1"/><Relationship Type="http://schemas.openxmlformats.org/officeDocument/2006/relationships/hyperlink" Target="https://www.lovethework.com/work/entries/nigrum-corpus-755517" TargetMode="External" Id="rId2"/><Relationship Type="http://schemas.openxmlformats.org/officeDocument/2006/relationships/hyperlink" Target="https://ascentialcdn.filespin.io/api/v1/conversion/49a6511e16b04d3a992e7af24cead47a" TargetMode="External" Id="rId3"/><Relationship Type="http://schemas.openxmlformats.org/officeDocument/2006/relationships/hyperlink" Target="https://www.lovethework.com/work/entries/project-4270-755469" TargetMode="External" Id="rId4"/><Relationship Type="http://schemas.openxmlformats.org/officeDocument/2006/relationships/hyperlink" Target="https://ascentialcdn.filespin.io/api/v1/conversion/0d649f054bbc45eb8338454f58477357" TargetMode="External" Id="rId5"/><Relationship Type="http://schemas.openxmlformats.org/officeDocument/2006/relationships/hyperlink" Target="https://www.lovethework.com/work/entries/eye-scan-755297" TargetMode="External" Id="rId6"/><Relationship Type="http://schemas.openxmlformats.org/officeDocument/2006/relationships/hyperlink" Target="https://www.lovethework.com/work/entries/eye-test-755288" TargetMode="External" Id="rId7"/><Relationship Type="http://schemas.openxmlformats.org/officeDocument/2006/relationships/hyperlink" Target="https://ascentialcdn.filespin.io/api/v1/conversion/1414d4463a6843cf997e70a4225294ad" TargetMode="External" Id="rId8"/><Relationship Type="http://schemas.openxmlformats.org/officeDocument/2006/relationships/hyperlink" Target="https://www.lovethework.com/work/entries/eyecare-755309" TargetMode="External" Id="rId9"/><Relationship Type="http://schemas.openxmlformats.org/officeDocument/2006/relationships/hyperlink" Target="https://ascentialcdn.filespin.io/api/v1/conversion/3550c1fc27e344ca95537ef31e739800" TargetMode="External" Id="rId10"/><Relationship Type="http://schemas.openxmlformats.org/officeDocument/2006/relationships/hyperlink" Target="https://www.lovethework.com/work/entries/winning-isnt-comfortable-755643" TargetMode="External" Id="rId11"/><Relationship Type="http://schemas.openxmlformats.org/officeDocument/2006/relationships/hyperlink" Target="https://ascentialcdn.filespin.io/api/v1/conversion/298920c22d6d4405bd030b3c48358045" TargetMode="External" Id="rId12"/><Relationship Type="http://schemas.openxmlformats.org/officeDocument/2006/relationships/hyperlink" Target="https://www.lovethework.com/work/entries/no-labels-755428" TargetMode="External" Id="rId13"/><Relationship Type="http://schemas.openxmlformats.org/officeDocument/2006/relationships/hyperlink" Target="https://ascentialcdn.filespin.io/api/v1/conversion/45b82704ea3c485b85b739da362c39ed" TargetMode="External" Id="rId14"/><Relationship Type="http://schemas.openxmlformats.org/officeDocument/2006/relationships/hyperlink" Target="https://www.lovethework.com/work/entries/the-philharmonic-prints-foyer-windows-1st-floor-762038" TargetMode="External" Id="rId15"/><Relationship Type="http://schemas.openxmlformats.org/officeDocument/2006/relationships/hyperlink" Target="https://ascentialcdn.filespin.io/api/v1/conversion/45acab20ec964b83b71a1ef010683ff4" TargetMode="External" Id="rId16"/><Relationship Type="http://schemas.openxmlformats.org/officeDocument/2006/relationships/hyperlink" Target="https://www.lovethework.com/work/entries/moctezuma-cement-reimagined-in-mexico-762817" TargetMode="External" Id="rId17"/><Relationship Type="http://schemas.openxmlformats.org/officeDocument/2006/relationships/hyperlink" Target="https://ascentialcdn.filespin.io/api/v1/conversion/d08dfedd3b1440c495f9825ba37be9ee" TargetMode="External" Id="rId18"/><Relationship Type="http://schemas.openxmlformats.org/officeDocument/2006/relationships/hyperlink" Target="https://www.lovethework.com/work/entries/designing-paris-2024-755182" TargetMode="External" Id="rId19"/><Relationship Type="http://schemas.openxmlformats.org/officeDocument/2006/relationships/hyperlink" Target="https://ascentialcdn.filespin.io/api/v1/conversion/e8adc13b9108423d81f397fa0733aba6" TargetMode="External" Id="rId20"/><Relationship Type="http://schemas.openxmlformats.org/officeDocument/2006/relationships/hyperlink" Target="https://www.lovethework.com/work/entries/made-to-share-764634" TargetMode="External" Id="rId21"/><Relationship Type="http://schemas.openxmlformats.org/officeDocument/2006/relationships/hyperlink" Target="https://ascentialcdn.filespin.io/api/v1/conversion/afbd21854dee4741933864bfb260b620" TargetMode="External" Id="rId22"/><Relationship Type="http://schemas.openxmlformats.org/officeDocument/2006/relationships/hyperlink" Target="https://www.lovethework.com/work/entries/you-must-be-human-764585" TargetMode="External" Id="rId23"/><Relationship Type="http://schemas.openxmlformats.org/officeDocument/2006/relationships/hyperlink" Target="https://ascentialcdn.filespin.io/api/v1/conversion/9ae725d9e1774872a4971b3b6e62fbbb" TargetMode="External" Id="rId24"/><Relationship Type="http://schemas.openxmlformats.org/officeDocument/2006/relationships/hyperlink" Target="https://www.lovethework.com/work/entries/60-years-of-film-761969" TargetMode="External" Id="rId25"/><Relationship Type="http://schemas.openxmlformats.org/officeDocument/2006/relationships/hyperlink" Target="https://ascentialcdn.filespin.io/api/v1/conversion/f59ad983232a4d4185656043a643b86d" TargetMode="External" Id="rId26"/><Relationship Type="http://schemas.openxmlformats.org/officeDocument/2006/relationships/hyperlink" Target="https://www.lovethework.com/work/entries/the-philharmonic-prints-stage-floor-great-hall-762059" TargetMode="External" Id="rId27"/><Relationship Type="http://schemas.openxmlformats.org/officeDocument/2006/relationships/hyperlink" Target="https://ascentialcdn.filespin.io/api/v1/conversion/3a177c8b37754037a19ddf0d99c858db" TargetMode="External" Id="rId28"/><Relationship Type="http://schemas.openxmlformats.org/officeDocument/2006/relationships/hyperlink" Target="https://www.lovethework.com/work/entries/boat-764631" TargetMode="External" Id="rId29"/><Relationship Type="http://schemas.openxmlformats.org/officeDocument/2006/relationships/hyperlink" Target="https://ascentialcdn.filespin.io/api/v1/conversion/a33c9462c05d4330895b056745b6a602" TargetMode="External" Id="rId30"/><Relationship Type="http://schemas.openxmlformats.org/officeDocument/2006/relationships/hyperlink" Target="https://www.lovethework.com/work/entries/protector-of-the-chalice-755403" TargetMode="External" Id="rId31"/><Relationship Type="http://schemas.openxmlformats.org/officeDocument/2006/relationships/hyperlink" Target="https://ascentialcdn.filespin.io/api/v1/conversion/bddc09c58f164186b2e60a6ff81be5d1" TargetMode="External" Id="rId32"/><Relationship Type="http://schemas.openxmlformats.org/officeDocument/2006/relationships/hyperlink" Target="https://www.lovethework.com/work/entries/winis-font-763701" TargetMode="External" Id="rId33"/><Relationship Type="http://schemas.openxmlformats.org/officeDocument/2006/relationships/hyperlink" Target="https://ascentialcdn.filespin.io/api/v1/conversion/8f5ea045b19848018f457f855087bd79" TargetMode="External" Id="rId34"/><Relationship Type="http://schemas.openxmlformats.org/officeDocument/2006/relationships/hyperlink" Target="https://www.lovethework.com/work/entries/855-how-to-quit-opioids-755234" TargetMode="External" Id="rId35"/><Relationship Type="http://schemas.openxmlformats.org/officeDocument/2006/relationships/hyperlink" Target="https://www.lovethework.com/work/entries/make-love-last-living-room-755540" TargetMode="External" Id="rId36"/><Relationship Type="http://schemas.openxmlformats.org/officeDocument/2006/relationships/hyperlink" Target="https://ascentialcdn.filespin.io/api/v1/conversion/5e0c4fda3f3d4bc2ad2e0d8b2247d936" TargetMode="External" Id="rId37"/><Relationship Type="http://schemas.openxmlformats.org/officeDocument/2006/relationships/hyperlink" Target="https://www.lovethework.com/work/entries/the-shining-755543" TargetMode="External" Id="rId38"/><Relationship Type="http://schemas.openxmlformats.org/officeDocument/2006/relationships/hyperlink" Target="https://ascentialcdn.filespin.io/api/v1/conversion/c1c1d7e736414c30b0c7dd8125ee00de" TargetMode="External" Id="rId39"/><Relationship Type="http://schemas.openxmlformats.org/officeDocument/2006/relationships/hyperlink" Target="https://www.lovethework.com/work/entries/make-love-last-bedroom-755520" TargetMode="External" Id="rId40"/><Relationship Type="http://schemas.openxmlformats.org/officeDocument/2006/relationships/hyperlink" Target="https://ascentialcdn.filespin.io/api/v1/conversion/eb513fac29984db2811524e932026062" TargetMode="External" Id="rId41"/><Relationship Type="http://schemas.openxmlformats.org/officeDocument/2006/relationships/hyperlink" Target="https://www.lovethework.com/work/entries/tennessee-sound-sites-755571" TargetMode="External" Id="rId42"/><Relationship Type="http://schemas.openxmlformats.org/officeDocument/2006/relationships/hyperlink" Target="https://ascentialcdn.filespin.io/api/v1/conversion/9ceaf650a007496f90b6d5670786b4df" TargetMode="External" Id="rId43"/><Relationship Type="http://schemas.openxmlformats.org/officeDocument/2006/relationships/hyperlink" Target="https://www.lovethework.com/work/entries/surfer-764652" TargetMode="External" Id="rId44"/><Relationship Type="http://schemas.openxmlformats.org/officeDocument/2006/relationships/hyperlink" Target="https://ascentialcdn.filespin.io/api/v1/conversion/e7e539cb5808438292eda4ab47fb950f" TargetMode="External" Id="rId45"/><Relationship Type="http://schemas.openxmlformats.org/officeDocument/2006/relationships/hyperlink" Target="https://www.lovethework.com/work/entries/extreme-metaphors-755369" TargetMode="External" Id="rId46"/><Relationship Type="http://schemas.openxmlformats.org/officeDocument/2006/relationships/hyperlink" Target="https://ascentialcdn.filespin.io/api/v1/conversion/9c2384ef085943848ac188cd6d5d9a43" TargetMode="External" Id="rId47"/><Relationship Type="http://schemas.openxmlformats.org/officeDocument/2006/relationships/hyperlink" Target="https://www.lovethework.com/work/entries/a-house-for-mr-biswas-755553" TargetMode="External" Id="rId48"/><Relationship Type="http://schemas.openxmlformats.org/officeDocument/2006/relationships/hyperlink" Target="https://ascentialcdn.filespin.io/api/v1/conversion/35c567148f6e40e1a267849bde62ba92" TargetMode="External" Id="rId49"/><Relationship Type="http://schemas.openxmlformats.org/officeDocument/2006/relationships/hyperlink" Target="https://www.lovethework.com/work/entries/waves-764642" TargetMode="External" Id="rId50"/><Relationship Type="http://schemas.openxmlformats.org/officeDocument/2006/relationships/hyperlink" Target="https://ascentialcdn.filespin.io/api/v1/conversion/9614d02c7bc4416ba1536c73770f5d8e" TargetMode="External" Id="rId51"/><Relationship Type="http://schemas.openxmlformats.org/officeDocument/2006/relationships/hyperlink" Target="https://www.lovethework.com/work/entries/flags-of-unity-755285" TargetMode="External" Id="rId52"/><Relationship Type="http://schemas.openxmlformats.org/officeDocument/2006/relationships/hyperlink" Target="https://www.lovethework.com/work/entries/the-shakespeare-bic-755424" TargetMode="External" Id="rId53"/><Relationship Type="http://schemas.openxmlformats.org/officeDocument/2006/relationships/hyperlink" Target="https://www.lovethework.com/work/entries/winter-takes-on-colors-755528" TargetMode="External" Id="rId54"/><Relationship Type="http://schemas.openxmlformats.org/officeDocument/2006/relationships/hyperlink" Target="https://ascentialcdn.filespin.io/api/v1/conversion/882ea591b6fa40b29a529180b71afa65" TargetMode="External" Id="rId55"/><Relationship Type="http://schemas.openxmlformats.org/officeDocument/2006/relationships/hyperlink" Target="https://www.lovethework.com/work/entries/happiness-within-chaos-755413" TargetMode="External" Id="rId56"/></Relationships>
</file>

<file path=xl/worksheets/_rels/sheet10.xml.rels><Relationships xmlns="http://schemas.openxmlformats.org/package/2006/relationships"><Relationship Type="http://schemas.openxmlformats.org/officeDocument/2006/relationships/hyperlink" Target="https://ascentialcdn.filespin.io/api/v1/conversion/f0ac3195ac904c3daf13ae2ee67cc31a" TargetMode="External" Id="rId1"/><Relationship Type="http://schemas.openxmlformats.org/officeDocument/2006/relationships/hyperlink" Target="https://www.lovethework.com/work/entries/b2b-act-like-you-know-758347" TargetMode="External" Id="rId2"/><Relationship Type="http://schemas.openxmlformats.org/officeDocument/2006/relationships/hyperlink" Target="https://ascentialcdn.filespin.io/api/v1/conversion/bccb982c43f84748a1973b909b5863d3" TargetMode="External" Id="rId3"/><Relationship Type="http://schemas.openxmlformats.org/officeDocument/2006/relationships/hyperlink" Target="https://www.lovethework.com/work/entries/still-open-758077" TargetMode="External" Id="rId4"/><Relationship Type="http://schemas.openxmlformats.org/officeDocument/2006/relationships/hyperlink" Target="https://ascentialcdn.filespin.io/api/v1/conversion/f8592ba04ed4495d8a51757d790e8679" TargetMode="External" Id="rId5"/><Relationship Type="http://schemas.openxmlformats.org/officeDocument/2006/relationships/hyperlink" Target="https://www.lovethework.com/work/entries/renault-unpatent-757993" TargetMode="External" Id="rId6"/><Relationship Type="http://schemas.openxmlformats.org/officeDocument/2006/relationships/hyperlink" Target="https://ascentialcdn.filespin.io/api/v1/conversion/06ac79ad1b9840bdb3df3269a42d0933" TargetMode="External" Id="rId7"/><Relationship Type="http://schemas.openxmlformats.org/officeDocument/2006/relationships/hyperlink" Target="https://www.lovethework.com/work/entries/recipe-for-growth-757969" TargetMode="External" Id="rId8"/><Relationship Type="http://schemas.openxmlformats.org/officeDocument/2006/relationships/hyperlink" Target="https://ascentialcdn.filespin.io/api/v1/conversion/5de4650ab9f34ebb8ad0ea4f4bc6b8b5" TargetMode="External" Id="rId9"/><Relationship Type="http://schemas.openxmlformats.org/officeDocument/2006/relationships/hyperlink" Target="https://www.lovethework.com/work/entries/estibadores-759626" TargetMode="External" Id="rId10"/><Relationship Type="http://schemas.openxmlformats.org/officeDocument/2006/relationships/hyperlink" Target="https://ascentialcdn.filespin.io/api/v1/conversion/859a375f4fc94040a6d0deeea1586fae" TargetMode="External" Id="rId11"/><Relationship Type="http://schemas.openxmlformats.org/officeDocument/2006/relationships/hyperlink" Target="https://www.lovethework.com/work/entries/the-desk-break-clause-758238" TargetMode="External" Id="rId12"/><Relationship Type="http://schemas.openxmlformats.org/officeDocument/2006/relationships/hyperlink" Target="https://ascentialcdn.filespin.io/api/v1/conversion/4c7f3fc5e9e844a883cf1d4bc94c9d58" TargetMode="External" Id="rId13"/><Relationship Type="http://schemas.openxmlformats.org/officeDocument/2006/relationships/hyperlink" Target="https://www.lovethework.com/work/entries/animal-alerts-757967" TargetMode="External" Id="rId14"/><Relationship Type="http://schemas.openxmlformats.org/officeDocument/2006/relationships/hyperlink" Target="https://ascentialcdn.filespin.io/api/v1/conversion/84fdb68c2d894cd581682c863718054b" TargetMode="External" Id="rId15"/><Relationship Type="http://schemas.openxmlformats.org/officeDocument/2006/relationships/hyperlink" Target="https://www.lovethework.com/work/entries/nescaf-plantlets-for-future-758004" TargetMode="External" Id="rId16"/><Relationship Type="http://schemas.openxmlformats.org/officeDocument/2006/relationships/hyperlink" Target="https://ascentialcdn.filespin.io/api/v1/conversion/8cee05632e994496abdaa28c9c780583" TargetMode="External" Id="rId17"/><Relationship Type="http://schemas.openxmlformats.org/officeDocument/2006/relationships/hyperlink" Target="https://www.lovethework.com/work/entries/caption-with-intention-757997" TargetMode="External" Id="rId18"/><Relationship Type="http://schemas.openxmlformats.org/officeDocument/2006/relationships/hyperlink" Target="https://ascentialcdn.filespin.io/api/v1/conversion/31d78640c4d74a57a9568f3c2153d239" TargetMode="External" Id="rId19"/><Relationship Type="http://schemas.openxmlformats.org/officeDocument/2006/relationships/hyperlink" Target="https://www.lovethework.com/work/entries/everybodys-business-760029" TargetMode="External" Id="rId20"/><Relationship Type="http://schemas.openxmlformats.org/officeDocument/2006/relationships/hyperlink" Target="https://ascentialcdn.filespin.io/api/v1/conversion/8223f25b769b40e3b665c4ec19e2e12c" TargetMode="External" Id="rId21"/><Relationship Type="http://schemas.openxmlformats.org/officeDocument/2006/relationships/hyperlink" Target="https://www.lovethework.com/work/entries/preserved-promos-758130" TargetMode="External" Id="rId22"/><Relationship Type="http://schemas.openxmlformats.org/officeDocument/2006/relationships/hyperlink" Target="https://ascentialcdn.filespin.io/api/v1/conversion/6544f095e71a47a39d27334e2404e951" TargetMode="External" Id="rId23"/><Relationship Type="http://schemas.openxmlformats.org/officeDocument/2006/relationships/hyperlink" Target="https://www.lovethework.com/work/entries/starring-bars-757826" TargetMode="External" Id="rId24"/><Relationship Type="http://schemas.openxmlformats.org/officeDocument/2006/relationships/hyperlink" Target="https://ascentialcdn.filespin.io/api/v1/conversion/47493919a45c464ca5a8228f83685d83" TargetMode="External" Id="rId25"/><Relationship Type="http://schemas.openxmlformats.org/officeDocument/2006/relationships/hyperlink" Target="https://www.lovethework.com/work/entries/recipe-for-change-758056" TargetMode="External" Id="rId26"/></Relationships>
</file>

<file path=xl/worksheets/_rels/sheet11.xml.rels><Relationships xmlns="http://schemas.openxmlformats.org/package/2006/relationships"><Relationship Type="http://schemas.openxmlformats.org/officeDocument/2006/relationships/hyperlink" Target="https://ascentialcdn.filespin.io/api/v1/conversion/237ade5924eb407898bf58d19f58a52a" TargetMode="External" Id="rId1"/><Relationship Type="http://schemas.openxmlformats.org/officeDocument/2006/relationships/hyperlink" Target="https://www.lovethework.com/work/entries/ikea-hidden-tags-753885" TargetMode="External" Id="rId2"/><Relationship Type="http://schemas.openxmlformats.org/officeDocument/2006/relationships/hyperlink" Target="https://ascentialcdn.filespin.io/api/v1/conversion/e23ba1fc24004021856268a0ee6b44d9" TargetMode="External" Id="rId3"/><Relationship Type="http://schemas.openxmlformats.org/officeDocument/2006/relationships/hyperlink" Target="https://www.lovethework.com/work/entries/sato-2531-754250" TargetMode="External" Id="rId4"/><Relationship Type="http://schemas.openxmlformats.org/officeDocument/2006/relationships/hyperlink" Target="https://ascentialcdn.filespin.io/api/v1/conversion/a8a20a31dcb844ebad5ef04afca8370b" TargetMode="External" Id="rId5"/><Relationship Type="http://schemas.openxmlformats.org/officeDocument/2006/relationships/hyperlink" Target="https://www.lovethework.com/work/entries/acko-tailor-test-754081" TargetMode="External" Id="rId6"/><Relationship Type="http://schemas.openxmlformats.org/officeDocument/2006/relationships/hyperlink" Target="https://ascentialcdn.filespin.io/api/v1/conversion/64d76bdbc8f54be7a59e700d5332b2a6" TargetMode="External" Id="rId7"/><Relationship Type="http://schemas.openxmlformats.org/officeDocument/2006/relationships/hyperlink" Target="https://www.lovethework.com/work/entries/elf-beauty-so-many-dicks-753999" TargetMode="External" Id="rId8"/><Relationship Type="http://schemas.openxmlformats.org/officeDocument/2006/relationships/hyperlink" Target="https://ascentialcdn.filespin.io/api/v1/conversion/d3b1ef914a9640f7b0b0389b64d37fd2" TargetMode="External" Id="rId9"/><Relationship Type="http://schemas.openxmlformats.org/officeDocument/2006/relationships/hyperlink" Target="https://www.lovethework.com/work/entries/drops-of-hope-753816" TargetMode="External" Id="rId10"/><Relationship Type="http://schemas.openxmlformats.org/officeDocument/2006/relationships/hyperlink" Target="https://ascentialcdn.filespin.io/api/v1/conversion/dc840a1ede4e49ceba65f229ae4ced69" TargetMode="External" Id="rId11"/><Relationship Type="http://schemas.openxmlformats.org/officeDocument/2006/relationships/hyperlink" Target="https://www.lovethework.com/work/entries/health-tracker-754213" TargetMode="External" Id="rId12"/><Relationship Type="http://schemas.openxmlformats.org/officeDocument/2006/relationships/hyperlink" Target="https://ascentialcdn.filespin.io/api/v1/conversion/e94bf22aa9464e848abb53d498481dc1" TargetMode="External" Id="rId13"/><Relationship Type="http://schemas.openxmlformats.org/officeDocument/2006/relationships/hyperlink" Target="https://www.lovethework.com/work/entries/streetnav-754079" TargetMode="External" Id="rId14"/><Relationship Type="http://schemas.openxmlformats.org/officeDocument/2006/relationships/hyperlink" Target="https://ascentialcdn.filespin.io/api/v1/conversion/cfd7900b28e941bc9f0945581daf896f" TargetMode="External" Id="rId15"/><Relationship Type="http://schemas.openxmlformats.org/officeDocument/2006/relationships/hyperlink" Target="https://www.lovethework.com/work/entries/pixvertising-761869" TargetMode="External" Id="rId16"/><Relationship Type="http://schemas.openxmlformats.org/officeDocument/2006/relationships/hyperlink" Target="https://ascentialcdn.filespin.io/api/v1/conversion/8f27d4982c9f44a0ae99fa41531bda8e" TargetMode="External" Id="rId17"/><Relationship Type="http://schemas.openxmlformats.org/officeDocument/2006/relationships/hyperlink" Target="https://www.lovethework.com/work/entries/the-amazon-greenventory-754084" TargetMode="External" Id="rId18"/><Relationship Type="http://schemas.openxmlformats.org/officeDocument/2006/relationships/hyperlink" Target="https://ascentialcdn.filespin.io/api/v1/conversion/73ea0e639f6747c68cf8460abe2f02bb" TargetMode="External" Id="rId19"/><Relationship Type="http://schemas.openxmlformats.org/officeDocument/2006/relationships/hyperlink" Target="https://www.lovethework.com/work/entries/breastmilk-money-754148" TargetMode="External" Id="rId20"/><Relationship Type="http://schemas.openxmlformats.org/officeDocument/2006/relationships/hyperlink" Target="https://ascentialcdn.filespin.io/api/v1/conversion/06ac79ad1b9840bdb3df3269a42d0933" TargetMode="External" Id="rId21"/><Relationship Type="http://schemas.openxmlformats.org/officeDocument/2006/relationships/hyperlink" Target="https://www.lovethework.com/work/entries/recipe-for-growth-754115" TargetMode="External" Id="rId22"/><Relationship Type="http://schemas.openxmlformats.org/officeDocument/2006/relationships/hyperlink" Target="https://ascentialcdn.filespin.io/api/v1/conversion/6fbd1db8f0384e92b6c363cfc1ba9bec" TargetMode="External" Id="rId23"/><Relationship Type="http://schemas.openxmlformats.org/officeDocument/2006/relationships/hyperlink" Target="https://www.lovethework.com/work/entries/disconnect-753762" TargetMode="External" Id="rId24"/><Relationship Type="http://schemas.openxmlformats.org/officeDocument/2006/relationships/hyperlink" Target="https://ascentialcdn.filespin.io/api/v1/conversion/237ade5924eb407898bf58d19f58a52a" TargetMode="External" Id="rId25"/><Relationship Type="http://schemas.openxmlformats.org/officeDocument/2006/relationships/hyperlink" Target="https://www.lovethework.com/work/entries/ikea-hidden-tags-754342" TargetMode="External" Id="rId26"/><Relationship Type="http://schemas.openxmlformats.org/officeDocument/2006/relationships/hyperlink" Target="https://ascentialcdn.filespin.io/api/v1/conversion/32d357cad3624b9489965e9886948447" TargetMode="External" Id="rId27"/><Relationship Type="http://schemas.openxmlformats.org/officeDocument/2006/relationships/hyperlink" Target="https://www.lovethework.com/work/entries/the-missing-portraits-754176" TargetMode="External" Id="rId28"/><Relationship Type="http://schemas.openxmlformats.org/officeDocument/2006/relationships/hyperlink" Target="https://ascentialcdn.filespin.io/api/v1/conversion/d4f1b0f66c5e4ae7ad17037a6aa198f7" TargetMode="External" Id="rId29"/><Relationship Type="http://schemas.openxmlformats.org/officeDocument/2006/relationships/hyperlink" Target="https://www.lovethework.com/work/entries/life-donor-card-759724" TargetMode="External" Id="rId30"/><Relationship Type="http://schemas.openxmlformats.org/officeDocument/2006/relationships/hyperlink" Target="https://ascentialcdn.filespin.io/api/v1/conversion/baf91a99fe954d17a2d2b48558a76a34" TargetMode="External" Id="rId31"/><Relationship Type="http://schemas.openxmlformats.org/officeDocument/2006/relationships/hyperlink" Target="https://www.lovethework.com/work/entries/humanimal-tourism-753838" TargetMode="External" Id="rId32"/><Relationship Type="http://schemas.openxmlformats.org/officeDocument/2006/relationships/hyperlink" Target="https://ascentialcdn.filespin.io/api/v1/conversion/f79ebb4926094729b16cf44d9e9f7d4f" TargetMode="External" Id="rId33"/><Relationship Type="http://schemas.openxmlformats.org/officeDocument/2006/relationships/hyperlink" Target="https://www.lovethework.com/work/entries/the-social-feed-753950" TargetMode="External" Id="rId34"/></Relationships>
</file>

<file path=xl/worksheets/_rels/sheet12.xml.rels><Relationships xmlns="http://schemas.openxmlformats.org/package/2006/relationships"><Relationship Type="http://schemas.openxmlformats.org/officeDocument/2006/relationships/hyperlink" Target="https://ascentialcdn.filespin.io/api/v1/conversion/e1a85ff134e545c7b049791151432028" TargetMode="External" Id="rId1"/><Relationship Type="http://schemas.openxmlformats.org/officeDocument/2006/relationships/hyperlink" Target="https://www.lovethework.com/work/entries/axa-three-words-744768" TargetMode="External" Id="rId2"/><Relationship Type="http://schemas.openxmlformats.org/officeDocument/2006/relationships/hyperlink" Target="https://ascentialcdn.filespin.io/api/v1/conversion/b99de0a05bc54707b1426d24706b518b" TargetMode="External" Id="rId3"/><Relationship Type="http://schemas.openxmlformats.org/officeDocument/2006/relationships/hyperlink" Target="https://www.lovethework.com/work/entries/coupon-rain-758980" TargetMode="External" Id="rId4"/><Relationship Type="http://schemas.openxmlformats.org/officeDocument/2006/relationships/hyperlink" Target="https://ascentialcdn.filespin.io/api/v1/conversion/1d6f8cfcad1b47c9beaa5f403844ec8a" TargetMode="External" Id="rId5"/><Relationship Type="http://schemas.openxmlformats.org/officeDocument/2006/relationships/hyperlink" Target="https://www.lovethework.com/work/entries/u-up-744634" TargetMode="External" Id="rId6"/><Relationship Type="http://schemas.openxmlformats.org/officeDocument/2006/relationships/hyperlink" Target="https://ascentialcdn.filespin.io/api/v1/conversion/67b6df2a0fe64deeb274c91d50040c54" TargetMode="External" Id="rId7"/><Relationship Type="http://schemas.openxmlformats.org/officeDocument/2006/relationships/hyperlink" Target="https://www.lovethework.com/work/entries/price-packs-744245" TargetMode="External" Id="rId8"/><Relationship Type="http://schemas.openxmlformats.org/officeDocument/2006/relationships/hyperlink" Target="https://ascentialcdn.filespin.io/api/v1/conversion/bdc3e17665e54318a6a9b4e6705f40a7" TargetMode="External" Id="rId9"/><Relationship Type="http://schemas.openxmlformats.org/officeDocument/2006/relationships/hyperlink" Target="https://www.lovethework.com/work/entries/football-is-for-food-744614" TargetMode="External" Id="rId10"/><Relationship Type="http://schemas.openxmlformats.org/officeDocument/2006/relationships/hyperlink" Target="https://ascentialcdn.filespin.io/api/v1/conversion/f979928ea0a14ad7a4df5b301de95a0e" TargetMode="External" Id="rId11"/><Relationship Type="http://schemas.openxmlformats.org/officeDocument/2006/relationships/hyperlink" Target="https://www.lovethework.com/work/entries/lidlize-760060" TargetMode="External" Id="rId12"/><Relationship Type="http://schemas.openxmlformats.org/officeDocument/2006/relationships/hyperlink" Target="https://ascentialcdn.filespin.io/api/v1/conversion/32ef7021bdbd4c4392fa51fb240d45e6" TargetMode="External" Id="rId13"/><Relationship Type="http://schemas.openxmlformats.org/officeDocument/2006/relationships/hyperlink" Target="https://www.lovethework.com/work/entries/prize-on-the-bone-744551" TargetMode="External" Id="rId14"/><Relationship Type="http://schemas.openxmlformats.org/officeDocument/2006/relationships/hyperlink" Target="https://ascentialcdn.filespin.io/api/v1/conversion/baed08eef7b94a6cabcd62dedb653704" TargetMode="External" Id="rId15"/><Relationship Type="http://schemas.openxmlformats.org/officeDocument/2006/relationships/hyperlink" Target="https://www.lovethework.com/work/entries/lucky-yatra-744460" TargetMode="External" Id="rId16"/><Relationship Type="http://schemas.openxmlformats.org/officeDocument/2006/relationships/hyperlink" Target="https://ascentialcdn.filespin.io/api/v1/conversion/237ade5924eb407898bf58d19f58a52a" TargetMode="External" Id="rId17"/><Relationship Type="http://schemas.openxmlformats.org/officeDocument/2006/relationships/hyperlink" Target="https://www.lovethework.com/work/entries/ikea-hidden-tags-743744" TargetMode="External" Id="rId18"/><Relationship Type="http://schemas.openxmlformats.org/officeDocument/2006/relationships/hyperlink" Target="https://ascentialcdn.filespin.io/api/v1/conversion/d1fbeead5aeb4909a43f4920061be696" TargetMode="External" Id="rId19"/><Relationship Type="http://schemas.openxmlformats.org/officeDocument/2006/relationships/hyperlink" Target="https://www.lovethework.com/work/entries/potty-tunities-743937" TargetMode="External" Id="rId20"/><Relationship Type="http://schemas.openxmlformats.org/officeDocument/2006/relationships/hyperlink" Target="https://ascentialcdn.filespin.io/api/v1/conversion/8223f25b769b40e3b665c4ec19e2e12c" TargetMode="External" Id="rId21"/><Relationship Type="http://schemas.openxmlformats.org/officeDocument/2006/relationships/hyperlink" Target="https://www.lovethework.com/work/entries/preserved-promos-744127" TargetMode="External" Id="rId22"/><Relationship Type="http://schemas.openxmlformats.org/officeDocument/2006/relationships/hyperlink" Target="https://ascentialcdn.filespin.io/api/v1/conversion/73ea0e639f6747c68cf8460abe2f02bb" TargetMode="External" Id="rId23"/><Relationship Type="http://schemas.openxmlformats.org/officeDocument/2006/relationships/hyperlink" Target="https://www.lovethework.com/work/entries/breastmilk-money-744959" TargetMode="External" Id="rId24"/><Relationship Type="http://schemas.openxmlformats.org/officeDocument/2006/relationships/hyperlink" Target="https://ascentialcdn.filespin.io/api/v1/conversion/08a2258d5d1348b1bc8f6014ff0c6655" TargetMode="External" Id="rId25"/><Relationship Type="http://schemas.openxmlformats.org/officeDocument/2006/relationships/hyperlink" Target="https://www.lovethework.com/work/entries/night-signals-743947" TargetMode="External" Id="rId26"/><Relationship Type="http://schemas.openxmlformats.org/officeDocument/2006/relationships/hyperlink" Target="https://ascentialcdn.filespin.io/api/v1/conversion/3d0a357fb9de4393918aaa93dcff4033" TargetMode="External" Id="rId27"/><Relationship Type="http://schemas.openxmlformats.org/officeDocument/2006/relationships/hyperlink" Target="https://www.lovethework.com/work/entries/followers-store-744039" TargetMode="External" Id="rId28"/><Relationship Type="http://schemas.openxmlformats.org/officeDocument/2006/relationships/hyperlink" Target="https://ascentialcdn.filespin.io/api/v1/conversion/afa88aa8421b41a18c68b9863bb6926c" TargetMode="External" Id="rId29"/><Relationship Type="http://schemas.openxmlformats.org/officeDocument/2006/relationships/hyperlink" Target="https://www.lovethework.com/work/entries/gulf-of-mexico-bar-744515" TargetMode="External" Id="rId30"/><Relationship Type="http://schemas.openxmlformats.org/officeDocument/2006/relationships/hyperlink" Target="https://ascentialcdn.filespin.io/api/v1/conversion/c87256cd1a8e4e888796294b8fb32d99" TargetMode="External" Id="rId31"/><Relationship Type="http://schemas.openxmlformats.org/officeDocument/2006/relationships/hyperlink" Target="https://www.lovethework.com/work/entries/certified-toasters-743878" TargetMode="External" Id="rId32"/><Relationship Type="http://schemas.openxmlformats.org/officeDocument/2006/relationships/hyperlink" Target="https://ascentialcdn.filespin.io/api/v1/conversion/faf0755b0d4e4594ad93cb75d6288e3d" TargetMode="External" Id="rId33"/><Relationship Type="http://schemas.openxmlformats.org/officeDocument/2006/relationships/hyperlink" Target="https://www.lovethework.com/work/entries/vaseline-verified-744266" TargetMode="External" Id="rId34"/><Relationship Type="http://schemas.openxmlformats.org/officeDocument/2006/relationships/hyperlink" Target="https://ascentialcdn.filespin.io/api/v1/conversion/abd9a65dba9c44ab8abe0ea46a3db71c" TargetMode="External" Id="rId35"/><Relationship Type="http://schemas.openxmlformats.org/officeDocument/2006/relationships/hyperlink" Target="https://www.lovethework.com/work/entries/resale-743971" TargetMode="External" Id="rId36"/><Relationship Type="http://schemas.openxmlformats.org/officeDocument/2006/relationships/hyperlink" Target="https://ascentialcdn.filespin.io/api/v1/conversion/1d6f8cfcad1b47c9beaa5f403844ec8a" TargetMode="External" Id="rId37"/><Relationship Type="http://schemas.openxmlformats.org/officeDocument/2006/relationships/hyperlink" Target="https://www.lovethework.com/work/entries/u-up-744249" TargetMode="External" Id="rId38"/><Relationship Type="http://schemas.openxmlformats.org/officeDocument/2006/relationships/hyperlink" Target="https://ascentialcdn.filespin.io/api/v1/conversion/b1a090f7c816487f8dcee01d4c656df9" TargetMode="External" Id="rId39"/><Relationship Type="http://schemas.openxmlformats.org/officeDocument/2006/relationships/hyperlink" Target="https://www.lovethework.com/work/entries/sad-kama-chan-743836" TargetMode="External" Id="rId40"/><Relationship Type="http://schemas.openxmlformats.org/officeDocument/2006/relationships/hyperlink" Target="https://ascentialcdn.filespin.io/api/v1/conversion/237ade5924eb407898bf58d19f58a52a" TargetMode="External" Id="rId41"/><Relationship Type="http://schemas.openxmlformats.org/officeDocument/2006/relationships/hyperlink" Target="https://www.lovethework.com/work/entries/ikea-hidden-tags-743546" TargetMode="External" Id="rId42"/><Relationship Type="http://schemas.openxmlformats.org/officeDocument/2006/relationships/hyperlink" Target="https://ascentialcdn.filespin.io/api/v1/conversion/5edeb9f0501f4dc799bf63efd749c2e3" TargetMode="External" Id="rId43"/><Relationship Type="http://schemas.openxmlformats.org/officeDocument/2006/relationships/hyperlink" Target="https://www.lovethework.com/work/entries/burger-to-king-760824" TargetMode="External" Id="rId44"/><Relationship Type="http://schemas.openxmlformats.org/officeDocument/2006/relationships/hyperlink" Target="https://ascentialcdn.filespin.io/api/v1/conversion/d6016650d2a74669ae91f981af5a00f2" TargetMode="External" Id="rId45"/><Relationship Type="http://schemas.openxmlformats.org/officeDocument/2006/relationships/hyperlink" Target="https://www.lovethework.com/work/entries/pedigree-caramelo-760080" TargetMode="External" Id="rId46"/><Relationship Type="http://schemas.openxmlformats.org/officeDocument/2006/relationships/hyperlink" Target="https://ascentialcdn.filespin.io/api/v1/conversion/76013060c8dd4eaab1a92bf04d89af79" TargetMode="External" Id="rId47"/><Relationship Type="http://schemas.openxmlformats.org/officeDocument/2006/relationships/hyperlink" Target="https://www.lovethework.com/work/entries/oreo-square-cookie-744485" TargetMode="External" Id="rId48"/><Relationship Type="http://schemas.openxmlformats.org/officeDocument/2006/relationships/hyperlink" Target="https://ascentialcdn.filespin.io/api/v1/conversion/e1a85ff134e545c7b049791151432028" TargetMode="External" Id="rId49"/><Relationship Type="http://schemas.openxmlformats.org/officeDocument/2006/relationships/hyperlink" Target="https://www.lovethework.com/work/entries/axa-three-words-744864" TargetMode="External" Id="rId50"/><Relationship Type="http://schemas.openxmlformats.org/officeDocument/2006/relationships/hyperlink" Target="https://ascentialcdn.filespin.io/api/v1/conversion/d1fbeead5aeb4909a43f4920061be696" TargetMode="External" Id="rId51"/><Relationship Type="http://schemas.openxmlformats.org/officeDocument/2006/relationships/hyperlink" Target="https://www.lovethework.com/work/entries/potty-tunities-743534" TargetMode="External" Id="rId52"/><Relationship Type="http://schemas.openxmlformats.org/officeDocument/2006/relationships/hyperlink" Target="https://www.lovethework.com/work/entries/one-second-ads-744331" TargetMode="External" Id="rId53"/><Relationship Type="http://schemas.openxmlformats.org/officeDocument/2006/relationships/hyperlink" Target="https://ascentialcdn.filespin.io/api/v1/conversion/faa00cc4c0b94e1ea53f6e9be2461987" TargetMode="External" Id="rId54"/><Relationship Type="http://schemas.openxmlformats.org/officeDocument/2006/relationships/hyperlink" Target="https://www.lovethework.com/work/entries/public-money-atm-760086" TargetMode="External" Id="rId55"/><Relationship Type="http://schemas.openxmlformats.org/officeDocument/2006/relationships/hyperlink" Target="https://ascentialcdn.filespin.io/api/v1/conversion/06391abc3c3345f286721abc9e8d250a" TargetMode="External" Id="rId56"/><Relationship Type="http://schemas.openxmlformats.org/officeDocument/2006/relationships/hyperlink" Target="https://www.lovethework.com/work/entries/wendys-frosty-fix-744137" TargetMode="External" Id="rId57"/><Relationship Type="http://schemas.openxmlformats.org/officeDocument/2006/relationships/hyperlink" Target="https://ascentialcdn.filespin.io/api/v1/conversion/8223f25b769b40e3b665c4ec19e2e12c" TargetMode="External" Id="rId58"/><Relationship Type="http://schemas.openxmlformats.org/officeDocument/2006/relationships/hyperlink" Target="https://www.lovethework.com/work/entries/preserved-promos-744907" TargetMode="External" Id="rId59"/><Relationship Type="http://schemas.openxmlformats.org/officeDocument/2006/relationships/hyperlink" Target="https://ascentialcdn.filespin.io/api/v1/conversion/32ef7021bdbd4c4392fa51fb240d45e6" TargetMode="External" Id="rId60"/><Relationship Type="http://schemas.openxmlformats.org/officeDocument/2006/relationships/hyperlink" Target="https://www.lovethework.com/work/entries/prize-on-the-bone-743661" TargetMode="External" Id="rId61"/><Relationship Type="http://schemas.openxmlformats.org/officeDocument/2006/relationships/hyperlink" Target="https://ascentialcdn.filespin.io/api/v1/conversion/a490647b563240a68a61883a7362c54b" TargetMode="External" Id="rId62"/><Relationship Type="http://schemas.openxmlformats.org/officeDocument/2006/relationships/hyperlink" Target="https://www.lovethework.com/work/entries/coupon-rain-759033" TargetMode="External" Id="rId63"/><Relationship Type="http://schemas.openxmlformats.org/officeDocument/2006/relationships/hyperlink" Target="https://ascentialcdn.filespin.io/api/v1/conversion/5801ee4249af49b0aa23167f0d131de4" TargetMode="External" Id="rId64"/><Relationship Type="http://schemas.openxmlformats.org/officeDocument/2006/relationships/hyperlink" Target="https://www.lovethework.com/work/entries/life-donor-card-759052" TargetMode="External" Id="rId65"/><Relationship Type="http://schemas.openxmlformats.org/officeDocument/2006/relationships/hyperlink" Target="https://ascentialcdn.filespin.io/api/v1/conversion/e1a85ff134e545c7b049791151432028" TargetMode="External" Id="rId66"/><Relationship Type="http://schemas.openxmlformats.org/officeDocument/2006/relationships/hyperlink" Target="https://www.lovethework.com/work/entries/axa-three-words-743592" TargetMode="External" Id="rId67"/><Relationship Type="http://schemas.openxmlformats.org/officeDocument/2006/relationships/hyperlink" Target="https://ascentialcdn.filespin.io/api/v1/conversion/8223f25b769b40e3b665c4ec19e2e12c" TargetMode="External" Id="rId68"/><Relationship Type="http://schemas.openxmlformats.org/officeDocument/2006/relationships/hyperlink" Target="https://www.lovethework.com/work/entries/preserved-promos-744111" TargetMode="External" Id="rId69"/><Relationship Type="http://schemas.openxmlformats.org/officeDocument/2006/relationships/hyperlink" Target="https://ascentialcdn.filespin.io/api/v1/conversion/a8d4e72bb1ce47508dcea8db73d16b01" TargetMode="External" Id="rId70"/><Relationship Type="http://schemas.openxmlformats.org/officeDocument/2006/relationships/hyperlink" Target="https://www.lovethework.com/work/entries/pub-succession-744903" TargetMode="External" Id="rId71"/><Relationship Type="http://schemas.openxmlformats.org/officeDocument/2006/relationships/hyperlink" Target="https://ascentialcdn.filespin.io/api/v1/conversion/615e3a15eabf457d91d317468a12d825" TargetMode="External" Id="rId72"/><Relationship Type="http://schemas.openxmlformats.org/officeDocument/2006/relationships/hyperlink" Target="https://www.lovethework.com/work/entries/the-final-exam-759400" TargetMode="External" Id="rId73"/><Relationship Type="http://schemas.openxmlformats.org/officeDocument/2006/relationships/hyperlink" Target="https://ascentialcdn.filespin.io/api/v1/conversion/fd2b448479ca41b7aa08b7d8a4bd8749" TargetMode="External" Id="rId74"/><Relationship Type="http://schemas.openxmlformats.org/officeDocument/2006/relationships/hyperlink" Target="https://www.lovethework.com/work/entries/choose-uber-759506" TargetMode="External" Id="rId75"/><Relationship Type="http://schemas.openxmlformats.org/officeDocument/2006/relationships/hyperlink" Target="https://ascentialcdn.filespin.io/api/v1/conversion/f9376c25bb2b48bca81ace4fc05d635c" TargetMode="External" Id="rId76"/><Relationship Type="http://schemas.openxmlformats.org/officeDocument/2006/relationships/hyperlink" Target="https://www.lovethework.com/work/entries/safe-at-3am-759119" TargetMode="External" Id="rId77"/><Relationship Type="http://schemas.openxmlformats.org/officeDocument/2006/relationships/hyperlink" Target="https://ascentialcdn.filespin.io/api/v1/conversion/bdc3e17665e54318a6a9b4e6705f40a7" TargetMode="External" Id="rId78"/><Relationship Type="http://schemas.openxmlformats.org/officeDocument/2006/relationships/hyperlink" Target="https://www.lovethework.com/work/entries/football-is-for-food-743865" TargetMode="External" Id="rId79"/><Relationship Type="http://schemas.openxmlformats.org/officeDocument/2006/relationships/hyperlink" Target="https://ascentialcdn.filespin.io/api/v1/conversion/f2e0559daeee4ccda58f909ec08f9fbf" TargetMode="External" Id="rId80"/><Relationship Type="http://schemas.openxmlformats.org/officeDocument/2006/relationships/hyperlink" Target="https://www.lovethework.com/work/entries/drinkable-anthem-743946" TargetMode="External" Id="rId81"/><Relationship Type="http://schemas.openxmlformats.org/officeDocument/2006/relationships/hyperlink" Target="https://ascentialcdn.filespin.io/api/v1/conversion/7b86925f1349408ea7adba9c5a0176eb" TargetMode="External" Id="rId82"/><Relationship Type="http://schemas.openxmlformats.org/officeDocument/2006/relationships/hyperlink" Target="https://www.lovethework.com/work/entries/most-likely-to-759537" TargetMode="External" Id="rId83"/><Relationship Type="http://schemas.openxmlformats.org/officeDocument/2006/relationships/hyperlink" Target="https://ascentialcdn.filespin.io/api/v1/conversion/4d03b091591e429f9ada2339d908dc54" TargetMode="External" Id="rId84"/><Relationship Type="http://schemas.openxmlformats.org/officeDocument/2006/relationships/hyperlink" Target="https://www.lovethework.com/work/entries/re-commerce-atacama-744934" TargetMode="External" Id="rId85"/><Relationship Type="http://schemas.openxmlformats.org/officeDocument/2006/relationships/hyperlink" Target="https://ascentialcdn.filespin.io/api/v1/conversion/b2fe6fe084884aab927d3e0312b40622" TargetMode="External" Id="rId86"/><Relationship Type="http://schemas.openxmlformats.org/officeDocument/2006/relationships/hyperlink" Target="https://www.lovethework.com/work/entries/six-back-760070" TargetMode="External" Id="rId87"/><Relationship Type="http://schemas.openxmlformats.org/officeDocument/2006/relationships/hyperlink" Target="https://ascentialcdn.filespin.io/api/v1/conversion/dfca319f7ffa4d2c80fe786b30e35c40" TargetMode="External" Id="rId88"/><Relationship Type="http://schemas.openxmlformats.org/officeDocument/2006/relationships/hyperlink" Target="https://www.lovethework.com/work/entries/01-the-interrupted-goal-743899" TargetMode="External" Id="rId89"/><Relationship Type="http://schemas.openxmlformats.org/officeDocument/2006/relationships/hyperlink" Target="https://www.lovethework.com/work/entries/ink-of-democracy-744669" TargetMode="External" Id="rId90"/><Relationship Type="http://schemas.openxmlformats.org/officeDocument/2006/relationships/hyperlink" Target="https://ascentialcdn.filespin.io/api/v1/conversion/1294d1380c13485bb6bc73f942b57f75" TargetMode="External" Id="rId91"/><Relationship Type="http://schemas.openxmlformats.org/officeDocument/2006/relationships/hyperlink" Target="https://www.lovethework.com/work/entries/w1ng-cod3s-744593" TargetMode="External" Id="rId92"/><Relationship Type="http://schemas.openxmlformats.org/officeDocument/2006/relationships/hyperlink" Target="https://ascentialcdn.filespin.io/api/v1/conversion/f979928ea0a14ad7a4df5b301de95a0e" TargetMode="External" Id="rId93"/><Relationship Type="http://schemas.openxmlformats.org/officeDocument/2006/relationships/hyperlink" Target="https://www.lovethework.com/work/entries/lidlize-760120" TargetMode="External" Id="rId94"/><Relationship Type="http://schemas.openxmlformats.org/officeDocument/2006/relationships/hyperlink" Target="https://ascentialcdn.filespin.io/api/v1/conversion/325a5a7b867c43a7a400829c3a94a862" TargetMode="External" Id="rId95"/><Relationship Type="http://schemas.openxmlformats.org/officeDocument/2006/relationships/hyperlink" Target="https://www.lovethework.com/work/entries/supportbelt-743599" TargetMode="External" Id="rId96"/><Relationship Type="http://schemas.openxmlformats.org/officeDocument/2006/relationships/hyperlink" Target="https://ascentialcdn.filespin.io/api/v1/conversion/b8993a8a561d47fe9b9f126b8fbb45ce" TargetMode="External" Id="rId97"/><Relationship Type="http://schemas.openxmlformats.org/officeDocument/2006/relationships/hyperlink" Target="https://www.lovethework.com/work/entries/olympic-curry-744223" TargetMode="External" Id="rId98"/><Relationship Type="http://schemas.openxmlformats.org/officeDocument/2006/relationships/hyperlink" Target="https://ascentialcdn.filespin.io/api/v1/conversion/84f374748a0c44bbb252faac921d51a3" TargetMode="External" Id="rId99"/><Relationship Type="http://schemas.openxmlformats.org/officeDocument/2006/relationships/hyperlink" Target="https://www.lovethework.com/work/entries/dancing-washers-760796" TargetMode="External" Id="rId100"/><Relationship Type="http://schemas.openxmlformats.org/officeDocument/2006/relationships/hyperlink" Target="https://www.lovethework.com/work/entries/name-this-oreo-765252" TargetMode="External" Id="rId101"/><Relationship Type="http://schemas.openxmlformats.org/officeDocument/2006/relationships/hyperlink" Target="https://ascentialcdn.filespin.io/api/v1/conversion/2fe29fade1f74fc5a8b09a7cd9bc4b80" TargetMode="External" Id="rId102"/><Relationship Type="http://schemas.openxmlformats.org/officeDocument/2006/relationships/hyperlink" Target="https://www.lovethework.com/work/entries/antenaguila-744463" TargetMode="External" Id="rId103"/><Relationship Type="http://schemas.openxmlformats.org/officeDocument/2006/relationships/hyperlink" Target="https://ascentialcdn.filespin.io/api/v1/conversion/a8d4e72bb1ce47508dcea8db73d16b01" TargetMode="External" Id="rId104"/><Relationship Type="http://schemas.openxmlformats.org/officeDocument/2006/relationships/hyperlink" Target="https://www.lovethework.com/work/entries/pub-succession-744903" TargetMode="External" Id="rId105"/><Relationship Type="http://schemas.openxmlformats.org/officeDocument/2006/relationships/hyperlink" Target="https://ascentialcdn.filespin.io/api/v1/conversion/67b6df2a0fe64deeb274c91d50040c54" TargetMode="External" Id="rId106"/><Relationship Type="http://schemas.openxmlformats.org/officeDocument/2006/relationships/hyperlink" Target="https://www.lovethework.com/work/entries/price-packs-744455" TargetMode="External" Id="rId107"/><Relationship Type="http://schemas.openxmlformats.org/officeDocument/2006/relationships/hyperlink" Target="https://ascentialcdn.filespin.io/api/v1/conversion/38cbe1a6ee444db186b748c9da630bdc" TargetMode="External" Id="rId108"/><Relationship Type="http://schemas.openxmlformats.org/officeDocument/2006/relationships/hyperlink" Target="https://www.lovethework.com/work/entries/omnilivery-743884" TargetMode="External" Id="rId109"/><Relationship Type="http://schemas.openxmlformats.org/officeDocument/2006/relationships/hyperlink" Target="https://ascentialcdn.filespin.io/api/v1/conversion/13424edec35d460b97b34cd5a9346311" TargetMode="External" Id="rId110"/><Relationship Type="http://schemas.openxmlformats.org/officeDocument/2006/relationships/hyperlink" Target="https://www.lovethework.com/work/entries/returning-creativity-743883" TargetMode="External" Id="rId111"/><Relationship Type="http://schemas.openxmlformats.org/officeDocument/2006/relationships/hyperlink" Target="https://ascentialcdn.filespin.io/api/v1/conversion/e56e744cd3594eceb82733246e9035b2" TargetMode="External" Id="rId112"/><Relationship Type="http://schemas.openxmlformats.org/officeDocument/2006/relationships/hyperlink" Target="https://www.lovethework.com/work/entries/haaland-payback-time-744101" TargetMode="External" Id="rId113"/><Relationship Type="http://schemas.openxmlformats.org/officeDocument/2006/relationships/hyperlink" Target="https://ascentialcdn.filespin.io/api/v1/conversion/1e451eb4b5bc4d44a6946bac225c6e96" TargetMode="External" Id="rId114"/><Relationship Type="http://schemas.openxmlformats.org/officeDocument/2006/relationships/hyperlink" Target="https://www.lovethework.com/work/entries/daisy-vs-scammers-744081" TargetMode="External" Id="rId115"/></Relationships>
</file>

<file path=xl/worksheets/_rels/sheet13.xml.rels><Relationships xmlns="http://schemas.openxmlformats.org/package/2006/relationships"><Relationship Type="http://schemas.openxmlformats.org/officeDocument/2006/relationships/hyperlink" Target="https://ascentialcdn.filespin.io/api/v1/conversion/da693fd61fc74ddfbb3525f638cd77c6" TargetMode="External" Id="rId1"/><Relationship Type="http://schemas.openxmlformats.org/officeDocument/2006/relationships/hyperlink" Target="https://www.lovethework.com/work/entries/dove-real-beauty-redefined-for-the-ai-era-746537" TargetMode="External" Id="rId2"/><Relationship Type="http://schemas.openxmlformats.org/officeDocument/2006/relationships/hyperlink" Target="https://ascentialcdn.filespin.io/api/v1/conversion/3db7ec7e31b7459bafa082009489d40e" TargetMode="External" Id="rId3"/><Relationship Type="http://schemas.openxmlformats.org/officeDocument/2006/relationships/hyperlink" Target="https://www.lovethework.com/work/entries/cant-unsee-it-745091" TargetMode="External" Id="rId4"/><Relationship Type="http://schemas.openxmlformats.org/officeDocument/2006/relationships/hyperlink" Target="https://ascentialcdn.filespin.io/api/v1/conversion/faf0755b0d4e4594ad93cb75d6288e3d" TargetMode="External" Id="rId5"/><Relationship Type="http://schemas.openxmlformats.org/officeDocument/2006/relationships/hyperlink" Target="https://www.lovethework.com/work/entries/vaseline-verified-745075" TargetMode="External" Id="rId6"/><Relationship Type="http://schemas.openxmlformats.org/officeDocument/2006/relationships/hyperlink" Target="https://ascentialcdn.filespin.io/api/v1/conversion/fa18cc31eca84cf2a41f8d9f4a3e8e89" TargetMode="External" Id="rId7"/><Relationship Type="http://schemas.openxmlformats.org/officeDocument/2006/relationships/hyperlink" Target="https://www.lovethework.com/work/entries/redditor-edit-744990" TargetMode="External" Id="rId8"/><Relationship Type="http://schemas.openxmlformats.org/officeDocument/2006/relationships/hyperlink" Target="https://ascentialcdn.filespin.io/api/v1/conversion/5418c22c9d864f579ce966a3f138628e" TargetMode="External" Id="rId9"/><Relationship Type="http://schemas.openxmlformats.org/officeDocument/2006/relationships/hyperlink" Target="https://www.lovethework.com/work/entries/coupon-rain-745092" TargetMode="External" Id="rId10"/><Relationship Type="http://schemas.openxmlformats.org/officeDocument/2006/relationships/hyperlink" Target="https://ascentialcdn.filespin.io/api/v1/conversion/615e3a15eabf457d91d317468a12d825" TargetMode="External" Id="rId11"/><Relationship Type="http://schemas.openxmlformats.org/officeDocument/2006/relationships/hyperlink" Target="https://www.lovethework.com/work/entries/the-final-exam-761015" TargetMode="External" Id="rId12"/><Relationship Type="http://schemas.openxmlformats.org/officeDocument/2006/relationships/hyperlink" Target="https://ascentialcdn.filespin.io/api/v1/conversion/d0be42343a2e4aaea76238ca95dfcbab" TargetMode="External" Id="rId13"/><Relationship Type="http://schemas.openxmlformats.org/officeDocument/2006/relationships/hyperlink" Target="https://www.lovethework.com/work/entries/streaming-bars-745041" TargetMode="External" Id="rId14"/><Relationship Type="http://schemas.openxmlformats.org/officeDocument/2006/relationships/hyperlink" Target="https://ascentialcdn.filespin.io/api/v1/conversion/8568fb79e86c4ae994a024b682498651" TargetMode="External" Id="rId15"/><Relationship Type="http://schemas.openxmlformats.org/officeDocument/2006/relationships/hyperlink" Target="https://www.lovethework.com/work/entries/raise-your-banners-745396" TargetMode="External" Id="rId16"/><Relationship Type="http://schemas.openxmlformats.org/officeDocument/2006/relationships/hyperlink" Target="https://ascentialcdn.filespin.io/api/v1/conversion/8d30857fd8bf46f3ab1b9c9b3d0a50fa" TargetMode="External" Id="rId17"/><Relationship Type="http://schemas.openxmlformats.org/officeDocument/2006/relationships/hyperlink" Target="https://www.lovethework.com/work/entries/retro-influencers-745595" TargetMode="External" Id="rId18"/><Relationship Type="http://schemas.openxmlformats.org/officeDocument/2006/relationships/hyperlink" Target="https://ascentialcdn.filespin.io/api/v1/conversion/9d355715dd4d4857a2f82df5c502290b" TargetMode="External" Id="rId19"/><Relationship Type="http://schemas.openxmlformats.org/officeDocument/2006/relationships/hyperlink" Target="https://www.lovethework.com/work/entries/the-rewards-bag-745869" TargetMode="External" Id="rId20"/><Relationship Type="http://schemas.openxmlformats.org/officeDocument/2006/relationships/hyperlink" Target="https://ascentialcdn.filespin.io/api/v1/conversion/9f879201572d4cb9aa1e14e89b6a4f2f" TargetMode="External" Id="rId21"/><Relationship Type="http://schemas.openxmlformats.org/officeDocument/2006/relationships/hyperlink" Target="https://www.lovethework.com/work/entries/fictional-insurance-745946" TargetMode="External" Id="rId22"/><Relationship Type="http://schemas.openxmlformats.org/officeDocument/2006/relationships/hyperlink" Target="https://ascentialcdn.filespin.io/api/v1/conversion/c8c6d973823e408c926f4de68327d5df" TargetMode="External" Id="rId23"/><Relationship Type="http://schemas.openxmlformats.org/officeDocument/2006/relationships/hyperlink" Target="https://www.lovethework.com/work/entries/first-ever-live-commercial-crossover-759386" TargetMode="External" Id="rId24"/><Relationship Type="http://schemas.openxmlformats.org/officeDocument/2006/relationships/hyperlink" Target="https://ascentialcdn.filespin.io/api/v1/conversion/e69c489d848f46d9939d454b8fb7ec2f" TargetMode="External" Id="rId25"/><Relationship Type="http://schemas.openxmlformats.org/officeDocument/2006/relationships/hyperlink" Target="https://www.lovethework.com/work/entries/waitrose-sweet-suspicion-a-deliciously-festive-whodunnit-762693" TargetMode="External" Id="rId26"/><Relationship Type="http://schemas.openxmlformats.org/officeDocument/2006/relationships/hyperlink" Target="https://ascentialcdn.filespin.io/api/v1/conversion/d5a5f996a09d495dac5d5cdbef7ae33f" TargetMode="External" Id="rId27"/><Relationship Type="http://schemas.openxmlformats.org/officeDocument/2006/relationships/hyperlink" Target="https://www.lovethework.com/work/entries/sweet-suspicion-745100" TargetMode="External" Id="rId28"/><Relationship Type="http://schemas.openxmlformats.org/officeDocument/2006/relationships/hyperlink" Target="https://ascentialcdn.filespin.io/api/v1/conversion/7e4fdab3938d4931a5578f05baa5aa36" TargetMode="External" Id="rId29"/><Relationship Type="http://schemas.openxmlformats.org/officeDocument/2006/relationships/hyperlink" Target="https://www.lovethework.com/work/entries/bring-korea-to-the-world-745005" TargetMode="External" Id="rId30"/><Relationship Type="http://schemas.openxmlformats.org/officeDocument/2006/relationships/hyperlink" Target="https://www.lovethework.com/work/entries/dirty-mouth-sponsorship-745194" TargetMode="External" Id="rId31"/><Relationship Type="http://schemas.openxmlformats.org/officeDocument/2006/relationships/hyperlink" Target="https://ascentialcdn.filespin.io/api/v1/conversion/24e11754184a42ce8f0744b5d9f56d7a" TargetMode="External" Id="rId32"/><Relationship Type="http://schemas.openxmlformats.org/officeDocument/2006/relationships/hyperlink" Target="https://www.lovethework.com/work/entries/speed-coupons-745245" TargetMode="External" Id="rId33"/><Relationship Type="http://schemas.openxmlformats.org/officeDocument/2006/relationships/hyperlink" Target="https://ascentialcdn.filespin.io/api/v1/conversion/a6416f5b55ed4d7ca12d09d85560d5a3" TargetMode="External" Id="rId34"/><Relationship Type="http://schemas.openxmlformats.org/officeDocument/2006/relationships/hyperlink" Target="https://www.lovethework.com/work/entries/takeoff-takeover-745197" TargetMode="External" Id="rId35"/><Relationship Type="http://schemas.openxmlformats.org/officeDocument/2006/relationships/hyperlink" Target="https://ascentialcdn.filespin.io/api/v1/conversion/afa88aa8421b41a18c68b9863bb6926c" TargetMode="External" Id="rId36"/><Relationship Type="http://schemas.openxmlformats.org/officeDocument/2006/relationships/hyperlink" Target="https://www.lovethework.com/work/entries/gulf-of-mexico-bar-745576" TargetMode="External" Id="rId37"/><Relationship Type="http://schemas.openxmlformats.org/officeDocument/2006/relationships/hyperlink" Target="https://ascentialcdn.filespin.io/api/v1/conversion/b71f0dff73f3455abef2899f0b1aeb49" TargetMode="External" Id="rId38"/><Relationship Type="http://schemas.openxmlformats.org/officeDocument/2006/relationships/hyperlink" Target="https://www.lovethework.com/work/entries/kleenex-score-745583" TargetMode="External" Id="rId39"/><Relationship Type="http://schemas.openxmlformats.org/officeDocument/2006/relationships/hyperlink" Target="https://ascentialcdn.filespin.io/api/v1/conversion/16832e372e2c49889fda6d5d3168015d" TargetMode="External" Id="rId40"/><Relationship Type="http://schemas.openxmlformats.org/officeDocument/2006/relationships/hyperlink" Target="https://www.lovethework.com/work/entries/maccie-745574" TargetMode="External" Id="rId41"/><Relationship Type="http://schemas.openxmlformats.org/officeDocument/2006/relationships/hyperlink" Target="https://ascentialcdn.filespin.io/api/v1/conversion/acedbde3eb964175b899c5e90a584d7a" TargetMode="External" Id="rId42"/><Relationship Type="http://schemas.openxmlformats.org/officeDocument/2006/relationships/hyperlink" Target="https://www.lovethework.com/work/entries/navy-subreddit-hunt-745721" TargetMode="External" Id="rId43"/><Relationship Type="http://schemas.openxmlformats.org/officeDocument/2006/relationships/hyperlink" Target="https://ascentialcdn.filespin.io/api/v1/conversion/da693fd61fc74ddfbb3525f638cd77c6" TargetMode="External" Id="rId44"/><Relationship Type="http://schemas.openxmlformats.org/officeDocument/2006/relationships/hyperlink" Target="https://www.lovethework.com/work/entries/dove-real-beauty-redefined-for-the-ai-era-745808" TargetMode="External" Id="rId45"/><Relationship Type="http://schemas.openxmlformats.org/officeDocument/2006/relationships/hyperlink" Target="https://ascentialcdn.filespin.io/api/v1/conversion/8223f25b769b40e3b665c4ec19e2e12c" TargetMode="External" Id="rId46"/><Relationship Type="http://schemas.openxmlformats.org/officeDocument/2006/relationships/hyperlink" Target="https://www.lovethework.com/work/entries/preserved-promos-745777" TargetMode="External" Id="rId47"/><Relationship Type="http://schemas.openxmlformats.org/officeDocument/2006/relationships/hyperlink" Target="https://ascentialcdn.filespin.io/api/v1/conversion/4972357db5c14f0b84fd31512fa3d28c" TargetMode="External" Id="rId48"/><Relationship Type="http://schemas.openxmlformats.org/officeDocument/2006/relationships/hyperlink" Target="https://www.lovethework.com/work/entries/the-26th-minute-745873" TargetMode="External" Id="rId49"/><Relationship Type="http://schemas.openxmlformats.org/officeDocument/2006/relationships/hyperlink" Target="https://ascentialcdn.filespin.io/api/v1/conversion/faf0755b0d4e4594ad93cb75d6288e3d" TargetMode="External" Id="rId50"/><Relationship Type="http://schemas.openxmlformats.org/officeDocument/2006/relationships/hyperlink" Target="https://www.lovethework.com/work/entries/vaseline-verified-745828" TargetMode="External" Id="rId51"/><Relationship Type="http://schemas.openxmlformats.org/officeDocument/2006/relationships/hyperlink" Target="https://ascentialcdn.filespin.io/api/v1/conversion/acbb86d466734cc4890607c8d8d33696" TargetMode="External" Id="rId52"/><Relationship Type="http://schemas.openxmlformats.org/officeDocument/2006/relationships/hyperlink" Target="https://www.lovethework.com/work/entries/report-this-ad-745783" TargetMode="External" Id="rId53"/><Relationship Type="http://schemas.openxmlformats.org/officeDocument/2006/relationships/hyperlink" Target="https://ascentialcdn.filespin.io/api/v1/conversion/5ce0f137b7254d7aa885d7e83850f046" TargetMode="External" Id="rId54"/><Relationship Type="http://schemas.openxmlformats.org/officeDocument/2006/relationships/hyperlink" Target="https://www.lovethework.com/work/entries/football-is-for-food-745820" TargetMode="External" Id="rId55"/><Relationship Type="http://schemas.openxmlformats.org/officeDocument/2006/relationships/hyperlink" Target="https://ascentialcdn.filespin.io/api/v1/conversion/e2d391a076394851ad0376152ece61bb" TargetMode="External" Id="rId56"/><Relationship Type="http://schemas.openxmlformats.org/officeDocument/2006/relationships/hyperlink" Target="https://www.lovethework.com/work/entries/thanks-for-coke-creating-746016" TargetMode="External" Id="rId57"/><Relationship Type="http://schemas.openxmlformats.org/officeDocument/2006/relationships/hyperlink" Target="https://ascentialcdn.filespin.io/api/v1/conversion/933648a57dec4e89a455851927c51e15" TargetMode="External" Id="rId58"/><Relationship Type="http://schemas.openxmlformats.org/officeDocument/2006/relationships/hyperlink" Target="https://www.lovethework.com/work/entries/export-ultra-cold-call-back-service-759477" TargetMode="External" Id="rId59"/><Relationship Type="http://schemas.openxmlformats.org/officeDocument/2006/relationships/hyperlink" Target="https://ascentialcdn.filespin.io/api/v1/conversion/ba35a566f4064244b364f68bf3a55633" TargetMode="External" Id="rId60"/><Relationship Type="http://schemas.openxmlformats.org/officeDocument/2006/relationships/hyperlink" Target="https://www.lovethework.com/work/entries/legacy-lager-746168" TargetMode="External" Id="rId61"/><Relationship Type="http://schemas.openxmlformats.org/officeDocument/2006/relationships/hyperlink" Target="https://ascentialcdn.filespin.io/api/v1/conversion/97b8e88790d047b79a07f2461478c324" TargetMode="External" Id="rId62"/><Relationship Type="http://schemas.openxmlformats.org/officeDocument/2006/relationships/hyperlink" Target="https://www.lovethework.com/work/entries/health-is-746400" TargetMode="External" Id="rId63"/><Relationship Type="http://schemas.openxmlformats.org/officeDocument/2006/relationships/hyperlink" Target="https://ascentialcdn.filespin.io/api/v1/conversion/dc773a5191b947ea85626af886046a69" TargetMode="External" Id="rId64"/><Relationship Type="http://schemas.openxmlformats.org/officeDocument/2006/relationships/hyperlink" Target="https://www.lovethework.com/work/entries/code-my-crown-746487" TargetMode="External" Id="rId65"/><Relationship Type="http://schemas.openxmlformats.org/officeDocument/2006/relationships/hyperlink" Target="https://ascentialcdn.filespin.io/api/v1/conversion/a8d4e72bb1ce47508dcea8db73d16b01" TargetMode="External" Id="rId66"/><Relationship Type="http://schemas.openxmlformats.org/officeDocument/2006/relationships/hyperlink" Target="https://www.lovethework.com/work/entries/pub-succession-746430" TargetMode="External" Id="rId67"/><Relationship Type="http://schemas.openxmlformats.org/officeDocument/2006/relationships/hyperlink" Target="https://ascentialcdn.filespin.io/api/v1/conversion/179b9d045d1a44c7b9cf08ed801fec37" TargetMode="External" Id="rId68"/><Relationship Type="http://schemas.openxmlformats.org/officeDocument/2006/relationships/hyperlink" Target="https://www.lovethework.com/work/entries/the-flame-that-wasnt-a-flame-746404" TargetMode="External" Id="rId69"/><Relationship Type="http://schemas.openxmlformats.org/officeDocument/2006/relationships/hyperlink" Target="https://ascentialcdn.filespin.io/api/v1/conversion/7bea5da12c704fafb1e98229f26e85bb" TargetMode="External" Id="rId70"/><Relationship Type="http://schemas.openxmlformats.org/officeDocument/2006/relationships/hyperlink" Target="https://www.lovethework.com/work/entries/ad-free-movies-745151" TargetMode="External" Id="rId71"/><Relationship Type="http://schemas.openxmlformats.org/officeDocument/2006/relationships/hyperlink" Target="https://ascentialcdn.filespin.io/api/v1/conversion/423282a302ed4fe187b1a0b7b5eb8284" TargetMode="External" Id="rId72"/><Relationship Type="http://schemas.openxmlformats.org/officeDocument/2006/relationships/hyperlink" Target="https://www.lovethework.com/work/entries/eye-test-menu-745061" TargetMode="External" Id="rId73"/><Relationship Type="http://schemas.openxmlformats.org/officeDocument/2006/relationships/hyperlink" Target="https://ascentialcdn.filespin.io/api/v1/conversion/5ce0f137b7254d7aa885d7e83850f046" TargetMode="External" Id="rId74"/><Relationship Type="http://schemas.openxmlformats.org/officeDocument/2006/relationships/hyperlink" Target="https://www.lovethework.com/work/entries/football-is-for-food-745080" TargetMode="External" Id="rId75"/><Relationship Type="http://schemas.openxmlformats.org/officeDocument/2006/relationships/hyperlink" Target="https://www.lovethework.com/work/entries/bait-boards-760974" TargetMode="External" Id="rId76"/><Relationship Type="http://schemas.openxmlformats.org/officeDocument/2006/relationships/hyperlink" Target="https://ascentialcdn.filespin.io/api/v1/conversion/d0260b381fef4eeeb8801c1df7cf7a2d" TargetMode="External" Id="rId77"/><Relationship Type="http://schemas.openxmlformats.org/officeDocument/2006/relationships/hyperlink" Target="https://www.lovethework.com/work/entries/sleep-with-rain-763538" TargetMode="External" Id="rId78"/><Relationship Type="http://schemas.openxmlformats.org/officeDocument/2006/relationships/hyperlink" Target="https://ascentialcdn.filespin.io/api/v1/conversion/1e8aea61826944b9a3dd3ed2db299576" TargetMode="External" Id="rId79"/><Relationship Type="http://schemas.openxmlformats.org/officeDocument/2006/relationships/hyperlink" Target="https://www.lovethework.com/work/entries/ink-of-democracy-745354" TargetMode="External" Id="rId80"/><Relationship Type="http://schemas.openxmlformats.org/officeDocument/2006/relationships/hyperlink" Target="https://ascentialcdn.filespin.io/api/v1/conversion/7fbdb5c2391043e18032480b6a5a068b" TargetMode="External" Id="rId81"/><Relationship Type="http://schemas.openxmlformats.org/officeDocument/2006/relationships/hyperlink" Target="https://www.lovethework.com/work/entries/boxed-ads-761062" TargetMode="External" Id="rId82"/><Relationship Type="http://schemas.openxmlformats.org/officeDocument/2006/relationships/hyperlink" Target="https://ascentialcdn.filespin.io/api/v1/conversion/12442b60aad54ce89573c747a787164d" TargetMode="External" Id="rId83"/><Relationship Type="http://schemas.openxmlformats.org/officeDocument/2006/relationships/hyperlink" Target="https://www.lovethework.com/work/entries/heinz-roller-shutter-745293" TargetMode="External" Id="rId84"/><Relationship Type="http://schemas.openxmlformats.org/officeDocument/2006/relationships/hyperlink" Target="https://ascentialcdn.filespin.io/api/v1/conversion/5e2b835a636345e0a9110a3076d31dca" TargetMode="External" Id="rId85"/><Relationship Type="http://schemas.openxmlformats.org/officeDocument/2006/relationships/hyperlink" Target="https://www.lovethework.com/work/entries/the-meal-745474" TargetMode="External" Id="rId86"/><Relationship Type="http://schemas.openxmlformats.org/officeDocument/2006/relationships/hyperlink" Target="https://ascentialcdn.filespin.io/api/v1/conversion/e0c228ff0e134ebea6c5d9ba0440fe7a" TargetMode="External" Id="rId87"/><Relationship Type="http://schemas.openxmlformats.org/officeDocument/2006/relationships/hyperlink" Target="https://www.lovethework.com/work/entries/w1ng-cod3s-745433" TargetMode="External" Id="rId88"/><Relationship Type="http://schemas.openxmlformats.org/officeDocument/2006/relationships/hyperlink" Target="https://ascentialcdn.filespin.io/api/v1/conversion/2b13b666d8054d2b91c39276aa026ac6" TargetMode="External" Id="rId89"/><Relationship Type="http://schemas.openxmlformats.org/officeDocument/2006/relationships/hyperlink" Target="https://www.lovethework.com/work/entries/airbnb-up-house-745499" TargetMode="External" Id="rId90"/><Relationship Type="http://schemas.openxmlformats.org/officeDocument/2006/relationships/hyperlink" Target="https://ascentialcdn.filespin.io/api/v1/conversion/e14b84bfe13a475898db5ad4b54d8a97" TargetMode="External" Id="rId91"/><Relationship Type="http://schemas.openxmlformats.org/officeDocument/2006/relationships/hyperlink" Target="https://www.lovethework.com/work/entries/touchboards-discount-745407" TargetMode="External" Id="rId92"/><Relationship Type="http://schemas.openxmlformats.org/officeDocument/2006/relationships/hyperlink" Target="https://ascentialcdn.filespin.io/api/v1/conversion/029792253daf49f2b2f5cce5c082ba68" TargetMode="External" Id="rId93"/><Relationship Type="http://schemas.openxmlformats.org/officeDocument/2006/relationships/hyperlink" Target="https://www.lovethework.com/work/entries/re-commerce-atacama-745730" TargetMode="External" Id="rId94"/><Relationship Type="http://schemas.openxmlformats.org/officeDocument/2006/relationships/hyperlink" Target="https://ascentialcdn.filespin.io/api/v1/conversion/db51bea9a01d40108f74e1fa9bd7ad3f" TargetMode="External" Id="rId95"/><Relationship Type="http://schemas.openxmlformats.org/officeDocument/2006/relationships/hyperlink" Target="https://www.lovethework.com/work/entries/airbnb-icons-745739" TargetMode="External" Id="rId96"/><Relationship Type="http://schemas.openxmlformats.org/officeDocument/2006/relationships/hyperlink" Target="https://ascentialcdn.filespin.io/api/v1/conversion/2a4269c3a4f744c88133f4bc79e63794" TargetMode="External" Id="rId97"/><Relationship Type="http://schemas.openxmlformats.org/officeDocument/2006/relationships/hyperlink" Target="https://www.lovethework.com/work/entries/reshaping-rugby-the-worlds-first-tiktok-final-745671" TargetMode="External" Id="rId98"/><Relationship Type="http://schemas.openxmlformats.org/officeDocument/2006/relationships/hyperlink" Target="https://ascentialcdn.filespin.io/api/v1/conversion/7bea5da12c704fafb1e98229f26e85bb" TargetMode="External" Id="rId99"/><Relationship Type="http://schemas.openxmlformats.org/officeDocument/2006/relationships/hyperlink" Target="https://www.lovethework.com/work/entries/one-second-ads-745740" TargetMode="External" Id="rId100"/><Relationship Type="http://schemas.openxmlformats.org/officeDocument/2006/relationships/hyperlink" Target="https://ascentialcdn.filespin.io/api/v1/conversion/c71743fc60654f52936a39391c93e6b7" TargetMode="External" Id="rId101"/><Relationship Type="http://schemas.openxmlformats.org/officeDocument/2006/relationships/hyperlink" Target="https://www.lovethework.com/work/entries/just-joking-745651" TargetMode="External" Id="rId102"/><Relationship Type="http://schemas.openxmlformats.org/officeDocument/2006/relationships/hyperlink" Target="https://ascentialcdn.filespin.io/api/v1/conversion/fd608adb8feb426fab936573ef6661c0" TargetMode="External" Id="rId103"/><Relationship Type="http://schemas.openxmlformats.org/officeDocument/2006/relationships/hyperlink" Target="https://www.lovethework.com/work/entries/garuda-rakshak-758736" TargetMode="External" Id="rId104"/><Relationship Type="http://schemas.openxmlformats.org/officeDocument/2006/relationships/hyperlink" Target="https://ascentialcdn.filespin.io/api/v1/conversion/8adbba54b1ee4132ba0f1dc7f1572480" TargetMode="External" Id="rId105"/><Relationship Type="http://schemas.openxmlformats.org/officeDocument/2006/relationships/hyperlink" Target="https://www.lovethework.com/work/entries/certified-toasters-745904" TargetMode="External" Id="rId106"/><Relationship Type="http://schemas.openxmlformats.org/officeDocument/2006/relationships/hyperlink" Target="https://ascentialcdn.filespin.io/api/v1/conversion/b5a17a1c03144e94967336e3b40cf303" TargetMode="External" Id="rId107"/><Relationship Type="http://schemas.openxmlformats.org/officeDocument/2006/relationships/hyperlink" Target="https://www.lovethework.com/work/entries/most-likely-to-759006" TargetMode="External" Id="rId108"/><Relationship Type="http://schemas.openxmlformats.org/officeDocument/2006/relationships/hyperlink" Target="https://ascentialcdn.filespin.io/api/v1/conversion/615e3a15eabf457d91d317468a12d825" TargetMode="External" Id="rId109"/><Relationship Type="http://schemas.openxmlformats.org/officeDocument/2006/relationships/hyperlink" Target="https://www.lovethework.com/work/entries/the-final-exam-761059" TargetMode="External" Id="rId110"/><Relationship Type="http://schemas.openxmlformats.org/officeDocument/2006/relationships/hyperlink" Target="https://ascentialcdn.filespin.io/api/v1/conversion/22c3eb49bf1f44e1a33da8051174a97d" TargetMode="External" Id="rId111"/><Relationship Type="http://schemas.openxmlformats.org/officeDocument/2006/relationships/hyperlink" Target="https://www.lovethework.com/work/entries/tiktok-university-745962" TargetMode="External" Id="rId112"/><Relationship Type="http://schemas.openxmlformats.org/officeDocument/2006/relationships/hyperlink" Target="https://ascentialcdn.filespin.io/api/v1/conversion/f500d38d39d342dcafa1abd15497ccd1" TargetMode="External" Id="rId113"/><Relationship Type="http://schemas.openxmlformats.org/officeDocument/2006/relationships/hyperlink" Target="https://www.lovethework.com/work/entries/the-lucky-sponsor-746083" TargetMode="External" Id="rId114"/><Relationship Type="http://schemas.openxmlformats.org/officeDocument/2006/relationships/hyperlink" Target="https://ascentialcdn.filespin.io/api/v1/conversion/8fe9e09227234701bc8fd2eb2a743693" TargetMode="External" Id="rId115"/><Relationship Type="http://schemas.openxmlformats.org/officeDocument/2006/relationships/hyperlink" Target="https://www.lovethework.com/work/entries/mcrib-mistakes-746027" TargetMode="External" Id="rId116"/><Relationship Type="http://schemas.openxmlformats.org/officeDocument/2006/relationships/hyperlink" Target="https://ascentialcdn.filespin.io/api/v1/conversion/86282110e23b4b43a6d78c517dc757a2" TargetMode="External" Id="rId117"/><Relationship Type="http://schemas.openxmlformats.org/officeDocument/2006/relationships/hyperlink" Target="https://www.lovethework.com/work/entries/pub-museums-746077" TargetMode="External" Id="rId118"/><Relationship Type="http://schemas.openxmlformats.org/officeDocument/2006/relationships/hyperlink" Target="https://ascentialcdn.filespin.io/api/v1/conversion/cc887f9119c440728c26ede9e95b1ad2" TargetMode="External" Id="rId119"/><Relationship Type="http://schemas.openxmlformats.org/officeDocument/2006/relationships/hyperlink" Target="https://www.lovethework.com/work/entries/lays-bar-crawl-746180" TargetMode="External" Id="rId120"/><Relationship Type="http://schemas.openxmlformats.org/officeDocument/2006/relationships/hyperlink" Target="https://ascentialcdn.filespin.io/api/v1/conversion/716b17d07a0d40d2b7b2a29d2ae9e171" TargetMode="External" Id="rId121"/><Relationship Type="http://schemas.openxmlformats.org/officeDocument/2006/relationships/hyperlink" Target="https://www.lovethework.com/work/entries/nature-shapes-britannia-746358" TargetMode="External" Id="rId122"/><Relationship Type="http://schemas.openxmlformats.org/officeDocument/2006/relationships/hyperlink" Target="https://ascentialcdn.filespin.io/api/v1/conversion/a0abdebc363f41448dc18f7a9a9a55bb" TargetMode="External" Id="rId123"/><Relationship Type="http://schemas.openxmlformats.org/officeDocument/2006/relationships/hyperlink" Target="https://www.lovethework.com/work/entries/time-to-live-746240" TargetMode="External" Id="rId124"/><Relationship Type="http://schemas.openxmlformats.org/officeDocument/2006/relationships/hyperlink" Target="https://ascentialcdn.filespin.io/api/v1/conversion/7349ab32362e4a798f3c0f3e9e70ead3" TargetMode="External" Id="rId125"/><Relationship Type="http://schemas.openxmlformats.org/officeDocument/2006/relationships/hyperlink" Target="https://www.lovethework.com/work/entries/missed-birthdays-746384" TargetMode="External" Id="rId126"/><Relationship Type="http://schemas.openxmlformats.org/officeDocument/2006/relationships/hyperlink" Target="https://ascentialcdn.filespin.io/api/v1/conversion/2b787b52c18a48968b47f3d07c59640d" TargetMode="External" Id="rId127"/><Relationship Type="http://schemas.openxmlformats.org/officeDocument/2006/relationships/hyperlink" Target="https://www.lovethework.com/work/entries/safe-sketch-759544" TargetMode="External" Id="rId128"/><Relationship Type="http://schemas.openxmlformats.org/officeDocument/2006/relationships/hyperlink" Target="https://ascentialcdn.filespin.io/api/v1/conversion/e43c43ae03f240ed8fbaf95002d5d795" TargetMode="External" Id="rId129"/><Relationship Type="http://schemas.openxmlformats.org/officeDocument/2006/relationships/hyperlink" Target="https://www.lovethework.com/work/entries/timeout-against-hate-746540" TargetMode="External" Id="rId130"/></Relationships>
</file>

<file path=xl/worksheets/_rels/sheet14.xml.rels><Relationships xmlns="http://schemas.openxmlformats.org/package/2006/relationships"><Relationship Type="http://schemas.openxmlformats.org/officeDocument/2006/relationships/hyperlink" Target="https://ascentialcdn.filespin.io/api/v1/conversion/ef118ab5982a4092aa78da671a82d86d" TargetMode="External" Id="rId1"/><Relationship Type="http://schemas.openxmlformats.org/officeDocument/2006/relationships/hyperlink" Target="https://www.lovethework.com/work/entries/lucky-yatra-749405" TargetMode="External" Id="rId2"/><Relationship Type="http://schemas.openxmlformats.org/officeDocument/2006/relationships/hyperlink" Target="https://ascentialcdn.filespin.io/api/v1/conversion/a8b9edfd44de47b893b950770030cf54" TargetMode="External" Id="rId3"/><Relationship Type="http://schemas.openxmlformats.org/officeDocument/2006/relationships/hyperlink" Target="https://www.lovethework.com/work/entries/the-parental-leave-mortgage-749615" TargetMode="External" Id="rId4"/><Relationship Type="http://schemas.openxmlformats.org/officeDocument/2006/relationships/hyperlink" Target="https://ascentialcdn.filespin.io/api/v1/conversion/6ce681a1873344eba0bc91e5d14a4997" TargetMode="External" Id="rId5"/><Relationship Type="http://schemas.openxmlformats.org/officeDocument/2006/relationships/hyperlink" Target="https://www.lovethework.com/work/entries/lucky-yatra-750264" TargetMode="External" Id="rId6"/><Relationship Type="http://schemas.openxmlformats.org/officeDocument/2006/relationships/hyperlink" Target="https://ascentialcdn.filespin.io/api/v1/conversion/e56e744cd3594eceb82733246e9035b2" TargetMode="External" Id="rId7"/><Relationship Type="http://schemas.openxmlformats.org/officeDocument/2006/relationships/hyperlink" Target="https://www.lovethework.com/work/entries/haaland-payback-time-749773" TargetMode="External" Id="rId8"/><Relationship Type="http://schemas.openxmlformats.org/officeDocument/2006/relationships/hyperlink" Target="https://ascentialcdn.filespin.io/api/v1/conversion/6876d84d5b5142e19c9d97302718d0f2" TargetMode="External" Id="rId9"/><Relationship Type="http://schemas.openxmlformats.org/officeDocument/2006/relationships/hyperlink" Target="https://www.lovethework.com/work/entries/nutter-butter-you-good-749742" TargetMode="External" Id="rId10"/><Relationship Type="http://schemas.openxmlformats.org/officeDocument/2006/relationships/hyperlink" Target="https://ascentialcdn.filespin.io/api/v1/conversion/e1a85ff134e545c7b049791151432028" TargetMode="External" Id="rId11"/><Relationship Type="http://schemas.openxmlformats.org/officeDocument/2006/relationships/hyperlink" Target="https://www.lovethework.com/work/entries/axa-three-words-749672" TargetMode="External" Id="rId12"/><Relationship Type="http://schemas.openxmlformats.org/officeDocument/2006/relationships/hyperlink" Target="https://ascentialcdn.filespin.io/api/v1/conversion/8a8d409a0e954a6b8f0df7b07bba8cc9" TargetMode="External" Id="rId13"/><Relationship Type="http://schemas.openxmlformats.org/officeDocument/2006/relationships/hyperlink" Target="https://www.lovethework.com/work/entries/progresso-soup-drops-749792" TargetMode="External" Id="rId14"/><Relationship Type="http://schemas.openxmlformats.org/officeDocument/2006/relationships/hyperlink" Target="https://ascentialcdn.filespin.io/api/v1/conversion/652b705dcecc4cb7a72c76e4e22c80e5" TargetMode="External" Id="rId15"/><Relationship Type="http://schemas.openxmlformats.org/officeDocument/2006/relationships/hyperlink" Target="https://www.lovethework.com/work/entries/sun-reserve-749967" TargetMode="External" Id="rId16"/><Relationship Type="http://schemas.openxmlformats.org/officeDocument/2006/relationships/hyperlink" Target="https://ascentialcdn.filespin.io/api/v1/conversion/6f38aa2f9e1c4c1c906cc1fb6b7c7e8b" TargetMode="External" Id="rId17"/><Relationship Type="http://schemas.openxmlformats.org/officeDocument/2006/relationships/hyperlink" Target="https://www.lovethework.com/work/entries/daisy-vs-scammers-750173" TargetMode="External" Id="rId18"/><Relationship Type="http://schemas.openxmlformats.org/officeDocument/2006/relationships/hyperlink" Target="https://ascentialcdn.filespin.io/api/v1/conversion/b8993a8a561d47fe9b9f126b8fbb45ce" TargetMode="External" Id="rId19"/><Relationship Type="http://schemas.openxmlformats.org/officeDocument/2006/relationships/hyperlink" Target="https://www.lovethework.com/work/entries/olympic-curry-749727" TargetMode="External" Id="rId20"/><Relationship Type="http://schemas.openxmlformats.org/officeDocument/2006/relationships/hyperlink" Target="https://ascentialcdn.filespin.io/api/v1/conversion/32b2b247e87144d9837c4fa1252873da" TargetMode="External" Id="rId21"/><Relationship Type="http://schemas.openxmlformats.org/officeDocument/2006/relationships/hyperlink" Target="https://www.lovethework.com/work/entries/sato-2531-749858" TargetMode="External" Id="rId22"/><Relationship Type="http://schemas.openxmlformats.org/officeDocument/2006/relationships/hyperlink" Target="https://ascentialcdn.filespin.io/api/v1/conversion/cdd8c63860a0458e9216b7b4bf571de5" TargetMode="External" Id="rId23"/><Relationship Type="http://schemas.openxmlformats.org/officeDocument/2006/relationships/hyperlink" Target="https://www.lovethework.com/work/entries/36-months-749925" TargetMode="External" Id="rId24"/><Relationship Type="http://schemas.openxmlformats.org/officeDocument/2006/relationships/hyperlink" Target="https://ascentialcdn.filespin.io/api/v1/conversion/cb4f0acca9cb478893406007849a23c0" TargetMode="External" Id="rId25"/><Relationship Type="http://schemas.openxmlformats.org/officeDocument/2006/relationships/hyperlink" Target="https://www.lovethework.com/work/entries/starring-bars-750301" TargetMode="External" Id="rId26"/><Relationship Type="http://schemas.openxmlformats.org/officeDocument/2006/relationships/hyperlink" Target="https://ascentialcdn.filespin.io/api/v1/conversion/5c80ce09550145728784bed3f8bb1e31" TargetMode="External" Id="rId27"/><Relationship Type="http://schemas.openxmlformats.org/officeDocument/2006/relationships/hyperlink" Target="https://www.lovethework.com/work/entries/vagina-privacy-network-750716" TargetMode="External" Id="rId28"/><Relationship Type="http://schemas.openxmlformats.org/officeDocument/2006/relationships/hyperlink" Target="https://ascentialcdn.filespin.io/api/v1/conversion/a8b9edfd44de47b893b950770030cf54" TargetMode="External" Id="rId29"/><Relationship Type="http://schemas.openxmlformats.org/officeDocument/2006/relationships/hyperlink" Target="https://www.lovethework.com/work/entries/the-parental-leave-mortgage-750346" TargetMode="External" Id="rId30"/><Relationship Type="http://schemas.openxmlformats.org/officeDocument/2006/relationships/hyperlink" Target="https://ascentialcdn.filespin.io/api/v1/conversion/007c37a609e847899644d346bd35699c" TargetMode="External" Id="rId31"/><Relationship Type="http://schemas.openxmlformats.org/officeDocument/2006/relationships/hyperlink" Target="https://www.lovethework.com/work/entries/daisy-vs-scammers-750543" TargetMode="External" Id="rId32"/><Relationship Type="http://schemas.openxmlformats.org/officeDocument/2006/relationships/hyperlink" Target="https://ascentialcdn.filespin.io/api/v1/conversion/209b56419a8746b798d912dd8a2484be" TargetMode="External" Id="rId33"/><Relationship Type="http://schemas.openxmlformats.org/officeDocument/2006/relationships/hyperlink" Target="https://www.lovethework.com/work/entries/drops-of-hope-750467" TargetMode="External" Id="rId34"/><Relationship Type="http://schemas.openxmlformats.org/officeDocument/2006/relationships/hyperlink" Target="https://ascentialcdn.filespin.io/api/v1/conversion/faf0755b0d4e4594ad93cb75d6288e3d" TargetMode="External" Id="rId35"/><Relationship Type="http://schemas.openxmlformats.org/officeDocument/2006/relationships/hyperlink" Target="https://www.lovethework.com/work/entries/vaseline-verified-749609" TargetMode="External" Id="rId36"/><Relationship Type="http://schemas.openxmlformats.org/officeDocument/2006/relationships/hyperlink" Target="https://ascentialcdn.filespin.io/api/v1/conversion/91816b59cf3643579a92b833dbfa85d5" TargetMode="External" Id="rId37"/><Relationship Type="http://schemas.openxmlformats.org/officeDocument/2006/relationships/hyperlink" Target="https://www.lovethework.com/work/entries/back-home-750655" TargetMode="External" Id="rId38"/><Relationship Type="http://schemas.openxmlformats.org/officeDocument/2006/relationships/hyperlink" Target="https://www.lovethework.com/work/entries/the-final-copy-of-ilon-specht-749945" TargetMode="External" Id="rId39"/><Relationship Type="http://schemas.openxmlformats.org/officeDocument/2006/relationships/hyperlink" Target="https://ascentialcdn.filespin.io/api/v1/conversion/e1a85ff134e545c7b049791151432028" TargetMode="External" Id="rId40"/><Relationship Type="http://schemas.openxmlformats.org/officeDocument/2006/relationships/hyperlink" Target="https://www.lovethework.com/work/entries/axa-three-words-750061" TargetMode="External" Id="rId41"/><Relationship Type="http://schemas.openxmlformats.org/officeDocument/2006/relationships/hyperlink" Target="https://ascentialcdn.filespin.io/api/v1/conversion/ef118ab5982a4092aa78da671a82d86d" TargetMode="External" Id="rId42"/><Relationship Type="http://schemas.openxmlformats.org/officeDocument/2006/relationships/hyperlink" Target="https://www.lovethework.com/work/entries/lucky-yatra-750435" TargetMode="External" Id="rId43"/><Relationship Type="http://schemas.openxmlformats.org/officeDocument/2006/relationships/hyperlink" Target="https://ascentialcdn.filespin.io/api/v1/conversion/b1496fa749f64107b95e694dad4ea642" TargetMode="External" Id="rId44"/><Relationship Type="http://schemas.openxmlformats.org/officeDocument/2006/relationships/hyperlink" Target="https://www.lovethework.com/work/entries/life-quality-insurance-762920" TargetMode="External" Id="rId45"/><Relationship Type="http://schemas.openxmlformats.org/officeDocument/2006/relationships/hyperlink" Target="https://ascentialcdn.filespin.io/api/v1/conversion/801d900ea7e54051acb4be6f9e72ee48" TargetMode="External" Id="rId46"/><Relationship Type="http://schemas.openxmlformats.org/officeDocument/2006/relationships/hyperlink" Target="https://www.lovethework.com/work/entries/spreadbeats-749631" TargetMode="External" Id="rId47"/><Relationship Type="http://schemas.openxmlformats.org/officeDocument/2006/relationships/hyperlink" Target="https://ascentialcdn.filespin.io/api/v1/conversion/4c902db1b7474d62b83e2c58918cb516" TargetMode="External" Id="rId48"/><Relationship Type="http://schemas.openxmlformats.org/officeDocument/2006/relationships/hyperlink" Target="https://www.lovethework.com/work/entries/returning-creativity-749503" TargetMode="External" Id="rId49"/><Relationship Type="http://schemas.openxmlformats.org/officeDocument/2006/relationships/hyperlink" Target="https://ascentialcdn.filespin.io/api/v1/conversion/cf9b2fe1598741a49e722f6eea3b77a0" TargetMode="External" Id="rId50"/><Relationship Type="http://schemas.openxmlformats.org/officeDocument/2006/relationships/hyperlink" Target="https://www.lovethework.com/work/entries/baz-box-749721" TargetMode="External" Id="rId51"/><Relationship Type="http://schemas.openxmlformats.org/officeDocument/2006/relationships/hyperlink" Target="https://ascentialcdn.filespin.io/api/v1/conversion/fcac93d33c3d4b1c93da6b13d3e32b5e" TargetMode="External" Id="rId52"/><Relationship Type="http://schemas.openxmlformats.org/officeDocument/2006/relationships/hyperlink" Target="https://www.lovethework.com/work/entries/zip-code-exam-763599" TargetMode="External" Id="rId53"/><Relationship Type="http://schemas.openxmlformats.org/officeDocument/2006/relationships/hyperlink" Target="https://ascentialcdn.filespin.io/api/v1/conversion/2e5a7229e93f47729bb533fe3facf0ce" TargetMode="External" Id="rId54"/><Relationship Type="http://schemas.openxmlformats.org/officeDocument/2006/relationships/hyperlink" Target="https://www.lovethework.com/work/entries/you-already-vote-so-vote-749869" TargetMode="External" Id="rId55"/><Relationship Type="http://schemas.openxmlformats.org/officeDocument/2006/relationships/hyperlink" Target="https://ascentialcdn.filespin.io/api/v1/conversion/faf0755b0d4e4594ad93cb75d6288e3d" TargetMode="External" Id="rId56"/><Relationship Type="http://schemas.openxmlformats.org/officeDocument/2006/relationships/hyperlink" Target="https://www.lovethework.com/work/entries/vaseline-verified-749628" TargetMode="External" Id="rId57"/><Relationship Type="http://schemas.openxmlformats.org/officeDocument/2006/relationships/hyperlink" Target="https://ascentialcdn.filespin.io/api/v1/conversion/afa88aa8421b41a18c68b9863bb6926c" TargetMode="External" Id="rId58"/><Relationship Type="http://schemas.openxmlformats.org/officeDocument/2006/relationships/hyperlink" Target="https://www.lovethework.com/work/entries/gulf-of-mexico-bar-750080" TargetMode="External" Id="rId59"/><Relationship Type="http://schemas.openxmlformats.org/officeDocument/2006/relationships/hyperlink" Target="https://ascentialcdn.filespin.io/api/v1/conversion/f1c6e266081d4161b8e3ecc7ecb15a78" TargetMode="External" Id="rId60"/><Relationship Type="http://schemas.openxmlformats.org/officeDocument/2006/relationships/hyperlink" Target="https://www.lovethework.com/work/entries/the-cheeky-controller-761423" TargetMode="External" Id="rId61"/><Relationship Type="http://schemas.openxmlformats.org/officeDocument/2006/relationships/hyperlink" Target="https://ascentialcdn.filespin.io/api/v1/conversion/e8c3f17a1d22438baf55afccbfc8e939" TargetMode="External" Id="rId62"/><Relationship Type="http://schemas.openxmlformats.org/officeDocument/2006/relationships/hyperlink" Target="https://www.lovethework.com/work/entries/bark-air-100-real-airline-for-dogs-750098" TargetMode="External" Id="rId63"/><Relationship Type="http://schemas.openxmlformats.org/officeDocument/2006/relationships/hyperlink" Target="https://ascentialcdn.filespin.io/api/v1/conversion/ac0ba2cefb2d4319a2897836bac8e95b" TargetMode="External" Id="rId64"/><Relationship Type="http://schemas.openxmlformats.org/officeDocument/2006/relationships/hyperlink" Target="https://www.lovethework.com/work/entries/dont-sleep-on-saquon-749425" TargetMode="External" Id="rId65"/><Relationship Type="http://schemas.openxmlformats.org/officeDocument/2006/relationships/hyperlink" Target="https://ascentialcdn.filespin.io/api/v1/conversion/646d07b2f9d44d25a9c40938cb00263d" TargetMode="External" Id="rId66"/><Relationship Type="http://schemas.openxmlformats.org/officeDocument/2006/relationships/hyperlink" Target="https://www.lovethework.com/work/entries/share-the-first-750505" TargetMode="External" Id="rId67"/><Relationship Type="http://schemas.openxmlformats.org/officeDocument/2006/relationships/hyperlink" Target="https://ascentialcdn.filespin.io/api/v1/conversion/a218a039090842639ec9571a03e108c2" TargetMode="External" Id="rId68"/><Relationship Type="http://schemas.openxmlformats.org/officeDocument/2006/relationships/hyperlink" Target="https://www.lovethework.com/work/entries/unfreeze-my-rights-750272" TargetMode="External" Id="rId69"/><Relationship Type="http://schemas.openxmlformats.org/officeDocument/2006/relationships/hyperlink" Target="https://www.lovethework.com/work/entries/dirty-mouth-sponsorship-749823" TargetMode="External" Id="rId70"/><Relationship Type="http://schemas.openxmlformats.org/officeDocument/2006/relationships/hyperlink" Target="https://ascentialcdn.filespin.io/api/v1/conversion/1ab5088d7e8045be97ee60dda6493938" TargetMode="External" Id="rId71"/><Relationship Type="http://schemas.openxmlformats.org/officeDocument/2006/relationships/hyperlink" Target="https://www.lovethework.com/work/entries/filter-caps-750736" TargetMode="External" Id="rId72"/><Relationship Type="http://schemas.openxmlformats.org/officeDocument/2006/relationships/hyperlink" Target="https://ascentialcdn.filespin.io/api/v1/conversion/db51bea9a01d40108f74e1fa9bd7ad3f" TargetMode="External" Id="rId73"/><Relationship Type="http://schemas.openxmlformats.org/officeDocument/2006/relationships/hyperlink" Target="https://www.lovethework.com/work/entries/airbnb-icons-750344" TargetMode="External" Id="rId74"/><Relationship Type="http://schemas.openxmlformats.org/officeDocument/2006/relationships/hyperlink" Target="https://ascentialcdn.filespin.io/api/v1/conversion/b5f895adbf4c4511b092d3d1cf94a294" TargetMode="External" Id="rId75"/><Relationship Type="http://schemas.openxmlformats.org/officeDocument/2006/relationships/hyperlink" Target="https://www.lovethework.com/work/entries/box-to-beds-750639" TargetMode="External" Id="rId76"/><Relationship Type="http://schemas.openxmlformats.org/officeDocument/2006/relationships/hyperlink" Target="https://ascentialcdn.filespin.io/api/v1/conversion/f8592ba04ed4495d8a51757d790e8679" TargetMode="External" Id="rId77"/><Relationship Type="http://schemas.openxmlformats.org/officeDocument/2006/relationships/hyperlink" Target="https://www.lovethework.com/work/entries/renault-unpatent-750048" TargetMode="External" Id="rId78"/><Relationship Type="http://schemas.openxmlformats.org/officeDocument/2006/relationships/hyperlink" Target="https://www.lovethework.com/work/entries/export-ultra-cold-call-back-service-750536" TargetMode="External" Id="rId79"/><Relationship Type="http://schemas.openxmlformats.org/officeDocument/2006/relationships/hyperlink" Target="https://ascentialcdn.filespin.io/api/v1/conversion/5e2b835a636345e0a9110a3076d31dca" TargetMode="External" Id="rId80"/><Relationship Type="http://schemas.openxmlformats.org/officeDocument/2006/relationships/hyperlink" Target="https://www.lovethework.com/work/entries/the-meal-750472" TargetMode="External" Id="rId81"/><Relationship Type="http://schemas.openxmlformats.org/officeDocument/2006/relationships/hyperlink" Target="https://www.lovethework.com/work/entries/sponsored-balls-750118" TargetMode="External" Id="rId82"/><Relationship Type="http://schemas.openxmlformats.org/officeDocument/2006/relationships/hyperlink" Target="https://ascentialcdn.filespin.io/api/v1/conversion/fe9e00109f57461bb9f36f9c845a8be1" TargetMode="External" Id="rId83"/><Relationship Type="http://schemas.openxmlformats.org/officeDocument/2006/relationships/hyperlink" Target="https://www.lovethework.com/work/entries/sato-2531-750198" TargetMode="External" Id="rId84"/></Relationships>
</file>

<file path=xl/worksheets/_rels/sheet15.xml.rels><Relationships xmlns="http://schemas.openxmlformats.org/package/2006/relationships"><Relationship Type="http://schemas.openxmlformats.org/officeDocument/2006/relationships/hyperlink" Target="https://ascentialcdn.filespin.io/api/v1/conversion/faf0755b0d4e4594ad93cb75d6288e3d" TargetMode="External" Id="rId1"/><Relationship Type="http://schemas.openxmlformats.org/officeDocument/2006/relationships/hyperlink" Target="https://www.lovethework.com/work/entries/vaseline-verified-742887" TargetMode="External" Id="rId2"/><Relationship Type="http://schemas.openxmlformats.org/officeDocument/2006/relationships/hyperlink" Target="https://ascentialcdn.filespin.io/api/v1/conversion/acedbde3eb964175b899c5e90a584d7a" TargetMode="External" Id="rId3"/><Relationship Type="http://schemas.openxmlformats.org/officeDocument/2006/relationships/hyperlink" Target="https://www.lovethework.com/work/entries/navy-subreddit-hunt-742520" TargetMode="External" Id="rId4"/><Relationship Type="http://schemas.openxmlformats.org/officeDocument/2006/relationships/hyperlink" Target="https://ascentialcdn.filespin.io/api/v1/conversion/abd9a65dba9c44ab8abe0ea46a3db71c" TargetMode="External" Id="rId5"/><Relationship Type="http://schemas.openxmlformats.org/officeDocument/2006/relationships/hyperlink" Target="https://www.lovethework.com/work/entries/resale-742723" TargetMode="External" Id="rId6"/><Relationship Type="http://schemas.openxmlformats.org/officeDocument/2006/relationships/hyperlink" Target="https://ascentialcdn.filespin.io/api/v1/conversion/1d6f8cfcad1b47c9beaa5f403844ec8a" TargetMode="External" Id="rId7"/><Relationship Type="http://schemas.openxmlformats.org/officeDocument/2006/relationships/hyperlink" Target="https://www.lovethework.com/work/entries/u-up-743199" TargetMode="External" Id="rId8"/><Relationship Type="http://schemas.openxmlformats.org/officeDocument/2006/relationships/hyperlink" Target="https://ascentialcdn.filespin.io/api/v1/conversion/7581a597717542d6b5b354f2ffcb56a5" TargetMode="External" Id="rId9"/><Relationship Type="http://schemas.openxmlformats.org/officeDocument/2006/relationships/hyperlink" Target="https://www.lovethework.com/work/entries/redditor-edit-743155" TargetMode="External" Id="rId10"/><Relationship Type="http://schemas.openxmlformats.org/officeDocument/2006/relationships/hyperlink" Target="https://ascentialcdn.filespin.io/api/v1/conversion/a64caaaecf144955a62b435827fff0e3" TargetMode="External" Id="rId11"/><Relationship Type="http://schemas.openxmlformats.org/officeDocument/2006/relationships/hyperlink" Target="https://www.lovethework.com/work/entries/erase-valentines-day-743287" TargetMode="External" Id="rId12"/><Relationship Type="http://schemas.openxmlformats.org/officeDocument/2006/relationships/hyperlink" Target="https://ascentialcdn.filespin.io/api/v1/conversion/b8993a8a561d47fe9b9f126b8fbb45ce" TargetMode="External" Id="rId13"/><Relationship Type="http://schemas.openxmlformats.org/officeDocument/2006/relationships/hyperlink" Target="https://www.lovethework.com/work/entries/olympic-curry-742518" TargetMode="External" Id="rId14"/><Relationship Type="http://schemas.openxmlformats.org/officeDocument/2006/relationships/hyperlink" Target="https://ascentialcdn.filespin.io/api/v1/conversion/6876d84d5b5142e19c9d97302718d0f2" TargetMode="External" Id="rId15"/><Relationship Type="http://schemas.openxmlformats.org/officeDocument/2006/relationships/hyperlink" Target="https://www.lovethework.com/work/entries/nutter-butter-you-good-743552" TargetMode="External" Id="rId16"/><Relationship Type="http://schemas.openxmlformats.org/officeDocument/2006/relationships/hyperlink" Target="https://www.lovethework.com/work/entries/one-second-ads-759513" TargetMode="External" Id="rId17"/><Relationship Type="http://schemas.openxmlformats.org/officeDocument/2006/relationships/hyperlink" Target="https://ascentialcdn.filespin.io/api/v1/conversion/f4109c89080c4d6b8170e479b78d5160" TargetMode="External" Id="rId18"/><Relationship Type="http://schemas.openxmlformats.org/officeDocument/2006/relationships/hyperlink" Target="https://www.lovethework.com/work/entries/the-death-of-duo-742331" TargetMode="External" Id="rId19"/><Relationship Type="http://schemas.openxmlformats.org/officeDocument/2006/relationships/hyperlink" Target="https://ascentialcdn.filespin.io/api/v1/conversion/afa88aa8421b41a18c68b9863bb6926c" TargetMode="External" Id="rId20"/><Relationship Type="http://schemas.openxmlformats.org/officeDocument/2006/relationships/hyperlink" Target="https://www.lovethework.com/work/entries/gulf-of-mexico-bar-743548" TargetMode="External" Id="rId21"/><Relationship Type="http://schemas.openxmlformats.org/officeDocument/2006/relationships/hyperlink" Target="https://ascentialcdn.filespin.io/api/v1/conversion/7581a597717542d6b5b354f2ffcb56a5" TargetMode="External" Id="rId22"/><Relationship Type="http://schemas.openxmlformats.org/officeDocument/2006/relationships/hyperlink" Target="https://www.lovethework.com/work/entries/redditor-edit-742379" TargetMode="External" Id="rId23"/><Relationship Type="http://schemas.openxmlformats.org/officeDocument/2006/relationships/hyperlink" Target="https://ascentialcdn.filespin.io/api/v1/conversion/f5ffbe1532054f85b7f9f9b7fba1f1ee" TargetMode="External" Id="rId24"/><Relationship Type="http://schemas.openxmlformats.org/officeDocument/2006/relationships/hyperlink" Target="https://www.lovethework.com/work/entries/fizzooka-742654" TargetMode="External" Id="rId25"/><Relationship Type="http://schemas.openxmlformats.org/officeDocument/2006/relationships/hyperlink" Target="https://ascentialcdn.filespin.io/api/v1/conversion/c0034932e80d4cb1aa654cc85c066b7e" TargetMode="External" Id="rId26"/><Relationship Type="http://schemas.openxmlformats.org/officeDocument/2006/relationships/hyperlink" Target="https://www.lovethework.com/work/entries/severance-s2-integrated-campaign-743040" TargetMode="External" Id="rId27"/><Relationship Type="http://schemas.openxmlformats.org/officeDocument/2006/relationships/hyperlink" Target="https://ascentialcdn.filespin.io/api/v1/conversion/2e880efa163040b884c55c34c5aa79f9" TargetMode="External" Id="rId28"/><Relationship Type="http://schemas.openxmlformats.org/officeDocument/2006/relationships/hyperlink" Target="https://www.lovethework.com/work/entries/tide-collateral-stain-stories-742510" TargetMode="External" Id="rId29"/><Relationship Type="http://schemas.openxmlformats.org/officeDocument/2006/relationships/hyperlink" Target="https://ascentialcdn.filespin.io/api/v1/conversion/16704911a39145c09f1ae466143b410d" TargetMode="External" Id="rId30"/><Relationship Type="http://schemas.openxmlformats.org/officeDocument/2006/relationships/hyperlink" Target="https://www.lovethework.com/work/entries/retro-influencers-743091" TargetMode="External" Id="rId31"/><Relationship Type="http://schemas.openxmlformats.org/officeDocument/2006/relationships/hyperlink" Target="https://ascentialcdn.filespin.io/api/v1/conversion/cc887f9119c440728c26ede9e95b1ad2" TargetMode="External" Id="rId32"/><Relationship Type="http://schemas.openxmlformats.org/officeDocument/2006/relationships/hyperlink" Target="https://www.lovethework.com/work/entries/lays-bar-crawl-743116" TargetMode="External" Id="rId33"/><Relationship Type="http://schemas.openxmlformats.org/officeDocument/2006/relationships/hyperlink" Target="https://www.lovethework.com/work/entries/name-this-oreo-765219" TargetMode="External" Id="rId34"/><Relationship Type="http://schemas.openxmlformats.org/officeDocument/2006/relationships/hyperlink" Target="https://www.lovethework.com/work/entries/name-this-oreo-765219" TargetMode="External" Id="rId35"/><Relationship Type="http://schemas.openxmlformats.org/officeDocument/2006/relationships/hyperlink" Target="https://ascentialcdn.filespin.io/api/v1/conversion/fffcddb9a87d448bbc386fd70d215d5e" TargetMode="External" Id="rId36"/><Relationship Type="http://schemas.openxmlformats.org/officeDocument/2006/relationships/hyperlink" Target="https://www.lovethework.com/work/entries/call-of-discounts-742896" TargetMode="External" Id="rId37"/><Relationship Type="http://schemas.openxmlformats.org/officeDocument/2006/relationships/hyperlink" Target="https://ascentialcdn.filespin.io/api/v1/conversion/faf0755b0d4e4594ad93cb75d6288e3d" TargetMode="External" Id="rId38"/><Relationship Type="http://schemas.openxmlformats.org/officeDocument/2006/relationships/hyperlink" Target="https://www.lovethework.com/work/entries/vaseline-verified-742181" TargetMode="External" Id="rId39"/><Relationship Type="http://schemas.openxmlformats.org/officeDocument/2006/relationships/hyperlink" Target="https://www.lovethework.com/work/entries/the-ordinary-life-hearing-test-742956" TargetMode="External" Id="rId40"/><Relationship Type="http://schemas.openxmlformats.org/officeDocument/2006/relationships/hyperlink" Target="https://ascentialcdn.filespin.io/api/v1/conversion/e3dd4e261f53452d8b3606a823b3c38e" TargetMode="External" Id="rId41"/><Relationship Type="http://schemas.openxmlformats.org/officeDocument/2006/relationships/hyperlink" Target="https://www.lovethework.com/work/entries/learn-korean-or-else-743038" TargetMode="External" Id="rId42"/><Relationship Type="http://schemas.openxmlformats.org/officeDocument/2006/relationships/hyperlink" Target="https://ascentialcdn.filespin.io/api/v1/conversion/86defc97414f43e0a94ca2bff0946f93" TargetMode="External" Id="rId43"/><Relationship Type="http://schemas.openxmlformats.org/officeDocument/2006/relationships/hyperlink" Target="https://www.lovethework.com/work/entries/diss-mas-742726" TargetMode="External" Id="rId44"/><Relationship Type="http://schemas.openxmlformats.org/officeDocument/2006/relationships/hyperlink" Target="https://ascentialcdn.filespin.io/api/v1/conversion/9a3e971b881d4a4ca39d80b57dd71382" TargetMode="External" Id="rId45"/><Relationship Type="http://schemas.openxmlformats.org/officeDocument/2006/relationships/hyperlink" Target="https://www.lovethework.com/work/entries/pedigree-caramelo-760896" TargetMode="External" Id="rId46"/><Relationship Type="http://schemas.openxmlformats.org/officeDocument/2006/relationships/hyperlink" Target="https://ascentialcdn.filespin.io/api/v1/conversion/70f6c404ba5843648150004783102991" TargetMode="External" Id="rId47"/><Relationship Type="http://schemas.openxmlformats.org/officeDocument/2006/relationships/hyperlink" Target="https://www.lovethework.com/work/entries/undeleted-743391" TargetMode="External" Id="rId48"/><Relationship Type="http://schemas.openxmlformats.org/officeDocument/2006/relationships/hyperlink" Target="https://ascentialcdn.filespin.io/api/v1/conversion/475e966b12d5487d962412c02cc3eba4" TargetMode="External" Id="rId49"/><Relationship Type="http://schemas.openxmlformats.org/officeDocument/2006/relationships/hyperlink" Target="https://www.lovethework.com/work/entries/someday-743009" TargetMode="External" Id="rId50"/><Relationship Type="http://schemas.openxmlformats.org/officeDocument/2006/relationships/hyperlink" Target="https://ascentialcdn.filespin.io/api/v1/conversion/b5a740dfdc0d4568a12c4e6ce327e1a1" TargetMode="External" Id="rId51"/><Relationship Type="http://schemas.openxmlformats.org/officeDocument/2006/relationships/hyperlink" Target="https://www.lovethework.com/work/entries/four-seasons-baby-742458" TargetMode="External" Id="rId52"/><Relationship Type="http://schemas.openxmlformats.org/officeDocument/2006/relationships/hyperlink" Target="https://ascentialcdn.filespin.io/api/v1/conversion/2c42f51097e14b1c9252656b853fc08f" TargetMode="External" Id="rId53"/><Relationship Type="http://schemas.openxmlformats.org/officeDocument/2006/relationships/hyperlink" Target="https://www.lovethework.com/work/entries/abracadabra-from-fan-to-featured-759424" TargetMode="External" Id="rId54"/><Relationship Type="http://schemas.openxmlformats.org/officeDocument/2006/relationships/hyperlink" Target="https://ascentialcdn.filespin.io/api/v1/conversion/f4109c89080c4d6b8170e479b78d5160" TargetMode="External" Id="rId55"/><Relationship Type="http://schemas.openxmlformats.org/officeDocument/2006/relationships/hyperlink" Target="https://www.lovethework.com/work/entries/the-death-of-duo-742370" TargetMode="External" Id="rId56"/><Relationship Type="http://schemas.openxmlformats.org/officeDocument/2006/relationships/hyperlink" Target="https://ascentialcdn.filespin.io/api/v1/conversion/63359301abaf4173a6021398ff077c93" TargetMode="External" Id="rId57"/><Relationship Type="http://schemas.openxmlformats.org/officeDocument/2006/relationships/hyperlink" Target="https://www.lovethework.com/work/entries/5-star-theater-with-adam-driver-743003" TargetMode="External" Id="rId58"/><Relationship Type="http://schemas.openxmlformats.org/officeDocument/2006/relationships/hyperlink" Target="https://ascentialcdn.filespin.io/api/v1/conversion/f2978f9255da42889e454a19c0f9f5ea" TargetMode="External" Id="rId59"/><Relationship Type="http://schemas.openxmlformats.org/officeDocument/2006/relationships/hyperlink" Target="https://www.lovethework.com/work/entries/oreo-empire-742460" TargetMode="External" Id="rId60"/><Relationship Type="http://schemas.openxmlformats.org/officeDocument/2006/relationships/hyperlink" Target="https://ascentialcdn.filespin.io/api/v1/conversion/bcf3f7bdfec54845a73773b5e7abc7db" TargetMode="External" Id="rId61"/><Relationship Type="http://schemas.openxmlformats.org/officeDocument/2006/relationships/hyperlink" Target="https://www.lovethework.com/work/entries/trash-talk-codes-742731" TargetMode="External" Id="rId62"/><Relationship Type="http://schemas.openxmlformats.org/officeDocument/2006/relationships/hyperlink" Target="https://ascentialcdn.filespin.io/api/v1/conversion/510865a52f65499f83e95097f9458b0c" TargetMode="External" Id="rId63"/><Relationship Type="http://schemas.openxmlformats.org/officeDocument/2006/relationships/hyperlink" Target="https://www.lovethework.com/work/entries/tide-collateral-stain-stories-742796" TargetMode="External" Id="rId64"/><Relationship Type="http://schemas.openxmlformats.org/officeDocument/2006/relationships/hyperlink" Target="https://ascentialcdn.filespin.io/api/v1/conversion/f979928ea0a14ad7a4df5b301de95a0e" TargetMode="External" Id="rId65"/><Relationship Type="http://schemas.openxmlformats.org/officeDocument/2006/relationships/hyperlink" Target="https://www.lovethework.com/work/entries/lidlize-760659" TargetMode="External" Id="rId66"/><Relationship Type="http://schemas.openxmlformats.org/officeDocument/2006/relationships/hyperlink" Target="https://ascentialcdn.filespin.io/api/v1/conversion/bd69a0303076425391bbc54c35136f07" TargetMode="External" Id="rId67"/><Relationship Type="http://schemas.openxmlformats.org/officeDocument/2006/relationships/hyperlink" Target="https://www.lovethework.com/work/entries/harmoniser-743035" TargetMode="External" Id="rId68"/><Relationship Type="http://schemas.openxmlformats.org/officeDocument/2006/relationships/hyperlink" Target="https://www.lovethework.com/work/entries/tantrum-girl-742550" TargetMode="External" Id="rId69"/><Relationship Type="http://schemas.openxmlformats.org/officeDocument/2006/relationships/hyperlink" Target="https://ascentialcdn.filespin.io/api/v1/conversion/b8993a8a561d47fe9b9f126b8fbb45ce" TargetMode="External" Id="rId70"/><Relationship Type="http://schemas.openxmlformats.org/officeDocument/2006/relationships/hyperlink" Target="https://www.lovethework.com/work/entries/olympic-curry-742643" TargetMode="External" Id="rId71"/><Relationship Type="http://schemas.openxmlformats.org/officeDocument/2006/relationships/hyperlink" Target="https://ascentialcdn.filespin.io/api/v1/conversion/6a5dda0a534843feb5db80efbb5a5b2c" TargetMode="External" Id="rId72"/><Relationship Type="http://schemas.openxmlformats.org/officeDocument/2006/relationships/hyperlink" Target="https://www.lovethework.com/work/entries/feelin-planty-good-742838" TargetMode="External" Id="rId73"/><Relationship Type="http://schemas.openxmlformats.org/officeDocument/2006/relationships/hyperlink" Target="https://ascentialcdn.filespin.io/api/v1/conversion/1c6ea8a8d83c40ee81aad876ed744e8a" TargetMode="External" Id="rId74"/><Relationship Type="http://schemas.openxmlformats.org/officeDocument/2006/relationships/hyperlink" Target="https://www.lovethework.com/work/entries/letting-our-gen-z-staff-write-the-marketing-script-742712" TargetMode="External" Id="rId75"/><Relationship Type="http://schemas.openxmlformats.org/officeDocument/2006/relationships/hyperlink" Target="https://ascentialcdn.filespin.io/api/v1/conversion/f757f3845e604e6482123c99fa943337" TargetMode="External" Id="rId76"/><Relationship Type="http://schemas.openxmlformats.org/officeDocument/2006/relationships/hyperlink" Target="https://www.lovethework.com/work/entries/250-reasons-not-to-buy-the-mercedes-amg-purespeed-743080" TargetMode="External" Id="rId77"/><Relationship Type="http://schemas.openxmlformats.org/officeDocument/2006/relationships/hyperlink" Target="https://ascentialcdn.filespin.io/api/v1/conversion/86bcac60e3f648c7881b028c2d9d2273" TargetMode="External" Id="rId78"/><Relationship Type="http://schemas.openxmlformats.org/officeDocument/2006/relationships/hyperlink" Target="https://www.lovethework.com/work/entries/snickers-ai-743048" TargetMode="External" Id="rId79"/><Relationship Type="http://schemas.openxmlformats.org/officeDocument/2006/relationships/hyperlink" Target="https://www.lovethework.com/work/entries/one-second-ads-759545" TargetMode="External" Id="rId80"/><Relationship Type="http://schemas.openxmlformats.org/officeDocument/2006/relationships/hyperlink" Target="https://ascentialcdn.filespin.io/api/v1/conversion/02e1b78a1ce94d84bee44bf8a707550e" TargetMode="External" Id="rId81"/><Relationship Type="http://schemas.openxmlformats.org/officeDocument/2006/relationships/hyperlink" Target="https://www.lovethework.com/work/entries/camden-stout-honest-reviews-742275" TargetMode="External" Id="rId82"/><Relationship Type="http://schemas.openxmlformats.org/officeDocument/2006/relationships/hyperlink" Target="https://ascentialcdn.filespin.io/api/v1/conversion/1d6f8cfcad1b47c9beaa5f403844ec8a" TargetMode="External" Id="rId83"/><Relationship Type="http://schemas.openxmlformats.org/officeDocument/2006/relationships/hyperlink" Target="https://www.lovethework.com/work/entries/u-up-743427" TargetMode="External" Id="rId84"/><Relationship Type="http://schemas.openxmlformats.org/officeDocument/2006/relationships/hyperlink" Target="https://ascentialcdn.filespin.io/api/v1/conversion/9c71f6e2352b428784f91e8247db714e" TargetMode="External" Id="rId85"/><Relationship Type="http://schemas.openxmlformats.org/officeDocument/2006/relationships/hyperlink" Target="https://www.lovethework.com/work/entries/burger-to-king-760741" TargetMode="External" Id="rId86"/><Relationship Type="http://schemas.openxmlformats.org/officeDocument/2006/relationships/hyperlink" Target="https://ascentialcdn.filespin.io/api/v1/conversion/5e630b6d1a8d43d494544038884723b7" TargetMode="External" Id="rId87"/><Relationship Type="http://schemas.openxmlformats.org/officeDocument/2006/relationships/hyperlink" Target="https://www.lovethework.com/work/entries/the-flipper-760602" TargetMode="External" Id="rId88"/><Relationship Type="http://schemas.openxmlformats.org/officeDocument/2006/relationships/hyperlink" Target="https://ascentialcdn.filespin.io/api/v1/conversion/12a3c9e0c6e948eeaa5543a2fedda2c2" TargetMode="External" Id="rId89"/><Relationship Type="http://schemas.openxmlformats.org/officeDocument/2006/relationships/hyperlink" Target="https://www.lovethework.com/work/entries/tracking-bad-bunny-759002" TargetMode="External" Id="rId90"/><Relationship Type="http://schemas.openxmlformats.org/officeDocument/2006/relationships/hyperlink" Target="https://ascentialcdn.filespin.io/api/v1/conversion/30aec1c3378c43f3845d46d7e83d4bf5" TargetMode="External" Id="rId91"/><Relationship Type="http://schemas.openxmlformats.org/officeDocument/2006/relationships/hyperlink" Target="https://www.lovethework.com/work/entries/the-black-dogs-743512" TargetMode="External" Id="rId92"/><Relationship Type="http://schemas.openxmlformats.org/officeDocument/2006/relationships/hyperlink" Target="https://ascentialcdn.filespin.io/api/v1/conversion/f324b2259303465985c6298914501fea" TargetMode="External" Id="rId93"/><Relationship Type="http://schemas.openxmlformats.org/officeDocument/2006/relationships/hyperlink" Target="https://www.lovethework.com/work/entries/bassi-vs-mens-facewash-743479" TargetMode="External" Id="rId94"/></Relationships>
</file>

<file path=xl/worksheets/_rels/sheet16.xml.rels><Relationships xmlns="http://schemas.openxmlformats.org/package/2006/relationships"><Relationship Type="http://schemas.openxmlformats.org/officeDocument/2006/relationships/hyperlink" Target="https://www.lovethework.com/work/entries/night-fishing-767309" TargetMode="External" Id="rId1"/><Relationship Type="http://schemas.openxmlformats.org/officeDocument/2006/relationships/hyperlink" Target="https://www.lovethework.com/work/entries/the-final-copy-of-ilon-specht-766871" TargetMode="External" Id="rId2"/><Relationship Type="http://schemas.openxmlformats.org/officeDocument/2006/relationships/hyperlink" Target="https://ascentialcdn.filespin.io/api/v1/conversion/e56e744cd3594eceb82733246e9035b2" TargetMode="External" Id="rId3"/><Relationship Type="http://schemas.openxmlformats.org/officeDocument/2006/relationships/hyperlink" Target="https://www.lovethework.com/work/entries/haaland-payback-time-766835" TargetMode="External" Id="rId4"/><Relationship Type="http://schemas.openxmlformats.org/officeDocument/2006/relationships/hyperlink" Target="https://ascentialcdn.filespin.io/api/v1/conversion/3a7cf992b94648e7abc8a97fc02fb04b" TargetMode="External" Id="rId5"/><Relationship Type="http://schemas.openxmlformats.org/officeDocument/2006/relationships/hyperlink" Target="https://www.lovethework.com/work/entries/caption-with-intention-767270" TargetMode="External" Id="rId6"/><Relationship Type="http://schemas.openxmlformats.org/officeDocument/2006/relationships/hyperlink" Target="https://www.lovethework.com/work/entries/dungeonsdragons-the-lost-episode-767102" TargetMode="External" Id="rId7"/><Relationship Type="http://schemas.openxmlformats.org/officeDocument/2006/relationships/hyperlink" Target="https://ascentialcdn.filespin.io/api/v1/conversion/55473142d6864b37b0a59f44ba97046b" TargetMode="External" Id="rId8"/><Relationship Type="http://schemas.openxmlformats.org/officeDocument/2006/relationships/hyperlink" Target="https://www.lovethework.com/work/entries/tide-collateral-stain-stories-767268" TargetMode="External" Id="rId9"/><Relationship Type="http://schemas.openxmlformats.org/officeDocument/2006/relationships/hyperlink" Target="https://ascentialcdn.filespin.io/api/v1/conversion/00bc8da7a7464d6c8f4154a6b1e3cc23" TargetMode="External" Id="rId10"/><Relationship Type="http://schemas.openxmlformats.org/officeDocument/2006/relationships/hyperlink" Target="https://www.lovethework.com/work/entries/lap-of-legends-767038" TargetMode="External" Id="rId11"/><Relationship Type="http://schemas.openxmlformats.org/officeDocument/2006/relationships/hyperlink" Target="https://ascentialcdn.filespin.io/api/v1/conversion/3db7ec7e31b7459bafa082009489d40e" TargetMode="External" Id="rId12"/><Relationship Type="http://schemas.openxmlformats.org/officeDocument/2006/relationships/hyperlink" Target="https://www.lovethework.com/work/entries/cant-unsee-it-767337" TargetMode="External" Id="rId13"/><Relationship Type="http://schemas.openxmlformats.org/officeDocument/2006/relationships/hyperlink" Target="https://ascentialcdn.filespin.io/api/v1/conversion/76013060c8dd4eaab1a92bf04d89af79" TargetMode="External" Id="rId14"/><Relationship Type="http://schemas.openxmlformats.org/officeDocument/2006/relationships/hyperlink" Target="https://www.lovethework.com/work/entries/oreo-square-cookie-767454" TargetMode="External" Id="rId15"/><Relationship Type="http://schemas.openxmlformats.org/officeDocument/2006/relationships/hyperlink" Target="https://ascentialcdn.filespin.io/api/v1/conversion/3a7cf992b94648e7abc8a97fc02fb04b" TargetMode="External" Id="rId16"/><Relationship Type="http://schemas.openxmlformats.org/officeDocument/2006/relationships/hyperlink" Target="https://www.lovethework.com/work/entries/caption-with-intention-767304" TargetMode="External" Id="rId17"/><Relationship Type="http://schemas.openxmlformats.org/officeDocument/2006/relationships/hyperlink" Target="https://www.lovethework.com/work/entries/the-final-copy-of-ilon-specht-766850" TargetMode="External" Id="rId18"/><Relationship Type="http://schemas.openxmlformats.org/officeDocument/2006/relationships/hyperlink" Target="https://ascentialcdn.filespin.io/api/v1/conversion/60aa1888e5b6444381b060dc1801de84" TargetMode="External" Id="rId19"/><Relationship Type="http://schemas.openxmlformats.org/officeDocument/2006/relationships/hyperlink" Target="https://www.lovethework.com/work/entries/olympic-games-opening-ceremony-paris-2024-767406" TargetMode="External" Id="rId20"/><Relationship Type="http://schemas.openxmlformats.org/officeDocument/2006/relationships/hyperlink" Target="https://www.lovethework.com/work/entries/the-shooting-766980" TargetMode="External" Id="rId21"/><Relationship Type="http://schemas.openxmlformats.org/officeDocument/2006/relationships/hyperlink" Target="https://ascentialcdn.filespin.io/api/v1/conversion/ef4af87cfc76490a81be851d1c90a77b" TargetMode="External" Id="rId22"/><Relationship Type="http://schemas.openxmlformats.org/officeDocument/2006/relationships/hyperlink" Target="https://www.lovethework.com/work/entries/cheering-for-the-rain-767117" TargetMode="External" Id="rId23"/><Relationship Type="http://schemas.openxmlformats.org/officeDocument/2006/relationships/hyperlink" Target="https://ascentialcdn.filespin.io/api/v1/conversion/f2978f9255da42889e454a19c0f9f5ea" TargetMode="External" Id="rId24"/><Relationship Type="http://schemas.openxmlformats.org/officeDocument/2006/relationships/hyperlink" Target="https://www.lovethework.com/work/entries/oreo-empire-767371" TargetMode="External" Id="rId25"/><Relationship Type="http://schemas.openxmlformats.org/officeDocument/2006/relationships/hyperlink" Target="https://ascentialcdn.filespin.io/api/v1/conversion/f24e68d6c8384d1eb2ad61b83f036618" TargetMode="External" Id="rId26"/><Relationship Type="http://schemas.openxmlformats.org/officeDocument/2006/relationships/hyperlink" Target="https://www.lovethework.com/work/entries/bachelor-767396" TargetMode="External" Id="rId27"/><Relationship Type="http://schemas.openxmlformats.org/officeDocument/2006/relationships/hyperlink" Target="https://ascentialcdn.filespin.io/api/v1/conversion/581ba8fb17334c1fbfc126a090ed2598" TargetMode="External" Id="rId28"/><Relationship Type="http://schemas.openxmlformats.org/officeDocument/2006/relationships/hyperlink" Target="https://www.lovethework.com/work/entries/make-new-zealand-the-best-place-in-the-world-to-have-herpes-767411" TargetMode="External" Id="rId29"/><Relationship Type="http://schemas.openxmlformats.org/officeDocument/2006/relationships/hyperlink" Target="https://ascentialcdn.filespin.io/api/v1/conversion/f979928ea0a14ad7a4df5b301de95a0e" TargetMode="External" Id="rId30"/><Relationship Type="http://schemas.openxmlformats.org/officeDocument/2006/relationships/hyperlink" Target="https://www.lovethework.com/work/entries/lidlize-766764" TargetMode="External" Id="rId31"/><Relationship Type="http://schemas.openxmlformats.org/officeDocument/2006/relationships/hyperlink" Target="https://www.lovethework.com/work/entries/the-boy-the-octopus-766970" TargetMode="External" Id="rId32"/><Relationship Type="http://schemas.openxmlformats.org/officeDocument/2006/relationships/hyperlink" Target="https://ascentialcdn.filespin.io/api/v1/conversion/2e880efa163040b884c55c34c5aa79f9" TargetMode="External" Id="rId33"/><Relationship Type="http://schemas.openxmlformats.org/officeDocument/2006/relationships/hyperlink" Target="https://www.lovethework.com/work/entries/tide-collateral-stain-stories-767167" TargetMode="External" Id="rId34"/><Relationship Type="http://schemas.openxmlformats.org/officeDocument/2006/relationships/hyperlink" Target="https://www.lovethework.com/work/entries/group-therapy-767010" TargetMode="External" Id="rId35"/><Relationship Type="http://schemas.openxmlformats.org/officeDocument/2006/relationships/hyperlink" Target="https://ascentialcdn.filespin.io/api/v1/conversion/6544f095e71a47a39d27334e2404e951" TargetMode="External" Id="rId36"/><Relationship Type="http://schemas.openxmlformats.org/officeDocument/2006/relationships/hyperlink" Target="https://www.lovethework.com/work/entries/starring-bars-767438" TargetMode="External" Id="rId37"/></Relationships>
</file>

<file path=xl/worksheets/_rels/sheet17.xml.rels><Relationships xmlns="http://schemas.openxmlformats.org/package/2006/relationships"><Relationship Type="http://schemas.openxmlformats.org/officeDocument/2006/relationships/hyperlink" Target="https://ascentialcdn.filespin.io/api/v1/conversion/c70ca73e1b844ab9b17bafdddb08ab43" TargetMode="External" Id="rId1"/><Relationship Type="http://schemas.openxmlformats.org/officeDocument/2006/relationships/hyperlink" Target="https://www.lovethework.com/work/entries/call-of-discounts-758175" TargetMode="External" Id="rId2"/><Relationship Type="http://schemas.openxmlformats.org/officeDocument/2006/relationships/hyperlink" Target="https://ascentialcdn.filespin.io/api/v1/conversion/4f2c314a8b5244938185d763dbbb08a8" TargetMode="External" Id="rId3"/><Relationship Type="http://schemas.openxmlformats.org/officeDocument/2006/relationships/hyperlink" Target="https://www.lovethework.com/work/entries/burger-to-king-763800" TargetMode="External" Id="rId4"/><Relationship Type="http://schemas.openxmlformats.org/officeDocument/2006/relationships/hyperlink" Target="https://ascentialcdn.filespin.io/api/v1/conversion/615e3a15eabf457d91d317468a12d825" TargetMode="External" Id="rId5"/><Relationship Type="http://schemas.openxmlformats.org/officeDocument/2006/relationships/hyperlink" Target="https://www.lovethework.com/work/entries/the-final-exam-760339" TargetMode="External" Id="rId6"/><Relationship Type="http://schemas.openxmlformats.org/officeDocument/2006/relationships/hyperlink" Target="https://www.lovethework.com/work/entries/project-memory-card-758330" TargetMode="External" Id="rId7"/><Relationship Type="http://schemas.openxmlformats.org/officeDocument/2006/relationships/hyperlink" Target="https://ascentialcdn.filespin.io/api/v1/conversion/4f2c314a8b5244938185d763dbbb08a8" TargetMode="External" Id="rId8"/><Relationship Type="http://schemas.openxmlformats.org/officeDocument/2006/relationships/hyperlink" Target="https://www.lovethework.com/work/entries/burger-to-king-763798" TargetMode="External" Id="rId9"/><Relationship Type="http://schemas.openxmlformats.org/officeDocument/2006/relationships/hyperlink" Target="https://ascentialcdn.filespin.io/api/v1/conversion/615e3a15eabf457d91d317468a12d825" TargetMode="External" Id="rId10"/><Relationship Type="http://schemas.openxmlformats.org/officeDocument/2006/relationships/hyperlink" Target="https://www.lovethework.com/work/entries/the-final-exam-760178" TargetMode="External" Id="rId11"/><Relationship Type="http://schemas.openxmlformats.org/officeDocument/2006/relationships/hyperlink" Target="https://ascentialcdn.filespin.io/api/v1/conversion/3b57e93aef504625807daf7e7575162d" TargetMode="External" Id="rId12"/><Relationship Type="http://schemas.openxmlformats.org/officeDocument/2006/relationships/hyperlink" Target="https://www.lovethework.com/work/entries/haaland-payback-time-762429" TargetMode="External" Id="rId13"/><Relationship Type="http://schemas.openxmlformats.org/officeDocument/2006/relationships/hyperlink" Target="https://ascentialcdn.filespin.io/api/v1/conversion/4492f4557e9441408ea283fcb7cd3a12" TargetMode="External" Id="rId14"/><Relationship Type="http://schemas.openxmlformats.org/officeDocument/2006/relationships/hyperlink" Target="https://www.lovethework.com/work/entries/the-co-worker-758248" TargetMode="External" Id="rId15"/><Relationship Type="http://schemas.openxmlformats.org/officeDocument/2006/relationships/hyperlink" Target="https://ascentialcdn.filespin.io/api/v1/conversion/f5ffbe1532054f85b7f9f9b7fba1f1ee" TargetMode="External" Id="rId16"/><Relationship Type="http://schemas.openxmlformats.org/officeDocument/2006/relationships/hyperlink" Target="https://www.lovethework.com/work/entries/fizzooka-758263" TargetMode="External" Id="rId17"/><Relationship Type="http://schemas.openxmlformats.org/officeDocument/2006/relationships/hyperlink" Target="https://ascentialcdn.filespin.io/api/v1/conversion/035c1b7183be486fa7ec0efe20c5cfd2" TargetMode="External" Id="rId18"/><Relationship Type="http://schemas.openxmlformats.org/officeDocument/2006/relationships/hyperlink" Target="https://www.lovethework.com/work/entries/lag-or-bad-760347" TargetMode="External" Id="rId19"/><Relationship Type="http://schemas.openxmlformats.org/officeDocument/2006/relationships/hyperlink" Target="https://ascentialcdn.filespin.io/api/v1/conversion/f1c6e266081d4161b8e3ecc7ecb15a78" TargetMode="External" Id="rId20"/><Relationship Type="http://schemas.openxmlformats.org/officeDocument/2006/relationships/hyperlink" Target="https://www.lovethework.com/work/entries/the-cheeky-controller-762497" TargetMode="External" Id="rId21"/></Relationships>
</file>

<file path=xl/worksheets/_rels/sheet18.xml.rels><Relationships xmlns="http://schemas.openxmlformats.org/package/2006/relationships"><Relationship Type="http://schemas.openxmlformats.org/officeDocument/2006/relationships/hyperlink" Target="https://ascentialcdn.filespin.io/api/v1/conversion/6d3d67544e4a4fe7baad1c1b50560274" TargetMode="External" Id="rId1"/><Relationship Type="http://schemas.openxmlformats.org/officeDocument/2006/relationships/hyperlink" Target="https://www.lovethework.com/work/entries/tracking-bad-bunny-760320" TargetMode="External" Id="rId2"/><Relationship Type="http://schemas.openxmlformats.org/officeDocument/2006/relationships/hyperlink" Target="https://ascentialcdn.filespin.io/api/v1/storyboard/7819511744634f7a81824e1b2a278ae1/storyboard_000008.jpg" TargetMode="External" Id="rId3"/><Relationship Type="http://schemas.openxmlformats.org/officeDocument/2006/relationships/hyperlink" Target="https://www.lovethework.com/work/entries/aap-rocky-tailor-swif-754915" TargetMode="External" Id="rId4"/><Relationship Type="http://schemas.openxmlformats.org/officeDocument/2006/relationships/hyperlink" Target="https://ascentialcdn.filespin.io/api/v1/conversion/c5b4d99a1f714aea8f5124ebd5d701f7" TargetMode="External" Id="rId5"/><Relationship Type="http://schemas.openxmlformats.org/officeDocument/2006/relationships/hyperlink" Target="https://www.lovethework.com/work/entries/hey-jude-754810" TargetMode="External" Id="rId6"/><Relationship Type="http://schemas.openxmlformats.org/officeDocument/2006/relationships/hyperlink" Target="https://ascentialcdn.filespin.io/api/v1/conversion/0b4f8069282647798e50f403983c1f06" TargetMode="External" Id="rId7"/><Relationship Type="http://schemas.openxmlformats.org/officeDocument/2006/relationships/hyperlink" Target="https://www.lovethework.com/work/entries/abracadabra-from-fan-to-featured-759657" TargetMode="External" Id="rId8"/><Relationship Type="http://schemas.openxmlformats.org/officeDocument/2006/relationships/hyperlink" Target="https://ascentialcdn.filespin.io/api/v1/conversion/a6ac5c5dd4fc4487966ae01ac52f95ff" TargetMode="External" Id="rId9"/><Relationship Type="http://schemas.openxmlformats.org/officeDocument/2006/relationships/hyperlink" Target="https://www.lovethework.com/work/entries/me-feat-me-755132" TargetMode="External" Id="rId10"/><Relationship Type="http://schemas.openxmlformats.org/officeDocument/2006/relationships/hyperlink" Target="https://www.lovethework.com/work/entries/love-754922" TargetMode="External" Id="rId11"/><Relationship Type="http://schemas.openxmlformats.org/officeDocument/2006/relationships/hyperlink" Target="https://ascentialcdn.filespin.io/api/v1/conversion/eb513fac29984db2811524e932026062" TargetMode="External" Id="rId12"/><Relationship Type="http://schemas.openxmlformats.org/officeDocument/2006/relationships/hyperlink" Target="https://www.lovethework.com/work/entries/tennessee-sound-sites-755015" TargetMode="External" Id="rId13"/><Relationship Type="http://schemas.openxmlformats.org/officeDocument/2006/relationships/hyperlink" Target="https://www.lovethework.com/work/entries/the-girl-who-played-the-tutari-754967" TargetMode="External" Id="rId14"/><Relationship Type="http://schemas.openxmlformats.org/officeDocument/2006/relationships/hyperlink" Target="https://ascentialcdn.filespin.io/api/v1/conversion/17f5e6466cc04660b48ef8ef11bb211e" TargetMode="External" Id="rId15"/><Relationship Type="http://schemas.openxmlformats.org/officeDocument/2006/relationships/hyperlink" Target="https://www.lovethework.com/work/entries/little-simz-flood-754835" TargetMode="External" Id="rId16"/><Relationship Type="http://schemas.openxmlformats.org/officeDocument/2006/relationships/hyperlink" Target="https://ascentialcdn.filespin.io/api/v1/conversion/4e38334504284effbc474e7a3273d412" TargetMode="External" Id="rId17"/><Relationship Type="http://schemas.openxmlformats.org/officeDocument/2006/relationships/hyperlink" Target="https://www.lovethework.com/work/entries/kendrick-lamar-apple-musics-super-bowl-halftime-show-campaign-755001" TargetMode="External" Id="rId18"/><Relationship Type="http://schemas.openxmlformats.org/officeDocument/2006/relationships/hyperlink" Target="https://ascentialcdn.filespin.io/api/v1/conversion/f0419f522ab74225a6515a6514c036ec" TargetMode="External" Id="rId19"/><Relationship Type="http://schemas.openxmlformats.org/officeDocument/2006/relationships/hyperlink" Target="https://www.lovethework.com/work/entries/the-last-timbit-762830" TargetMode="External" Id="rId20"/><Relationship Type="http://schemas.openxmlformats.org/officeDocument/2006/relationships/hyperlink" Target="https://www.lovethework.com/work/entries/jovem-mk-meu-karma-754791" TargetMode="External" Id="rId21"/><Relationship Type="http://schemas.openxmlformats.org/officeDocument/2006/relationships/hyperlink" Target="https://www.lovethework.com/work/entries/love-the-racks-754806" TargetMode="External" Id="rId22"/><Relationship Type="http://schemas.openxmlformats.org/officeDocument/2006/relationships/hyperlink" Target="https://ascentialcdn.filespin.io/api/v1/conversion/6d3d67544e4a4fe7baad1c1b50560274" TargetMode="External" Id="rId23"/><Relationship Type="http://schemas.openxmlformats.org/officeDocument/2006/relationships/hyperlink" Target="https://www.lovethework.com/work/entries/tracking-bad-bunny-760302" TargetMode="External" Id="rId24"/><Relationship Type="http://schemas.openxmlformats.org/officeDocument/2006/relationships/hyperlink" Target="https://ascentialcdn.filespin.io/api/v1/storyboard/191cd784934f42e29f332027d298ef62/storyboard_000008.jpg" TargetMode="External" Id="rId25"/><Relationship Type="http://schemas.openxmlformats.org/officeDocument/2006/relationships/hyperlink" Target="https://www.lovethework.com/work/entries/a-stone-only-rolls-downhill-754853" TargetMode="External" Id="rId26"/><Relationship Type="http://schemas.openxmlformats.org/officeDocument/2006/relationships/hyperlink" Target="https://ascentialcdn.filespin.io/api/v1/conversion/1df87588cc0f4cf58bf77a0ffc045a44" TargetMode="External" Id="rId27"/><Relationship Type="http://schemas.openxmlformats.org/officeDocument/2006/relationships/hyperlink" Target="https://www.lovethework.com/work/entries/born-to-run-755077" TargetMode="External" Id="rId28"/></Relationships>
</file>

<file path=xl/worksheets/_rels/sheet19.xml.rels><Relationships xmlns="http://schemas.openxmlformats.org/package/2006/relationships"><Relationship Type="http://schemas.openxmlformats.org/officeDocument/2006/relationships/hyperlink" Target="https://ascentialcdn.filespin.io/api/v1/conversion/0ab9c1eb4c5a4e82b68ff5fcca75da6b" TargetMode="External" Id="rId1"/><Relationship Type="http://schemas.openxmlformats.org/officeDocument/2006/relationships/hyperlink" Target="https://www.lovethework.com/work/entries/haaland-payback-time-762223" TargetMode="External" Id="rId2"/><Relationship Type="http://schemas.openxmlformats.org/officeDocument/2006/relationships/hyperlink" Target="https://ascentialcdn.filespin.io/api/v1/conversion/60aa1888e5b6444381b060dc1801de84" TargetMode="External" Id="rId3"/><Relationship Type="http://schemas.openxmlformats.org/officeDocument/2006/relationships/hyperlink" Target="https://www.lovethework.com/work/entries/olympic-games-opening-ceremony-paris-2024-757241" TargetMode="External" Id="rId4"/><Relationship Type="http://schemas.openxmlformats.org/officeDocument/2006/relationships/hyperlink" Target="https://ascentialcdn.filespin.io/api/v1/conversion/6dec2b71e9e0467cb429446b1f864686" TargetMode="External" Id="rId5"/><Relationship Type="http://schemas.openxmlformats.org/officeDocument/2006/relationships/hyperlink" Target="https://www.lovethework.com/work/entries/signed-by-fanatics-757314" TargetMode="External" Id="rId6"/><Relationship Type="http://schemas.openxmlformats.org/officeDocument/2006/relationships/hyperlink" Target="https://www.lovethework.com/work/entries/kyikatej-757331" TargetMode="External" Id="rId7"/><Relationship Type="http://schemas.openxmlformats.org/officeDocument/2006/relationships/hyperlink" Target="https://ascentialcdn.filespin.io/api/v1/conversion/564dea338e9e42018a7f0c9b66595cae" TargetMode="External" Id="rId8"/><Relationship Type="http://schemas.openxmlformats.org/officeDocument/2006/relationships/hyperlink" Target="https://www.lovethework.com/work/entries/the-4th-judge-762406" TargetMode="External" Id="rId9"/><Relationship Type="http://schemas.openxmlformats.org/officeDocument/2006/relationships/hyperlink" Target="https://www.lovethework.com/work/entries/obsession-763910" TargetMode="External" Id="rId10"/><Relationship Type="http://schemas.openxmlformats.org/officeDocument/2006/relationships/hyperlink" Target="https://ascentialcdn.filespin.io/api/v1/conversion/a5629a97973948f688643981b63ac56e" TargetMode="External" Id="rId11"/><Relationship Type="http://schemas.openxmlformats.org/officeDocument/2006/relationships/hyperlink" Target="https://www.lovethework.com/work/entries/paid-through-parents-757385" TargetMode="External" Id="rId12"/><Relationship Type="http://schemas.openxmlformats.org/officeDocument/2006/relationships/hyperlink" Target="https://ascentialcdn.filespin.io/api/v1/conversion/091d74f6176f4334bcedd28604ff10a5" TargetMode="External" Id="rId13"/><Relationship Type="http://schemas.openxmlformats.org/officeDocument/2006/relationships/hyperlink" Target="https://www.lovethework.com/work/entries/running-in-fear-757711" TargetMode="External" Id="rId14"/><Relationship Type="http://schemas.openxmlformats.org/officeDocument/2006/relationships/hyperlink" Target="https://ascentialcdn.filespin.io/api/v1/conversion/564dea338e9e42018a7f0c9b66595cae" TargetMode="External" Id="rId15"/><Relationship Type="http://schemas.openxmlformats.org/officeDocument/2006/relationships/hyperlink" Target="https://www.lovethework.com/work/entries/the-4th-judge-762326" TargetMode="External" Id="rId16"/><Relationship Type="http://schemas.openxmlformats.org/officeDocument/2006/relationships/hyperlink" Target="https://ascentialcdn.filespin.io/api/v1/conversion/e0e7f0a8eeed48888d3d57f241eb99ae" TargetMode="External" Id="rId17"/><Relationship Type="http://schemas.openxmlformats.org/officeDocument/2006/relationships/hyperlink" Target="https://www.lovethework.com/work/entries/avanis-gold-757226" TargetMode="External" Id="rId18"/><Relationship Type="http://schemas.openxmlformats.org/officeDocument/2006/relationships/hyperlink" Target="https://ascentialcdn.filespin.io/api/v1/conversion/0ab9c1eb4c5a4e82b68ff5fcca75da6b" TargetMode="External" Id="rId19"/><Relationship Type="http://schemas.openxmlformats.org/officeDocument/2006/relationships/hyperlink" Target="https://www.lovethework.com/work/entries/haaland-payback-time-762343" TargetMode="External" Id="rId20"/><Relationship Type="http://schemas.openxmlformats.org/officeDocument/2006/relationships/hyperlink" Target="https://www.lovethework.com/work/entries/kyikatej-757692" TargetMode="External" Id="rId21"/><Relationship Type="http://schemas.openxmlformats.org/officeDocument/2006/relationships/hyperlink" Target="https://ascentialcdn.filespin.io/api/v1/conversion/7954f7f7cb2f4db5865a8948faec77c0" TargetMode="External" Id="rId22"/><Relationship Type="http://schemas.openxmlformats.org/officeDocument/2006/relationships/hyperlink" Target="https://www.lovethework.com/work/entries/jordan-cant-ban-greatness-757287" TargetMode="External" Id="rId23"/><Relationship Type="http://schemas.openxmlformats.org/officeDocument/2006/relationships/hyperlink" Target="https://ascentialcdn.filespin.io/api/v1/conversion/c41e8e08644c46d1aa1edaeb702267bd" TargetMode="External" Id="rId24"/><Relationship Type="http://schemas.openxmlformats.org/officeDocument/2006/relationships/hyperlink" Target="https://www.lovethework.com/work/entries/saving-pelotica-de-goma-757522" TargetMode="External" Id="rId25"/><Relationship Type="http://schemas.openxmlformats.org/officeDocument/2006/relationships/hyperlink" Target="https://ascentialcdn.filespin.io/api/v1/conversion/a5629a97973948f688643981b63ac56e" TargetMode="External" Id="rId26"/><Relationship Type="http://schemas.openxmlformats.org/officeDocument/2006/relationships/hyperlink" Target="https://www.lovethework.com/work/entries/paid-through-parents-757417" TargetMode="External" Id="rId27"/><Relationship Type="http://schemas.openxmlformats.org/officeDocument/2006/relationships/hyperlink" Target="https://ascentialcdn.filespin.io/api/v1/conversion/801ddebed5f640bdbb9533426b87109b" TargetMode="External" Id="rId28"/><Relationship Type="http://schemas.openxmlformats.org/officeDocument/2006/relationships/hyperlink" Target="https://www.lovethework.com/work/entries/coors-light-coors-light-757682" TargetMode="External" Id="rId29"/><Relationship Type="http://schemas.openxmlformats.org/officeDocument/2006/relationships/hyperlink" Target="https://ascentialcdn.filespin.io/api/v1/conversion/0b397234b3d74a5aa798ad871042c23c" TargetMode="External" Id="rId30"/><Relationship Type="http://schemas.openxmlformats.org/officeDocument/2006/relationships/hyperlink" Target="https://www.lovethework.com/work/entries/football-lover-fm-757706" TargetMode="External" Id="rId31"/><Relationship Type="http://schemas.openxmlformats.org/officeDocument/2006/relationships/hyperlink" Target="https://ascentialcdn.filespin.io/api/v1/conversion/943f4b70d83740e6add888e6112aab73" TargetMode="External" Id="rId32"/><Relationship Type="http://schemas.openxmlformats.org/officeDocument/2006/relationships/hyperlink" Target="https://www.lovethework.com/work/entries/the-impossible-drive-757483" TargetMode="External" Id="rId33"/><Relationship Type="http://schemas.openxmlformats.org/officeDocument/2006/relationships/hyperlink" Target="https://ascentialcdn.filespin.io/api/v1/conversion/05665843413b4b8a80ba1017cabcdac1" TargetMode="External" Id="rId34"/><Relationship Type="http://schemas.openxmlformats.org/officeDocument/2006/relationships/hyperlink" Target="https://www.lovethework.com/work/entries/aeromexicanos-762363" TargetMode="External" Id="rId35"/><Relationship Type="http://schemas.openxmlformats.org/officeDocument/2006/relationships/hyperlink" Target="https://ascentialcdn.filespin.io/api/v1/conversion/7e95f656b693443d8d4e60f0a4c9b853" TargetMode="External" Id="rId36"/><Relationship Type="http://schemas.openxmlformats.org/officeDocument/2006/relationships/hyperlink" Target="https://www.lovethework.com/work/entries/bad-luck-reverser-757468" TargetMode="External" Id="rId37"/><Relationship Type="http://schemas.openxmlformats.org/officeDocument/2006/relationships/hyperlink" Target="https://ascentialcdn.filespin.io/api/v1/conversion/c5b4d99a1f714aea8f5124ebd5d701f7" TargetMode="External" Id="rId38"/><Relationship Type="http://schemas.openxmlformats.org/officeDocument/2006/relationships/hyperlink" Target="https://www.lovethework.com/work/entries/hey-jude-757188" TargetMode="External" Id="rId39"/><Relationship Type="http://schemas.openxmlformats.org/officeDocument/2006/relationships/hyperlink" Target="https://ascentialcdn.filespin.io/api/v1/conversion/59c61cb1e6984e748ed9ff58ce4d2280" TargetMode="External" Id="rId40"/><Relationship Type="http://schemas.openxmlformats.org/officeDocument/2006/relationships/hyperlink" Target="https://www.lovethework.com/work/entries/the-flame-that-wasnt-a-flame-757294" TargetMode="External" Id="rId41"/><Relationship Type="http://schemas.openxmlformats.org/officeDocument/2006/relationships/hyperlink" Target="https://ascentialcdn.filespin.io/api/v1/conversion/f219a00eceb44153993b72462c35b6bc" TargetMode="External" Id="rId42"/><Relationship Type="http://schemas.openxmlformats.org/officeDocument/2006/relationships/hyperlink" Target="https://www.lovethework.com/work/entries/excuses-bars-762239" TargetMode="External" Id="rId43"/><Relationship Type="http://schemas.openxmlformats.org/officeDocument/2006/relationships/hyperlink" Target="https://www.lovethework.com/work/entries/sennas-cut-757380" TargetMode="External" Id="rId44"/><Relationship Type="http://schemas.openxmlformats.org/officeDocument/2006/relationships/hyperlink" Target="https://ascentialcdn.filespin.io/api/v1/conversion/4789c727ab0e4e79bc0a89252cc425d9" TargetMode="External" Id="rId45"/><Relationship Type="http://schemas.openxmlformats.org/officeDocument/2006/relationships/hyperlink" Target="https://www.lovethework.com/work/entries/the-fan-remote-757600" TargetMode="External" Id="rId46"/><Relationship Type="http://schemas.openxmlformats.org/officeDocument/2006/relationships/hyperlink" Target="https://ascentialcdn.filespin.io/api/v1/conversion/3c8c2a1d775049aeb067fb493759f83d" TargetMode="External" Id="rId47"/><Relationship Type="http://schemas.openxmlformats.org/officeDocument/2006/relationships/hyperlink" Target="https://www.lovethework.com/work/entries/fields-of-glory-757481" TargetMode="External" Id="rId48"/></Relationships>
</file>

<file path=xl/worksheets/_rels/sheet20.xml.rels><Relationships xmlns="http://schemas.openxmlformats.org/package/2006/relationships"><Relationship Type="http://schemas.openxmlformats.org/officeDocument/2006/relationships/hyperlink" Target="https://ascentialcdn.filespin.io/api/v1/conversion/ae51c3c9f04d452e914dba0555d8b029" TargetMode="External" Id="rId1"/><Relationship Type="http://schemas.openxmlformats.org/officeDocument/2006/relationships/hyperlink" Target="https://www.lovethework.com/work/entries/caption-with-intention-746864" TargetMode="External" Id="rId2"/><Relationship Type="http://schemas.openxmlformats.org/officeDocument/2006/relationships/hyperlink" Target="https://ascentialcdn.filespin.io/api/v1/conversion/17a255fb4a7d40d79616736a9ee7914c" TargetMode="External" Id="rId3"/><Relationship Type="http://schemas.openxmlformats.org/officeDocument/2006/relationships/hyperlink" Target="https://www.lovethework.com/work/entries/ads-cover-rents-747640" TargetMode="External" Id="rId4"/><Relationship Type="http://schemas.openxmlformats.org/officeDocument/2006/relationships/hyperlink" Target="https://ascentialcdn.filespin.io/api/v1/conversion/6b9aa5b716a6476ca0f016a3c2a0dd62" TargetMode="External" Id="rId5"/><Relationship Type="http://schemas.openxmlformats.org/officeDocument/2006/relationships/hyperlink" Target="https://www.lovethework.com/work/entries/drops-of-hope-748188" TargetMode="External" Id="rId6"/><Relationship Type="http://schemas.openxmlformats.org/officeDocument/2006/relationships/hyperlink" Target="https://ascentialcdn.filespin.io/api/v1/conversion/b6b3814255234c3596fcb99868c0fbb7" TargetMode="External" Id="rId7"/><Relationship Type="http://schemas.openxmlformats.org/officeDocument/2006/relationships/hyperlink" Target="https://www.lovethework.com/work/entries/drops-of-hope-748188" TargetMode="External" Id="rId8"/><Relationship Type="http://schemas.openxmlformats.org/officeDocument/2006/relationships/hyperlink" Target="https://ascentialcdn.filespin.io/api/v1/conversion/8466955db96a4c52b6813e12a8c63226" TargetMode="External" Id="rId9"/><Relationship Type="http://schemas.openxmlformats.org/officeDocument/2006/relationships/hyperlink" Target="https://www.lovethework.com/work/entries/fictional-insurance-747450" TargetMode="External" Id="rId10"/><Relationship Type="http://schemas.openxmlformats.org/officeDocument/2006/relationships/hyperlink" Target="https://ascentialcdn.filespin.io/api/v1/conversion/afa88aa8421b41a18c68b9863bb6926c" TargetMode="External" Id="rId11"/><Relationship Type="http://schemas.openxmlformats.org/officeDocument/2006/relationships/hyperlink" Target="https://www.lovethework.com/work/entries/gulf-of-mexico-bar-747778" TargetMode="External" Id="rId12"/><Relationship Type="http://schemas.openxmlformats.org/officeDocument/2006/relationships/hyperlink" Target="https://ascentialcdn.filespin.io/api/v1/conversion/71112ff9b2324f9b8f9338c809483684" TargetMode="External" Id="rId13"/><Relationship Type="http://schemas.openxmlformats.org/officeDocument/2006/relationships/hyperlink" Target="https://www.lovethework.com/work/entries/lessons-of-shame-746863" TargetMode="External" Id="rId14"/><Relationship Type="http://schemas.openxmlformats.org/officeDocument/2006/relationships/hyperlink" Target="https://ascentialcdn.filespin.io/api/v1/conversion/2e252d74f69d4889b7886d241255186a" TargetMode="External" Id="rId15"/><Relationship Type="http://schemas.openxmlformats.org/officeDocument/2006/relationships/hyperlink" Target="https://www.lovethework.com/work/entries/lucky-yatra-747400" TargetMode="External" Id="rId16"/><Relationship Type="http://schemas.openxmlformats.org/officeDocument/2006/relationships/hyperlink" Target="https://ascentialcdn.filespin.io/api/v1/conversion/67b6df2a0fe64deeb274c91d50040c54" TargetMode="External" Id="rId17"/><Relationship Type="http://schemas.openxmlformats.org/officeDocument/2006/relationships/hyperlink" Target="https://www.lovethework.com/work/entries/price-packs-748536" TargetMode="External" Id="rId18"/><Relationship Type="http://schemas.openxmlformats.org/officeDocument/2006/relationships/hyperlink" Target="https://ascentialcdn.filespin.io/api/v1/conversion/dd37e163320440a58d69763c047eec03" TargetMode="External" Id="rId19"/><Relationship Type="http://schemas.openxmlformats.org/officeDocument/2006/relationships/hyperlink" Target="https://www.lovethework.com/work/entries/the-kimberly-price-746894" TargetMode="External" Id="rId20"/><Relationship Type="http://schemas.openxmlformats.org/officeDocument/2006/relationships/hyperlink" Target="https://ascentialcdn.filespin.io/api/v1/conversion/4ff9778738a146549164d3153acb8808" TargetMode="External" Id="rId21"/><Relationship Type="http://schemas.openxmlformats.org/officeDocument/2006/relationships/hyperlink" Target="https://www.lovethework.com/work/entries/winter-takes-on-colors-747343" TargetMode="External" Id="rId22"/><Relationship Type="http://schemas.openxmlformats.org/officeDocument/2006/relationships/hyperlink" Target="https://ascentialcdn.filespin.io/api/v1/conversion/650a86946acf45c9946d15c4d5f10c86" TargetMode="External" Id="rId23"/><Relationship Type="http://schemas.openxmlformats.org/officeDocument/2006/relationships/hyperlink" Target="https://www.lovethework.com/work/entries/855-how-to-quit-opioids-746670" TargetMode="External" Id="rId24"/><Relationship Type="http://schemas.openxmlformats.org/officeDocument/2006/relationships/hyperlink" Target="https://ascentialcdn.filespin.io/api/v1/conversion/ae51c3c9f04d452e914dba0555d8b029" TargetMode="External" Id="rId25"/><Relationship Type="http://schemas.openxmlformats.org/officeDocument/2006/relationships/hyperlink" Target="https://www.lovethework.com/work/entries/caption-with-intention-748520" TargetMode="External" Id="rId26"/><Relationship Type="http://schemas.openxmlformats.org/officeDocument/2006/relationships/hyperlink" Target="https://ascentialcdn.filespin.io/api/v1/conversion/082d90b5df624d84b427b48c82cd3dce" TargetMode="External" Id="rId27"/><Relationship Type="http://schemas.openxmlformats.org/officeDocument/2006/relationships/hyperlink" Target="https://www.lovethework.com/work/entries/clandestination-747740" TargetMode="External" Id="rId28"/><Relationship Type="http://schemas.openxmlformats.org/officeDocument/2006/relationships/hyperlink" Target="https://ascentialcdn.filespin.io/api/v1/conversion/7a3d4cfbc07f4dd9b273dbdd4d3cdd28" TargetMode="External" Id="rId29"/><Relationship Type="http://schemas.openxmlformats.org/officeDocument/2006/relationships/hyperlink" Target="https://www.lovethework.com/work/entries/drops-of-hope-747475" TargetMode="External" Id="rId30"/><Relationship Type="http://schemas.openxmlformats.org/officeDocument/2006/relationships/hyperlink" Target="https://ascentialcdn.filespin.io/api/v1/conversion/8466955db96a4c52b6813e12a8c63226" TargetMode="External" Id="rId31"/><Relationship Type="http://schemas.openxmlformats.org/officeDocument/2006/relationships/hyperlink" Target="https://www.lovethework.com/work/entries/fictional-insurance-747304" TargetMode="External" Id="rId32"/><Relationship Type="http://schemas.openxmlformats.org/officeDocument/2006/relationships/hyperlink" Target="https://ascentialcdn.filespin.io/api/v1/conversion/ab9557517f1d4976963059cf5434ae7a" TargetMode="External" Id="rId33"/><Relationship Type="http://schemas.openxmlformats.org/officeDocument/2006/relationships/hyperlink" Target="https://www.lovethework.com/work/entries/fishermen-storytellers-747530" TargetMode="External" Id="rId34"/><Relationship Type="http://schemas.openxmlformats.org/officeDocument/2006/relationships/hyperlink" Target="https://ascentialcdn.filespin.io/api/v1/conversion/afa88aa8421b41a18c68b9863bb6926c" TargetMode="External" Id="rId35"/><Relationship Type="http://schemas.openxmlformats.org/officeDocument/2006/relationships/hyperlink" Target="https://www.lovethework.com/work/entries/gulf-of-mexico-bar-748404" TargetMode="External" Id="rId36"/><Relationship Type="http://schemas.openxmlformats.org/officeDocument/2006/relationships/hyperlink" Target="https://ascentialcdn.filespin.io/api/v1/conversion/e56e744cd3594eceb82733246e9035b2" TargetMode="External" Id="rId37"/><Relationship Type="http://schemas.openxmlformats.org/officeDocument/2006/relationships/hyperlink" Target="https://www.lovethework.com/work/entries/haaland-payback-time-763780" TargetMode="External" Id="rId38"/><Relationship Type="http://schemas.openxmlformats.org/officeDocument/2006/relationships/hyperlink" Target="https://www.lovethework.com/work/entries/harmoniser-748338" TargetMode="External" Id="rId39"/><Relationship Type="http://schemas.openxmlformats.org/officeDocument/2006/relationships/hyperlink" Target="https://ascentialcdn.filespin.io/api/v1/conversion/237ade5924eb407898bf58d19f58a52a" TargetMode="External" Id="rId40"/><Relationship Type="http://schemas.openxmlformats.org/officeDocument/2006/relationships/hyperlink" Target="https://www.lovethework.com/work/entries/ikea-hidden-tags-747253" TargetMode="External" Id="rId41"/><Relationship Type="http://schemas.openxmlformats.org/officeDocument/2006/relationships/hyperlink" Target="https://ascentialcdn.filespin.io/api/v1/conversion/71112ff9b2324f9b8f9338c809483684" TargetMode="External" Id="rId42"/><Relationship Type="http://schemas.openxmlformats.org/officeDocument/2006/relationships/hyperlink" Target="https://www.lovethework.com/work/entries/lessons-of-shame-747535" TargetMode="External" Id="rId43"/><Relationship Type="http://schemas.openxmlformats.org/officeDocument/2006/relationships/hyperlink" Target="https://ascentialcdn.filespin.io/api/v1/conversion/5801ee4249af49b0aa23167f0d131de4" TargetMode="External" Id="rId44"/><Relationship Type="http://schemas.openxmlformats.org/officeDocument/2006/relationships/hyperlink" Target="https://www.lovethework.com/work/entries/life-donor-card-759456" TargetMode="External" Id="rId45"/><Relationship Type="http://schemas.openxmlformats.org/officeDocument/2006/relationships/hyperlink" Target="https://ascentialcdn.filespin.io/api/v1/conversion/60aa1888e5b6444381b060dc1801de84" TargetMode="External" Id="rId46"/><Relationship Type="http://schemas.openxmlformats.org/officeDocument/2006/relationships/hyperlink" Target="https://www.lovethework.com/work/entries/olympic-games-opening-ceremony-paris-2024-748278" TargetMode="External" Id="rId47"/><Relationship Type="http://schemas.openxmlformats.org/officeDocument/2006/relationships/hyperlink" Target="https://ascentialcdn.filespin.io/api/v1/conversion/67b6df2a0fe64deeb274c91d50040c54" TargetMode="External" Id="rId48"/><Relationship Type="http://schemas.openxmlformats.org/officeDocument/2006/relationships/hyperlink" Target="https://www.lovethework.com/work/entries/price-packs-748036" TargetMode="External" Id="rId49"/><Relationship Type="http://schemas.openxmlformats.org/officeDocument/2006/relationships/hyperlink" Target="https://ascentialcdn.filespin.io/api/v1/conversion/8a8d409a0e954a6b8f0df7b07bba8cc9" TargetMode="External" Id="rId50"/><Relationship Type="http://schemas.openxmlformats.org/officeDocument/2006/relationships/hyperlink" Target="https://www.lovethework.com/work/entries/progresso-soup-drops-747467" TargetMode="External" Id="rId51"/><Relationship Type="http://schemas.openxmlformats.org/officeDocument/2006/relationships/hyperlink" Target="https://ascentialcdn.filespin.io/api/v1/conversion/a8d4e72bb1ce47508dcea8db73d16b01" TargetMode="External" Id="rId52"/><Relationship Type="http://schemas.openxmlformats.org/officeDocument/2006/relationships/hyperlink" Target="https://www.lovethework.com/work/entries/pub-succession-747631" TargetMode="External" Id="rId53"/><Relationship Type="http://schemas.openxmlformats.org/officeDocument/2006/relationships/hyperlink" Target="https://ascentialcdn.filespin.io/api/v1/conversion/faa00cc4c0b94e1ea53f6e9be2461987" TargetMode="External" Id="rId54"/><Relationship Type="http://schemas.openxmlformats.org/officeDocument/2006/relationships/hyperlink" Target="https://www.lovethework.com/work/entries/public-money-atm-760036" TargetMode="External" Id="rId55"/><Relationship Type="http://schemas.openxmlformats.org/officeDocument/2006/relationships/hyperlink" Target="https://ascentialcdn.filespin.io/api/v1/conversion/945d141f6a13498e8ad127f4cbbf0caf" TargetMode="External" Id="rId56"/><Relationship Type="http://schemas.openxmlformats.org/officeDocument/2006/relationships/hyperlink" Target="https://www.lovethework.com/work/entries/recipe-for-change-748366" TargetMode="External" Id="rId57"/><Relationship Type="http://schemas.openxmlformats.org/officeDocument/2006/relationships/hyperlink" Target="https://ascentialcdn.filespin.io/api/v1/conversion/fcd0be35220a46cbbcee1dada7201da9" TargetMode="External" Id="rId58"/><Relationship Type="http://schemas.openxmlformats.org/officeDocument/2006/relationships/hyperlink" Target="https://www.lovethework.com/work/entries/roobadge-746668" TargetMode="External" Id="rId59"/><Relationship Type="http://schemas.openxmlformats.org/officeDocument/2006/relationships/hyperlink" Target="https://ascentialcdn.filespin.io/api/v1/conversion/3ad6c6826a8c471190e7d97b6003c486" TargetMode="External" Id="rId60"/><Relationship Type="http://schemas.openxmlformats.org/officeDocument/2006/relationships/hyperlink" Target="https://www.lovethework.com/work/entries/spreadbeats-746959" TargetMode="External" Id="rId61"/><Relationship Type="http://schemas.openxmlformats.org/officeDocument/2006/relationships/hyperlink" Target="https://ascentialcdn.filespin.io/api/v1/conversion/fb3c12787a614e6380d825b91a317ee9" TargetMode="External" Id="rId62"/><Relationship Type="http://schemas.openxmlformats.org/officeDocument/2006/relationships/hyperlink" Target="https://www.lovethework.com/work/entries/the-athletes-code-748210" TargetMode="External" Id="rId63"/><Relationship Type="http://schemas.openxmlformats.org/officeDocument/2006/relationships/hyperlink" Target="https://ascentialcdn.filespin.io/api/v1/conversion/bf4eb691b7e04919bfdbea7a218c286a" TargetMode="External" Id="rId64"/><Relationship Type="http://schemas.openxmlformats.org/officeDocument/2006/relationships/hyperlink" Target="https://www.lovethework.com/work/entries/the-kimberly-price-746828" TargetMode="External" Id="rId65"/><Relationship Type="http://schemas.openxmlformats.org/officeDocument/2006/relationships/hyperlink" Target="https://ascentialcdn.filespin.io/api/v1/conversion/dc69ba18c3b64ddfa564f09dc300d7e0" TargetMode="External" Id="rId66"/><Relationship Type="http://schemas.openxmlformats.org/officeDocument/2006/relationships/hyperlink" Target="https://www.lovethework.com/work/entries/the-kimberly-price-746828" TargetMode="External" Id="rId67"/><Relationship Type="http://schemas.openxmlformats.org/officeDocument/2006/relationships/hyperlink" Target="https://ascentialcdn.filespin.io/api/v1/conversion/837e21468aac4c1e902d0113ac141af1" TargetMode="External" Id="rId68"/><Relationship Type="http://schemas.openxmlformats.org/officeDocument/2006/relationships/hyperlink" Target="https://www.lovethework.com/work/entries/time-to-live-748191" TargetMode="External" Id="rId69"/><Relationship Type="http://schemas.openxmlformats.org/officeDocument/2006/relationships/hyperlink" Target="https://ascentialcdn.filespin.io/api/v1/conversion/a8a20a31dcb844ebad5ef04afca8370b" TargetMode="External" Id="rId70"/><Relationship Type="http://schemas.openxmlformats.org/officeDocument/2006/relationships/hyperlink" Target="https://www.lovethework.com/work/entries/acko-tailor-test-748463" TargetMode="External" Id="rId71"/><Relationship Type="http://schemas.openxmlformats.org/officeDocument/2006/relationships/hyperlink" Target="https://ascentialcdn.filespin.io/api/v1/conversion/db51bea9a01d40108f74e1fa9bd7ad3f" TargetMode="External" Id="rId72"/><Relationship Type="http://schemas.openxmlformats.org/officeDocument/2006/relationships/hyperlink" Target="https://www.lovethework.com/work/entries/airbnb-icons-747925" TargetMode="External" Id="rId73"/><Relationship Type="http://schemas.openxmlformats.org/officeDocument/2006/relationships/hyperlink" Target="https://ascentialcdn.filespin.io/api/v1/conversion/7e95f656b693443d8d4e60f0a4c9b853" TargetMode="External" Id="rId74"/><Relationship Type="http://schemas.openxmlformats.org/officeDocument/2006/relationships/hyperlink" Target="https://www.lovethework.com/work/entries/bad-luck-reverser-748147" TargetMode="External" Id="rId75"/><Relationship Type="http://schemas.openxmlformats.org/officeDocument/2006/relationships/hyperlink" Target="https://ascentialcdn.filespin.io/api/v1/conversion/68d1cb58e31142a3ad6142f7ac03f65e" TargetMode="External" Id="rId76"/><Relationship Type="http://schemas.openxmlformats.org/officeDocument/2006/relationships/hyperlink" Target="https://www.lovethework.com/work/entries/building-futures-748173" TargetMode="External" Id="rId77"/><Relationship Type="http://schemas.openxmlformats.org/officeDocument/2006/relationships/hyperlink" Target="https://ascentialcdn.filespin.io/api/v1/conversion/abab04c347304d2a9a3b75bd9d3a0a79" TargetMode="External" Id="rId78"/><Relationship Type="http://schemas.openxmlformats.org/officeDocument/2006/relationships/hyperlink" Target="https://www.lovethework.com/work/entries/camdom-746733" TargetMode="External" Id="rId79"/><Relationship Type="http://schemas.openxmlformats.org/officeDocument/2006/relationships/hyperlink" Target="https://ascentialcdn.filespin.io/api/v1/conversion/d5e8778a86514f2bb1586343132de626" TargetMode="External" Id="rId80"/><Relationship Type="http://schemas.openxmlformats.org/officeDocument/2006/relationships/hyperlink" Target="https://www.lovethework.com/work/entries/caption-with-intention-748489" TargetMode="External" Id="rId81"/><Relationship Type="http://schemas.openxmlformats.org/officeDocument/2006/relationships/hyperlink" Target="https://ascentialcdn.filespin.io/api/v1/conversion/063b28ff666842b6ba0f2b6972cdd489" TargetMode="External" Id="rId82"/><Relationship Type="http://schemas.openxmlformats.org/officeDocument/2006/relationships/hyperlink" Target="https://www.lovethework.com/work/entries/certified-toasters-747325" TargetMode="External" Id="rId83"/><Relationship Type="http://schemas.openxmlformats.org/officeDocument/2006/relationships/hyperlink" Target="https://ascentialcdn.filespin.io/api/v1/conversion/fd2b448479ca41b7aa08b7d8a4bd8749" TargetMode="External" Id="rId84"/><Relationship Type="http://schemas.openxmlformats.org/officeDocument/2006/relationships/hyperlink" Target="https://www.lovethework.com/work/entries/choose-uber-759808" TargetMode="External" Id="rId85"/><Relationship Type="http://schemas.openxmlformats.org/officeDocument/2006/relationships/hyperlink" Target="https://ascentialcdn.filespin.io/api/v1/conversion/da2a035ff121404d908607d3ef09dfd2" TargetMode="External" Id="rId86"/><Relationship Type="http://schemas.openxmlformats.org/officeDocument/2006/relationships/hyperlink" Target="https://www.lovethework.com/work/entries/coupon-rain-747356" TargetMode="External" Id="rId87"/><Relationship Type="http://schemas.openxmlformats.org/officeDocument/2006/relationships/hyperlink" Target="https://ascentialcdn.filespin.io/api/v1/conversion/423282a302ed4fe187b1a0b7b5eb8284" TargetMode="External" Id="rId88"/><Relationship Type="http://schemas.openxmlformats.org/officeDocument/2006/relationships/hyperlink" Target="https://www.lovethework.com/work/entries/eye-test-menu-747656" TargetMode="External" Id="rId89"/><Relationship Type="http://schemas.openxmlformats.org/officeDocument/2006/relationships/hyperlink" Target="https://ascentialcdn.filespin.io/api/v1/conversion/3f6078e96a9a4e17acada7c2ad04d652" TargetMode="External" Id="rId90"/><Relationship Type="http://schemas.openxmlformats.org/officeDocument/2006/relationships/hyperlink" Target="https://www.lovethework.com/work/entries/followers-store-747160" TargetMode="External" Id="rId91"/><Relationship Type="http://schemas.openxmlformats.org/officeDocument/2006/relationships/hyperlink" Target="https://ascentialcdn.filespin.io/api/v1/conversion/8e35da4f41d24cfba9b2b339c1dd1325" TargetMode="External" Id="rId92"/><Relationship Type="http://schemas.openxmlformats.org/officeDocument/2006/relationships/hyperlink" Target="https://www.lovethework.com/work/entries/hagelchup-761247" TargetMode="External" Id="rId93"/><Relationship Type="http://schemas.openxmlformats.org/officeDocument/2006/relationships/hyperlink" Target="https://www.lovethework.com/work/entries/harmoniser-746769" TargetMode="External" Id="rId94"/><Relationship Type="http://schemas.openxmlformats.org/officeDocument/2006/relationships/hyperlink" Target="https://ascentialcdn.filespin.io/api/v1/conversion/f6e7f0cb16774f6cb600e22c0c3bdfde" TargetMode="External" Id="rId95"/><Relationship Type="http://schemas.openxmlformats.org/officeDocument/2006/relationships/hyperlink" Target="https://www.lovethework.com/work/entries/lap-of-legends-759515" TargetMode="External" Id="rId96"/><Relationship Type="http://schemas.openxmlformats.org/officeDocument/2006/relationships/hyperlink" Target="https://ascentialcdn.filespin.io/api/v1/conversion/ea3dd481097345ee8090654d39e8e874" TargetMode="External" Id="rId97"/><Relationship Type="http://schemas.openxmlformats.org/officeDocument/2006/relationships/hyperlink" Target="https://www.lovethework.com/work/entries/lynx-with-catnip-747829" TargetMode="External" Id="rId98"/><Relationship Type="http://schemas.openxmlformats.org/officeDocument/2006/relationships/hyperlink" Target="https://ascentialcdn.filespin.io/api/v1/conversion/ad05d5ee96d64b4bbff51d2ad0b8ea59" TargetMode="External" Id="rId99"/><Relationship Type="http://schemas.openxmlformats.org/officeDocument/2006/relationships/hyperlink" Target="https://www.lovethework.com/work/entries/mommyphone-746686" TargetMode="External" Id="rId100"/><Relationship Type="http://schemas.openxmlformats.org/officeDocument/2006/relationships/hyperlink" Target="https://ascentialcdn.filespin.io/api/v1/conversion/c26e38ccd1ea4f2eae3e55a7d0c74a7c" TargetMode="External" Id="rId101"/><Relationship Type="http://schemas.openxmlformats.org/officeDocument/2006/relationships/hyperlink" Target="https://www.lovethework.com/work/entries/other-hand-746730" TargetMode="External" Id="rId102"/><Relationship Type="http://schemas.openxmlformats.org/officeDocument/2006/relationships/hyperlink" Target="https://ascentialcdn.filespin.io/api/v1/conversion/5fbcea0cb26e47f685f6856daa7051fb" TargetMode="External" Id="rId103"/><Relationship Type="http://schemas.openxmlformats.org/officeDocument/2006/relationships/hyperlink" Target="https://www.lovethework.com/work/entries/other-hand-746730" TargetMode="External" Id="rId104"/><Relationship Type="http://schemas.openxmlformats.org/officeDocument/2006/relationships/hyperlink" Target="https://ascentialcdn.filespin.io/api/v1/conversion/32ef7021bdbd4c4392fa51fb240d45e6" TargetMode="External" Id="rId105"/><Relationship Type="http://schemas.openxmlformats.org/officeDocument/2006/relationships/hyperlink" Target="https://www.lovethework.com/work/entries/prize-on-the-bone-747788" TargetMode="External" Id="rId106"/><Relationship Type="http://schemas.openxmlformats.org/officeDocument/2006/relationships/hyperlink" Target="https://ascentialcdn.filespin.io/api/v1/conversion/acbb86d466734cc4890607c8d8d33696" TargetMode="External" Id="rId107"/><Relationship Type="http://schemas.openxmlformats.org/officeDocument/2006/relationships/hyperlink" Target="https://www.lovethework.com/work/entries/report-this-ad-747650" TargetMode="External" Id="rId108"/><Relationship Type="http://schemas.openxmlformats.org/officeDocument/2006/relationships/hyperlink" Target="https://ascentialcdn.filespin.io/api/v1/conversion/17be9285972743a1b234168fb6440ddb" TargetMode="External" Id="rId109"/><Relationship Type="http://schemas.openxmlformats.org/officeDocument/2006/relationships/hyperlink" Target="https://www.lovethework.com/work/entries/returning-creativity-747841" TargetMode="External" Id="rId110"/><Relationship Type="http://schemas.openxmlformats.org/officeDocument/2006/relationships/hyperlink" Target="https://ascentialcdn.filespin.io/api/v1/conversion/6823017bae93485e8872b6f02baedf4b" TargetMode="External" Id="rId111"/><Relationship Type="http://schemas.openxmlformats.org/officeDocument/2006/relationships/hyperlink" Target="https://www.lovethework.com/work/entries/shades-of-red-748102" TargetMode="External" Id="rId112"/><Relationship Type="http://schemas.openxmlformats.org/officeDocument/2006/relationships/hyperlink" Target="https://ascentialcdn.filespin.io/api/v1/conversion/a542046c9e4a4704b0c1f7f075a95f4c" TargetMode="External" Id="rId113"/><Relationship Type="http://schemas.openxmlformats.org/officeDocument/2006/relationships/hyperlink" Target="https://www.lovethework.com/work/entries/sights-of-tomorrow-748200" TargetMode="External" Id="rId114"/><Relationship Type="http://schemas.openxmlformats.org/officeDocument/2006/relationships/hyperlink" Target="https://ascentialcdn.filespin.io/api/v1/conversion/325a5a7b867c43a7a400829c3a94a862" TargetMode="External" Id="rId115"/><Relationship Type="http://schemas.openxmlformats.org/officeDocument/2006/relationships/hyperlink" Target="https://www.lovethework.com/work/entries/supportbelt-746697" TargetMode="External" Id="rId116"/><Relationship Type="http://schemas.openxmlformats.org/officeDocument/2006/relationships/hyperlink" Target="https://ascentialcdn.filespin.io/api/v1/conversion/e2d391a076394851ad0376152ece61bb" TargetMode="External" Id="rId117"/><Relationship Type="http://schemas.openxmlformats.org/officeDocument/2006/relationships/hyperlink" Target="https://www.lovethework.com/work/entries/thanks-for-coke-creating-748058" TargetMode="External" Id="rId118"/><Relationship Type="http://schemas.openxmlformats.org/officeDocument/2006/relationships/hyperlink" Target="https://ascentialcdn.filespin.io/api/v1/conversion/fb3c12787a614e6380d825b91a317ee9" TargetMode="External" Id="rId119"/><Relationship Type="http://schemas.openxmlformats.org/officeDocument/2006/relationships/hyperlink" Target="https://www.lovethework.com/work/entries/the-athletes-code-747839" TargetMode="External" Id="rId120"/><Relationship Type="http://schemas.openxmlformats.org/officeDocument/2006/relationships/hyperlink" Target="https://ascentialcdn.filespin.io/api/v1/conversion/ccce75b37e6345528c0db780024c9818" TargetMode="External" Id="rId121"/><Relationship Type="http://schemas.openxmlformats.org/officeDocument/2006/relationships/hyperlink" Target="https://www.lovethework.com/work/entries/the-final-exam-761168" TargetMode="External" Id="rId122"/><Relationship Type="http://schemas.openxmlformats.org/officeDocument/2006/relationships/hyperlink" Target="https://ascentialcdn.filespin.io/api/v1/conversion/309901ab87bb4eabaa1bae30d983f38c" TargetMode="External" Id="rId123"/><Relationship Type="http://schemas.openxmlformats.org/officeDocument/2006/relationships/hyperlink" Target="https://www.lovethework.com/work/entries/the-flame-that-wasnt-a-flame-747506" TargetMode="External" Id="rId124"/><Relationship Type="http://schemas.openxmlformats.org/officeDocument/2006/relationships/hyperlink" Target="https://ascentialcdn.filespin.io/api/v1/conversion/5e2b835a636345e0a9110a3076d31dca" TargetMode="External" Id="rId125"/><Relationship Type="http://schemas.openxmlformats.org/officeDocument/2006/relationships/hyperlink" Target="https://www.lovethework.com/work/entries/the-meal-748307" TargetMode="External" Id="rId126"/><Relationship Type="http://schemas.openxmlformats.org/officeDocument/2006/relationships/hyperlink" Target="https://ascentialcdn.filespin.io/api/v1/conversion/a8b9edfd44de47b893b950770030cf54" TargetMode="External" Id="rId127"/><Relationship Type="http://schemas.openxmlformats.org/officeDocument/2006/relationships/hyperlink" Target="https://www.lovethework.com/work/entries/the-parental-leave-mortgage-747202" TargetMode="External" Id="rId128"/><Relationship Type="http://schemas.openxmlformats.org/officeDocument/2006/relationships/hyperlink" Target="https://ascentialcdn.filespin.io/api/v1/conversion/eb0ad333e56946e5a9a52aed1980943d" TargetMode="External" Id="rId129"/><Relationship Type="http://schemas.openxmlformats.org/officeDocument/2006/relationships/hyperlink" Target="https://www.lovethework.com/work/entries/the-social-feed-746763" TargetMode="External" Id="rId130"/><Relationship Type="http://schemas.openxmlformats.org/officeDocument/2006/relationships/hyperlink" Target="https://ascentialcdn.filespin.io/api/v1/conversion/24a4ad960f3c4ac8a1a86823848e8d17" TargetMode="External" Id="rId131"/><Relationship Type="http://schemas.openxmlformats.org/officeDocument/2006/relationships/hyperlink" Target="https://www.lovethework.com/work/entries/worst-childrens-library-748079" TargetMode="External" Id="rId132"/></Relationships>
</file>

<file path=xl/worksheets/_rels/sheet21.xml.rels><Relationships xmlns="http://schemas.openxmlformats.org/package/2006/relationships"><Relationship Type="http://schemas.openxmlformats.org/officeDocument/2006/relationships/hyperlink" Target="https://www.lovethework.com/work/entries/axa-three-words-757718" TargetMode="External" Id="rId1"/><Relationship Type="http://schemas.openxmlformats.org/officeDocument/2006/relationships/hyperlink" Target="https://www.lovethework.com/work/entries/lucky-yatra-757794" TargetMode="External" Id="rId2"/><Relationship Type="http://schemas.openxmlformats.org/officeDocument/2006/relationships/hyperlink" Target="https://www.lovethework.com/work/entries/building-a-more-resilient-australia-757856" TargetMode="External" Id="rId3"/><Relationship Type="http://schemas.openxmlformats.org/officeDocument/2006/relationships/hyperlink" Target="https://ascentialcdn.filespin.io/api/v1/storyboard/f4d05b0940354e91afbb9acbfc09d056/storyboard_000008.jpg" TargetMode="External" Id="rId4"/><Relationship Type="http://schemas.openxmlformats.org/officeDocument/2006/relationships/hyperlink" Target="https://www.lovethework.com/work/entries/renault-long-term-757900" TargetMode="External" Id="rId5"/><Relationship Type="http://schemas.openxmlformats.org/officeDocument/2006/relationships/hyperlink" Target="https://www.lovethework.com/work/entries/recipe-for-growth-757609" TargetMode="External" Id="rId6"/><Relationship Type="http://schemas.openxmlformats.org/officeDocument/2006/relationships/hyperlink" Target="https://www.lovethework.com/work/entries/its-a-cheetos-thing-765189" TargetMode="External" Id="rId7"/><Relationship Type="http://schemas.openxmlformats.org/officeDocument/2006/relationships/hyperlink" Target="https://ascentialcdn.filespin.io/api/v1/conversion/9d89a2d0441e4f1498beb7e41712ebbf" TargetMode="External" Id="rId8"/><Relationship Type="http://schemas.openxmlformats.org/officeDocument/2006/relationships/hyperlink" Target="https://www.lovethework.com/work/entries/backing-the-bars-762510" TargetMode="External" Id="rId9"/></Relationships>
</file>

<file path=xl/worksheets/_rels/sheet22.xml.rels><Relationships xmlns="http://schemas.openxmlformats.org/package/2006/relationships"><Relationship Type="http://schemas.openxmlformats.org/officeDocument/2006/relationships/hyperlink" Target="https://ascentialcdn.filespin.io/api/v1/conversion/8223f25b769b40e3b665c4ec19e2e12c" TargetMode="External" Id="rId1"/><Relationship Type="http://schemas.openxmlformats.org/officeDocument/2006/relationships/hyperlink" Target="https://www.lovethework.com/work/entries/preserved-promos-756451" TargetMode="External" Id="rId2"/><Relationship Type="http://schemas.openxmlformats.org/officeDocument/2006/relationships/hyperlink" Target="https://ascentialcdn.filespin.io/api/v1/conversion/06ac79ad1b9840bdb3df3269a42d0933" TargetMode="External" Id="rId3"/><Relationship Type="http://schemas.openxmlformats.org/officeDocument/2006/relationships/hyperlink" Target="https://www.lovethework.com/work/entries/recipe-for-growth-756123" TargetMode="External" Id="rId4"/><Relationship Type="http://schemas.openxmlformats.org/officeDocument/2006/relationships/hyperlink" Target="https://ascentialcdn.filespin.io/api/v1/conversion/b1a090f7c816487f8dcee01d4c656df9" TargetMode="External" Id="rId5"/><Relationship Type="http://schemas.openxmlformats.org/officeDocument/2006/relationships/hyperlink" Target="https://www.lovethework.com/work/entries/sad-kama-chan-756446" TargetMode="External" Id="rId6"/><Relationship Type="http://schemas.openxmlformats.org/officeDocument/2006/relationships/hyperlink" Target="https://ascentialcdn.filespin.io/api/v1/conversion/81cf5ad6f9074f6589edcf4736a3552b" TargetMode="External" Id="rId7"/><Relationship Type="http://schemas.openxmlformats.org/officeDocument/2006/relationships/hyperlink" Target="https://www.lovethework.com/work/entries/lucky-yatra-756377" TargetMode="External" Id="rId8"/><Relationship Type="http://schemas.openxmlformats.org/officeDocument/2006/relationships/hyperlink" Target="https://ascentialcdn.filespin.io/api/v1/conversion/23d7c7eb3b1845ab821b2444f4366440" TargetMode="External" Id="rId9"/><Relationship Type="http://schemas.openxmlformats.org/officeDocument/2006/relationships/hyperlink" Target="https://www.lovethework.com/work/entries/football-is-for-food-756070" TargetMode="External" Id="rId10"/><Relationship Type="http://schemas.openxmlformats.org/officeDocument/2006/relationships/hyperlink" Target="https://ascentialcdn.filespin.io/api/v1/conversion/65f21a7641c4411ab901d5cc5854564a" TargetMode="External" Id="rId11"/><Relationship Type="http://schemas.openxmlformats.org/officeDocument/2006/relationships/hyperlink" Target="https://www.lovethework.com/work/entries/makeup-payment-756226" TargetMode="External" Id="rId12"/><Relationship Type="http://schemas.openxmlformats.org/officeDocument/2006/relationships/hyperlink" Target="https://ascentialcdn.filespin.io/api/v1/conversion/8782875c907847289e66a9d52a2b2ec8" TargetMode="External" Id="rId13"/><Relationship Type="http://schemas.openxmlformats.org/officeDocument/2006/relationships/hyperlink" Target="https://www.lovethework.com/work/entries/coupon-rain-756095" TargetMode="External" Id="rId14"/><Relationship Type="http://schemas.openxmlformats.org/officeDocument/2006/relationships/hyperlink" Target="https://ascentialcdn.filespin.io/api/v1/conversion/ed346dbf026441888562409343c9c149" TargetMode="External" Id="rId15"/><Relationship Type="http://schemas.openxmlformats.org/officeDocument/2006/relationships/hyperlink" Target="https://www.lovethework.com/work/entries/the-social-feed-756367" TargetMode="External" Id="rId16"/><Relationship Type="http://schemas.openxmlformats.org/officeDocument/2006/relationships/hyperlink" Target="https://ascentialcdn.filespin.io/api/v1/conversion/32ef7021bdbd4c4392fa51fb240d45e6" TargetMode="External" Id="rId17"/><Relationship Type="http://schemas.openxmlformats.org/officeDocument/2006/relationships/hyperlink" Target="https://www.lovethework.com/work/entries/prize-on-the-bone-756514" TargetMode="External" Id="rId18"/><Relationship Type="http://schemas.openxmlformats.org/officeDocument/2006/relationships/hyperlink" Target="https://ascentialcdn.filespin.io/api/v1/conversion/67b6df2a0fe64deeb274c91d50040c54" TargetMode="External" Id="rId19"/><Relationship Type="http://schemas.openxmlformats.org/officeDocument/2006/relationships/hyperlink" Target="https://www.lovethework.com/work/entries/price-packs-756267" TargetMode="External" Id="rId20"/><Relationship Type="http://schemas.openxmlformats.org/officeDocument/2006/relationships/hyperlink" Target="https://ascentialcdn.filespin.io/api/v1/conversion/cb56a9988125417f960278fdeea26a5f" TargetMode="External" Id="rId21"/><Relationship Type="http://schemas.openxmlformats.org/officeDocument/2006/relationships/hyperlink" Target="https://www.lovethework.com/work/entries/orange-safer-phone-756150" TargetMode="External" Id="rId22"/><Relationship Type="http://schemas.openxmlformats.org/officeDocument/2006/relationships/hyperlink" Target="https://ascentialcdn.filespin.io/api/v1/conversion/1d6f8cfcad1b47c9beaa5f403844ec8a" TargetMode="External" Id="rId23"/><Relationship Type="http://schemas.openxmlformats.org/officeDocument/2006/relationships/hyperlink" Target="https://www.lovethework.com/work/entries/u-up-756513" TargetMode="External" Id="rId24"/><Relationship Type="http://schemas.openxmlformats.org/officeDocument/2006/relationships/hyperlink" Target="https://ascentialcdn.filespin.io/api/v1/conversion/7e95f656b693443d8d4e60f0a4c9b853" TargetMode="External" Id="rId25"/><Relationship Type="http://schemas.openxmlformats.org/officeDocument/2006/relationships/hyperlink" Target="https://www.lovethework.com/work/entries/bad-luck-reverser-756277" TargetMode="External" Id="rId26"/><Relationship Type="http://schemas.openxmlformats.org/officeDocument/2006/relationships/hyperlink" Target="https://ascentialcdn.filespin.io/api/v1/conversion/30f06e4e4ef440009490ba98305ec513" TargetMode="External" Id="rId27"/><Relationship Type="http://schemas.openxmlformats.org/officeDocument/2006/relationships/hyperlink" Target="https://www.lovethework.com/work/entries/certified-toasters-756382" TargetMode="External" Id="rId28"/><Relationship Type="http://schemas.openxmlformats.org/officeDocument/2006/relationships/hyperlink" Target="https://ascentialcdn.filespin.io/api/v1/conversion/0dd066245fc34dabbdcefcd302d6dec0" TargetMode="External" Id="rId29"/><Relationship Type="http://schemas.openxmlformats.org/officeDocument/2006/relationships/hyperlink" Target="https://www.lovethework.com/work/entries/gamepay-756300" TargetMode="External" Id="rId30"/><Relationship Type="http://schemas.openxmlformats.org/officeDocument/2006/relationships/hyperlink" Target="https://ascentialcdn.filespin.io/api/v1/conversion/2feb6d1ff52a478c9a984b587364f7e7" TargetMode="External" Id="rId31"/><Relationship Type="http://schemas.openxmlformats.org/officeDocument/2006/relationships/hyperlink" Target="https://www.lovethework.com/work/entries/emoji-coke-755966" TargetMode="External" Id="rId32"/><Relationship Type="http://schemas.openxmlformats.org/officeDocument/2006/relationships/hyperlink" Target="https://ascentialcdn.filespin.io/api/v1/conversion/33bdcd0b6d9f488bb4f5fc588536ffbd" TargetMode="External" Id="rId33"/><Relationship Type="http://schemas.openxmlformats.org/officeDocument/2006/relationships/hyperlink" Target="https://www.lovethework.com/work/entries/trash-talk-codes-756163" TargetMode="External" Id="rId34"/><Relationship Type="http://schemas.openxmlformats.org/officeDocument/2006/relationships/hyperlink" Target="https://ascentialcdn.filespin.io/api/v1/conversion/6e35bee1ed324003aa2a205fcdfecf12" TargetMode="External" Id="rId35"/><Relationship Type="http://schemas.openxmlformats.org/officeDocument/2006/relationships/hyperlink" Target="https://www.lovethework.com/work/entries/bar-dating-powered-by-hei-764307" TargetMode="External" Id="rId36"/><Relationship Type="http://schemas.openxmlformats.org/officeDocument/2006/relationships/hyperlink" Target="https://ascentialcdn.filespin.io/api/v1/conversion/e943553f2152499c8182bfce20e7355d" TargetMode="External" Id="rId37"/><Relationship Type="http://schemas.openxmlformats.org/officeDocument/2006/relationships/hyperlink" Target="https://www.lovethework.com/work/entries/minefield-honey-harvesting-hope-762159" TargetMode="External" Id="rId38"/><Relationship Type="http://schemas.openxmlformats.org/officeDocument/2006/relationships/hyperlink" Target="https://ascentialcdn.filespin.io/api/v1/conversion/b71f0dff73f3455abef2899f0b1aeb49" TargetMode="External" Id="rId39"/><Relationship Type="http://schemas.openxmlformats.org/officeDocument/2006/relationships/hyperlink" Target="https://www.lovethework.com/work/entries/kleenex-score-756290" TargetMode="External" Id="rId40"/></Relationships>
</file>

<file path=xl/worksheets/_rels/sheet23.xml.rels><Relationships xmlns="http://schemas.openxmlformats.org/package/2006/relationships"><Relationship Type="http://schemas.openxmlformats.org/officeDocument/2006/relationships/hyperlink" Target="https://ascentialcdn.filespin.io/api/v1/conversion/5015b68d24bd481a8fcfefc326f5b154" TargetMode="External" Id="rId1"/><Relationship Type="http://schemas.openxmlformats.org/officeDocument/2006/relationships/hyperlink" Target="https://www.lovethework.com/work/entries/sounds-right-761761" TargetMode="External" Id="rId2"/><Relationship Type="http://schemas.openxmlformats.org/officeDocument/2006/relationships/hyperlink" Target="https://ascentialcdn.filespin.io/api/v1/conversion/bcb995632e51401e9bb1c27a8f759215" TargetMode="External" Id="rId3"/><Relationship Type="http://schemas.openxmlformats.org/officeDocument/2006/relationships/hyperlink" Target="https://www.lovethework.com/work/entries/caption-with-intention-752614" TargetMode="External" Id="rId4"/><Relationship Type="http://schemas.openxmlformats.org/officeDocument/2006/relationships/hyperlink" Target="https://ascentialcdn.filespin.io/api/v1/conversion/57def036fd3c4c41912d570ec8706239" TargetMode="External" Id="rId5"/><Relationship Type="http://schemas.openxmlformats.org/officeDocument/2006/relationships/hyperlink" Target="https://www.lovethework.com/work/entries/baby-minder-760278" TargetMode="External" Id="rId6"/><Relationship Type="http://schemas.openxmlformats.org/officeDocument/2006/relationships/hyperlink" Target="https://ascentialcdn.filespin.io/api/v1/conversion/9c0dd0aaa6f044518e70e7d63c0c78dd" TargetMode="External" Id="rId7"/><Relationship Type="http://schemas.openxmlformats.org/officeDocument/2006/relationships/hyperlink" Target="https://www.lovethework.com/work/entries/beer-retirement-account-752712" TargetMode="External" Id="rId8"/><Relationship Type="http://schemas.openxmlformats.org/officeDocument/2006/relationships/hyperlink" Target="https://ascentialcdn.filespin.io/api/v1/conversion/5a1c3d291d1b4a428ebb261bc24b249b" TargetMode="External" Id="rId9"/><Relationship Type="http://schemas.openxmlformats.org/officeDocument/2006/relationships/hyperlink" Target="https://www.lovethework.com/work/entries/painvisible-752585" TargetMode="External" Id="rId10"/><Relationship Type="http://schemas.openxmlformats.org/officeDocument/2006/relationships/hyperlink" Target="https://ascentialcdn.filespin.io/api/v1/conversion/98d0bf51b7764f41a17afc9759c91bfa" TargetMode="External" Id="rId11"/><Relationship Type="http://schemas.openxmlformats.org/officeDocument/2006/relationships/hyperlink" Target="https://www.lovethework.com/work/entries/drops-of-hope-761643" TargetMode="External" Id="rId12"/><Relationship Type="http://schemas.openxmlformats.org/officeDocument/2006/relationships/hyperlink" Target="https://ascentialcdn.filespin.io/api/v1/conversion/9f8364b5c9b847aa83fb8ea7b62628d8" TargetMode="External" Id="rId13"/><Relationship Type="http://schemas.openxmlformats.org/officeDocument/2006/relationships/hyperlink" Target="https://www.lovethework.com/work/entries/living-fabric-759716" TargetMode="External" Id="rId14"/></Relationships>
</file>

<file path=xl/worksheets/_rels/sheet24.xml.rels><Relationships xmlns="http://schemas.openxmlformats.org/package/2006/relationships"><Relationship Type="http://schemas.openxmlformats.org/officeDocument/2006/relationships/hyperlink" Target="https://ascentialcdn.filespin.io/api/v1/conversion/618cd520f9a24294b091f0641b1abd65" TargetMode="External" Id="rId1"/><Relationship Type="http://schemas.openxmlformats.org/officeDocument/2006/relationships/hyperlink" Target="https://www.lovethework.com/work/entries/the-partnership-that-changed-everything-758515" TargetMode="External" Id="rId2"/><Relationship Type="http://schemas.openxmlformats.org/officeDocument/2006/relationships/hyperlink" Target="https://ascentialcdn.filespin.io/api/v1/conversion/ba8c7874143548279ee2ef8936cfee6d" TargetMode="External" Id="rId3"/><Relationship Type="http://schemas.openxmlformats.org/officeDocument/2006/relationships/hyperlink" Target="https://www.lovethework.com/work/entries/late-checkout-a-ritz-carlton-story-758432" TargetMode="External" Id="rId4"/><Relationship Type="http://schemas.openxmlformats.org/officeDocument/2006/relationships/hyperlink" Target="https://ascentialcdn.filespin.io/api/v1/conversion/a9e8fdb5892d441587b7c4c55eb3d5fb" TargetMode="External" Id="rId5"/><Relationship Type="http://schemas.openxmlformats.org/officeDocument/2006/relationships/hyperlink" Target="https://www.lovethework.com/work/entries/1837-tiffany-blue-conservation-758489" TargetMode="External" Id="rId6"/><Relationship Type="http://schemas.openxmlformats.org/officeDocument/2006/relationships/hyperlink" Target="https://ascentialcdn.filespin.io/api/v1/conversion/b28805c7458d487cbf93d349fcf83dd2" TargetMode="External" Id="rId7"/><Relationship Type="http://schemas.openxmlformats.org/officeDocument/2006/relationships/hyperlink" Target="https://www.lovethework.com/work/entries/dont-call-it-love-762992" TargetMode="External" Id="rId8"/><Relationship Type="http://schemas.openxmlformats.org/officeDocument/2006/relationships/hyperlink" Target="https://ascentialcdn.filespin.io/api/v1/conversion/d6d662c2af9b477e9d70359dc900be0f" TargetMode="External" Id="rId9"/><Relationship Type="http://schemas.openxmlformats.org/officeDocument/2006/relationships/hyperlink" Target="https://www.lovethework.com/work/entries/prada-beyond-the-line-758381" TargetMode="External" Id="rId10"/><Relationship Type="http://schemas.openxmlformats.org/officeDocument/2006/relationships/hyperlink" Target="https://ascentialcdn.filespin.io/api/v1/conversion/f0ac97dd3a4547da87ada6ad61058cc1" TargetMode="External" Id="rId11"/><Relationship Type="http://schemas.openxmlformats.org/officeDocument/2006/relationships/hyperlink" Target="https://www.lovethework.com/work/entries/the-everlasting-logo-758398" TargetMode="External" Id="rId12"/><Relationship Type="http://schemas.openxmlformats.org/officeDocument/2006/relationships/hyperlink" Target="https://ascentialcdn.filespin.io/api/v1/conversion/d2cfdb97c2fc40fd9ab74040e3daa0a2" TargetMode="External" Id="rId13"/><Relationship Type="http://schemas.openxmlformats.org/officeDocument/2006/relationships/hyperlink" Target="https://www.lovethework.com/work/entries/loewe-tiktok-762978" TargetMode="External" Id="rId14"/></Relationships>
</file>

<file path=xl/worksheets/_rels/sheet25.xml.rels><Relationships xmlns="http://schemas.openxmlformats.org/package/2006/relationships"><Relationship Type="http://schemas.openxmlformats.org/officeDocument/2006/relationships/hyperlink" Target="https://ascentialcdn.filespin.io/api/v1/conversion/f68a5a2f3d844f2b9e241462ec640c44" TargetMode="External" Id="rId1"/><Relationship Type="http://schemas.openxmlformats.org/officeDocument/2006/relationships/hyperlink" Target="https://www.lovethework.com/work/entries/real-beauty-how-a-soap-brand-created-a-global-self-esteem-movement-754479" TargetMode="External" Id="rId2"/><Relationship Type="http://schemas.openxmlformats.org/officeDocument/2006/relationships/hyperlink" Target="https://ascentialcdn.filespin.io/api/v1/conversion/88e24a7cf24b40a590af455059ceeaf9" TargetMode="External" Id="rId3"/><Relationship Type="http://schemas.openxmlformats.org/officeDocument/2006/relationships/hyperlink" Target="https://www.lovethework.com/work/entries/heralbony-754170" TargetMode="External" Id="rId4"/><Relationship Type="http://schemas.openxmlformats.org/officeDocument/2006/relationships/hyperlink" Target="https://ascentialcdn.filespin.io/api/v1/conversion/5c13816c86fa4023933a56ac6d5c3593" TargetMode="External" Id="rId5"/><Relationship Type="http://schemas.openxmlformats.org/officeDocument/2006/relationships/hyperlink" Target="https://www.lovethework.com/work/entries/the-pen-to-right-history-762088" TargetMode="External" Id="rId6"/><Relationship Type="http://schemas.openxmlformats.org/officeDocument/2006/relationships/hyperlink" Target="https://ascentialcdn.filespin.io/api/v1/conversion/e1a85ff134e545c7b049791151432028" TargetMode="External" Id="rId7"/><Relationship Type="http://schemas.openxmlformats.org/officeDocument/2006/relationships/hyperlink" Target="https://www.lovethework.com/work/entries/axa-three-words-754295" TargetMode="External" Id="rId8"/><Relationship Type="http://schemas.openxmlformats.org/officeDocument/2006/relationships/hyperlink" Target="https://ascentialcdn.filespin.io/api/v1/conversion/bb0973df9f0d4e1e83e3c9ef7dc4d714" TargetMode="External" Id="rId9"/><Relationship Type="http://schemas.openxmlformats.org/officeDocument/2006/relationships/hyperlink" Target="https://www.lovethework.com/work/entries/dove-love-your-hair-760237" TargetMode="External" Id="rId10"/><Relationship Type="http://schemas.openxmlformats.org/officeDocument/2006/relationships/hyperlink" Target="https://ascentialcdn.filespin.io/api/v1/conversion/fdf9d053919448b2bf6bc7e2604789c5" TargetMode="External" Id="rId11"/><Relationship Type="http://schemas.openxmlformats.org/officeDocument/2006/relationships/hyperlink" Target="https://www.lovethework.com/work/entries/livefearless-754488" TargetMode="External" Id="rId12"/><Relationship Type="http://schemas.openxmlformats.org/officeDocument/2006/relationships/hyperlink" Target="https://ascentialcdn.filespin.io/api/v1/conversion/785860d791fe410495aecad052809d64" TargetMode="External" Id="rId13"/><Relationship Type="http://schemas.openxmlformats.org/officeDocument/2006/relationships/hyperlink" Target="https://www.lovethework.com/work/entries/her-dome-754187" TargetMode="External" Id="rId14"/><Relationship Type="http://schemas.openxmlformats.org/officeDocument/2006/relationships/hyperlink" Target="https://ascentialcdn.filespin.io/api/v1/conversion/2488030bdfa840c99e3568fe7b1001d2" TargetMode="External" Id="rId15"/><Relationship Type="http://schemas.openxmlformats.org/officeDocument/2006/relationships/hyperlink" Target="https://www.lovethework.com/work/entries/grad-in-black-762134" TargetMode="External" Id="rId16"/></Relationships>
</file>

<file path=xl/worksheets/_rels/sheet26.xml.rels><Relationships xmlns="http://schemas.openxmlformats.org/package/2006/relationships"><Relationship Type="http://schemas.openxmlformats.org/officeDocument/2006/relationships/hyperlink" Target="https://www.lovethework.com/work/entries/the-best-place-in-the-world-to-have-herpes-767497" TargetMode="External" Id="rId1"/></Relationships>
</file>

<file path=xl/worksheets/_rels/sheet27.xml.rels><Relationships xmlns="http://schemas.openxmlformats.org/package/2006/relationships"><Relationship Type="http://schemas.openxmlformats.org/officeDocument/2006/relationships/hyperlink" Target="https://ascentialcdn.filespin.io/api/v1/conversion/8f27d4982c9f44a0ae99fa41531bda8e" TargetMode="External" Id="rId1"/><Relationship Type="http://schemas.openxmlformats.org/officeDocument/2006/relationships/hyperlink" Target="https://www.lovethework.com/work/entries/the-amazon-greenventory-755993" TargetMode="External" Id="rId2"/><Relationship Type="http://schemas.openxmlformats.org/officeDocument/2006/relationships/hyperlink" Target="https://ascentialcdn.filespin.io/api/v1/conversion/e943553f2152499c8182bfce20e7355d" TargetMode="External" Id="rId3"/><Relationship Type="http://schemas.openxmlformats.org/officeDocument/2006/relationships/hyperlink" Target="https://www.lovethework.com/work/entries/minefield-honey-harvesting-hope-755960" TargetMode="External" Id="rId4"/><Relationship Type="http://schemas.openxmlformats.org/officeDocument/2006/relationships/hyperlink" Target="https://ascentialcdn.filespin.io/api/v1/conversion/01a0aba05ed745cf8b40b9f6719fff6a" TargetMode="External" Id="rId5"/><Relationship Type="http://schemas.openxmlformats.org/officeDocument/2006/relationships/hyperlink" Target="https://www.lovethework.com/work/entries/research-my-body-755612" TargetMode="External" Id="rId6"/><Relationship Type="http://schemas.openxmlformats.org/officeDocument/2006/relationships/hyperlink" Target="https://ascentialcdn.filespin.io/api/v1/conversion/d51c95f53aaf474ba9faba5a10094bd0" TargetMode="External" Id="rId7"/><Relationship Type="http://schemas.openxmlformats.org/officeDocument/2006/relationships/hyperlink" Target="https://www.lovethework.com/work/entries/recipe-for-change-755679" TargetMode="External" Id="rId8"/><Relationship Type="http://schemas.openxmlformats.org/officeDocument/2006/relationships/hyperlink" Target="https://ascentialcdn.filespin.io/api/v1/conversion/10360044a9be467286965f70b39a984b" TargetMode="External" Id="rId9"/><Relationship Type="http://schemas.openxmlformats.org/officeDocument/2006/relationships/hyperlink" Target="https://www.lovethework.com/work/entries/sounds-right-755775" TargetMode="External" Id="rId10"/><Relationship Type="http://schemas.openxmlformats.org/officeDocument/2006/relationships/hyperlink" Target="https://ascentialcdn.filespin.io/api/v1/conversion/1e1df1c7a74a4897a3f75a7a38e60d27" TargetMode="External" Id="rId11"/><Relationship Type="http://schemas.openxmlformats.org/officeDocument/2006/relationships/hyperlink" Target="https://www.lovethework.com/work/entries/ariel-sharetheload-10-years-759693" TargetMode="External" Id="rId12"/><Relationship Type="http://schemas.openxmlformats.org/officeDocument/2006/relationships/hyperlink" Target="https://ascentialcdn.filespin.io/api/v1/conversion/aab2b49f4bde4aef88d22006ef903d54" TargetMode="External" Id="rId13"/><Relationship Type="http://schemas.openxmlformats.org/officeDocument/2006/relationships/hyperlink" Target="https://www.lovethework.com/work/entries/the-dove-code-755937" TargetMode="External" Id="rId14"/><Relationship Type="http://schemas.openxmlformats.org/officeDocument/2006/relationships/hyperlink" Target="https://ascentialcdn.filespin.io/api/v1/conversion/38cbe1a6ee444db186b748c9da630bdc" TargetMode="External" Id="rId15"/><Relationship Type="http://schemas.openxmlformats.org/officeDocument/2006/relationships/hyperlink" Target="https://www.lovethework.com/work/entries/omnilivery-756098" TargetMode="External" Id="rId16"/><Relationship Type="http://schemas.openxmlformats.org/officeDocument/2006/relationships/hyperlink" Target="https://ascentialcdn.filespin.io/api/v1/conversion/4c7f3fc5e9e844a883cf1d4bc94c9d58" TargetMode="External" Id="rId17"/><Relationship Type="http://schemas.openxmlformats.org/officeDocument/2006/relationships/hyperlink" Target="https://www.lovethework.com/work/entries/animal-alerts-755614" TargetMode="External" Id="rId18"/><Relationship Type="http://schemas.openxmlformats.org/officeDocument/2006/relationships/hyperlink" Target="https://ascentialcdn.filespin.io/api/v1/conversion/5d4b1b0582c5428bafb14fcc9670d1dc" TargetMode="External" Id="rId19"/><Relationship Type="http://schemas.openxmlformats.org/officeDocument/2006/relationships/hyperlink" Target="https://www.lovethework.com/work/entries/the-best-place-in-the-world-to-have-herpes-755748" TargetMode="External" Id="rId20"/><Relationship Type="http://schemas.openxmlformats.org/officeDocument/2006/relationships/hyperlink" Target="https://ascentialcdn.filespin.io/api/v1/conversion/632753c2e0e444898a416c5bbd6272fb" TargetMode="External" Id="rId21"/><Relationship Type="http://schemas.openxmlformats.org/officeDocument/2006/relationships/hyperlink" Target="https://www.lovethework.com/work/entries/reef-protection-factor-755941" TargetMode="External" Id="rId22"/><Relationship Type="http://schemas.openxmlformats.org/officeDocument/2006/relationships/hyperlink" Target="https://ascentialcdn.filespin.io/api/v1/conversion/5cc44dd478364c8f89e74997da34c416" TargetMode="External" Id="rId23"/><Relationship Type="http://schemas.openxmlformats.org/officeDocument/2006/relationships/hyperlink" Target="https://www.lovethework.com/work/entries/wildfire-watchtowers-755880" TargetMode="External" Id="rId24"/><Relationship Type="http://schemas.openxmlformats.org/officeDocument/2006/relationships/hyperlink" Target="https://ascentialcdn.filespin.io/api/v1/conversion/43c463221a2f4400b93862d1c5538078" TargetMode="External" Id="rId25"/><Relationship Type="http://schemas.openxmlformats.org/officeDocument/2006/relationships/hyperlink" Target="https://www.lovethework.com/work/entries/sos-bees-755943" TargetMode="External" Id="rId26"/><Relationship Type="http://schemas.openxmlformats.org/officeDocument/2006/relationships/hyperlink" Target="https://ascentialcdn.filespin.io/api/v1/conversion/68f2c53ebcea42bd9ab7b58852b5aa95" TargetMode="External" Id="rId27"/><Relationship Type="http://schemas.openxmlformats.org/officeDocument/2006/relationships/hyperlink" Target="https://www.lovethework.com/work/entries/saltanat-light-758763" TargetMode="External" Id="rId28"/><Relationship Type="http://schemas.openxmlformats.org/officeDocument/2006/relationships/hyperlink" Target="https://ascentialcdn.filespin.io/api/v1/conversion/1b883e0ec2f648dea7bf17849408f188" TargetMode="External" Id="rId29"/><Relationship Type="http://schemas.openxmlformats.org/officeDocument/2006/relationships/hyperlink" Target="https://www.lovethework.com/work/entries/nobody-should-die-at-xmas-756056" TargetMode="External" Id="rId30"/><Relationship Type="http://schemas.openxmlformats.org/officeDocument/2006/relationships/hyperlink" Target="https://www.lovethework.com/work/entries/how-dove-took-on-a-new-era-of-toxic-beauty-765307" TargetMode="External" Id="rId31"/></Relationships>
</file>

<file path=xl/worksheets/_rels/sheet28.xml.rels><Relationships xmlns="http://schemas.openxmlformats.org/package/2006/relationships"><Relationship Type="http://schemas.openxmlformats.org/officeDocument/2006/relationships/hyperlink" Target="https://ascentialcdn.filespin.io/api/v1/conversion/faf0755b0d4e4594ad93cb75d6288e3d" TargetMode="External" Id="rId1"/><Relationship Type="http://schemas.openxmlformats.org/officeDocument/2006/relationships/hyperlink" Target="https://www.lovethework.com/work/entries/vaseline-verified-753151" TargetMode="External" Id="rId2"/><Relationship Type="http://schemas.openxmlformats.org/officeDocument/2006/relationships/hyperlink" Target="https://www.lovethework.com/work/entries/the-count-759678" TargetMode="External" Id="rId3"/><Relationship Type="http://schemas.openxmlformats.org/officeDocument/2006/relationships/hyperlink" Target="https://www.lovethework.com/work/entries/group-therapy-753332" TargetMode="External" Id="rId4"/><Relationship Type="http://schemas.openxmlformats.org/officeDocument/2006/relationships/hyperlink" Target="https://ascentialcdn.filespin.io/api/v1/conversion/96cab410285c45ed905a8377e0cc25f5" TargetMode="External" Id="rId5"/><Relationship Type="http://schemas.openxmlformats.org/officeDocument/2006/relationships/hyperlink" Target="https://www.lovethework.com/work/entries/sightwalks-758841" TargetMode="External" Id="rId6"/><Relationship Type="http://schemas.openxmlformats.org/officeDocument/2006/relationships/hyperlink" Target="https://ascentialcdn.filespin.io/api/v1/conversion/fcac93d33c3d4b1c93da6b13d3e32b5e" TargetMode="External" Id="rId7"/><Relationship Type="http://schemas.openxmlformats.org/officeDocument/2006/relationships/hyperlink" Target="https://www.lovethework.com/work/entries/zip-code-exam-763308" TargetMode="External" Id="rId8"/><Relationship Type="http://schemas.openxmlformats.org/officeDocument/2006/relationships/hyperlink" Target="https://ascentialcdn.filespin.io/api/v1/conversion/5d4b1b0582c5428bafb14fcc9670d1dc" TargetMode="External" Id="rId9"/><Relationship Type="http://schemas.openxmlformats.org/officeDocument/2006/relationships/hyperlink" Target="https://www.lovethework.com/work/entries/the-best-place-in-the-world-to-have-herpes-753429" TargetMode="External" Id="rId10"/><Relationship Type="http://schemas.openxmlformats.org/officeDocument/2006/relationships/hyperlink" Target="https://ascentialcdn.filespin.io/api/v1/conversion/2a553b0447c74fe5a2affb443a416633" TargetMode="External" Id="rId11"/><Relationship Type="http://schemas.openxmlformats.org/officeDocument/2006/relationships/hyperlink" Target="https://www.lovethework.com/work/entries/nigrum-corpus-759635" TargetMode="External" Id="rId12"/><Relationship Type="http://schemas.openxmlformats.org/officeDocument/2006/relationships/hyperlink" Target="https://ascentialcdn.filespin.io/api/v1/conversion/ab087ed95b3a43e88ff6b9ef28d02df5" TargetMode="External" Id="rId13"/><Relationship Type="http://schemas.openxmlformats.org/officeDocument/2006/relationships/hyperlink" Target="https://www.lovethework.com/work/entries/zip-code-exam-765197" TargetMode="External" Id="rId14"/><Relationship Type="http://schemas.openxmlformats.org/officeDocument/2006/relationships/hyperlink" Target="https://ascentialcdn.filespin.io/api/v1/conversion/976392be2e5d4a0fbac33fda02182549" TargetMode="External" Id="rId15"/><Relationship Type="http://schemas.openxmlformats.org/officeDocument/2006/relationships/hyperlink" Target="https://www.lovethework.com/work/entries/memento-beer-752967" TargetMode="External" Id="rId16"/><Relationship Type="http://schemas.openxmlformats.org/officeDocument/2006/relationships/hyperlink" Target="https://ascentialcdn.filespin.io/api/v1/conversion/5097b08d039c468999082882e3dc18f4" TargetMode="External" Id="rId17"/><Relationship Type="http://schemas.openxmlformats.org/officeDocument/2006/relationships/hyperlink" Target="https://www.lovethework.com/work/entries/naga-saint-eye-test-753527" TargetMode="External" Id="rId18"/><Relationship Type="http://schemas.openxmlformats.org/officeDocument/2006/relationships/hyperlink" Target="https://ascentialcdn.filespin.io/api/v1/conversion/006b57346ea04abda2e417e9ec9c5e39" TargetMode="External" Id="rId19"/><Relationship Type="http://schemas.openxmlformats.org/officeDocument/2006/relationships/hyperlink" Target="https://www.lovethework.com/work/entries/the-mind-guardian-753085" TargetMode="External" Id="rId20"/><Relationship Type="http://schemas.openxmlformats.org/officeDocument/2006/relationships/hyperlink" Target="https://www.lovethework.com/work/entries/the-rarest-stars-shine-brightest-753653" TargetMode="External" Id="rId21"/><Relationship Type="http://schemas.openxmlformats.org/officeDocument/2006/relationships/hyperlink" Target="https://ascentialcdn.filespin.io/api/v1/conversion/73ea0e639f6747c68cf8460abe2f02bb" TargetMode="External" Id="rId22"/><Relationship Type="http://schemas.openxmlformats.org/officeDocument/2006/relationships/hyperlink" Target="https://www.lovethework.com/work/entries/breastmilk-money-753277" TargetMode="External" Id="rId23"/><Relationship Type="http://schemas.openxmlformats.org/officeDocument/2006/relationships/hyperlink" Target="https://ascentialcdn.filespin.io/api/v1/conversion/58801b8585ed4774878a11441091b7d8" TargetMode="External" Id="rId24"/><Relationship Type="http://schemas.openxmlformats.org/officeDocument/2006/relationships/hyperlink" Target="https://www.lovethework.com/work/entries/creamotherapy-753157" TargetMode="External" Id="rId25"/><Relationship Type="http://schemas.openxmlformats.org/officeDocument/2006/relationships/hyperlink" Target="https://ascentialcdn.filespin.io/api/v1/conversion/ac0ba2cefb2d4319a2897836bac8e95b" TargetMode="External" Id="rId26"/><Relationship Type="http://schemas.openxmlformats.org/officeDocument/2006/relationships/hyperlink" Target="https://www.lovethework.com/work/entries/dont-sleep-on-saquon-753018" TargetMode="External" Id="rId27"/><Relationship Type="http://schemas.openxmlformats.org/officeDocument/2006/relationships/hyperlink" Target="https://ascentialcdn.filespin.io/api/v1/conversion/2b33d598710842f6973f6726a77d3be8" TargetMode="External" Id="rId28"/><Relationship Type="http://schemas.openxmlformats.org/officeDocument/2006/relationships/hyperlink" Target="https://www.lovethework.com/work/entries/drops-of-hope-753269" TargetMode="External" Id="rId29"/><Relationship Type="http://schemas.openxmlformats.org/officeDocument/2006/relationships/hyperlink" Target="https://ascentialcdn.filespin.io/api/v1/conversion/38cbe1a6ee444db186b748c9da630bdc" TargetMode="External" Id="rId30"/><Relationship Type="http://schemas.openxmlformats.org/officeDocument/2006/relationships/hyperlink" Target="https://www.lovethework.com/work/entries/omnilivery-753052" TargetMode="External" Id="rId31"/><Relationship Type="http://schemas.openxmlformats.org/officeDocument/2006/relationships/hyperlink" Target="https://ascentialcdn.filespin.io/api/v1/conversion/3d5f05527b0c4cd6b9752f323f566c63" TargetMode="External" Id="rId32"/><Relationship Type="http://schemas.openxmlformats.org/officeDocument/2006/relationships/hyperlink" Target="https://www.lovethework.com/work/entries/missed-birthdays-753149" TargetMode="External" Id="rId33"/><Relationship Type="http://schemas.openxmlformats.org/officeDocument/2006/relationships/hyperlink" Target="https://ascentialcdn.filespin.io/api/v1/conversion/15acf37ec83847ee82067e734a40a3de" TargetMode="External" Id="rId34"/><Relationship Type="http://schemas.openxmlformats.org/officeDocument/2006/relationships/hyperlink" Target="https://www.lovethework.com/work/entries/interface-of-humanity-powered-by-ntt-753027" TargetMode="External" Id="rId35"/><Relationship Type="http://schemas.openxmlformats.org/officeDocument/2006/relationships/hyperlink" Target="https://ascentialcdn.filespin.io/api/v1/conversion/3712e2a622444a32895dce6764b60a64" TargetMode="External" Id="rId36"/><Relationship Type="http://schemas.openxmlformats.org/officeDocument/2006/relationships/hyperlink" Target="https://www.lovethework.com/work/entries/her-dome-753056" TargetMode="External" Id="rId37"/><Relationship Type="http://schemas.openxmlformats.org/officeDocument/2006/relationships/hyperlink" Target="https://ascentialcdn.filespin.io/api/v1/conversion/72c8c8ae63834151a80593fcde332afb" TargetMode="External" Id="rId38"/><Relationship Type="http://schemas.openxmlformats.org/officeDocument/2006/relationships/hyperlink" Target="https://www.lovethework.com/work/entries/nigrum-corpus-759644" TargetMode="External" Id="rId39"/><Relationship Type="http://schemas.openxmlformats.org/officeDocument/2006/relationships/hyperlink" Target="https://ascentialcdn.filespin.io/api/v1/conversion/1d90874d49d049ef919f6ac01a22dfa3" TargetMode="External" Id="rId40"/><Relationship Type="http://schemas.openxmlformats.org/officeDocument/2006/relationships/hyperlink" Target="https://www.lovethework.com/work/entries/visiongram-753110" TargetMode="External" Id="rId41"/><Relationship Type="http://schemas.openxmlformats.org/officeDocument/2006/relationships/hyperlink" Target="https://ascentialcdn.filespin.io/api/v1/conversion/cddc5ccda6a24baeaf4e5cb205c9bb46" TargetMode="External" Id="rId42"/><Relationship Type="http://schemas.openxmlformats.org/officeDocument/2006/relationships/hyperlink" Target="https://www.lovethework.com/work/entries/sickle-cell-ball-753415" TargetMode="External" Id="rId43"/><Relationship Type="http://schemas.openxmlformats.org/officeDocument/2006/relationships/hyperlink" Target="https://ascentialcdn.filespin.io/api/v1/conversion/a5387631458b48648c6dba4b21efb3d0" TargetMode="External" Id="rId44"/><Relationship Type="http://schemas.openxmlformats.org/officeDocument/2006/relationships/hyperlink" Target="https://www.lovethework.com/work/entries/the-shaded-route-753005" TargetMode="External" Id="rId45"/><Relationship Type="http://schemas.openxmlformats.org/officeDocument/2006/relationships/hyperlink" Target="https://ascentialcdn.filespin.io/api/v1/conversion/ac0ba2cefb2d4319a2897836bac8e95b" TargetMode="External" Id="rId46"/><Relationship Type="http://schemas.openxmlformats.org/officeDocument/2006/relationships/hyperlink" Target="https://www.lovethework.com/work/entries/dont-sleep-on-saquon-753135" TargetMode="External" Id="rId47"/><Relationship Type="http://schemas.openxmlformats.org/officeDocument/2006/relationships/hyperlink" Target="https://ascentialcdn.filespin.io/api/v1/conversion/d72ef2fa1ff64f98933e1d3fcb040726" TargetMode="External" Id="rId48"/><Relationship Type="http://schemas.openxmlformats.org/officeDocument/2006/relationships/hyperlink" Target="https://www.lovethework.com/work/entries/the-university-of-dyslexic-thinking-753452" TargetMode="External" Id="rId49"/><Relationship Type="http://schemas.openxmlformats.org/officeDocument/2006/relationships/hyperlink" Target="https://www.lovethework.com/work/entries/diary-of-a-head-injury-753514" TargetMode="External" Id="rId50"/><Relationship Type="http://schemas.openxmlformats.org/officeDocument/2006/relationships/hyperlink" Target="https://www.lovethework.com/work/entries/the-trial-film-753432" TargetMode="External" Id="rId51"/><Relationship Type="http://schemas.openxmlformats.org/officeDocument/2006/relationships/hyperlink" Target="https://www.lovethework.com/work/entries/the-count-759685" TargetMode="External" Id="rId52"/><Relationship Type="http://schemas.openxmlformats.org/officeDocument/2006/relationships/hyperlink" Target="https://www.lovethework.com/work/entries/this-is-not-a-game-763210" TargetMode="External" Id="rId53"/><Relationship Type="http://schemas.openxmlformats.org/officeDocument/2006/relationships/hyperlink" Target="https://www.lovethework.com/work/entries/never-just-a-period-753006" TargetMode="External" Id="rId54"/><Relationship Type="http://schemas.openxmlformats.org/officeDocument/2006/relationships/hyperlink" Target="https://ascentialcdn.filespin.io/api/v1/conversion/622c651b611b41e88a708572da8762a5" TargetMode="External" Id="rId55"/><Relationship Type="http://schemas.openxmlformats.org/officeDocument/2006/relationships/hyperlink" Target="https://www.lovethework.com/work/entries/drops-of-hope-753250" TargetMode="External" Id="rId56"/><Relationship Type="http://schemas.openxmlformats.org/officeDocument/2006/relationships/hyperlink" Target="https://www.lovethework.com/work/entries/the-rarest-stars-shine-brightest-753581" TargetMode="External" Id="rId57"/></Relationships>
</file>

<file path=xl/worksheets/_rels/sheet29.xml.rels><Relationships xmlns="http://schemas.openxmlformats.org/package/2006/relationships"><Relationship Type="http://schemas.openxmlformats.org/officeDocument/2006/relationships/hyperlink" Target="https://www.lovethework.com/work/entries/the-best-place-in-the-world-to-have-herpes-767496" TargetMode="External" Id="rId1"/></Relationships>
</file>

<file path=xl/worksheets/_rels/sheet30.xml.rels><Relationships xmlns="http://schemas.openxmlformats.org/package/2006/relationships"><Relationship Type="http://schemas.openxmlformats.org/officeDocument/2006/relationships/hyperlink" Target="https://www.lovethework.com/work/entries/make-love-last-bedroom-752901" TargetMode="External" Id="rId1"/><Relationship Type="http://schemas.openxmlformats.org/officeDocument/2006/relationships/hyperlink" Target="https://ascentialcdn.filespin.io/api/v1/conversion/fd234ce7b17e4ff083175e878a0dcc9e" TargetMode="External" Id="rId2"/><Relationship Type="http://schemas.openxmlformats.org/officeDocument/2006/relationships/hyperlink" Target="https://www.lovethework.com/work/entries/friedreichs-back-752797" TargetMode="External" Id="rId3"/><Relationship Type="http://schemas.openxmlformats.org/officeDocument/2006/relationships/hyperlink" Target="https://ascentialcdn.filespin.io/api/v1/conversion/890f5040eb2d4dbdbaa5b4f333e85719" TargetMode="External" Id="rId4"/><Relationship Type="http://schemas.openxmlformats.org/officeDocument/2006/relationships/hyperlink" Target="https://www.lovethework.com/work/entries/glowing-relief-764131" TargetMode="External" Id="rId5"/><Relationship Type="http://schemas.openxmlformats.org/officeDocument/2006/relationships/hyperlink" Target="https://ascentialcdn.filespin.io/api/v1/conversion/762f141aa6fc442dad023f1af28469d8" TargetMode="External" Id="rId6"/><Relationship Type="http://schemas.openxmlformats.org/officeDocument/2006/relationships/hyperlink" Target="https://www.lovethework.com/work/entries/dawai-reader-752957" TargetMode="External" Id="rId7"/><Relationship Type="http://schemas.openxmlformats.org/officeDocument/2006/relationships/hyperlink" Target="https://ascentialcdn.filespin.io/api/v1/conversion/823ab3c84f2544f5ba3ad5839f2d5e4b" TargetMode="External" Id="rId8"/><Relationship Type="http://schemas.openxmlformats.org/officeDocument/2006/relationships/hyperlink" Target="https://www.lovethework.com/work/entries/no-more-hippocrites-752770" TargetMode="External" Id="rId9"/><Relationship Type="http://schemas.openxmlformats.org/officeDocument/2006/relationships/hyperlink" Target="https://ascentialcdn.filespin.io/api/v1/conversion/624a82c03eb34a1e8a6359e0f28b8b71" TargetMode="External" Id="rId10"/><Relationship Type="http://schemas.openxmlformats.org/officeDocument/2006/relationships/hyperlink" Target="https://www.lovethework.com/work/entries/dont-stop-motion-752912" TargetMode="External" Id="rId11"/><Relationship Type="http://schemas.openxmlformats.org/officeDocument/2006/relationships/hyperlink" Target="https://ascentialcdn.filespin.io/api/v1/conversion/36a5e9332fc143ed9a375ed95c71f5d7" TargetMode="External" Id="rId12"/><Relationship Type="http://schemas.openxmlformats.org/officeDocument/2006/relationships/hyperlink" Target="https://www.lovethework.com/work/entries/painvisible-752908" TargetMode="External" Id="rId13"/><Relationship Type="http://schemas.openxmlformats.org/officeDocument/2006/relationships/hyperlink" Target="https://www.lovethework.com/work/entries/scratched-out-752900" TargetMode="External" Id="rId14"/><Relationship Type="http://schemas.openxmlformats.org/officeDocument/2006/relationships/hyperlink" Target="https://ascentialcdn.filespin.io/api/v1/conversion/cd58f44ccf4c418a98a0074ed522d7d6" TargetMode="External" Id="rId15"/><Relationship Type="http://schemas.openxmlformats.org/officeDocument/2006/relationships/hyperlink" Target="https://www.lovethework.com/work/entries/pick-up-your-poop-764312" TargetMode="External" Id="rId16"/></Relationships>
</file>

<file path=xl/worksheets/_rels/sheet31.xml.rels><Relationships xmlns="http://schemas.openxmlformats.org/package/2006/relationships"><Relationship Type="http://schemas.openxmlformats.org/officeDocument/2006/relationships/hyperlink" Target="https://ascentialcdn.filespin.io/api/v1/conversion/c125657ef0f84557825eba78ef7e3d63" TargetMode="External" Id="rId1"/><Relationship Type="http://schemas.openxmlformats.org/officeDocument/2006/relationships/hyperlink" Target="https://www.lovethework.com/work/entries/shot-on-iphone-765239" TargetMode="External" Id="rId2"/><Relationship Type="http://schemas.openxmlformats.org/officeDocument/2006/relationships/hyperlink" Target="https://ascentialcdn.filespin.io/api/v1/conversion/7c2d069dafe1485c9e355a842cdb238d" TargetMode="External" Id="rId3"/><Relationship Type="http://schemas.openxmlformats.org/officeDocument/2006/relationships/hyperlink" Target="https://www.lovethework.com/work/entries/the-everyday-tactician-how-getting-a-football-club-promoted-helped-xbox-take-a-step-closer-to-the-future-of-gaming-764812" TargetMode="External" Id="rId4"/><Relationship Type="http://schemas.openxmlformats.org/officeDocument/2006/relationships/hyperlink" Target="https://www.lovethework.com/work/entries/dont-drink-hertog-jan-761647" TargetMode="External" Id="rId5"/><Relationship Type="http://schemas.openxmlformats.org/officeDocument/2006/relationships/hyperlink" Target="https://ascentialcdn.filespin.io/api/v1/conversion/907772d8708748d5b4087c68c1b6fdf9" TargetMode="External" Id="rId6"/><Relationship Type="http://schemas.openxmlformats.org/officeDocument/2006/relationships/hyperlink" Target="https://www.lovethework.com/work/entries/the-misheard-version-751965" TargetMode="External" Id="rId7"/><Relationship Type="http://schemas.openxmlformats.org/officeDocument/2006/relationships/hyperlink" Target="https://ascentialcdn.filespin.io/api/v1/conversion/f046264282904c7b9cf6f37b69173ec2" TargetMode="External" Id="rId8"/><Relationship Type="http://schemas.openxmlformats.org/officeDocument/2006/relationships/hyperlink" Target="https://www.lovethework.com/work/entries/samsung-throwback-deals-752109" TargetMode="External" Id="rId9"/><Relationship Type="http://schemas.openxmlformats.org/officeDocument/2006/relationships/hyperlink" Target="https://ascentialcdn.filespin.io/api/v1/conversion/1c2573f5cf2c4b78af5a4b42f75ac2c2" TargetMode="External" Id="rId10"/><Relationship Type="http://schemas.openxmlformats.org/officeDocument/2006/relationships/hyperlink" Target="https://www.lovethework.com/work/entries/real-beauty-how-a-soap-brand-created-a-global-self-esteem-movement-765245" TargetMode="External" Id="rId11"/><Relationship Type="http://schemas.openxmlformats.org/officeDocument/2006/relationships/hyperlink" Target="https://ascentialcdn.filespin.io/api/v1/conversion/8bd771cfe9f74489a6ecf874a92cac25" TargetMode="External" Id="rId12"/><Relationship Type="http://schemas.openxmlformats.org/officeDocument/2006/relationships/hyperlink" Target="https://www.lovethework.com/work/entries/no-smiles-752049" TargetMode="External" Id="rId13"/><Relationship Type="http://schemas.openxmlformats.org/officeDocument/2006/relationships/hyperlink" Target="https://ascentialcdn.filespin.io/api/v1/conversion/fccf3dc65a7040fcbc382da62a1bcf0b" TargetMode="External" Id="rId14"/><Relationship Type="http://schemas.openxmlformats.org/officeDocument/2006/relationships/hyperlink" Target="https://www.lovethework.com/work/entries/find-your-summer-761700" TargetMode="External" Id="rId15"/><Relationship Type="http://schemas.openxmlformats.org/officeDocument/2006/relationships/hyperlink" Target="https://ascentialcdn.filespin.io/api/v1/conversion/79595be993234fda94d72414b4e673e2" TargetMode="External" Id="rId16"/><Relationship Type="http://schemas.openxmlformats.org/officeDocument/2006/relationships/hyperlink" Target="https://www.lovethework.com/work/entries/handshake-hunt-761683" TargetMode="External" Id="rId17"/><Relationship Type="http://schemas.openxmlformats.org/officeDocument/2006/relationships/hyperlink" Target="https://ascentialcdn.filespin.io/api/v1/conversion/0f9e4316f9644aad87356635e8f39cf3" TargetMode="External" Id="rId18"/><Relationship Type="http://schemas.openxmlformats.org/officeDocument/2006/relationships/hyperlink" Target="https://www.lovethework.com/work/entries/refurb-761714" TargetMode="External" Id="rId19"/><Relationship Type="http://schemas.openxmlformats.org/officeDocument/2006/relationships/hyperlink" Target="https://ascentialcdn.filespin.io/api/v1/conversion/d2ae25cdfd9c418185c6cac4e75b98fe" TargetMode="External" Id="rId20"/><Relationship Type="http://schemas.openxmlformats.org/officeDocument/2006/relationships/hyperlink" Target="https://www.lovethework.com/work/entries/a-piece-of-me-752147" TargetMode="External" Id="rId21"/><Relationship Type="http://schemas.openxmlformats.org/officeDocument/2006/relationships/hyperlink" Target="https://ascentialcdn.filespin.io/api/v1/conversion/a30647b18cf146969ce30881a640aca9" TargetMode="External" Id="rId22"/><Relationship Type="http://schemas.openxmlformats.org/officeDocument/2006/relationships/hyperlink" Target="https://www.lovethework.com/work/entries/michael-cerave-751766" TargetMode="External" Id="rId23"/><Relationship Type="http://schemas.openxmlformats.org/officeDocument/2006/relationships/hyperlink" Target="https://ascentialcdn.filespin.io/api/v1/conversion/038bde04baf641f5b86d5ffc16e16c00" TargetMode="External" Id="rId24"/><Relationship Type="http://schemas.openxmlformats.org/officeDocument/2006/relationships/hyperlink" Target="https://www.lovethework.com/work/entries/gravy-race-752096" TargetMode="External" Id="rId25"/><Relationship Type="http://schemas.openxmlformats.org/officeDocument/2006/relationships/hyperlink" Target="https://ascentialcdn.filespin.io/api/v1/conversion/d6e660ee3971457587da9b43b2d99c60" TargetMode="External" Id="rId26"/><Relationship Type="http://schemas.openxmlformats.org/officeDocument/2006/relationships/hyperlink" Target="https://www.lovethework.com/work/entries/transition-body-lotion-752021" TargetMode="External" Id="rId27"/><Relationship Type="http://schemas.openxmlformats.org/officeDocument/2006/relationships/hyperlink" Target="https://ascentialcdn.filespin.io/api/v1/conversion/837c7b2b781b41c9b041f7afafd7a9b2" TargetMode="External" Id="rId28"/><Relationship Type="http://schemas.openxmlformats.org/officeDocument/2006/relationships/hyperlink" Target="https://www.lovethework.com/work/entries/sightwalks-761736" TargetMode="External" Id="rId29"/><Relationship Type="http://schemas.openxmlformats.org/officeDocument/2006/relationships/hyperlink" Target="https://ascentialcdn.filespin.io/api/v1/conversion/989e071cb1954ab69e5f7405a82bdb43" TargetMode="External" Id="rId30"/><Relationship Type="http://schemas.openxmlformats.org/officeDocument/2006/relationships/hyperlink" Target="https://www.lovethework.com/work/entries/heinz-ketchup-seemingly-ranch-752139" TargetMode="External" Id="rId31"/><Relationship Type="http://schemas.openxmlformats.org/officeDocument/2006/relationships/hyperlink" Target="https://ascentialcdn.filespin.io/api/v1/conversion/7c2d069dafe1485c9e355a842cdb238d" TargetMode="External" Id="rId32"/><Relationship Type="http://schemas.openxmlformats.org/officeDocument/2006/relationships/hyperlink" Target="https://www.lovethework.com/work/entries/the-everyday-tactician-how-getting-a-football-club-promoted-helped-xbox-take-a-step-closer-to-the-future-of-gaming-764822" TargetMode="External" Id="rId33"/></Relationships>
</file>

<file path=xl/worksheets/_rels/sheet32.xml.rels><Relationships xmlns="http://schemas.openxmlformats.org/package/2006/relationships"><Relationship Type="http://schemas.openxmlformats.org/officeDocument/2006/relationships/hyperlink" Target="https://www.lovethework.com/work/entries/real-beauty-how-a-soap-brand-created-a-global-self-esteem-movement-757207" TargetMode="External" Id="rId1"/><Relationship Type="http://schemas.openxmlformats.org/officeDocument/2006/relationships/hyperlink" Target="https://www.lovethework.com/work/entries/sato-2531-756616" TargetMode="External" Id="rId2"/><Relationship Type="http://schemas.openxmlformats.org/officeDocument/2006/relationships/hyperlink" Target="https://www.lovethework.com/work/entries/humanimal-tourism-756682" TargetMode="External" Id="rId3"/><Relationship Type="http://schemas.openxmlformats.org/officeDocument/2006/relationships/hyperlink" Target="https://www.lovethework.com/work/entries/axa-three-words-757080" TargetMode="External" Id="rId4"/><Relationship Type="http://schemas.openxmlformats.org/officeDocument/2006/relationships/hyperlink" Target="https://ascentialcdn.filespin.io/api/v1/conversion/04e3ef953a454b9da10f1982fa8553b3" TargetMode="External" Id="rId5"/><Relationship Type="http://schemas.openxmlformats.org/officeDocument/2006/relationships/hyperlink" Target="https://www.lovethework.com/work/entries/the-new-president-756636" TargetMode="External" Id="rId6"/><Relationship Type="http://schemas.openxmlformats.org/officeDocument/2006/relationships/hyperlink" Target="https://www.lovethework.com/work/entries/pedigree-caramelo-762215" TargetMode="External" Id="rId7"/><Relationship Type="http://schemas.openxmlformats.org/officeDocument/2006/relationships/hyperlink" Target="https://ascentialcdn.filespin.io/api/v1/conversion/fd2b448479ca41b7aa08b7d8a4bd8749" TargetMode="External" Id="rId8"/><Relationship Type="http://schemas.openxmlformats.org/officeDocument/2006/relationships/hyperlink" Target="https://www.lovethework.com/work/entries/choose-uber-762197" TargetMode="External" Id="rId9"/><Relationship Type="http://schemas.openxmlformats.org/officeDocument/2006/relationships/hyperlink" Target="https://ascentialcdn.filespin.io/api/v1/conversion/b4e46a523b114724a7376a0c7e970774" TargetMode="External" Id="rId10"/><Relationship Type="http://schemas.openxmlformats.org/officeDocument/2006/relationships/hyperlink" Target="https://www.lovethework.com/work/entries/annahars-active-journalism-757177" TargetMode="External" Id="rId11"/><Relationship Type="http://schemas.openxmlformats.org/officeDocument/2006/relationships/hyperlink" Target="https://www.lovethework.com/work/entries/daisy-vs-scammers-756893" TargetMode="External" Id="rId12"/><Relationship Type="http://schemas.openxmlformats.org/officeDocument/2006/relationships/hyperlink" Target="https://www.lovethework.com/work/entries/found-in-translation-757072" TargetMode="External" Id="rId13"/><Relationship Type="http://schemas.openxmlformats.org/officeDocument/2006/relationships/hyperlink" Target="https://www.lovethework.com/work/entries/the-last-barf-bag-756641" TargetMode="External" Id="rId14"/><Relationship Type="http://schemas.openxmlformats.org/officeDocument/2006/relationships/hyperlink" Target="https://www.lovethework.com/work/entries/its-a-cheetos-thing-757167" TargetMode="External" Id="rId15"/><Relationship Type="http://schemas.openxmlformats.org/officeDocument/2006/relationships/hyperlink" Target="https://www.lovethework.com/work/entries/axa-three-words-756914" TargetMode="External" Id="rId16"/><Relationship Type="http://schemas.openxmlformats.org/officeDocument/2006/relationships/hyperlink" Target="https://www.lovethework.com/work/entries/get-comfortable-756571" TargetMode="External" Id="rId17"/><Relationship Type="http://schemas.openxmlformats.org/officeDocument/2006/relationships/hyperlink" Target="https://www.lovethework.com/work/entries/the-princess-the-crown-756938" TargetMode="External" Id="rId18"/><Relationship Type="http://schemas.openxmlformats.org/officeDocument/2006/relationships/hyperlink" Target="https://www.lovethework.com/work/entries/guarded-bus-stop-762347" TargetMode="External" Id="rId19"/><Relationship Type="http://schemas.openxmlformats.org/officeDocument/2006/relationships/hyperlink" Target="https://www.lovethework.com/work/entries/meet-marina-prieto-756662" TargetMode="External" Id="rId20"/><Relationship Type="http://schemas.openxmlformats.org/officeDocument/2006/relationships/hyperlink" Target="https://www.lovethework.com/work/entries/transition-body-lotion-757003" TargetMode="External" Id="rId21"/><Relationship Type="http://schemas.openxmlformats.org/officeDocument/2006/relationships/hyperlink" Target="https://ascentialcdn.filespin.io/api/v1/conversion/86282110e23b4b43a6d78c517dc757a2" TargetMode="External" Id="rId22"/><Relationship Type="http://schemas.openxmlformats.org/officeDocument/2006/relationships/hyperlink" Target="https://www.lovethework.com/work/entries/pub-museums-756811" TargetMode="External" Id="rId23"/><Relationship Type="http://schemas.openxmlformats.org/officeDocument/2006/relationships/hyperlink" Target="https://ascentialcdn.filespin.io/api/v1/conversion/abc63dd6ae264a01a36dad6fe71eb424" TargetMode="External" Id="rId24"/><Relationship Type="http://schemas.openxmlformats.org/officeDocument/2006/relationships/hyperlink" Target="https://www.lovethework.com/work/entries/child-wedding-cards-756874" TargetMode="External" Id="rId25"/><Relationship Type="http://schemas.openxmlformats.org/officeDocument/2006/relationships/hyperlink" Target="https://www.lovethework.com/work/entries/michael-cerave-762224" TargetMode="External" Id="rId26"/><Relationship Type="http://schemas.openxmlformats.org/officeDocument/2006/relationships/hyperlink" Target="https://www.lovethework.com/work/entries/the-hidden-eye-test-756664" TargetMode="External" Id="rId27"/><Relationship Type="http://schemas.openxmlformats.org/officeDocument/2006/relationships/hyperlink" Target="https://www.lovethework.com/work/entries/sounds-right-756651" TargetMode="External" Id="rId28"/><Relationship Type="http://schemas.openxmlformats.org/officeDocument/2006/relationships/hyperlink" Target="https://www.lovethework.com/work/entries/football-is-for-food-756733" TargetMode="External" Id="rId29"/><Relationship Type="http://schemas.openxmlformats.org/officeDocument/2006/relationships/hyperlink" Target="https://www.lovethework.com/work/entries/waiting-to-live-756712" TargetMode="External" Id="rId30"/><Relationship Type="http://schemas.openxmlformats.org/officeDocument/2006/relationships/hyperlink" Target="https://www.lovethework.com/work/entries/the-26th-minute-756951" TargetMode="External" Id="rId31"/><Relationship Type="http://schemas.openxmlformats.org/officeDocument/2006/relationships/hyperlink" Target="https://ascentialcdn.filespin.io/api/v1/conversion/04e3ef953a454b9da10f1982fa8553b3" TargetMode="External" Id="rId32"/><Relationship Type="http://schemas.openxmlformats.org/officeDocument/2006/relationships/hyperlink" Target="https://www.lovethework.com/work/entries/the-new-president-757020" TargetMode="External" Id="rId33"/><Relationship Type="http://schemas.openxmlformats.org/officeDocument/2006/relationships/hyperlink" Target="https://www.lovethework.com/work/entries/sato-2531-757065" TargetMode="External" Id="rId34"/></Relationships>
</file>

<file path=xl/worksheets/_rels/sheet33.xml.rels><Relationships xmlns="http://schemas.openxmlformats.org/package/2006/relationships"><Relationship Type="http://schemas.openxmlformats.org/officeDocument/2006/relationships/hyperlink" Target="https://ascentialcdn.filespin.io/api/v1/conversion/e1a85ff134e545c7b049791151432028" TargetMode="External" Id="rId1"/><Relationship Type="http://schemas.openxmlformats.org/officeDocument/2006/relationships/hyperlink" Target="https://www.lovethework.com/work/entries/axa-three-words-748384" TargetMode="External" Id="rId2"/><Relationship Type="http://schemas.openxmlformats.org/officeDocument/2006/relationships/hyperlink" Target="https://ascentialcdn.filespin.io/api/v1/conversion/61f3c230a91e417397304be1d6a0ef2d" TargetMode="External" Id="rId3"/><Relationship Type="http://schemas.openxmlformats.org/officeDocument/2006/relationships/hyperlink" Target="https://www.lovethework.com/work/entries/pedigree-caramelo-758945" TargetMode="External" Id="rId4"/><Relationship Type="http://schemas.openxmlformats.org/officeDocument/2006/relationships/hyperlink" Target="https://ascentialcdn.filespin.io/api/v1/conversion/faf0755b0d4e4594ad93cb75d6288e3d" TargetMode="External" Id="rId5"/><Relationship Type="http://schemas.openxmlformats.org/officeDocument/2006/relationships/hyperlink" Target="https://www.lovethework.com/work/entries/vaseline-verified-758815" TargetMode="External" Id="rId6"/><Relationship Type="http://schemas.openxmlformats.org/officeDocument/2006/relationships/hyperlink" Target="https://ascentialcdn.filespin.io/api/v1/conversion/ec33dea7945841b0a0833542b60f5b36" TargetMode="External" Id="rId7"/><Relationship Type="http://schemas.openxmlformats.org/officeDocument/2006/relationships/hyperlink" Target="https://www.lovethework.com/work/entries/caption-with-intention-748572" TargetMode="External" Id="rId8"/></Relationships>
</file>

<file path=xl/worksheets/sheet1.xml><?xml version="1.0" encoding="utf-8"?>
<worksheet xmlns="http://schemas.openxmlformats.org/spreadsheetml/2006/main">
  <sheetPr>
    <outlinePr summaryBelow="1" summaryRight="1"/>
    <pageSetUpPr/>
  </sheetPr>
  <dimension ref="A1:H71"/>
  <sheetViews>
    <sheetView workbookViewId="0">
      <pane ySplit="2" topLeftCell="A3" activePane="bottomLeft" state="frozen"/>
      <selection pane="bottomLeft" activeCell="A1" sqref="A1"/>
    </sheetView>
  </sheetViews>
  <sheetFormatPr baseColWidth="8" defaultRowHeight="15"/>
  <cols>
    <col width="34" customWidth="1" style="34" min="1" max="1"/>
    <col width="12" customWidth="1" style="34" min="2" max="2"/>
    <col width="12" customWidth="1" style="34" min="3" max="3"/>
    <col width="12" customWidth="1" style="34" min="4" max="4"/>
    <col width="12" customWidth="1" style="34" min="5" max="5"/>
    <col width="12" customWidth="1" style="34" min="6" max="6"/>
    <col width="12" customWidth="1" style="34" min="7" max="7"/>
    <col width="9" customWidth="1" style="34" min="8" max="8"/>
  </cols>
  <sheetData>
    <row r="1">
      <c r="A1" s="114" t="inlineStr">
        <is>
          <t>BRAIN CANNESDY — WINNERS DATABASE</t>
        </is>
      </c>
    </row>
    <row r="2">
      <c r="A2" s="115" t="inlineStr">
        <is>
          <t>Awards summary · auto-generated by scripts/rebuild_summary.py · 2026-05-20</t>
        </is>
      </c>
    </row>
    <row r="4">
      <c r="A4" s="116" t="inlineStr">
        <is>
          <t>TOTALS BY YEAR</t>
        </is>
      </c>
    </row>
    <row r="5">
      <c r="A5" s="117" t="inlineStr">
        <is>
          <t>Year</t>
        </is>
      </c>
      <c r="B5" s="117" t="inlineStr">
        <is>
          <t>Grand Prix</t>
        </is>
      </c>
      <c r="C5" s="117" t="inlineStr">
        <is>
          <t>Gold</t>
        </is>
      </c>
      <c r="D5" s="117" t="inlineStr">
        <is>
          <t>Silver</t>
        </is>
      </c>
      <c r="E5" s="117" t="inlineStr">
        <is>
          <t>Bronze</t>
        </is>
      </c>
      <c r="F5" s="117" t="inlineStr">
        <is>
          <t>Titanium</t>
        </is>
      </c>
      <c r="G5" s="117" t="inlineStr">
        <is>
          <t>Total</t>
        </is>
      </c>
    </row>
    <row r="6">
      <c r="A6" s="118" t="n">
        <v>2025</v>
      </c>
      <c r="B6" s="119" t="n">
        <v>34</v>
      </c>
      <c r="C6" s="119" t="n">
        <v>148</v>
      </c>
      <c r="D6" s="119" t="n">
        <v>278</v>
      </c>
      <c r="E6" s="119" t="n">
        <v>414</v>
      </c>
      <c r="F6" s="119" t="n">
        <v>4</v>
      </c>
      <c r="G6" s="119" t="n">
        <v>878</v>
      </c>
    </row>
    <row r="7">
      <c r="A7" s="120" t="inlineStr">
        <is>
          <t>All years</t>
        </is>
      </c>
      <c r="B7" s="121" t="n">
        <v>34</v>
      </c>
      <c r="C7" s="121" t="n">
        <v>148</v>
      </c>
      <c r="D7" s="121" t="n">
        <v>278</v>
      </c>
      <c r="E7" s="121" t="n">
        <v>414</v>
      </c>
      <c r="F7" s="121" t="n">
        <v>4</v>
      </c>
      <c r="G7" s="121" t="n">
        <v>878</v>
      </c>
    </row>
    <row r="9">
      <c r="A9" s="116" t="inlineStr">
        <is>
          <t>BY CATEGORY (all years)</t>
        </is>
      </c>
    </row>
    <row r="10">
      <c r="A10" s="117" t="inlineStr">
        <is>
          <t>Category</t>
        </is>
      </c>
      <c r="B10" s="117" t="inlineStr">
        <is>
          <t>Grand Prix</t>
        </is>
      </c>
      <c r="C10" s="117" t="inlineStr">
        <is>
          <t>Gold</t>
        </is>
      </c>
      <c r="D10" s="117" t="inlineStr">
        <is>
          <t>Silver</t>
        </is>
      </c>
      <c r="E10" s="117" t="inlineStr">
        <is>
          <t>Bronze</t>
        </is>
      </c>
      <c r="F10" s="117" t="inlineStr">
        <is>
          <t>Titanium</t>
        </is>
      </c>
      <c r="G10" s="117" t="inlineStr">
        <is>
          <t>Total</t>
        </is>
      </c>
    </row>
    <row r="11">
      <c r="A11" s="118" t="inlineStr">
        <is>
          <t>Audio &amp; Radio</t>
        </is>
      </c>
      <c r="B11" s="119">
        <f>COUNTIF('Audio &amp; Radio'!$B:$B,"Grand Prix")</f>
        <v/>
      </c>
      <c r="C11" s="119">
        <f>COUNTIF('Audio &amp; Radio'!$B:$B,"Gold")</f>
        <v/>
      </c>
      <c r="D11" s="119">
        <f>COUNTIF('Audio &amp; Radio'!$B:$B,"Silver")</f>
        <v/>
      </c>
      <c r="E11" s="119">
        <f>COUNTIF('Audio &amp; Radio'!$B:$B,"Bronze")</f>
        <v/>
      </c>
      <c r="F11" s="119">
        <f>COUNTIF('Audio &amp; Radio'!$B:$B,"Titanium Grand Prix")+COUNTIF('Audio &amp; Radio'!$B:$B,"Titanium")</f>
        <v/>
      </c>
      <c r="G11" s="119">
        <f>SUM(B11:F11)</f>
        <v/>
      </c>
    </row>
    <row r="12">
      <c r="A12" s="118" t="inlineStr">
        <is>
          <t>Film</t>
        </is>
      </c>
      <c r="B12" s="119">
        <f>COUNTIF('Film'!$B:$B,"Grand Prix")</f>
        <v/>
      </c>
      <c r="C12" s="119">
        <f>COUNTIF('Film'!$B:$B,"Gold")</f>
        <v/>
      </c>
      <c r="D12" s="119">
        <f>COUNTIF('Film'!$B:$B,"Silver")</f>
        <v/>
      </c>
      <c r="E12" s="119">
        <f>COUNTIF('Film'!$B:$B,"Bronze")</f>
        <v/>
      </c>
      <c r="F12" s="119">
        <f>COUNTIF('Film'!$B:$B,"Titanium Grand Prix")+COUNTIF('Film'!$B:$B,"Titanium")</f>
        <v/>
      </c>
      <c r="G12" s="119">
        <f>SUM(B12:F12)</f>
        <v/>
      </c>
    </row>
    <row r="13">
      <c r="A13" s="118" t="inlineStr">
        <is>
          <t>Outdoor</t>
        </is>
      </c>
      <c r="B13" s="119">
        <f>COUNTIF('Outdoor'!$B:$B,"Grand Prix")</f>
        <v/>
      </c>
      <c r="C13" s="119">
        <f>COUNTIF('Outdoor'!$B:$B,"Gold")</f>
        <v/>
      </c>
      <c r="D13" s="119">
        <f>COUNTIF('Outdoor'!$B:$B,"Silver")</f>
        <v/>
      </c>
      <c r="E13" s="119">
        <f>COUNTIF('Outdoor'!$B:$B,"Bronze")</f>
        <v/>
      </c>
      <c r="F13" s="119">
        <f>COUNTIF('Outdoor'!$B:$B,"Titanium Grand Prix")+COUNTIF('Outdoor'!$B:$B,"Titanium")</f>
        <v/>
      </c>
      <c r="G13" s="119">
        <f>SUM(B13:F13)</f>
        <v/>
      </c>
    </row>
    <row r="14">
      <c r="A14" s="118" t="inlineStr">
        <is>
          <t>Print &amp; Publishing</t>
        </is>
      </c>
      <c r="B14" s="119">
        <f>COUNTIF('Print &amp; Publishing'!$B:$B,"Grand Prix")</f>
        <v/>
      </c>
      <c r="C14" s="119">
        <f>COUNTIF('Print &amp; Publishing'!$B:$B,"Gold")</f>
        <v/>
      </c>
      <c r="D14" s="119">
        <f>COUNTIF('Print &amp; Publishing'!$B:$B,"Silver")</f>
        <v/>
      </c>
      <c r="E14" s="119">
        <f>COUNTIF('Print &amp; Publishing'!$B:$B,"Bronze")</f>
        <v/>
      </c>
      <c r="F14" s="119">
        <f>COUNTIF('Print &amp; Publishing'!$B:$B,"Titanium Grand Prix")+COUNTIF('Print &amp; Publishing'!$B:$B,"Titanium")</f>
        <v/>
      </c>
      <c r="G14" s="119">
        <f>SUM(B14:F14)</f>
        <v/>
      </c>
    </row>
    <row r="15">
      <c r="A15" s="118" t="inlineStr">
        <is>
          <t>Design</t>
        </is>
      </c>
      <c r="B15" s="119">
        <f>COUNTIF('Design'!$B:$B,"Grand Prix")</f>
        <v/>
      </c>
      <c r="C15" s="119">
        <f>COUNTIF('Design'!$B:$B,"Gold")</f>
        <v/>
      </c>
      <c r="D15" s="119">
        <f>COUNTIF('Design'!$B:$B,"Silver")</f>
        <v/>
      </c>
      <c r="E15" s="119">
        <f>COUNTIF('Design'!$B:$B,"Bronze")</f>
        <v/>
      </c>
      <c r="F15" s="119">
        <f>COUNTIF('Design'!$B:$B,"Titanium Grand Prix")+COUNTIF('Design'!$B:$B,"Titanium")</f>
        <v/>
      </c>
      <c r="G15" s="119">
        <f>SUM(B15:F15)</f>
        <v/>
      </c>
    </row>
    <row r="16">
      <c r="A16" s="118" t="inlineStr">
        <is>
          <t>Digital Craft</t>
        </is>
      </c>
      <c r="B16" s="119">
        <f>COUNTIF('Digital Craft'!$B:$B,"Grand Prix")</f>
        <v/>
      </c>
      <c r="C16" s="119">
        <f>COUNTIF('Digital Craft'!$B:$B,"Gold")</f>
        <v/>
      </c>
      <c r="D16" s="119">
        <f>COUNTIF('Digital Craft'!$B:$B,"Silver")</f>
        <v/>
      </c>
      <c r="E16" s="119">
        <f>COUNTIF('Digital Craft'!$B:$B,"Bronze")</f>
        <v/>
      </c>
      <c r="F16" s="119">
        <f>COUNTIF('Digital Craft'!$B:$B,"Titanium Grand Prix")+COUNTIF('Digital Craft'!$B:$B,"Titanium")</f>
        <v/>
      </c>
      <c r="G16" s="119">
        <f>SUM(B16:F16)</f>
        <v/>
      </c>
    </row>
    <row r="17">
      <c r="A17" s="118" t="inlineStr">
        <is>
          <t>Film Craft</t>
        </is>
      </c>
      <c r="B17" s="119">
        <f>COUNTIF('Film Craft'!$B:$B,"Grand Prix")</f>
        <v/>
      </c>
      <c r="C17" s="119">
        <f>COUNTIF('Film Craft'!$B:$B,"Gold")</f>
        <v/>
      </c>
      <c r="D17" s="119">
        <f>COUNTIF('Film Craft'!$B:$B,"Silver")</f>
        <v/>
      </c>
      <c r="E17" s="119">
        <f>COUNTIF('Film Craft'!$B:$B,"Bronze")</f>
        <v/>
      </c>
      <c r="F17" s="119">
        <f>COUNTIF('Film Craft'!$B:$B,"Titanium Grand Prix")+COUNTIF('Film Craft'!$B:$B,"Titanium")</f>
        <v/>
      </c>
      <c r="G17" s="119">
        <f>SUM(B17:F17)</f>
        <v/>
      </c>
    </row>
    <row r="18">
      <c r="A18" s="118" t="inlineStr">
        <is>
          <t>Industry Craft</t>
        </is>
      </c>
      <c r="B18" s="119">
        <f>COUNTIF('Industry Craft'!$B:$B,"Grand Prix")</f>
        <v/>
      </c>
      <c r="C18" s="119">
        <f>COUNTIF('Industry Craft'!$B:$B,"Gold")</f>
        <v/>
      </c>
      <c r="D18" s="119">
        <f>COUNTIF('Industry Craft'!$B:$B,"Silver")</f>
        <v/>
      </c>
      <c r="E18" s="119">
        <f>COUNTIF('Industry Craft'!$B:$B,"Bronze")</f>
        <v/>
      </c>
      <c r="F18" s="119">
        <f>COUNTIF('Industry Craft'!$B:$B,"Titanium Grand Prix")+COUNTIF('Industry Craft'!$B:$B,"Titanium")</f>
        <v/>
      </c>
      <c r="G18" s="119">
        <f>SUM(B18:F18)</f>
        <v/>
      </c>
    </row>
    <row r="19">
      <c r="A19" s="118" t="inlineStr">
        <is>
          <t>Creative B2B</t>
        </is>
      </c>
      <c r="B19" s="119">
        <f>COUNTIF('Creative B2B'!$B:$B,"Grand Prix")</f>
        <v/>
      </c>
      <c r="C19" s="119">
        <f>COUNTIF('Creative B2B'!$B:$B,"Gold")</f>
        <v/>
      </c>
      <c r="D19" s="119">
        <f>COUNTIF('Creative B2B'!$B:$B,"Silver")</f>
        <v/>
      </c>
      <c r="E19" s="119">
        <f>COUNTIF('Creative B2B'!$B:$B,"Bronze")</f>
        <v/>
      </c>
      <c r="F19" s="119">
        <f>COUNTIF('Creative B2B'!$B:$B,"Titanium Grand Prix")+COUNTIF('Creative B2B'!$B:$B,"Titanium")</f>
        <v/>
      </c>
      <c r="G19" s="119">
        <f>SUM(B19:F19)</f>
        <v/>
      </c>
    </row>
    <row r="20">
      <c r="A20" s="118" t="inlineStr">
        <is>
          <t>Creative Data</t>
        </is>
      </c>
      <c r="B20" s="119">
        <f>COUNTIF('Creative Data'!$B:$B,"Grand Prix")</f>
        <v/>
      </c>
      <c r="C20" s="119">
        <f>COUNTIF('Creative Data'!$B:$B,"Gold")</f>
        <v/>
      </c>
      <c r="D20" s="119">
        <f>COUNTIF('Creative Data'!$B:$B,"Silver")</f>
        <v/>
      </c>
      <c r="E20" s="119">
        <f>COUNTIF('Creative Data'!$B:$B,"Bronze")</f>
        <v/>
      </c>
      <c r="F20" s="119">
        <f>COUNTIF('Creative Data'!$B:$B,"Titanium Grand Prix")+COUNTIF('Creative Data'!$B:$B,"Titanium")</f>
        <v/>
      </c>
      <c r="G20" s="119">
        <f>SUM(B20:F20)</f>
        <v/>
      </c>
    </row>
    <row r="21">
      <c r="A21" s="118" t="inlineStr">
        <is>
          <t>Direct</t>
        </is>
      </c>
      <c r="B21" s="119">
        <f>COUNTIF('Direct'!$B:$B,"Grand Prix")</f>
        <v/>
      </c>
      <c r="C21" s="119">
        <f>COUNTIF('Direct'!$B:$B,"Gold")</f>
        <v/>
      </c>
      <c r="D21" s="119">
        <f>COUNTIF('Direct'!$B:$B,"Silver")</f>
        <v/>
      </c>
      <c r="E21" s="119">
        <f>COUNTIF('Direct'!$B:$B,"Bronze")</f>
        <v/>
      </c>
      <c r="F21" s="119">
        <f>COUNTIF('Direct'!$B:$B,"Titanium Grand Prix")+COUNTIF('Direct'!$B:$B,"Titanium")</f>
        <v/>
      </c>
      <c r="G21" s="119">
        <f>SUM(B21:F21)</f>
        <v/>
      </c>
    </row>
    <row r="22">
      <c r="A22" s="118" t="inlineStr">
        <is>
          <t>Media</t>
        </is>
      </c>
      <c r="B22" s="119">
        <f>COUNTIF('Media'!$B:$B,"Grand Prix")</f>
        <v/>
      </c>
      <c r="C22" s="119">
        <f>COUNTIF('Media'!$B:$B,"Gold")</f>
        <v/>
      </c>
      <c r="D22" s="119">
        <f>COUNTIF('Media'!$B:$B,"Silver")</f>
        <v/>
      </c>
      <c r="E22" s="119">
        <f>COUNTIF('Media'!$B:$B,"Bronze")</f>
        <v/>
      </c>
      <c r="F22" s="119">
        <f>COUNTIF('Media'!$B:$B,"Titanium Grand Prix")+COUNTIF('Media'!$B:$B,"Titanium")</f>
        <v/>
      </c>
      <c r="G22" s="119">
        <f>SUM(B22:F22)</f>
        <v/>
      </c>
    </row>
    <row r="23">
      <c r="A23" s="118" t="inlineStr">
        <is>
          <t>PR</t>
        </is>
      </c>
      <c r="B23" s="119">
        <f>COUNTIF('PR'!$B:$B,"Grand Prix")</f>
        <v/>
      </c>
      <c r="C23" s="119">
        <f>COUNTIF('PR'!$B:$B,"Gold")</f>
        <v/>
      </c>
      <c r="D23" s="119">
        <f>COUNTIF('PR'!$B:$B,"Silver")</f>
        <v/>
      </c>
      <c r="E23" s="119">
        <f>COUNTIF('PR'!$B:$B,"Bronze")</f>
        <v/>
      </c>
      <c r="F23" s="119">
        <f>COUNTIF('PR'!$B:$B,"Titanium Grand Prix")+COUNTIF('PR'!$B:$B,"Titanium")</f>
        <v/>
      </c>
      <c r="G23" s="119">
        <f>SUM(B23:F23)</f>
        <v/>
      </c>
    </row>
    <row r="24">
      <c r="A24" s="118" t="inlineStr">
        <is>
          <t>Social &amp; Creator</t>
        </is>
      </c>
      <c r="B24" s="119">
        <f>COUNTIF('Social &amp; Creator'!$B:$B,"Grand Prix")</f>
        <v/>
      </c>
      <c r="C24" s="119">
        <f>COUNTIF('Social &amp; Creator'!$B:$B,"Gold")</f>
        <v/>
      </c>
      <c r="D24" s="119">
        <f>COUNTIF('Social &amp; Creator'!$B:$B,"Silver")</f>
        <v/>
      </c>
      <c r="E24" s="119">
        <f>COUNTIF('Social &amp; Creator'!$B:$B,"Bronze")</f>
        <v/>
      </c>
      <c r="F24" s="119">
        <f>COUNTIF('Social &amp; Creator'!$B:$B,"Titanium Grand Prix")+COUNTIF('Social &amp; Creator'!$B:$B,"Titanium")</f>
        <v/>
      </c>
      <c r="G24" s="119">
        <f>SUM(B24:F24)</f>
        <v/>
      </c>
    </row>
    <row r="25">
      <c r="A25" s="118" t="inlineStr">
        <is>
          <t>Entertainment</t>
        </is>
      </c>
      <c r="B25" s="119">
        <f>COUNTIF('Entertainment'!$B:$B,"Grand Prix")</f>
        <v/>
      </c>
      <c r="C25" s="119">
        <f>COUNTIF('Entertainment'!$B:$B,"Gold")</f>
        <v/>
      </c>
      <c r="D25" s="119">
        <f>COUNTIF('Entertainment'!$B:$B,"Silver")</f>
        <v/>
      </c>
      <c r="E25" s="119">
        <f>COUNTIF('Entertainment'!$B:$B,"Bronze")</f>
        <v/>
      </c>
      <c r="F25" s="119">
        <f>COUNTIF('Entertainment'!$B:$B,"Titanium Grand Prix")+COUNTIF('Entertainment'!$B:$B,"Titanium")</f>
        <v/>
      </c>
      <c r="G25" s="119">
        <f>SUM(B25:F25)</f>
        <v/>
      </c>
    </row>
    <row r="26">
      <c r="A26" s="118" t="inlineStr">
        <is>
          <t>Entertainment Lions for Gaming</t>
        </is>
      </c>
      <c r="B26" s="119">
        <f>COUNTIF('Entertainment Lions for Gaming'!$B:$B,"Grand Prix")</f>
        <v/>
      </c>
      <c r="C26" s="119">
        <f>COUNTIF('Entertainment Lions for Gaming'!$B:$B,"Gold")</f>
        <v/>
      </c>
      <c r="D26" s="119">
        <f>COUNTIF('Entertainment Lions for Gaming'!$B:$B,"Silver")</f>
        <v/>
      </c>
      <c r="E26" s="119">
        <f>COUNTIF('Entertainment Lions for Gaming'!$B:$B,"Bronze")</f>
        <v/>
      </c>
      <c r="F26" s="119">
        <f>COUNTIF('Entertainment Lions for Gaming'!$B:$B,"Titanium Grand Prix")+COUNTIF('Entertainment Lions for Gaming'!$B:$B,"Titanium")</f>
        <v/>
      </c>
      <c r="G26" s="119">
        <f>SUM(B26:F26)</f>
        <v/>
      </c>
    </row>
    <row r="27">
      <c r="A27" s="118" t="inlineStr">
        <is>
          <t>Entertainment Lions for Music</t>
        </is>
      </c>
      <c r="B27" s="119">
        <f>COUNTIF('Entertainment Lions for Music'!$B:$B,"Grand Prix")</f>
        <v/>
      </c>
      <c r="C27" s="119">
        <f>COUNTIF('Entertainment Lions for Music'!$B:$B,"Gold")</f>
        <v/>
      </c>
      <c r="D27" s="119">
        <f>COUNTIF('Entertainment Lions for Music'!$B:$B,"Silver")</f>
        <v/>
      </c>
      <c r="E27" s="119">
        <f>COUNTIF('Entertainment Lions for Music'!$B:$B,"Bronze")</f>
        <v/>
      </c>
      <c r="F27" s="119">
        <f>COUNTIF('Entertainment Lions for Music'!$B:$B,"Titanium Grand Prix")+COUNTIF('Entertainment Lions for Music'!$B:$B,"Titanium")</f>
        <v/>
      </c>
      <c r="G27" s="119">
        <f>SUM(B27:F27)</f>
        <v/>
      </c>
    </row>
    <row r="28">
      <c r="A28" s="118" t="inlineStr">
        <is>
          <t>Entertainment Lions for Sport</t>
        </is>
      </c>
      <c r="B28" s="119">
        <f>COUNTIF('Entertainment Lions for Sport'!$B:$B,"Grand Prix")</f>
        <v/>
      </c>
      <c r="C28" s="119">
        <f>COUNTIF('Entertainment Lions for Sport'!$B:$B,"Gold")</f>
        <v/>
      </c>
      <c r="D28" s="119">
        <f>COUNTIF('Entertainment Lions for Sport'!$B:$B,"Silver")</f>
        <v/>
      </c>
      <c r="E28" s="119">
        <f>COUNTIF('Entertainment Lions for Sport'!$B:$B,"Bronze")</f>
        <v/>
      </c>
      <c r="F28" s="119">
        <f>COUNTIF('Entertainment Lions for Sport'!$B:$B,"Titanium Grand Prix")+COUNTIF('Entertainment Lions for Sport'!$B:$B,"Titanium")</f>
        <v/>
      </c>
      <c r="G28" s="119">
        <f>SUM(B28:F28)</f>
        <v/>
      </c>
    </row>
    <row r="29">
      <c r="A29" s="118" t="inlineStr">
        <is>
          <t>Brand Experience &amp; Activation</t>
        </is>
      </c>
      <c r="B29" s="119">
        <f>COUNTIF('Brand Experience &amp; Activation'!$B:$B,"Grand Prix")</f>
        <v/>
      </c>
      <c r="C29" s="119">
        <f>COUNTIF('Brand Experience &amp; Activation'!$B:$B,"Gold")</f>
        <v/>
      </c>
      <c r="D29" s="119">
        <f>COUNTIF('Brand Experience &amp; Activation'!$B:$B,"Silver")</f>
        <v/>
      </c>
      <c r="E29" s="119">
        <f>COUNTIF('Brand Experience &amp; Activation'!$B:$B,"Bronze")</f>
        <v/>
      </c>
      <c r="F29" s="119">
        <f>COUNTIF('Brand Experience &amp; Activation'!$B:$B,"Titanium Grand Prix")+COUNTIF('Brand Experience &amp; Activation'!$B:$B,"Titanium")</f>
        <v/>
      </c>
      <c r="G29" s="119">
        <f>SUM(B29:F29)</f>
        <v/>
      </c>
    </row>
    <row r="30">
      <c r="A30" s="118" t="inlineStr">
        <is>
          <t>Creative Business Transformation</t>
        </is>
      </c>
      <c r="B30" s="119">
        <f>COUNTIF('Creative Bus. Transformation'!$B:$B,"Grand Prix")</f>
        <v/>
      </c>
      <c r="C30" s="119">
        <f>COUNTIF('Creative Bus. Transformation'!$B:$B,"Gold")</f>
        <v/>
      </c>
      <c r="D30" s="119">
        <f>COUNTIF('Creative Bus. Transformation'!$B:$B,"Silver")</f>
        <v/>
      </c>
      <c r="E30" s="119">
        <f>COUNTIF('Creative Bus. Transformation'!$B:$B,"Bronze")</f>
        <v/>
      </c>
      <c r="F30" s="119">
        <f>COUNTIF('Creative Bus. Transformation'!$B:$B,"Titanium Grand Prix")+COUNTIF('Creative Bus. Transformation'!$B:$B,"Titanium")</f>
        <v/>
      </c>
      <c r="G30" s="119">
        <f>SUM(B30:F30)</f>
        <v/>
      </c>
    </row>
    <row r="31">
      <c r="A31" s="118" t="inlineStr">
        <is>
          <t>Creative Commerce</t>
        </is>
      </c>
      <c r="B31" s="119">
        <f>COUNTIF('Creative Commerce'!$B:$B,"Grand Prix")</f>
        <v/>
      </c>
      <c r="C31" s="119">
        <f>COUNTIF('Creative Commerce'!$B:$B,"Gold")</f>
        <v/>
      </c>
      <c r="D31" s="119">
        <f>COUNTIF('Creative Commerce'!$B:$B,"Silver")</f>
        <v/>
      </c>
      <c r="E31" s="119">
        <f>COUNTIF('Creative Commerce'!$B:$B,"Bronze")</f>
        <v/>
      </c>
      <c r="F31" s="119">
        <f>COUNTIF('Creative Commerce'!$B:$B,"Titanium Grand Prix")+COUNTIF('Creative Commerce'!$B:$B,"Titanium")</f>
        <v/>
      </c>
      <c r="G31" s="119">
        <f>SUM(B31:F31)</f>
        <v/>
      </c>
    </row>
    <row r="32">
      <c r="A32" s="118" t="inlineStr">
        <is>
          <t>Innovation</t>
        </is>
      </c>
      <c r="B32" s="119">
        <f>COUNTIF('Innovation'!$B:$B,"Grand Prix")</f>
        <v/>
      </c>
      <c r="C32" s="119">
        <f>COUNTIF('Innovation'!$B:$B,"Gold")</f>
        <v/>
      </c>
      <c r="D32" s="119">
        <f>COUNTIF('Innovation'!$B:$B,"Silver")</f>
        <v/>
      </c>
      <c r="E32" s="119">
        <f>COUNTIF('Innovation'!$B:$B,"Bronze")</f>
        <v/>
      </c>
      <c r="F32" s="119">
        <f>COUNTIF('Innovation'!$B:$B,"Titanium Grand Prix")+COUNTIF('Innovation'!$B:$B,"Titanium")</f>
        <v/>
      </c>
      <c r="G32" s="119">
        <f>SUM(B32:F32)</f>
        <v/>
      </c>
    </row>
    <row r="33">
      <c r="A33" s="118" t="inlineStr">
        <is>
          <t>Luxury</t>
        </is>
      </c>
      <c r="B33" s="119">
        <f>COUNTIF('Luxury'!$B:$B,"Grand Prix")</f>
        <v/>
      </c>
      <c r="C33" s="119">
        <f>COUNTIF('Luxury'!$B:$B,"Gold")</f>
        <v/>
      </c>
      <c r="D33" s="119">
        <f>COUNTIF('Luxury'!$B:$B,"Silver")</f>
        <v/>
      </c>
      <c r="E33" s="119">
        <f>COUNTIF('Luxury'!$B:$B,"Bronze")</f>
        <v/>
      </c>
      <c r="F33" s="119">
        <f>COUNTIF('Luxury'!$B:$B,"Titanium Grand Prix")+COUNTIF('Luxury'!$B:$B,"Titanium")</f>
        <v/>
      </c>
      <c r="G33" s="119">
        <f>SUM(B33:F33)</f>
        <v/>
      </c>
    </row>
    <row r="34">
      <c r="A34" s="118" t="inlineStr">
        <is>
          <t>Glass: The Lion for Change</t>
        </is>
      </c>
      <c r="B34" s="119">
        <f>COUNTIF('Glass - The Lion for Change'!$B:$B,"Grand Prix")</f>
        <v/>
      </c>
      <c r="C34" s="119">
        <f>COUNTIF('Glass - The Lion for Change'!$B:$B,"Gold")</f>
        <v/>
      </c>
      <c r="D34" s="119">
        <f>COUNTIF('Glass - The Lion for Change'!$B:$B,"Silver")</f>
        <v/>
      </c>
      <c r="E34" s="119">
        <f>COUNTIF('Glass - The Lion for Change'!$B:$B,"Bronze")</f>
        <v/>
      </c>
      <c r="F34" s="119">
        <f>COUNTIF('Glass - The Lion for Change'!$B:$B,"Titanium Grand Prix")+COUNTIF('Glass - The Lion for Change'!$B:$B,"Titanium")</f>
        <v/>
      </c>
      <c r="G34" s="119">
        <f>SUM(B34:F34)</f>
        <v/>
      </c>
    </row>
    <row r="35">
      <c r="A35" s="118" t="inlineStr">
        <is>
          <t>Grand Prix for Good</t>
        </is>
      </c>
      <c r="B35" s="119">
        <f>COUNTIF('Grand Prix for Good'!$B:$B,"Grand Prix")</f>
        <v/>
      </c>
      <c r="C35" s="119">
        <f>COUNTIF('Grand Prix for Good'!$B:$B,"Gold")</f>
        <v/>
      </c>
      <c r="D35" s="119">
        <f>COUNTIF('Grand Prix for Good'!$B:$B,"Silver")</f>
        <v/>
      </c>
      <c r="E35" s="119">
        <f>COUNTIF('Grand Prix for Good'!$B:$B,"Bronze")</f>
        <v/>
      </c>
      <c r="F35" s="119">
        <f>COUNTIF('Grand Prix for Good'!$B:$B,"Titanium Grand Prix")+COUNTIF('Grand Prix for Good'!$B:$B,"Titanium")</f>
        <v/>
      </c>
      <c r="G35" s="119">
        <f>SUM(B35:F35)</f>
        <v/>
      </c>
    </row>
    <row r="36">
      <c r="A36" s="118" t="inlineStr">
        <is>
          <t>Sustainable Development Goals</t>
        </is>
      </c>
      <c r="B36" s="119">
        <f>COUNTIF('Sustainable Development Goals'!$B:$B,"Grand Prix")</f>
        <v/>
      </c>
      <c r="C36" s="119">
        <f>COUNTIF('Sustainable Development Goals'!$B:$B,"Gold")</f>
        <v/>
      </c>
      <c r="D36" s="119">
        <f>COUNTIF('Sustainable Development Goals'!$B:$B,"Silver")</f>
        <v/>
      </c>
      <c r="E36" s="119">
        <f>COUNTIF('Sustainable Development Goals'!$B:$B,"Bronze")</f>
        <v/>
      </c>
      <c r="F36" s="119">
        <f>COUNTIF('Sustainable Development Goals'!$B:$B,"Titanium Grand Prix")+COUNTIF('Sustainable Development Goals'!$B:$B,"Titanium")</f>
        <v/>
      </c>
      <c r="G36" s="119">
        <f>SUM(B36:F36)</f>
        <v/>
      </c>
    </row>
    <row r="37">
      <c r="A37" s="118" t="inlineStr">
        <is>
          <t>Health &amp; Wellness</t>
        </is>
      </c>
      <c r="B37" s="119">
        <f>COUNTIF('Health &amp; Wellness'!$B:$B,"Grand Prix")</f>
        <v/>
      </c>
      <c r="C37" s="119">
        <f>COUNTIF('Health &amp; Wellness'!$B:$B,"Gold")</f>
        <v/>
      </c>
      <c r="D37" s="119">
        <f>COUNTIF('Health &amp; Wellness'!$B:$B,"Silver")</f>
        <v/>
      </c>
      <c r="E37" s="119">
        <f>COUNTIF('Health &amp; Wellness'!$B:$B,"Bronze")</f>
        <v/>
      </c>
      <c r="F37" s="119">
        <f>COUNTIF('Health &amp; Wellness'!$B:$B,"Titanium Grand Prix")+COUNTIF('Health &amp; Wellness'!$B:$B,"Titanium")</f>
        <v/>
      </c>
      <c r="G37" s="119">
        <f>SUM(B37:F37)</f>
        <v/>
      </c>
    </row>
    <row r="38">
      <c r="A38" s="118" t="inlineStr">
        <is>
          <t>Lions Health Grand Prix for Good</t>
        </is>
      </c>
      <c r="B38" s="119">
        <f>COUNTIF('Health Grand Prix for Good'!$B:$B,"Grand Prix")</f>
        <v/>
      </c>
      <c r="C38" s="119">
        <f>COUNTIF('Health Grand Prix for Good'!$B:$B,"Gold")</f>
        <v/>
      </c>
      <c r="D38" s="119">
        <f>COUNTIF('Health Grand Prix for Good'!$B:$B,"Silver")</f>
        <v/>
      </c>
      <c r="E38" s="119">
        <f>COUNTIF('Health Grand Prix for Good'!$B:$B,"Bronze")</f>
        <v/>
      </c>
      <c r="F38" s="119">
        <f>COUNTIF('Health Grand Prix for Good'!$B:$B,"Titanium Grand Prix")+COUNTIF('Health Grand Prix for Good'!$B:$B,"Titanium")</f>
        <v/>
      </c>
      <c r="G38" s="119">
        <f>SUM(B38:F38)</f>
        <v/>
      </c>
    </row>
    <row r="39">
      <c r="A39" s="118" t="inlineStr">
        <is>
          <t>Pharma</t>
        </is>
      </c>
      <c r="B39" s="119">
        <f>COUNTIF('Pharma'!$B:$B,"Grand Prix")</f>
        <v/>
      </c>
      <c r="C39" s="119">
        <f>COUNTIF('Pharma'!$B:$B,"Gold")</f>
        <v/>
      </c>
      <c r="D39" s="119">
        <f>COUNTIF('Pharma'!$B:$B,"Silver")</f>
        <v/>
      </c>
      <c r="E39" s="119">
        <f>COUNTIF('Pharma'!$B:$B,"Bronze")</f>
        <v/>
      </c>
      <c r="F39" s="119">
        <f>COUNTIF('Pharma'!$B:$B,"Titanium Grand Prix")+COUNTIF('Pharma'!$B:$B,"Titanium")</f>
        <v/>
      </c>
      <c r="G39" s="119">
        <f>SUM(B39:F39)</f>
        <v/>
      </c>
    </row>
    <row r="40">
      <c r="A40" s="118" t="inlineStr">
        <is>
          <t>Creative Effectiveness</t>
        </is>
      </c>
      <c r="B40" s="119">
        <f>COUNTIF('Creative Effectiveness'!$B:$B,"Grand Prix")</f>
        <v/>
      </c>
      <c r="C40" s="119">
        <f>COUNTIF('Creative Effectiveness'!$B:$B,"Gold")</f>
        <v/>
      </c>
      <c r="D40" s="119">
        <f>COUNTIF('Creative Effectiveness'!$B:$B,"Silver")</f>
        <v/>
      </c>
      <c r="E40" s="119">
        <f>COUNTIF('Creative Effectiveness'!$B:$B,"Bronze")</f>
        <v/>
      </c>
      <c r="F40" s="119">
        <f>COUNTIF('Creative Effectiveness'!$B:$B,"Titanium Grand Prix")+COUNTIF('Creative Effectiveness'!$B:$B,"Titanium")</f>
        <v/>
      </c>
      <c r="G40" s="119">
        <f>SUM(B40:F40)</f>
        <v/>
      </c>
    </row>
    <row r="41">
      <c r="A41" s="118" t="inlineStr">
        <is>
          <t>Creative Strategy</t>
        </is>
      </c>
      <c r="B41" s="119">
        <f>COUNTIF('Creative Strategy'!$B:$B,"Grand Prix")</f>
        <v/>
      </c>
      <c r="C41" s="119">
        <f>COUNTIF('Creative Strategy'!$B:$B,"Gold")</f>
        <v/>
      </c>
      <c r="D41" s="119">
        <f>COUNTIF('Creative Strategy'!$B:$B,"Silver")</f>
        <v/>
      </c>
      <c r="E41" s="119">
        <f>COUNTIF('Creative Strategy'!$B:$B,"Bronze")</f>
        <v/>
      </c>
      <c r="F41" s="119">
        <f>COUNTIF('Creative Strategy'!$B:$B,"Titanium Grand Prix")+COUNTIF('Creative Strategy'!$B:$B,"Titanium")</f>
        <v/>
      </c>
      <c r="G41" s="119">
        <f>SUM(B41:F41)</f>
        <v/>
      </c>
    </row>
    <row r="42">
      <c r="A42" s="118" t="inlineStr">
        <is>
          <t>Titanium</t>
        </is>
      </c>
      <c r="B42" s="119">
        <f>COUNTIF('Titanium'!$B:$B,"Grand Prix")</f>
        <v/>
      </c>
      <c r="C42" s="119">
        <f>COUNTIF('Titanium'!$B:$B,"Gold")</f>
        <v/>
      </c>
      <c r="D42" s="119">
        <f>COUNTIF('Titanium'!$B:$B,"Silver")</f>
        <v/>
      </c>
      <c r="E42" s="119">
        <f>COUNTIF('Titanium'!$B:$B,"Bronze")</f>
        <v/>
      </c>
      <c r="F42" s="119">
        <f>COUNTIF('Titanium'!$B:$B,"Titanium Grand Prix")+COUNTIF('Titanium'!$B:$B,"Titanium")</f>
        <v/>
      </c>
      <c r="G42" s="119">
        <f>SUM(B42:F42)</f>
        <v/>
      </c>
    </row>
    <row r="43">
      <c r="A43" s="120" t="inlineStr">
        <is>
          <t>TOTAL</t>
        </is>
      </c>
      <c r="B43" s="121">
        <f>SUM(B11:B42)</f>
        <v/>
      </c>
      <c r="C43" s="121">
        <f>SUM(C11:C42)</f>
        <v/>
      </c>
      <c r="D43" s="121">
        <f>SUM(D11:D42)</f>
        <v/>
      </c>
      <c r="E43" s="121">
        <f>SUM(E11:E42)</f>
        <v/>
      </c>
      <c r="F43" s="121">
        <f>SUM(F11:F42)</f>
        <v/>
      </c>
      <c r="G43" s="121">
        <f>SUM(G11:G42)</f>
        <v/>
      </c>
    </row>
    <row r="45">
      <c r="A45" s="116" t="inlineStr">
        <is>
          <t>TOP 25 BRANDS BY TOTAL LIONS</t>
        </is>
      </c>
    </row>
    <row r="46">
      <c r="A46" s="117" t="inlineStr">
        <is>
          <t>Rank</t>
        </is>
      </c>
      <c r="B46" s="117" t="inlineStr">
        <is>
          <t>Brand</t>
        </is>
      </c>
      <c r="C46" s="117" t="inlineStr">
        <is>
          <t>Grand Prix</t>
        </is>
      </c>
      <c r="D46" s="117" t="inlineStr">
        <is>
          <t>Gold</t>
        </is>
      </c>
      <c r="E46" s="117" t="inlineStr">
        <is>
          <t>Silver</t>
        </is>
      </c>
      <c r="F46" s="117" t="inlineStr">
        <is>
          <t>Bronze</t>
        </is>
      </c>
      <c r="G46" s="117" t="inlineStr">
        <is>
          <t>Titanium</t>
        </is>
      </c>
      <c r="H46" s="117" t="inlineStr">
        <is>
          <t>Total</t>
        </is>
      </c>
    </row>
    <row r="47">
      <c r="A47" s="119" t="n">
        <v>1</v>
      </c>
      <c r="B47" s="118" t="inlineStr">
        <is>
          <t>Dove</t>
        </is>
      </c>
      <c r="C47" s="119" t="n">
        <v>3</v>
      </c>
      <c r="D47" s="119" t="n">
        <v>5</v>
      </c>
      <c r="E47" s="119" t="n">
        <v>4</v>
      </c>
      <c r="F47" s="119" t="n">
        <v>6</v>
      </c>
      <c r="G47" s="119" t="n">
        <v>0</v>
      </c>
      <c r="H47" s="119" t="n">
        <v>18</v>
      </c>
    </row>
    <row r="48">
      <c r="A48" s="119" t="n">
        <v>2</v>
      </c>
      <c r="B48" s="118" t="inlineStr">
        <is>
          <t>Apple</t>
        </is>
      </c>
      <c r="C48" s="119" t="n">
        <v>1</v>
      </c>
      <c r="D48" s="119" t="n">
        <v>3</v>
      </c>
      <c r="E48" s="119" t="n">
        <v>5</v>
      </c>
      <c r="F48" s="119" t="n">
        <v>7</v>
      </c>
      <c r="G48" s="119" t="n">
        <v>0</v>
      </c>
      <c r="H48" s="119" t="n">
        <v>16</v>
      </c>
    </row>
    <row r="49">
      <c r="A49" s="119" t="n">
        <v>3</v>
      </c>
      <c r="B49" s="118" t="inlineStr">
        <is>
          <t>Coca-Cola</t>
        </is>
      </c>
      <c r="C49" s="119" t="n">
        <v>0</v>
      </c>
      <c r="D49" s="119" t="n">
        <v>1</v>
      </c>
      <c r="E49" s="119" t="n">
        <v>4</v>
      </c>
      <c r="F49" s="119" t="n">
        <v>10</v>
      </c>
      <c r="G49" s="119" t="n">
        <v>0</v>
      </c>
      <c r="H49" s="119" t="n">
        <v>15</v>
      </c>
    </row>
    <row r="50">
      <c r="A50" s="119" t="n">
        <v>4</v>
      </c>
      <c r="B50" s="118" t="inlineStr">
        <is>
          <t>Heineken</t>
        </is>
      </c>
      <c r="C50" s="119" t="n">
        <v>0</v>
      </c>
      <c r="D50" s="119" t="n">
        <v>1</v>
      </c>
      <c r="E50" s="119" t="n">
        <v>3</v>
      </c>
      <c r="F50" s="119" t="n">
        <v>11</v>
      </c>
      <c r="G50" s="119" t="n">
        <v>0</v>
      </c>
      <c r="H50" s="119" t="n">
        <v>15</v>
      </c>
    </row>
    <row r="51">
      <c r="A51" s="119" t="n">
        <v>5</v>
      </c>
      <c r="B51" s="118" t="inlineStr">
        <is>
          <t>Stella Artois</t>
        </is>
      </c>
      <c r="C51" s="119" t="n">
        <v>0</v>
      </c>
      <c r="D51" s="119" t="n">
        <v>6</v>
      </c>
      <c r="E51" s="119" t="n">
        <v>3</v>
      </c>
      <c r="F51" s="119" t="n">
        <v>5</v>
      </c>
      <c r="G51" s="119" t="n">
        <v>0</v>
      </c>
      <c r="H51" s="119" t="n">
        <v>14</v>
      </c>
    </row>
    <row r="52">
      <c r="A52" s="119" t="n">
        <v>6</v>
      </c>
      <c r="B52" s="118" t="inlineStr">
        <is>
          <t>AXA</t>
        </is>
      </c>
      <c r="C52" s="119" t="n">
        <v>2</v>
      </c>
      <c r="D52" s="119" t="n">
        <v>4</v>
      </c>
      <c r="E52" s="119" t="n">
        <v>4</v>
      </c>
      <c r="F52" s="119" t="n">
        <v>2</v>
      </c>
      <c r="G52" s="119" t="n">
        <v>1</v>
      </c>
      <c r="H52" s="119" t="n">
        <v>13</v>
      </c>
    </row>
    <row r="53">
      <c r="A53" s="119" t="n">
        <v>7</v>
      </c>
      <c r="B53" s="118" t="inlineStr">
        <is>
          <t>Unilever</t>
        </is>
      </c>
      <c r="C53" s="119" t="n">
        <v>2</v>
      </c>
      <c r="D53" s="119" t="n">
        <v>1</v>
      </c>
      <c r="E53" s="119" t="n">
        <v>4</v>
      </c>
      <c r="F53" s="119" t="n">
        <v>5</v>
      </c>
      <c r="G53" s="119" t="n">
        <v>1</v>
      </c>
      <c r="H53" s="119" t="n">
        <v>13</v>
      </c>
    </row>
    <row r="54">
      <c r="A54" s="119" t="n">
        <v>8</v>
      </c>
      <c r="B54" s="118" t="inlineStr">
        <is>
          <t>Penny</t>
        </is>
      </c>
      <c r="C54" s="119" t="n">
        <v>1</v>
      </c>
      <c r="D54" s="119" t="n">
        <v>3</v>
      </c>
      <c r="E54" s="119" t="n">
        <v>3</v>
      </c>
      <c r="F54" s="119" t="n">
        <v>5</v>
      </c>
      <c r="G54" s="119" t="n">
        <v>0</v>
      </c>
      <c r="H54" s="119" t="n">
        <v>12</v>
      </c>
    </row>
    <row r="55">
      <c r="A55" s="119" t="n">
        <v>9</v>
      </c>
      <c r="B55" s="118" t="inlineStr">
        <is>
          <t>Oreo</t>
        </is>
      </c>
      <c r="C55" s="119" t="n">
        <v>0</v>
      </c>
      <c r="D55" s="119" t="n">
        <v>1</v>
      </c>
      <c r="E55" s="119" t="n">
        <v>8</v>
      </c>
      <c r="F55" s="119" t="n">
        <v>3</v>
      </c>
      <c r="G55" s="119" t="n">
        <v>0</v>
      </c>
      <c r="H55" s="119" t="n">
        <v>12</v>
      </c>
    </row>
    <row r="56">
      <c r="A56" s="119" t="n">
        <v>10</v>
      </c>
      <c r="B56" s="118" t="inlineStr">
        <is>
          <t>Cornetto</t>
        </is>
      </c>
      <c r="C56" s="119" t="n">
        <v>0</v>
      </c>
      <c r="D56" s="119" t="n">
        <v>0</v>
      </c>
      <c r="E56" s="119" t="n">
        <v>4</v>
      </c>
      <c r="F56" s="119" t="n">
        <v>8</v>
      </c>
      <c r="G56" s="119" t="n">
        <v>0</v>
      </c>
      <c r="H56" s="119" t="n">
        <v>12</v>
      </c>
    </row>
    <row r="57">
      <c r="A57" s="119" t="n">
        <v>11</v>
      </c>
      <c r="B57" s="118" t="inlineStr">
        <is>
          <t>Mercado Livre</t>
        </is>
      </c>
      <c r="C57" s="119" t="n">
        <v>1</v>
      </c>
      <c r="D57" s="119" t="n">
        <v>2</v>
      </c>
      <c r="E57" s="119" t="n">
        <v>5</v>
      </c>
      <c r="F57" s="119" t="n">
        <v>3</v>
      </c>
      <c r="G57" s="119" t="n">
        <v>0</v>
      </c>
      <c r="H57" s="119" t="n">
        <v>11</v>
      </c>
    </row>
    <row r="58">
      <c r="A58" s="119" t="n">
        <v>12</v>
      </c>
      <c r="B58" s="118" t="inlineStr">
        <is>
          <t>IKEA</t>
        </is>
      </c>
      <c r="C58" s="119" t="n">
        <v>0</v>
      </c>
      <c r="D58" s="119" t="n">
        <v>4</v>
      </c>
      <c r="E58" s="119" t="n">
        <v>4</v>
      </c>
      <c r="F58" s="119" t="n">
        <v>3</v>
      </c>
      <c r="G58" s="119" t="n">
        <v>0</v>
      </c>
      <c r="H58" s="119" t="n">
        <v>11</v>
      </c>
    </row>
    <row r="59">
      <c r="A59" s="119" t="n">
        <v>13</v>
      </c>
      <c r="B59" s="118" t="inlineStr">
        <is>
          <t>McDonald's</t>
        </is>
      </c>
      <c r="C59" s="119" t="n">
        <v>0</v>
      </c>
      <c r="D59" s="119" t="n">
        <v>1</v>
      </c>
      <c r="E59" s="119" t="n">
        <v>3</v>
      </c>
      <c r="F59" s="119" t="n">
        <v>7</v>
      </c>
      <c r="G59" s="119" t="n">
        <v>0</v>
      </c>
      <c r="H59" s="119" t="n">
        <v>11</v>
      </c>
    </row>
    <row r="60">
      <c r="A60" s="119" t="n">
        <v>14</v>
      </c>
      <c r="B60" s="118" t="inlineStr">
        <is>
          <t>Kimberly-Clark</t>
        </is>
      </c>
      <c r="C60" s="119" t="n">
        <v>0</v>
      </c>
      <c r="D60" s="119" t="n">
        <v>2</v>
      </c>
      <c r="E60" s="119" t="n">
        <v>5</v>
      </c>
      <c r="F60" s="119" t="n">
        <v>3</v>
      </c>
      <c r="G60" s="119" t="n">
        <v>0</v>
      </c>
      <c r="H60" s="119" t="n">
        <v>10</v>
      </c>
    </row>
    <row r="61">
      <c r="A61" s="119" t="n">
        <v>15</v>
      </c>
      <c r="B61" s="118" t="inlineStr">
        <is>
          <t>Indian Railways</t>
        </is>
      </c>
      <c r="C61" s="119" t="n">
        <v>1</v>
      </c>
      <c r="D61" s="119" t="n">
        <v>6</v>
      </c>
      <c r="E61" s="119" t="n">
        <v>1</v>
      </c>
      <c r="F61" s="119" t="n">
        <v>1</v>
      </c>
      <c r="G61" s="119" t="n">
        <v>0</v>
      </c>
      <c r="H61" s="119" t="n">
        <v>9</v>
      </c>
    </row>
    <row r="62">
      <c r="A62" s="119" t="n">
        <v>16</v>
      </c>
      <c r="B62" s="118" t="inlineStr">
        <is>
          <t>Budweiser</t>
        </is>
      </c>
      <c r="C62" s="119" t="n">
        <v>1</v>
      </c>
      <c r="D62" s="119" t="n">
        <v>2</v>
      </c>
      <c r="E62" s="119" t="n">
        <v>3</v>
      </c>
      <c r="F62" s="119" t="n">
        <v>3</v>
      </c>
      <c r="G62" s="119" t="n">
        <v>0</v>
      </c>
      <c r="H62" s="119" t="n">
        <v>9</v>
      </c>
    </row>
    <row r="63">
      <c r="A63" s="119" t="n">
        <v>17</v>
      </c>
      <c r="B63" s="118" t="inlineStr">
        <is>
          <t>Telstra</t>
        </is>
      </c>
      <c r="C63" s="119" t="n">
        <v>1</v>
      </c>
      <c r="D63" s="119" t="n">
        <v>3</v>
      </c>
      <c r="E63" s="119" t="n">
        <v>1</v>
      </c>
      <c r="F63" s="119" t="n">
        <v>3</v>
      </c>
      <c r="G63" s="119" t="n">
        <v>0</v>
      </c>
      <c r="H63" s="119" t="n">
        <v>8</v>
      </c>
    </row>
    <row r="64">
      <c r="A64" s="119" t="n">
        <v>18</v>
      </c>
      <c r="B64" s="118" t="inlineStr">
        <is>
          <t>Change the Ref</t>
        </is>
      </c>
      <c r="C64" s="119" t="n">
        <v>0</v>
      </c>
      <c r="D64" s="119" t="n">
        <v>2</v>
      </c>
      <c r="E64" s="119" t="n">
        <v>0</v>
      </c>
      <c r="F64" s="119" t="n">
        <v>6</v>
      </c>
      <c r="G64" s="119" t="n">
        <v>0</v>
      </c>
      <c r="H64" s="119" t="n">
        <v>8</v>
      </c>
    </row>
    <row r="65">
      <c r="A65" s="119" t="n">
        <v>19</v>
      </c>
      <c r="B65" s="118" t="inlineStr">
        <is>
          <t>Corona</t>
        </is>
      </c>
      <c r="C65" s="119" t="n">
        <v>0</v>
      </c>
      <c r="D65" s="119" t="n">
        <v>1</v>
      </c>
      <c r="E65" s="119" t="n">
        <v>4</v>
      </c>
      <c r="F65" s="119" t="n">
        <v>3</v>
      </c>
      <c r="G65" s="119" t="n">
        <v>0</v>
      </c>
      <c r="H65" s="119" t="n">
        <v>8</v>
      </c>
    </row>
    <row r="66">
      <c r="A66" s="119" t="n">
        <v>20</v>
      </c>
      <c r="B66" s="118" t="inlineStr">
        <is>
          <t>Mastercard</t>
        </is>
      </c>
      <c r="C66" s="119" t="n">
        <v>0</v>
      </c>
      <c r="D66" s="119" t="n">
        <v>1</v>
      </c>
      <c r="E66" s="119" t="n">
        <v>4</v>
      </c>
      <c r="F66" s="119" t="n">
        <v>3</v>
      </c>
      <c r="G66" s="119" t="n">
        <v>0</v>
      </c>
      <c r="H66" s="119" t="n">
        <v>8</v>
      </c>
    </row>
    <row r="67">
      <c r="A67" s="119" t="n">
        <v>21</v>
      </c>
      <c r="B67" s="118" t="inlineStr">
        <is>
          <t>Nike</t>
        </is>
      </c>
      <c r="C67" s="119" t="n">
        <v>0</v>
      </c>
      <c r="D67" s="119" t="n">
        <v>1</v>
      </c>
      <c r="E67" s="119" t="n">
        <v>4</v>
      </c>
      <c r="F67" s="119" t="n">
        <v>3</v>
      </c>
      <c r="G67" s="119" t="n">
        <v>0</v>
      </c>
      <c r="H67" s="119" t="n">
        <v>8</v>
      </c>
    </row>
    <row r="68">
      <c r="A68" s="119" t="n">
        <v>22</v>
      </c>
      <c r="B68" s="118" t="inlineStr">
        <is>
          <t>Uber Eats</t>
        </is>
      </c>
      <c r="C68" s="119" t="n">
        <v>0</v>
      </c>
      <c r="D68" s="119" t="n">
        <v>1</v>
      </c>
      <c r="E68" s="119" t="n">
        <v>2</v>
      </c>
      <c r="F68" s="119" t="n">
        <v>5</v>
      </c>
      <c r="G68" s="119" t="n">
        <v>0</v>
      </c>
      <c r="H68" s="119" t="n">
        <v>8</v>
      </c>
    </row>
    <row r="69">
      <c r="A69" s="119" t="n">
        <v>23</v>
      </c>
      <c r="B69" s="118" t="inlineStr">
        <is>
          <t>Academy of Motion Picture Arts &amp; Sciences - Rakish - Chicago Hearing Society</t>
        </is>
      </c>
      <c r="C69" s="119" t="n">
        <v>1</v>
      </c>
      <c r="D69" s="119" t="n">
        <v>3</v>
      </c>
      <c r="E69" s="119" t="n">
        <v>1</v>
      </c>
      <c r="F69" s="119" t="n">
        <v>1</v>
      </c>
      <c r="G69" s="119" t="n">
        <v>1</v>
      </c>
      <c r="H69" s="119" t="n">
        <v>7</v>
      </c>
    </row>
    <row r="70">
      <c r="A70" s="119" t="n">
        <v>24</v>
      </c>
      <c r="B70" s="118" t="inlineStr">
        <is>
          <t>Clash of Clans</t>
        </is>
      </c>
      <c r="C70" s="119" t="n">
        <v>1</v>
      </c>
      <c r="D70" s="119" t="n">
        <v>2</v>
      </c>
      <c r="E70" s="119" t="n">
        <v>2</v>
      </c>
      <c r="F70" s="119" t="n">
        <v>2</v>
      </c>
      <c r="G70" s="119" t="n">
        <v>0</v>
      </c>
      <c r="H70" s="119" t="n">
        <v>7</v>
      </c>
    </row>
    <row r="71">
      <c r="A71" s="119" t="n">
        <v>25</v>
      </c>
      <c r="B71" s="118" t="inlineStr">
        <is>
          <t>Tecate</t>
        </is>
      </c>
      <c r="C71" s="119" t="n">
        <v>0</v>
      </c>
      <c r="D71" s="119" t="n">
        <v>2</v>
      </c>
      <c r="E71" s="119" t="n">
        <v>4</v>
      </c>
      <c r="F71" s="119" t="n">
        <v>1</v>
      </c>
      <c r="G71" s="119" t="n">
        <v>0</v>
      </c>
      <c r="H71" s="119" t="n">
        <v>7</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3" t="n">
        <v>2025</v>
      </c>
      <c r="B2" s="124" t="inlineStr">
        <is>
          <t>Grand Prix</t>
        </is>
      </c>
      <c r="C2" s="125" t="inlineStr">
        <is>
          <t>One Second Ads</t>
        </is>
      </c>
      <c r="D2" s="123" t="inlineStr">
        <is>
          <t>Budweiser</t>
        </is>
      </c>
      <c r="E2" s="123" t="inlineStr">
        <is>
          <t>Beer</t>
        </is>
      </c>
      <c r="F2" s="123" t="inlineStr">
        <is>
          <t>Africa Creative DDB</t>
        </is>
      </c>
      <c r="G2" s="123" t="inlineStr">
        <is>
          <t>Brazil</t>
        </is>
      </c>
      <c r="H2" s="126" t="inlineStr">
        <is>
          <t>B01 - Use of Music</t>
        </is>
      </c>
      <c r="I2" s="123" t="inlineStr">
        <is>
          <t>digital-presentation-images/audio-and-radio-budweiser-one-second-ads.webp</t>
        </is>
      </c>
      <c r="J2" s="123" t="inlineStr">
        <is>
          <t>RpvlshoKIrE</t>
        </is>
      </c>
      <c r="K2" s="127" t="n"/>
      <c r="L2" s="128" t="inlineStr">
        <is>
          <t>https://www.lovethework.com/work/entries/one-second-ads-741948</t>
        </is>
      </c>
      <c r="M2"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2" s="113" t="inlineStr">
        <is>
          <t>beer, alcohol, social-media, audio, music, entertainment, short-form-video, brazil, user-participation, mobile</t>
        </is>
      </c>
    </row>
    <row r="3">
      <c r="A3" s="123" t="n">
        <v>2025</v>
      </c>
      <c r="B3" s="129" t="inlineStr">
        <is>
          <t>Gold</t>
        </is>
      </c>
      <c r="C3" s="125" t="inlineStr">
        <is>
          <t>Name This Oreo</t>
        </is>
      </c>
      <c r="D3" s="123" t="inlineStr">
        <is>
          <t>Oreo</t>
        </is>
      </c>
      <c r="E3" s="123" t="inlineStr">
        <is>
          <t>Oreo</t>
        </is>
      </c>
      <c r="F3" s="123" t="inlineStr">
        <is>
          <t>VML</t>
        </is>
      </c>
      <c r="G3" s="123" t="inlineStr">
        <is>
          <t>United States</t>
        </is>
      </c>
      <c r="H3" s="126" t="inlineStr">
        <is>
          <t>A03 - Voice Activation</t>
        </is>
      </c>
      <c r="I3" s="123" t="inlineStr">
        <is>
          <t>digital-presentation-images/audio-and-radio-oreo-name-this-oreo.webp</t>
        </is>
      </c>
      <c r="J3" s="123" t="inlineStr">
        <is>
          <t>hRp6cBmbfIw</t>
        </is>
      </c>
      <c r="K3" s="127" t="n"/>
      <c r="L3" s="128" t="inlineStr">
        <is>
          <t>https://www.lovethework.com/work/entries/name-this-oreo-741853</t>
        </is>
      </c>
      <c r="M3"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t>
        </is>
      </c>
      <c r="N3" s="113" t="inlineStr">
        <is>
          <t>cookie, snack, food, packaged-goods, cpg, fmcg, voice-game, web-experience, meme-marketing, gamification, audio, united-states</t>
        </is>
      </c>
    </row>
    <row r="4">
      <c r="A4" s="123" t="n">
        <v>2025</v>
      </c>
      <c r="B4" s="129" t="inlineStr">
        <is>
          <t>Gold</t>
        </is>
      </c>
      <c r="C4" s="125" t="inlineStr">
        <is>
          <t>One Second Ads</t>
        </is>
      </c>
      <c r="D4" s="123" t="inlineStr">
        <is>
          <t>Budweiser</t>
        </is>
      </c>
      <c r="E4" s="123" t="inlineStr">
        <is>
          <t>Beer</t>
        </is>
      </c>
      <c r="F4" s="123" t="inlineStr">
        <is>
          <t>Africa Creative DDB</t>
        </is>
      </c>
      <c r="G4" s="123" t="inlineStr">
        <is>
          <t>Brazil</t>
        </is>
      </c>
      <c r="H4" s="126" t="inlineStr">
        <is>
          <t>A06 - Audio-Led Creativity</t>
        </is>
      </c>
      <c r="I4" s="123" t="inlineStr">
        <is>
          <t>digital-presentation-images/audio-and-radio-budweiser-one-second-ads.webp</t>
        </is>
      </c>
      <c r="J4" s="123" t="inlineStr">
        <is>
          <t>RpvlshoKIrE</t>
        </is>
      </c>
      <c r="K4" s="127" t="n"/>
      <c r="L4" s="128" t="inlineStr">
        <is>
          <t>https://www.lovethework.com/work/entries/one-second-ads-741888</t>
        </is>
      </c>
      <c r="M4"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4" s="113" t="inlineStr">
        <is>
          <t>beer, alcohol, social-media, audio, music, entertainment, short-form-video, brazil, user-participation, mobile</t>
        </is>
      </c>
    </row>
    <row r="5">
      <c r="A5" s="123" t="n">
        <v>2025</v>
      </c>
      <c r="B5" s="129" t="inlineStr">
        <is>
          <t>Gold</t>
        </is>
      </c>
      <c r="C5" s="125" t="inlineStr">
        <is>
          <t>The Second Release</t>
        </is>
      </c>
      <c r="D5" s="123" t="inlineStr">
        <is>
          <t>Billboard Arabia</t>
        </is>
      </c>
      <c r="E5" s="123" t="inlineStr">
        <is>
          <t>Billboard Magazine</t>
        </is>
      </c>
      <c r="F5" s="123" t="inlineStr">
        <is>
          <t>SRMG Labs</t>
        </is>
      </c>
      <c r="G5" s="123" t="inlineStr">
        <is>
          <t>Saudi Arabia</t>
        </is>
      </c>
      <c r="H5" s="126" t="inlineStr">
        <is>
          <t>C03 - Single-Market Campaign</t>
        </is>
      </c>
      <c r="I5" s="123" t="inlineStr">
        <is>
          <t>digital-presentation-images/audio-and-radio-billboard-arabia-the-second-release.webp</t>
        </is>
      </c>
      <c r="J5" s="123" t="inlineStr">
        <is>
          <t>sH5Jk7ywBLc</t>
        </is>
      </c>
      <c r="K5" s="127" t="n"/>
      <c r="L5" s="128" t="inlineStr">
        <is>
          <t>https://www.lovethework.com/work/entries/the-second-release-742149</t>
        </is>
      </c>
      <c r="M5" s="113" t="inlineStr">
        <is>
          <t>A vinyl record pressing of 'Etab,' a 1988 Saudi classic by singer Tarouf Abdulkhair Adam Talal (stage name Etab), remastered and re-released in 2024 by Billboard Arabia to mark Saudi National Day — the song's first-ever physical release.</t>
        </is>
      </c>
      <c r="N5" s="113" t="inlineStr">
        <is>
          <t>music, entertainment, vinyl, audio, cultural-engagement, saudi-arabia, music-media, re-release, archival</t>
        </is>
      </c>
    </row>
    <row r="6">
      <c r="A6" s="123" t="n">
        <v>2025</v>
      </c>
      <c r="B6" s="130" t="inlineStr">
        <is>
          <t>Silver</t>
        </is>
      </c>
      <c r="C6" s="125" t="inlineStr">
        <is>
          <t>Name This Oreo</t>
        </is>
      </c>
      <c r="D6" s="123" t="inlineStr">
        <is>
          <t>Oreo</t>
        </is>
      </c>
      <c r="E6" s="123" t="inlineStr">
        <is>
          <t>Oreo</t>
        </is>
      </c>
      <c r="F6" s="123" t="inlineStr">
        <is>
          <t>VML</t>
        </is>
      </c>
      <c r="G6" s="123" t="inlineStr">
        <is>
          <t>United States</t>
        </is>
      </c>
      <c r="H6" s="126" t="inlineStr">
        <is>
          <t>A01 - Use of Audio &amp; Radio as a Medium</t>
        </is>
      </c>
      <c r="I6" s="123" t="inlineStr">
        <is>
          <t>digital-presentation-images/audio-and-radio-oreo-name-this-oreo.webp</t>
        </is>
      </c>
      <c r="J6" s="123" t="inlineStr">
        <is>
          <t>hRp6cBmbfIw</t>
        </is>
      </c>
      <c r="K6" s="127" t="n"/>
      <c r="L6" s="128" t="inlineStr">
        <is>
          <t>https://www.lovethework.com/work/entries/name-this-oreo-741778</t>
        </is>
      </c>
      <c r="M6"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6" s="113" t="inlineStr">
        <is>
          <t>snack, food, packaged-goods, cpg, fmcg, voice-activation, mobile-app, social-influencer, gamification, united-states, tiktok, audio</t>
        </is>
      </c>
    </row>
    <row r="7">
      <c r="A7" s="123" t="n">
        <v>2025</v>
      </c>
      <c r="B7" s="130" t="inlineStr">
        <is>
          <t>Silver</t>
        </is>
      </c>
      <c r="C7" s="125" t="inlineStr">
        <is>
          <t>Fishermen Storytellers</t>
        </is>
      </c>
      <c r="D7" s="123" t="inlineStr">
        <is>
          <t>Corona</t>
        </is>
      </c>
      <c r="E7" s="123" t="inlineStr">
        <is>
          <t>Beer</t>
        </is>
      </c>
      <c r="F7" s="123" t="inlineStr">
        <is>
          <t>Africa Creative DDB</t>
        </is>
      </c>
      <c r="G7" s="123" t="inlineStr">
        <is>
          <t>Brazil</t>
        </is>
      </c>
      <c r="H7" s="126" t="inlineStr">
        <is>
          <t>A04 - Branded Content/Podcasts</t>
        </is>
      </c>
      <c r="I7" s="123" t="inlineStr">
        <is>
          <t>digital-presentation-images/audio-and-radio-corona-fishermen-storytellers.webp</t>
        </is>
      </c>
      <c r="J7" s="123" t="inlineStr">
        <is>
          <t>vimeo:1090130974</t>
        </is>
      </c>
      <c r="K7" s="127" t="n"/>
      <c r="L7" s="128" t="inlineStr">
        <is>
          <t>https://www.lovethework.com/work/entries/fishermen-storytellers-764514</t>
        </is>
      </c>
      <c r="M7" s="113" t="inlineStr">
        <is>
          <t>A documentary and design project that helps Brazilian fishing communities replace lost income during the annual fishing ban by training fishermen as tour guides for their own folklore. The work culminates in a stop-motion film made from hand-carved wooden scenes and a book bound in salvaged boat wood, fishing nets, and cement.</t>
        </is>
      </c>
      <c r="N7" s="113" t="inlineStr">
        <is>
          <t>branded-content, social-good, craft, storytelling, beer, alcohol, brazil, sustainability, stop-motion</t>
        </is>
      </c>
    </row>
    <row r="8">
      <c r="A8" s="123" t="n">
        <v>2025</v>
      </c>
      <c r="B8" s="130" t="inlineStr">
        <is>
          <t>Silver</t>
        </is>
      </c>
      <c r="C8" s="125" t="inlineStr">
        <is>
          <t>1. High Energy Intern</t>
        </is>
      </c>
      <c r="D8" s="123" t="inlineStr">
        <is>
          <t>Fusion Energy Drink</t>
        </is>
      </c>
      <c r="E8" s="123" t="inlineStr">
        <is>
          <t>Energy Drink</t>
        </is>
      </c>
      <c r="F8" s="123" t="inlineStr">
        <is>
          <t>David</t>
        </is>
      </c>
      <c r="G8" s="123" t="inlineStr">
        <is>
          <t>Spain</t>
        </is>
      </c>
      <c r="H8" s="126" t="inlineStr">
        <is>
          <t>B03 - Script</t>
        </is>
      </c>
      <c r="I8" s="128" t="inlineStr">
        <is>
          <t>https://ascentialcdn.filespin.io/api/v1/storyboard/846afe3e468240929823119e42cf3b99/storyboard_000008.jpg</t>
        </is>
      </c>
      <c r="J8" s="123" t="inlineStr">
        <is>
          <t>vimeo:1105218555</t>
        </is>
      </c>
      <c r="K8" s="127" t="n"/>
      <c r="L8" s="128" t="inlineStr">
        <is>
          <t>https://www.lovethework.com/work/entries/1-high-energy-intern-762404</t>
        </is>
      </c>
      <c r="M8" s="113" t="inlineStr">
        <is>
          <t>A radio campaign for Fusion Energy Drink that flips the usual category logic: it's not for high-energy people, it's for the people who have to keep up with them. In this spot, 'High-Energy Intern' becomes a lovable but relentless office sunbeam—firing off endless questions, emoji-packed messages, and 'OMG amazing' reactions to even the dullest policy update. Fusion is energy for people who live with people with energy—or in this case, work 40 hours a week directly across from them.</t>
        </is>
      </c>
      <c r="N8" s="113" t="inlineStr">
        <is>
          <t>energy-drink, drinks, beverage, radio, audio, humor, workplace, brand-platform</t>
        </is>
      </c>
    </row>
    <row r="9">
      <c r="A9" s="123" t="n">
        <v>2025</v>
      </c>
      <c r="B9" s="130" t="inlineStr">
        <is>
          <t>Silver</t>
        </is>
      </c>
      <c r="C9" s="125" t="inlineStr">
        <is>
          <t>Chill Enough</t>
        </is>
      </c>
      <c r="D9" s="123" t="inlineStr">
        <is>
          <t>Coors Brewing Company</t>
        </is>
      </c>
      <c r="E9" s="123" t="inlineStr">
        <is>
          <t>Coors Light</t>
        </is>
      </c>
      <c r="F9" s="123" t="inlineStr">
        <is>
          <t>Alma Advertising Agency</t>
        </is>
      </c>
      <c r="G9" s="123" t="inlineStr">
        <is>
          <t>United States</t>
        </is>
      </c>
      <c r="H9" s="126" t="inlineStr">
        <is>
          <t>B04 - Casting &amp; Performance</t>
        </is>
      </c>
      <c r="I9" s="123" t="inlineStr">
        <is>
          <t>digital-presentation-images/audio-and-radio-coors-light-chill-enough.webp</t>
        </is>
      </c>
      <c r="J9" s="123" t="inlineStr">
        <is>
          <t>vimeo:1086177966</t>
        </is>
      </c>
      <c r="K9" s="127" t="n"/>
      <c r="L9" s="128" t="inlineStr">
        <is>
          <t>https://www.lovethework.com/work/entries/chill-enough-762433</t>
        </is>
      </c>
      <c r="M9" s="113" t="inlineStr">
        <is>
          <t>A radio campaign in which voiceover announcers recorded their scripts while fully submerged in ice plunge baths — the physical discomfort of the cold translating directly into audible distress, bleeps, and involuntary reactions in the final spots. The stunt mirrors Coors Light's cold-activated can, whose mountain label turns blue only when the beer reaches ice-cold temperature.</t>
        </is>
      </c>
      <c r="N9" s="113" t="inlineStr">
        <is>
          <t>beer, alcohol, radio, casting-and-performance, stunt, united-states, audio, brand-feature</t>
        </is>
      </c>
    </row>
    <row r="10">
      <c r="A10" s="123" t="n">
        <v>2025</v>
      </c>
      <c r="B10" s="130" t="inlineStr">
        <is>
          <t>Silver</t>
        </is>
      </c>
      <c r="C10" s="125" t="inlineStr">
        <is>
          <t>Burger to King</t>
        </is>
      </c>
      <c r="D10" s="123" t="inlineStr">
        <is>
          <t>Burger King</t>
        </is>
      </c>
      <c r="E10" s="123" t="inlineStr">
        <is>
          <t>Burger King</t>
        </is>
      </c>
      <c r="F10" s="123" t="inlineStr">
        <is>
          <t>Happiness, an FCB Alliance</t>
        </is>
      </c>
      <c r="G10" s="123" t="inlineStr">
        <is>
          <t>Belgium</t>
        </is>
      </c>
      <c r="H10" s="126" t="inlineStr">
        <is>
          <t>C02 - Challenger Brand</t>
        </is>
      </c>
      <c r="I10" s="123" t="inlineStr">
        <is>
          <t>digital-presentation-images/audio-and-radio-burger-king-burger-to-king.webp</t>
        </is>
      </c>
      <c r="J10" s="123" t="inlineStr">
        <is>
          <t>RQVaoU4CGRk</t>
        </is>
      </c>
      <c r="K10" s="127" t="n"/>
      <c r="L10" s="128" t="inlineStr">
        <is>
          <t>https://www.lovethework.com/work/entries/burger-to-king-763482</t>
        </is>
      </c>
      <c r="M10" s="113" t="inlineStr">
        <is>
          <t>A loophole in EA FC25's AI commentary system, which dynamically reads every real player's name aloud, exploited by Burger King. Fans were coached via influencers and social posts to build Ultimate Team squads using real FC25 players actually named 'Burger' (e.g. Wouter Burger, Stoke City) and 'King' (e.g. Joshua King, Toulouse), so that whenever the ball moved between them, the automated in-game commentator called out 'Burger... King' — without EA Sports' involvement.</t>
        </is>
      </c>
      <c r="N10" s="113" t="inlineStr">
        <is>
          <t>qsr, fast-food, restaurant, gaming, video-games, entertainment, football, soccer, sport, audio, in-game, social-media, ambient, hijack</t>
        </is>
      </c>
    </row>
    <row r="11">
      <c r="A11" s="123" t="n">
        <v>2025</v>
      </c>
      <c r="B11" s="130" t="inlineStr">
        <is>
          <t>Silver</t>
        </is>
      </c>
      <c r="C11" s="125" t="inlineStr">
        <is>
          <t>The Second Release</t>
        </is>
      </c>
      <c r="D11" s="123" t="inlineStr">
        <is>
          <t>Billboard Arabia</t>
        </is>
      </c>
      <c r="E11" s="123" t="inlineStr">
        <is>
          <t>Billboard Magazine</t>
        </is>
      </c>
      <c r="F11" s="123" t="inlineStr">
        <is>
          <t>SRMG Labs</t>
        </is>
      </c>
      <c r="G11" s="123" t="inlineStr">
        <is>
          <t>Saudi Arabia</t>
        </is>
      </c>
      <c r="H11" s="126" t="inlineStr">
        <is>
          <t>C04 - Social Behaviour</t>
        </is>
      </c>
      <c r="I11" s="123" t="inlineStr">
        <is>
          <t>digital-presentation-images/audio-and-radio-billboard-arabia-the-second-release.webp</t>
        </is>
      </c>
      <c r="J11" s="123" t="inlineStr">
        <is>
          <t>sH5Jk7ywBLc</t>
        </is>
      </c>
      <c r="K11" s="127" t="n"/>
      <c r="L11" s="128" t="inlineStr">
        <is>
          <t>https://www.lovethework.com/work/entries/the-second-release-742142</t>
        </is>
      </c>
      <c r="M11" s="113" t="inlineStr">
        <is>
          <t>A vinyl record pressing of "Etab," a 1988 Saudi classic by singer Tarouf Abdulkhair Adam Talal (stage name Etab), remastered and re-released in 2024 by Billboard Arabia to mark Saudi National Day — the song's first-ever physical release. The packaging, designed by SRMG Labs in Riyadh, pairs archival black-and-white portrait photography with neon-green Arabic and Latin typography across the sleeve, inner labels, and inserts.</t>
        </is>
      </c>
      <c r="N11" s="113" t="inlineStr">
        <is>
          <t>billboard-magazine, music, entertainment, vinyl, packaging, arabic-typography, heritage, saudi-arabia, single-market-campaign, print</t>
        </is>
      </c>
    </row>
    <row r="12">
      <c r="A12" s="123" t="n">
        <v>2025</v>
      </c>
      <c r="B12" s="130" t="inlineStr">
        <is>
          <t>Silver</t>
        </is>
      </c>
      <c r="C12" s="125" t="inlineStr">
        <is>
          <t>From Hurt to Hit</t>
        </is>
      </c>
      <c r="D12" s="123" t="inlineStr">
        <is>
          <t>Brahma</t>
        </is>
      </c>
      <c r="E12" s="123" t="inlineStr">
        <is>
          <t>Beer</t>
        </is>
      </c>
      <c r="F12" s="123" t="inlineStr">
        <is>
          <t>Africa Creative DDB</t>
        </is>
      </c>
      <c r="G12" s="123" t="inlineStr">
        <is>
          <t>Brazil</t>
        </is>
      </c>
      <c r="H12" s="126" t="inlineStr">
        <is>
          <t>C05 - Use of Humour</t>
        </is>
      </c>
      <c r="I12" s="128" t="inlineStr">
        <is>
          <t>https://ascentialcdn.filespin.io/api/v1/conversion/2c4c0601d34e42cf931304cf072f6fa8</t>
        </is>
      </c>
      <c r="J12" s="123" t="inlineStr">
        <is>
          <t>vimeo:1081566541</t>
        </is>
      </c>
      <c r="K12" s="127" t="n"/>
      <c r="L12" s="128" t="inlineStr">
        <is>
          <t>https://www.lovethework.com/work/entries/from-hurt-to-hit-742107</t>
        </is>
      </c>
      <c r="M12" s="113" t="inlineStr">
        <is>
          <t>A campaign built around the Brazilian sertanejo tradition of writing songs about heartbreak: Brahma collected real emotional stories from consumers and turned them into sertanejo tracks, connecting the brand to the country's most popular music genre through the raw material of personal pain. In Brazil, where alcohol advertising operates under a "dark market" restriction that bans direct product promotion, associating with music culture is one of the few open channels — making the emotional honesty of the mechanic both the creative idea and the regulatory workaround.</t>
        </is>
      </c>
      <c r="N12" s="113" t="inlineStr">
        <is>
          <t>beer, alcohol, audio, music, entertainment, sertanejo, humor, brazil, branded-content, user-generated-content</t>
        </is>
      </c>
    </row>
    <row r="13">
      <c r="A13" s="123" t="n">
        <v>2025</v>
      </c>
      <c r="B13" s="130" t="inlineStr">
        <is>
          <t>Silver</t>
        </is>
      </c>
      <c r="C13" s="125" t="inlineStr">
        <is>
          <t>Me Feat. Me</t>
        </is>
      </c>
      <c r="D13" s="123" t="inlineStr">
        <is>
          <t>Nosotras</t>
        </is>
      </c>
      <c r="E13" s="123" t="inlineStr">
        <is>
          <t>Nosotras</t>
        </is>
      </c>
      <c r="F13" s="123" t="inlineStr">
        <is>
          <t>DDB Chile</t>
        </is>
      </c>
      <c r="G13" s="123" t="inlineStr">
        <is>
          <t>Chile</t>
        </is>
      </c>
      <c r="H13" s="126" t="inlineStr">
        <is>
          <t>C09 - Cultural Engagement</t>
        </is>
      </c>
      <c r="I13" s="128" t="inlineStr">
        <is>
          <t>https://ascentialcdn.filespin.io/api/v1/conversion/a6ac5c5dd4fc4487966ae01ac52f95ff</t>
        </is>
      </c>
      <c r="J13" s="123" t="inlineStr">
        <is>
          <t>KBcSEzHf5DA</t>
        </is>
      </c>
      <c r="K13" s="127" t="n"/>
      <c r="L13" s="128" t="inlineStr">
        <is>
          <t>https://www.lovethework.com/work/entries/me-feat-me-742031</t>
        </is>
      </c>
      <c r="M13"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13" s="113" t="inlineStr">
        <is>
          <t>feminine-hygiene, audio, music, entertainment, cultural-engagement, womens-empowerment, chile</t>
        </is>
      </c>
    </row>
    <row r="14">
      <c r="A14" s="123" t="n">
        <v>2025</v>
      </c>
      <c r="B14" s="131" t="inlineStr">
        <is>
          <t>Bronze</t>
        </is>
      </c>
      <c r="C14" s="125" t="inlineStr">
        <is>
          <t>The Future Fan Stage</t>
        </is>
      </c>
      <c r="D14" s="123" t="inlineStr">
        <is>
          <t>Way Out West</t>
        </is>
      </c>
      <c r="E14" s="123" t="inlineStr">
        <is>
          <t>Music Festival</t>
        </is>
      </c>
      <c r="F14" s="123" t="inlineStr">
        <is>
          <t>Nord DDB</t>
        </is>
      </c>
      <c r="G14" s="123" t="inlineStr">
        <is>
          <t>Sweden</t>
        </is>
      </c>
      <c r="H14" s="126" t="inlineStr">
        <is>
          <t>A04 - Branded Content/Podcasts</t>
        </is>
      </c>
      <c r="I14" s="128" t="inlineStr">
        <is>
          <t>https://ascentialcdn.filespin.io/api/v1/conversion/4e75651ba0a54a7fbba80de2e2684670</t>
        </is>
      </c>
      <c r="J14" s="123" t="inlineStr">
        <is>
          <t>UkdMtj9108s</t>
        </is>
      </c>
      <c r="K14" s="127" t="n"/>
      <c r="L14" s="128" t="inlineStr">
        <is>
          <t>https://www.lovethework.com/work/entries/the-future-fan-stage-741957</t>
        </is>
      </c>
      <c r="M14" s="113" t="inlineStr">
        <is>
          <t>A live music stage built inside a fertility clinic, where tracks performed by Way Out West festival artists were played directly to sperm and egg cells during IVF treatment — based on research suggesting sound vibrations can support fertilization. The "Future Fan Stage" framed the clinic sessions as early concerts for the next generation of festival-goers.</t>
        </is>
      </c>
      <c r="N14" s="113" t="inlineStr">
        <is>
          <t>music-festival, branded-content, audio, fertility, sweden, experiential, nord-ddb</t>
        </is>
      </c>
    </row>
    <row r="15">
      <c r="A15" s="123" t="n">
        <v>2025</v>
      </c>
      <c r="B15" s="131" t="inlineStr">
        <is>
          <t>Bronze</t>
        </is>
      </c>
      <c r="C15" s="125" t="inlineStr">
        <is>
          <t>Roobadge</t>
        </is>
      </c>
      <c r="D15" s="123" t="inlineStr">
        <is>
          <t>Volkswagen</t>
        </is>
      </c>
      <c r="E15" s="123" t="inlineStr">
        <is>
          <t>Automotive Accessory</t>
        </is>
      </c>
      <c r="F15" s="123" t="inlineStr">
        <is>
          <t>DDB Sydney</t>
        </is>
      </c>
      <c r="G15" s="123" t="inlineStr">
        <is>
          <t>Australia</t>
        </is>
      </c>
      <c r="H15" s="126" t="inlineStr">
        <is>
          <t>A06 - Audio-Led Creativity</t>
        </is>
      </c>
      <c r="I15" s="123" t="inlineStr">
        <is>
          <t>digital-presentation-images/audio-and-radio-volkswagen-roobadge.webp</t>
        </is>
      </c>
      <c r="J15" s="123" t="inlineStr">
        <is>
          <t>vimeo:1093418498</t>
        </is>
      </c>
      <c r="K15" s="127" t="n"/>
      <c r="L15" s="128" t="inlineStr">
        <is>
          <t>https://www.lovethework.com/work/entries/roobadge-741761</t>
        </is>
      </c>
      <c r="M15"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15" s="113" t="inlineStr">
        <is>
          <t>automotive, cars, transport, product-innovation, wildlife, audio, machine-learning, ai, technology, australia, road-safety, partnership</t>
        </is>
      </c>
    </row>
    <row r="16">
      <c r="A16" s="123" t="n">
        <v>2025</v>
      </c>
      <c r="B16" s="131" t="inlineStr">
        <is>
          <t>Bronze</t>
        </is>
      </c>
      <c r="C16" s="125" t="inlineStr">
        <is>
          <t>The Sound of Divorce</t>
        </is>
      </c>
      <c r="D16" s="123" t="inlineStr">
        <is>
          <t>Calm</t>
        </is>
      </c>
      <c r="E16" s="123" t="inlineStr">
        <is>
          <t>Calm</t>
        </is>
      </c>
      <c r="F16" s="123" t="inlineStr">
        <is>
          <t>Ogilvy Argentina</t>
        </is>
      </c>
      <c r="G16" s="123" t="inlineStr">
        <is>
          <t>Argentina</t>
        </is>
      </c>
      <c r="H16" s="126" t="inlineStr">
        <is>
          <t>A06 - Audio-Led Creativity</t>
        </is>
      </c>
      <c r="I16" s="123" t="inlineStr">
        <is>
          <t>digital-presentation-images/audio-and-radio-calm-the-sound-of-divorce.webp</t>
        </is>
      </c>
      <c r="J16" s="123" t="inlineStr">
        <is>
          <t>FVsx6MQYNRc</t>
        </is>
      </c>
      <c r="K16" s="127" t="n"/>
      <c r="L16" s="128" t="inlineStr">
        <is>
          <t>https://www.lovethework.com/work/entries/the-sound-of-divorce-764375</t>
        </is>
      </c>
      <c r="M16" s="113" t="inlineStr">
        <is>
          <t>A WhatsApp bot built by Ogilvy Argentina for Calm mattresses that converts a partner's recorded snoring into a discount — the louder the snore, the steeper the price drop. Gemini 2.0 AI analyzes each audio clip sent through WhatsApp and returns a personalized percentage off, playing on the "sleep divorce" trend in which couples in Argentina increasingly choose separate bedrooms to protect their sleep and their relationships.</t>
        </is>
      </c>
      <c r="N16" s="113" t="inlineStr">
        <is>
          <t>mattress, whatsapp, mobile-app, ai, technology, audio, argentina, promotion, conversational-bot, ogilvy</t>
        </is>
      </c>
    </row>
    <row r="17">
      <c r="A17" s="123" t="n">
        <v>2025</v>
      </c>
      <c r="B17" s="131" t="inlineStr">
        <is>
          <t>Bronze</t>
        </is>
      </c>
      <c r="C17" s="125" t="inlineStr">
        <is>
          <t>Megan Thee [____]</t>
        </is>
      </c>
      <c r="D17" s="123" t="inlineStr">
        <is>
          <t>Amazon</t>
        </is>
      </c>
      <c r="E17" s="123" t="inlineStr">
        <is>
          <t>Amazon Prime Day</t>
        </is>
      </c>
      <c r="F17" s="123" t="inlineStr">
        <is>
          <t>Amazon XCM</t>
        </is>
      </c>
      <c r="G17" s="123" t="inlineStr">
        <is>
          <t>United States</t>
        </is>
      </c>
      <c r="H17" s="126" t="inlineStr">
        <is>
          <t>B01 - Use of Music</t>
        </is>
      </c>
      <c r="I17" s="123" t="inlineStr">
        <is>
          <t>digital-presentation-images/audio-and-radio-amazon-megan-thee.webp</t>
        </is>
      </c>
      <c r="J17" s="123" t="inlineStr">
        <is>
          <t>vimeo:1082442482</t>
        </is>
      </c>
      <c r="K17" s="127" t="n"/>
      <c r="L17" s="128" t="inlineStr">
        <is>
          <t>https://www.lovethework.com/work/entries/megan-thee-741954</t>
        </is>
      </c>
      <c r="M17" s="113" t="inlineStr">
        <is>
          <t>A bonus track written by Megan Thee Stallion, titled "It's Prime Day," dropped as part of her new album in summer 2024 — its lyrics literally replacing her last name with Amazon Prime Day deals curated from her real-life interests. The track's official music video, released as a fully shoppable ad before the album, cast Megan in five personas — Cosplayer, Daredevil, Lifeguard, Stylist, and Gamer — each tied to a category of Prime Day deals.</t>
        </is>
      </c>
      <c r="N17" s="113" t="inlineStr">
        <is>
          <t>e-commerce, music, entertainment, branded-content, video, celebrity-partnership, retail, united-states, in-house, shoppable</t>
        </is>
      </c>
    </row>
    <row r="18">
      <c r="A18" s="123" t="n">
        <v>2025</v>
      </c>
      <c r="B18" s="131" t="inlineStr">
        <is>
          <t>Bronze</t>
        </is>
      </c>
      <c r="C18" s="125" t="inlineStr">
        <is>
          <t>Me Feat. Me</t>
        </is>
      </c>
      <c r="D18" s="123" t="inlineStr">
        <is>
          <t>Nosotras</t>
        </is>
      </c>
      <c r="E18" s="123" t="inlineStr">
        <is>
          <t>Nosotras</t>
        </is>
      </c>
      <c r="F18" s="123" t="inlineStr">
        <is>
          <t>DDB Chile</t>
        </is>
      </c>
      <c r="G18" s="123" t="inlineStr">
        <is>
          <t>Chile</t>
        </is>
      </c>
      <c r="H18" s="126" t="inlineStr">
        <is>
          <t>B01 - Use of Music</t>
        </is>
      </c>
      <c r="I18" s="128" t="inlineStr">
        <is>
          <t>https://ascentialcdn.filespin.io/api/v1/conversion/a6ac5c5dd4fc4487966ae01ac52f95ff</t>
        </is>
      </c>
      <c r="J18" s="123" t="inlineStr">
        <is>
          <t>KBcSEzHf5DA</t>
        </is>
      </c>
      <c r="K18" s="127" t="n"/>
      <c r="L18" s="128" t="inlineStr">
        <is>
          <t>https://www.lovethework.com/work/entries/me-feat-me-741958</t>
        </is>
      </c>
      <c r="M18"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18" s="113" t="inlineStr">
        <is>
          <t>feminine-hygiene, audio, music, entertainment, cultural-engagement, womens-empowerment, chile</t>
        </is>
      </c>
    </row>
    <row r="19">
      <c r="A19" s="123" t="n">
        <v>2025</v>
      </c>
      <c r="B19" s="131" t="inlineStr">
        <is>
          <t>Bronze</t>
        </is>
      </c>
      <c r="C19" s="125" t="inlineStr">
        <is>
          <t>What's Gucci?</t>
        </is>
      </c>
      <c r="D19" s="123" t="inlineStr">
        <is>
          <t>Hansa Pilsener</t>
        </is>
      </c>
      <c r="E19" s="123" t="inlineStr">
        <is>
          <t>Hansa Pilsener</t>
        </is>
      </c>
      <c r="F19" s="123" t="inlineStr">
        <is>
          <t>Joe Public</t>
        </is>
      </c>
      <c r="G19" s="123" t="inlineStr">
        <is>
          <t>South Africa</t>
        </is>
      </c>
      <c r="H19" s="126" t="inlineStr">
        <is>
          <t>B03 - Script</t>
        </is>
      </c>
      <c r="I19" s="128" t="inlineStr">
        <is>
          <t>https://ascentialcdn.filespin.io/api/v1/storyboard/0bca684772274dd9a6e2c0c6cd401876/storyboard_000008.jpg</t>
        </is>
      </c>
      <c r="J19" s="123" t="inlineStr">
        <is>
          <t>vimeo:1082457043</t>
        </is>
      </c>
      <c r="K19" s="127" t="n"/>
      <c r="L19" s="128" t="inlineStr">
        <is>
          <t>https://www.lovethework.com/work/entries/whats-gucci-741935</t>
        </is>
      </c>
      <c r="M19" s="113" t="inlineStr">
        <is>
          <t>A radio campaign from Hansa Pilsner, which positions itself as the beer for grown men by lovingly roasting younger guys and their try-hard trends—from crypto dreams to fashion flexes to slang nobody over 30 should legally say. The spot builds a funny exclusionary platform: there may be 'a beer for you,' but Hansa is reserved for men with a little more life experience.</t>
        </is>
      </c>
      <c r="N19" s="113" t="inlineStr">
        <is>
          <t>beer, alcohol, radio, audio, humor, south-africa, brand-platform</t>
        </is>
      </c>
    </row>
    <row r="20">
      <c r="A20" s="123" t="n">
        <v>2025</v>
      </c>
      <c r="B20" s="131" t="inlineStr">
        <is>
          <t>Bronze</t>
        </is>
      </c>
      <c r="C20" s="125" t="inlineStr">
        <is>
          <t>Harmoniser</t>
        </is>
      </c>
      <c r="D20" s="123" t="inlineStr">
        <is>
          <t>Twix</t>
        </is>
      </c>
      <c r="E20" s="123" t="inlineStr">
        <is>
          <t>Twix</t>
        </is>
      </c>
      <c r="F20" s="123" t="inlineStr">
        <is>
          <t>adam&amp;eveDDB</t>
        </is>
      </c>
      <c r="G20" s="123" t="inlineStr">
        <is>
          <t>United Kingdom</t>
        </is>
      </c>
      <c r="H20" s="126" t="inlineStr">
        <is>
          <t>C04 - Social Behaviour</t>
        </is>
      </c>
      <c r="I20" s="123" t="inlineStr">
        <is>
          <t>digital-presentation-images/audio-and-radio-twix-harmoniser.webp</t>
        </is>
      </c>
      <c r="J20" s="123" t="inlineStr">
        <is>
          <t>OFY3DkMtpEk</t>
        </is>
      </c>
      <c r="K20" s="127" t="n"/>
      <c r="L20" s="128" t="inlineStr">
        <is>
          <t>https://www.lovethework.com/work/entries/harmoniser-742056</t>
        </is>
      </c>
      <c r="M20"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20" s="113" t="inlineStr">
        <is>
          <t>social, mobile, audio, ai, technology, voice, partnership, confectionery, candy, snack, packaged-goods, food, cpg, fmcg, europe</t>
        </is>
      </c>
    </row>
    <row r="21">
      <c r="A21" s="123" t="n">
        <v>2025</v>
      </c>
      <c r="B21" s="131" t="inlineStr">
        <is>
          <t>Bronze</t>
        </is>
      </c>
      <c r="C21" s="125" t="inlineStr">
        <is>
          <t>Football Lover FM</t>
        </is>
      </c>
      <c r="D21" s="123" t="inlineStr">
        <is>
          <t>So Foot</t>
        </is>
      </c>
      <c r="E21" s="123" t="inlineStr">
        <is>
          <t>So Foot</t>
        </is>
      </c>
      <c r="F21" s="123" t="inlineStr">
        <is>
          <t>BETC</t>
        </is>
      </c>
      <c r="G21" s="123" t="inlineStr">
        <is>
          <t>France</t>
        </is>
      </c>
      <c r="H21" s="126" t="inlineStr">
        <is>
          <t>C05 - Use of Humour</t>
        </is>
      </c>
      <c r="I21" s="128" t="inlineStr">
        <is>
          <t>https://ascentialcdn.filespin.io/api/v1/conversion/0b397234b3d74a5aa798ad871042c23c</t>
        </is>
      </c>
      <c r="J21" s="123" t="inlineStr">
        <is>
          <t>j0eeoSEDFn0</t>
        </is>
      </c>
      <c r="K21" s="127" t="n"/>
      <c r="L21" s="128" t="inlineStr">
        <is>
          <t>https://www.lovethework.com/work/entries/football-lover-fm-741973</t>
        </is>
      </c>
      <c r="M21" s="113" t="inlineStr">
        <is>
          <t>A pop-up radio station created by BETC Paris for So Foot, France's football magazine, that transformed live match commentary into romantic love songs in real time on Valentine's Day. The station was designed to resolve the conflict fans face when a fixture falls on February 14th — letting them watch the game while their partner hears it as a love song.</t>
        </is>
      </c>
      <c r="N21" s="113" t="inlineStr">
        <is>
          <t>magazine, radio, live-event, valentines-day, football, soccer, sport, france, humour, audio</t>
        </is>
      </c>
    </row>
    <row r="22">
      <c r="A22" s="123" t="n">
        <v>2025</v>
      </c>
      <c r="B22" s="131" t="inlineStr">
        <is>
          <t>Bronze</t>
        </is>
      </c>
      <c r="C22" s="125" t="inlineStr">
        <is>
          <t>Sounds Right</t>
        </is>
      </c>
      <c r="D22" s="123" t="inlineStr">
        <is>
          <t>Museum for the United Nations - UN Live, Spotify</t>
        </is>
      </c>
      <c r="E22" s="123" t="inlineStr">
        <is>
          <t>Music</t>
        </is>
      </c>
      <c r="F22" s="123" t="inlineStr">
        <is>
          <t>AKQA</t>
        </is>
      </c>
      <c r="G22" s="123" t="inlineStr">
        <is>
          <t>Denmark</t>
        </is>
      </c>
      <c r="H22" s="126" t="inlineStr">
        <is>
          <t>C07 - Corporate Purpose &amp; Social Responsibility</t>
        </is>
      </c>
      <c r="I22" s="123" t="inlineStr">
        <is>
          <t>digital-presentation-images/audio-and-radio-museum-for-the-united-nations-sounds-right.webp</t>
        </is>
      </c>
      <c r="J22" s="123" t="inlineStr">
        <is>
          <t>5newTxSZ9bU</t>
        </is>
      </c>
      <c r="K22" s="127" t="n"/>
      <c r="L22" s="128" t="inlineStr">
        <is>
          <t>https://www.lovethework.com/work/entries/sounds-right-759882</t>
        </is>
      </c>
      <c r="M22"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2" s="113" t="inlineStr">
        <is>
          <t>music, entertainment, streaming, tv, spotify, mobile-app, conservation, public-service, corporate-social-responsibility, denmark, akqa</t>
        </is>
      </c>
    </row>
    <row r="23">
      <c r="A23" s="127" t="n">
        <v>2025</v>
      </c>
      <c r="B23" s="132" t="inlineStr">
        <is>
          <t>Silver</t>
        </is>
      </c>
      <c r="C23" s="127" t="inlineStr">
        <is>
          <t>2. High Energy Boyfriend</t>
        </is>
      </c>
      <c r="D23" s="127" t="inlineStr">
        <is>
          <t>Fusion Energy Drink</t>
        </is>
      </c>
      <c r="E23" s="127" t="n"/>
      <c r="F23" s="127" t="inlineStr">
        <is>
          <t>David</t>
        </is>
      </c>
      <c r="G23" s="127" t="inlineStr">
        <is>
          <t>Spain</t>
        </is>
      </c>
      <c r="H23" s="113" t="inlineStr">
        <is>
          <t>B03 - Script</t>
        </is>
      </c>
      <c r="I23" s="128" t="inlineStr">
        <is>
          <t>https://ascentialcdn.filespin.io/api/v1/storyboard/846afe3e468240929823119e42cf3b99/storyboard_000008.jpg</t>
        </is>
      </c>
      <c r="J23" s="127" t="inlineStr">
        <is>
          <t>vimeo:1105218613</t>
        </is>
      </c>
      <c r="K23" s="127" t="n"/>
      <c r="L23" s="127" t="n"/>
      <c r="M23" s="113" t="inlineStr">
        <is>
          <t>A radio campaign for Fusion Energy Drink that flips the usual category logic: it's not for high-energy people, it's for the people who have to keep up with them. In this spot, 'High-Energy Boyfriend' becomes a lovable but exhausting social tornado—filling your apartment with friends, turning every weekend into an event, and somehow volunteering you both for Dimitri's wedding and a neighbor's pregnant cat. Fusion is energy for people who live with people with energy—and their friends, and their friends' friends.</t>
        </is>
      </c>
      <c r="N23" s="113" t="inlineStr">
        <is>
          <t>energy-drink, drinks, beverage, radio, audio, humor, brand-platform</t>
        </is>
      </c>
    </row>
    <row r="24">
      <c r="A24" s="127" t="n">
        <v>2025</v>
      </c>
      <c r="B24" s="132" t="inlineStr">
        <is>
          <t>Silver</t>
        </is>
      </c>
      <c r="C24" s="127" t="inlineStr">
        <is>
          <t>3. High Energy Dad</t>
        </is>
      </c>
      <c r="D24" s="127" t="inlineStr">
        <is>
          <t>Fusion Energy Drink</t>
        </is>
      </c>
      <c r="E24" s="127" t="n"/>
      <c r="F24" s="127" t="inlineStr">
        <is>
          <t>David</t>
        </is>
      </c>
      <c r="G24" s="127" t="inlineStr">
        <is>
          <t>Spain</t>
        </is>
      </c>
      <c r="H24" s="113" t="inlineStr">
        <is>
          <t>B03 - Script</t>
        </is>
      </c>
      <c r="I24" s="128" t="inlineStr">
        <is>
          <t>https://ascentialcdn.filespin.io/api/v1/storyboard/846afe3e468240929823119e42cf3b99/storyboard_000008.jpg</t>
        </is>
      </c>
      <c r="J24" s="127" t="inlineStr">
        <is>
          <t>vimeo:1105218658</t>
        </is>
      </c>
      <c r="K24" s="127" t="n"/>
      <c r="L24" s="127" t="n"/>
      <c r="M24" s="113" t="inlineStr">
        <is>
          <t>A radio campaign for Fusion Energy Drink that flips the usual category logic: it's not for high-energy people, it's for the people who have to keep up with them. In this spot, 'High-Energy Dad' becomes a lovable but exhausting force of nature—turning errands, chores and life lessons into full-body cardio. Fusion is energy for people who live with people with energy.</t>
        </is>
      </c>
      <c r="N24" s="113" t="inlineStr">
        <is>
          <t>energy-drink, drinks, beverage, radio, audio, humor, family, brand-platform</t>
        </is>
      </c>
    </row>
    <row r="25">
      <c r="A25" s="127" t="n">
        <v>2025</v>
      </c>
      <c r="B25" s="132" t="inlineStr">
        <is>
          <t>Silver</t>
        </is>
      </c>
      <c r="C25" s="127" t="inlineStr">
        <is>
          <t>Cold Detector</t>
        </is>
      </c>
      <c r="D25" s="127" t="inlineStr">
        <is>
          <t>Coors Brewing Company</t>
        </is>
      </c>
      <c r="E25" s="127" t="n"/>
      <c r="F25" s="127" t="inlineStr">
        <is>
          <t>Alma Advertising Agency</t>
        </is>
      </c>
      <c r="G25" s="127" t="inlineStr">
        <is>
          <t>United States</t>
        </is>
      </c>
      <c r="H25" s="113" t="inlineStr">
        <is>
          <t>B04 - Casting &amp; Performance</t>
        </is>
      </c>
      <c r="I25" s="127" t="inlineStr">
        <is>
          <t>digital-presentation-images/audio-and-radio-coors-light-chill-enough.webp</t>
        </is>
      </c>
      <c r="J25" s="127" t="inlineStr">
        <is>
          <t>vimeo:1086178012</t>
        </is>
      </c>
      <c r="K25" s="127" t="n"/>
      <c r="L25" s="127" t="n"/>
      <c r="M25" s="113" t="inlineStr">
        <is>
          <t>A radio campaign in which voiceover announcers recorded their scripts while submerged in ice plunge baths — a live demonstration of the cold the Coors Light cold-activated can is designed to signal. The physical shock of the ice water produced involuntary reactions, bleeps, and audibly frozen delivery across three finished spots.</t>
        </is>
      </c>
      <c r="N25" s="113" t="inlineStr">
        <is>
          <t>beer, alcohol, radio, casting, united-states, audio, experiential-production, cold-activation, packaging-tie-in</t>
        </is>
      </c>
    </row>
    <row r="26">
      <c r="A26" s="127" t="n">
        <v>2025</v>
      </c>
      <c r="B26" s="132" t="inlineStr">
        <is>
          <t>Silver</t>
        </is>
      </c>
      <c r="C26" s="127" t="inlineStr">
        <is>
          <t>Mountain Cold</t>
        </is>
      </c>
      <c r="D26" s="127" t="inlineStr">
        <is>
          <t>Coors Brewing Company</t>
        </is>
      </c>
      <c r="E26" s="127" t="n"/>
      <c r="F26" s="127" t="inlineStr">
        <is>
          <t>Alma Advertising Agency</t>
        </is>
      </c>
      <c r="G26" s="127" t="inlineStr">
        <is>
          <t>United States</t>
        </is>
      </c>
      <c r="H26" s="113" t="inlineStr">
        <is>
          <t>B04 - Casting &amp; Performance</t>
        </is>
      </c>
      <c r="I26" s="127" t="inlineStr">
        <is>
          <t>digital-presentation-images/audio-and-radio-coors-light-chill-enough.webp</t>
        </is>
      </c>
      <c r="J26" s="127" t="inlineStr">
        <is>
          <t>vimeo:1086178036</t>
        </is>
      </c>
      <c r="K26" s="127" t="n"/>
      <c r="L26" s="127" t="n"/>
      <c r="M26" s="113" t="inlineStr">
        <is>
          <t>A radio campaign in which voiceover announcers record Coors Light scripts from inside an ice plunge — submerged to the shoulders in ice-cold water for the duration of each take. Three spots were produced, each capturing the involuntary reactions, strained delivery, and bleeped expletives of announcers trying to maintain professional composure while experiencing the same cold the brand's color-changing mountain label is designed to signal.</t>
        </is>
      </c>
      <c r="N26" s="113" t="inlineStr">
        <is>
          <t>beer, alcohol, radio, casting-and-performance, stunt, united-states, audio, coors-light</t>
        </is>
      </c>
    </row>
    <row r="27">
      <c r="A27" s="127" t="n">
        <v>2025</v>
      </c>
      <c r="B27" s="133" t="inlineStr">
        <is>
          <t>Bronze</t>
        </is>
      </c>
      <c r="C27" s="127" t="inlineStr">
        <is>
          <t>Spill the Tea</t>
        </is>
      </c>
      <c r="D27" s="127" t="inlineStr">
        <is>
          <t>Hansa Pilsener</t>
        </is>
      </c>
      <c r="E27" s="127" t="n"/>
      <c r="F27" s="127" t="inlineStr">
        <is>
          <t>Joe Public</t>
        </is>
      </c>
      <c r="G27" s="127" t="inlineStr">
        <is>
          <t>South Africa</t>
        </is>
      </c>
      <c r="H27" s="113" t="inlineStr">
        <is>
          <t>B03 - Script</t>
        </is>
      </c>
      <c r="I27" s="128" t="inlineStr">
        <is>
          <t>https://ascentialcdn.filespin.io/api/v1/storyboard/0bca684772274dd9a6e2c0c6cd401876/storyboard_000008.jpg</t>
        </is>
      </c>
      <c r="J27" s="127" t="inlineStr">
        <is>
          <t>vimeo:1032236549</t>
        </is>
      </c>
      <c r="K27" s="127" t="n"/>
      <c r="L27" s="127" t="n"/>
      <c r="M27" s="113" t="inlineStr">
        <is>
          <t>A radio campaign from Hansa Pilsner, which positions itself as the beer for grown men by lovingly roasting younger guys and their try-hard trends—from 'spill the tea' to gaming streams, sneaker collecting and ASMR sleep videos. The spot builds a funny exclusionary platform: there may be 'a beer for you,' but Hansa is reserved for men with a little more life experience.</t>
        </is>
      </c>
      <c r="N27" s="113" t="inlineStr">
        <is>
          <t>beer, alcohol, radio, audio, humor, south-africa, brand-platform</t>
        </is>
      </c>
    </row>
    <row r="28">
      <c r="A28" s="127" t="n">
        <v>2025</v>
      </c>
      <c r="B28" s="133" t="inlineStr">
        <is>
          <t>Bronze</t>
        </is>
      </c>
      <c r="C28" s="127" t="inlineStr">
        <is>
          <t>Okrrr</t>
        </is>
      </c>
      <c r="D28" s="127" t="inlineStr">
        <is>
          <t>Hansa Pilsener</t>
        </is>
      </c>
      <c r="E28" s="127" t="n"/>
      <c r="F28" s="127" t="inlineStr">
        <is>
          <t>Joe Public</t>
        </is>
      </c>
      <c r="G28" s="127" t="inlineStr">
        <is>
          <t>South Africa</t>
        </is>
      </c>
      <c r="H28" s="113" t="inlineStr">
        <is>
          <t>B03 - Script</t>
        </is>
      </c>
      <c r="I28" s="128" t="inlineStr">
        <is>
          <t>https://ascentialcdn.filespin.io/api/v1/storyboard/0bca684772274dd9a6e2c0c6cd401876/storyboard_000008.jpg</t>
        </is>
      </c>
      <c r="J28" s="127" t="inlineStr">
        <is>
          <t>vimeo:1022471976</t>
        </is>
      </c>
      <c r="K28" s="127" t="n"/>
      <c r="L28" s="127" t="n"/>
      <c r="M28" s="113" t="inlineStr">
        <is>
          <t>A radio campaign from Hansa Pilsner, which positions itself as the beer for grown men by lovingly roasting younger guys and their try-hard trends—from personal brands, oversized fits, TikTok challenges, and get-ready-with-me culture. The spot builds a funny exclusionary platform: there may be 'a beer for you,' but Hansa is reserved for men with a little more life experience.</t>
        </is>
      </c>
      <c r="N28" s="113" t="inlineStr">
        <is>
          <t>beer, alcohol, radio, audio, humor, south-africa, brand-platform</t>
        </is>
      </c>
    </row>
  </sheetData>
  <autoFilter ref="A1:N28"/>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I8" r:id="rId7"/>
    <hyperlink xmlns:r="http://schemas.openxmlformats.org/officeDocument/2006/relationships" ref="L8" r:id="rId8"/>
    <hyperlink xmlns:r="http://schemas.openxmlformats.org/officeDocument/2006/relationships" ref="L9" r:id="rId9"/>
    <hyperlink xmlns:r="http://schemas.openxmlformats.org/officeDocument/2006/relationships" ref="L10" r:id="rId10"/>
    <hyperlink xmlns:r="http://schemas.openxmlformats.org/officeDocument/2006/relationships" ref="L11" r:id="rId11"/>
    <hyperlink xmlns:r="http://schemas.openxmlformats.org/officeDocument/2006/relationships" ref="I12" r:id="rId12"/>
    <hyperlink xmlns:r="http://schemas.openxmlformats.org/officeDocument/2006/relationships" ref="L12" r:id="rId13"/>
    <hyperlink xmlns:r="http://schemas.openxmlformats.org/officeDocument/2006/relationships" ref="I13" r:id="rId14"/>
    <hyperlink xmlns:r="http://schemas.openxmlformats.org/officeDocument/2006/relationships" ref="L13" r:id="rId15"/>
    <hyperlink xmlns:r="http://schemas.openxmlformats.org/officeDocument/2006/relationships" ref="I14" r:id="rId16"/>
    <hyperlink xmlns:r="http://schemas.openxmlformats.org/officeDocument/2006/relationships" ref="L14" r:id="rId17"/>
    <hyperlink xmlns:r="http://schemas.openxmlformats.org/officeDocument/2006/relationships" ref="L15" r:id="rId18"/>
    <hyperlink xmlns:r="http://schemas.openxmlformats.org/officeDocument/2006/relationships" ref="L16" r:id="rId19"/>
    <hyperlink xmlns:r="http://schemas.openxmlformats.org/officeDocument/2006/relationships" ref="L17" r:id="rId20"/>
    <hyperlink xmlns:r="http://schemas.openxmlformats.org/officeDocument/2006/relationships" ref="I18" r:id="rId21"/>
    <hyperlink xmlns:r="http://schemas.openxmlformats.org/officeDocument/2006/relationships" ref="L18" r:id="rId22"/>
    <hyperlink xmlns:r="http://schemas.openxmlformats.org/officeDocument/2006/relationships" ref="I19" r:id="rId23"/>
    <hyperlink xmlns:r="http://schemas.openxmlformats.org/officeDocument/2006/relationships" ref="L19" r:id="rId24"/>
    <hyperlink xmlns:r="http://schemas.openxmlformats.org/officeDocument/2006/relationships" ref="L20" r:id="rId25"/>
    <hyperlink xmlns:r="http://schemas.openxmlformats.org/officeDocument/2006/relationships" ref="I21" r:id="rId26"/>
    <hyperlink xmlns:r="http://schemas.openxmlformats.org/officeDocument/2006/relationships" ref="L21" r:id="rId27"/>
    <hyperlink xmlns:r="http://schemas.openxmlformats.org/officeDocument/2006/relationships" ref="L22" r:id="rId28"/>
    <hyperlink xmlns:r="http://schemas.openxmlformats.org/officeDocument/2006/relationships" ref="I23" r:id="rId29"/>
    <hyperlink xmlns:r="http://schemas.openxmlformats.org/officeDocument/2006/relationships" ref="I24" r:id="rId30"/>
    <hyperlink xmlns:r="http://schemas.openxmlformats.org/officeDocument/2006/relationships" ref="I27" r:id="rId31"/>
    <hyperlink xmlns:r="http://schemas.openxmlformats.org/officeDocument/2006/relationships" ref="I28" r:id="rId3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3"/>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ht="30" customHeight="1" s="34">
      <c r="A2" s="127" t="n">
        <v>2025</v>
      </c>
      <c r="B2" s="134" t="inlineStr">
        <is>
          <t>Grand Prix</t>
        </is>
      </c>
      <c r="C2" s="135" t="inlineStr">
        <is>
          <t>Paris Paralympics 2024: Considering What?</t>
        </is>
      </c>
      <c r="D2" s="127" t="inlineStr">
        <is>
          <t>Channel 4</t>
        </is>
      </c>
      <c r="E2" s="127" t="inlineStr">
        <is>
          <t>Channel 4</t>
        </is>
      </c>
      <c r="F2" s="127" t="inlineStr">
        <is>
          <t>Channel 4</t>
        </is>
      </c>
      <c r="G2" s="127" t="inlineStr">
        <is>
          <t>United Kingdom</t>
        </is>
      </c>
      <c r="H2" s="113" t="inlineStr">
        <is>
          <t>A05 - Media/Entertainment</t>
        </is>
      </c>
      <c r="I2" s="127" t="inlineStr">
        <is>
          <t>digital-presentation-images/film-channel-4-paris-paralympic-2024-considering-what.webp</t>
        </is>
      </c>
      <c r="J2" s="127" t="inlineStr">
        <is>
          <t>bUs_mNTNwvE</t>
        </is>
      </c>
      <c r="K2" s="127" t="n"/>
      <c r="L2" s="128" t="inlineStr">
        <is>
          <t>https://www.lovethework.com/work/entries/paris-paralympics-2024-considering-what-738686</t>
        </is>
      </c>
      <c r="M2"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2" s="113" t="inlineStr">
        <is>
          <t>broadcaster, ooh, social-media, paralympics, disability, sport, film, cinema, entertainment, united-kingdom, 4creative</t>
        </is>
      </c>
    </row>
    <row r="3" ht="30" customHeight="1" s="34">
      <c r="A3" s="127" t="n">
        <v>2025</v>
      </c>
      <c r="B3" s="134" t="inlineStr">
        <is>
          <t>Grand Prix</t>
        </is>
      </c>
      <c r="C3" s="135" t="inlineStr">
        <is>
          <t>The Final Copy of Ilon Specht</t>
        </is>
      </c>
      <c r="D3" s="127" t="inlineStr">
        <is>
          <t>L'oréal Paris</t>
        </is>
      </c>
      <c r="E3" s="127" t="inlineStr">
        <is>
          <t>L'oréal Paris</t>
        </is>
      </c>
      <c r="F3" s="127" t="inlineStr">
        <is>
          <t>McCANN</t>
        </is>
      </c>
      <c r="G3" s="127" t="inlineStr">
        <is>
          <t>France</t>
        </is>
      </c>
      <c r="H3" s="113" t="inlineStr">
        <is>
          <t>F07 - Corporate Purpose &amp; Social Responsibility</t>
        </is>
      </c>
      <c r="I3" s="127" t="inlineStr">
        <is>
          <t>digital-presentation-images/film-loreal-paris-the-final-copy-of-ilona-specht.webp</t>
        </is>
      </c>
      <c r="J3" s="127" t="inlineStr">
        <is>
          <t>vimeo:1094956645</t>
        </is>
      </c>
      <c r="K3" s="127" t="n"/>
      <c r="L3" s="128" t="inlineStr">
        <is>
          <t>https://www.lovethework.com/work/entries/the-final-copy-of-ilon-specht-739568</t>
        </is>
      </c>
      <c r="M3" s="113" t="inlineStr">
        <is>
          <t>An 18-minute documentary released on International Women's Day across Prime Video, AMC+, and YouTube, telling the story of Ilon Specht — the copywriter who wrote "Because I'm Worth It" for L'Oréal Paris in 1973 — through an intimate, deathbed-style account. Made by McCann Paris with Proudfoot's Breakwater Studios and production company Traverse 32, the film launched across 20+ countries alongside OOH, screenings, and interactive installations, leaving the original tagline's four words entirely unchanged.</t>
        </is>
      </c>
      <c r="N3" s="113" t="inlineStr">
        <is>
          <t>cosmetics, personal-care, beauty, documentary, film, entertainment, cinema, ooh, interactive-installation, streaming, tv, france, corporate-purpose, womens-rights, branded-content, social-media</t>
        </is>
      </c>
    </row>
    <row r="4" ht="30" customHeight="1" s="34">
      <c r="A4" s="127" t="n">
        <v>2025</v>
      </c>
      <c r="B4" s="136" t="inlineStr">
        <is>
          <t>Gold</t>
        </is>
      </c>
      <c r="C4" s="135" t="inlineStr">
        <is>
          <t>Find Your Friends</t>
        </is>
      </c>
      <c r="D4" s="127" t="inlineStr">
        <is>
          <t>Apple</t>
        </is>
      </c>
      <c r="E4" s="127" t="inlineStr">
        <is>
          <t>Precision Finding</t>
        </is>
      </c>
      <c r="F4" s="127" t="inlineStr">
        <is>
          <t>Apple</t>
        </is>
      </c>
      <c r="G4" s="127" t="inlineStr">
        <is>
          <t>United States</t>
        </is>
      </c>
      <c r="H4" s="113" t="inlineStr">
        <is>
          <t>B01 - Consumer Goods</t>
        </is>
      </c>
      <c r="I4" s="127" t="inlineStr">
        <is>
          <t>digital-presentation-images/film-apple-find-your-friends.webp</t>
        </is>
      </c>
      <c r="J4" s="127" t="inlineStr">
        <is>
          <t>vimeo:1068530073</t>
        </is>
      </c>
      <c r="K4" s="127" t="n"/>
      <c r="L4" s="128" t="inlineStr">
        <is>
          <t>https://www.lovethework.com/work/entries/find-your-friends-738592</t>
        </is>
      </c>
      <c r="M4" s="113" t="inlineStr">
        <is>
          <t>A film shot at a Star Wars fan convention in which a lone attendee, dressed in Mandalorian armor, uses the Precision Finding feature on his iPhone 15 to locate his friends in a crowd of identically helmeted cosplayers. Designed and released on May 4th as a love letter to the fan community, the film's sound was built at Skywalker Sound and background signage was seeded with details for fans to decode.</t>
        </is>
      </c>
      <c r="N4" s="113" t="inlineStr">
        <is>
          <t>smartphone, film, cinema, entertainment, precision-finding, fan-culture, star-wars, cosplay, united-states, sound-design, casting</t>
        </is>
      </c>
    </row>
    <row r="5" ht="30" customHeight="1" s="34">
      <c r="A5" s="127" t="n">
        <v>2025</v>
      </c>
      <c r="B5" s="136" t="inlineStr">
        <is>
          <t>Gold</t>
        </is>
      </c>
      <c r="C5" s="135" t="inlineStr">
        <is>
          <t>Never Just a Period</t>
        </is>
      </c>
      <c r="D5" s="127" t="inlineStr">
        <is>
          <t>Bodyform</t>
        </is>
      </c>
      <c r="E5" s="127" t="inlineStr">
        <is>
          <t>Bodyform</t>
        </is>
      </c>
      <c r="F5" s="127" t="inlineStr">
        <is>
          <t>AMV BBDO</t>
        </is>
      </c>
      <c r="G5" s="127" t="inlineStr">
        <is>
          <t>United Kingdom</t>
        </is>
      </c>
      <c r="H5" s="113" t="inlineStr">
        <is>
          <t>B02 - Healthcare</t>
        </is>
      </c>
      <c r="I5" s="127" t="inlineStr">
        <is>
          <t>digital-presentation-images/film-bodyform-never-just-a-period.webp</t>
        </is>
      </c>
      <c r="J5" s="127" t="inlineStr">
        <is>
          <t>EQW59KR3c4U</t>
        </is>
      </c>
      <c r="K5" s="127" t="n"/>
      <c r="L5" s="128" t="inlineStr">
        <is>
          <t>https://www.lovethework.com/work/entries/never-just-a-period-738863</t>
        </is>
      </c>
      <c r="M5"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5" s="113" t="inlineStr">
        <is>
          <t>femcare, film, cinema, entertainment, integrated-campaign, healthcare, womens-health, social, united-kingdom, menstrual-health, amv-bbdo</t>
        </is>
      </c>
    </row>
    <row r="6" ht="30" customHeight="1" s="34">
      <c r="A6" s="127" t="n">
        <v>2025</v>
      </c>
      <c r="B6" s="136" t="inlineStr">
        <is>
          <t>Gold</t>
        </is>
      </c>
      <c r="C6" s="135" t="inlineStr">
        <is>
          <t>Let There Be Cake</t>
        </is>
      </c>
      <c r="D6" s="127" t="inlineStr">
        <is>
          <t>KFC Thailand</t>
        </is>
      </c>
      <c r="E6" s="127" t="inlineStr">
        <is>
          <t>KFC 40th</t>
        </is>
      </c>
      <c r="F6" s="127" t="inlineStr">
        <is>
          <t>Bananas</t>
        </is>
      </c>
      <c r="G6" s="127" t="inlineStr">
        <is>
          <t>South Africa</t>
        </is>
      </c>
      <c r="H6" s="113" t="inlineStr">
        <is>
          <t>B04 - Travel, Leisure, Retail, Restaurants &amp; Fast-Food Chains</t>
        </is>
      </c>
      <c r="I6" s="128" t="inlineStr">
        <is>
          <t>https://ascentialcdn.filespin.io/api/v1/storyboard/880f481b580e4ddbb51427137d8c2233/storyboard_000008.jpg</t>
        </is>
      </c>
      <c r="J6" s="127" t="inlineStr">
        <is>
          <t>YDaAgeyVXiw</t>
        </is>
      </c>
      <c r="K6" s="127" t="n"/>
      <c r="L6" s="128" t="inlineStr">
        <is>
          <t>https://www.lovethework.com/work/entries/let-there-be-cake-759113</t>
        </is>
      </c>
      <c r="M6" s="113" t="inlineStr">
        <is>
          <t>A 40th anniversary film for KFC Thailand that reimagines the brand's milestone as a cake-centric celebration, produced by Bananas Johannesburg and Brains &amp; Brawn Bangkok. The spot uses the visual and ritual language of a birthday cake — candles, layers, the act of cutting — to mark four decades of KFC in Thailand.</t>
        </is>
      </c>
      <c r="N6" s="113" t="inlineStr">
        <is>
          <t>qsr, fast-food, restaurant, food, film, cinema, entertainment, brand-anniversary, thailand, birthday, celebration, south-africa</t>
        </is>
      </c>
    </row>
    <row r="7" ht="30" customHeight="1" s="34">
      <c r="A7" s="127" t="n">
        <v>2025</v>
      </c>
      <c r="B7" s="136" t="inlineStr">
        <is>
          <t>Gold</t>
        </is>
      </c>
      <c r="C7" s="135" t="inlineStr">
        <is>
          <t>The Last Birthday</t>
        </is>
      </c>
      <c r="D7" s="127" t="inlineStr">
        <is>
          <t>Association Valentin Haüy</t>
        </is>
      </c>
      <c r="E7" s="127" t="inlineStr">
        <is>
          <t>Non Profit Organization - Defense of the Rights of Blind and Visually Impaired People</t>
        </is>
      </c>
      <c r="F7" s="127" t="inlineStr">
        <is>
          <t>Josiane</t>
        </is>
      </c>
      <c r="G7" s="127" t="inlineStr">
        <is>
          <t>France</t>
        </is>
      </c>
      <c r="H7" s="113" t="inlineStr">
        <is>
          <t>B07 - Not-For-Profit / Charity / Government</t>
        </is>
      </c>
      <c r="I7" s="127" t="inlineStr">
        <is>
          <t>digital-presentation-images/film-association-valentin-hauy-the-last-birthday.webp</t>
        </is>
      </c>
      <c r="J7" s="127" t="inlineStr">
        <is>
          <t>E4mGmGE8fC0</t>
        </is>
      </c>
      <c r="K7" s="127" t="n"/>
      <c r="L7" s="128" t="inlineStr">
        <is>
          <t>https://www.lovethework.com/work/entries/the-last-birthday-739026</t>
        </is>
      </c>
      <c r="M7" s="113" t="inlineStr">
        <is>
          <t>A dark-comedy film set at a birthday party where guests approaching 60 frantically attempt to destroy their own eyesight — scored to Charles Aznavour's "Ces yeux-là" — built to expose a French law that cuts off disability assistance to anyone who loses their sight after age 60. The film was banned from both TV and YouTube before circulating online, produced by Josiane and Hiersoir for the Association Valentin Haüy.</t>
        </is>
      </c>
      <c r="N7" s="113" t="inlineStr">
        <is>
          <t>non-profit, online-film, disability-rights, france, public-health, dark-comedy, advocacy, visual-impairment</t>
        </is>
      </c>
    </row>
    <row r="8" ht="30" customHeight="1" s="34">
      <c r="A8" s="127" t="n">
        <v>2025</v>
      </c>
      <c r="B8" s="136" t="inlineStr">
        <is>
          <t>Gold</t>
        </is>
      </c>
      <c r="C8" s="135" t="inlineStr">
        <is>
          <t>Telstra - Better on a Better Network</t>
        </is>
      </c>
      <c r="D8" s="127" t="inlineStr">
        <is>
          <t>Telstra</t>
        </is>
      </c>
      <c r="E8" s="127" t="inlineStr">
        <is>
          <t>Telstra</t>
        </is>
      </c>
      <c r="F8" s="127" t="inlineStr">
        <is>
          <t>Bear Meets Eagle on Fire</t>
        </is>
      </c>
      <c r="G8" s="127" t="inlineStr">
        <is>
          <t>Australia</t>
        </is>
      </c>
      <c r="H8" s="113" t="inlineStr">
        <is>
          <t>F03 - Single-Market Campaign</t>
        </is>
      </c>
      <c r="I8" s="127" t="inlineStr">
        <is>
          <t>digital-presentation-images/film-telstra-telstra-better-on-a-better-network.webp</t>
        </is>
      </c>
      <c r="J8" s="127" t="inlineStr">
        <is>
          <t>L8wOtakkr28</t>
        </is>
      </c>
      <c r="K8" s="127" t="n"/>
      <c r="L8" s="128" t="inlineStr">
        <is>
          <t>https://www.lovethework.com/work/entries/telstra-better-on-a-better-network-739331</t>
        </is>
      </c>
      <c r="M8"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8" s="113" t="inlineStr">
        <is>
          <t>telecommunications, film, cinema, entertainment, puppets, craft, regional, australia, broadcast, olympics, sport, multi-spot</t>
        </is>
      </c>
    </row>
    <row r="9" ht="30" customHeight="1" s="34">
      <c r="A9" s="127" t="n">
        <v>2025</v>
      </c>
      <c r="B9" s="136" t="inlineStr">
        <is>
          <t>Gold</t>
        </is>
      </c>
      <c r="C9" s="135" t="inlineStr">
        <is>
          <t>The Best Place in the World to Have Herpes</t>
        </is>
      </c>
      <c r="D9" s="127" t="inlineStr">
        <is>
          <t>New Zealand Herpes Foundation</t>
        </is>
      </c>
      <c r="E9" s="127" t="inlineStr">
        <is>
          <t>New Zealand Herpes Foundation</t>
        </is>
      </c>
      <c r="F9" s="127" t="inlineStr">
        <is>
          <t>Finch</t>
        </is>
      </c>
      <c r="G9" s="127" t="inlineStr">
        <is>
          <t>Australia</t>
        </is>
      </c>
      <c r="H9" s="113" t="inlineStr">
        <is>
          <t>F05 - Use of Humour</t>
        </is>
      </c>
      <c r="I9" s="127" t="inlineStr">
        <is>
          <t>digital-presentation-images/film-new-zealand-herpes-foundation-the-best-place-in-the-world-to-have-herpes.webp</t>
        </is>
      </c>
      <c r="J9" s="127" t="inlineStr">
        <is>
          <t>vimeo:1081954251</t>
        </is>
      </c>
      <c r="K9" s="127" t="n"/>
      <c r="L9" s="128" t="inlineStr">
        <is>
          <t>https://www.lovethework.com/work/entries/the-best-place-in-the-world-to-have-herpes-739431</t>
        </is>
      </c>
      <c r="M9"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9" s="113" t="inlineStr">
        <is>
          <t>public-health, digital, health-education, humour, new-zealand, australia, e-learning, website, stigma, ooh</t>
        </is>
      </c>
    </row>
    <row r="10" ht="30" customHeight="1" s="34">
      <c r="A10" s="127" t="n">
        <v>2025</v>
      </c>
      <c r="B10" s="136" t="inlineStr">
        <is>
          <t>Gold</t>
        </is>
      </c>
      <c r="C10" s="135" t="inlineStr">
        <is>
          <t>Brian Cox Goes to College</t>
        </is>
      </c>
      <c r="D10" s="127" t="inlineStr">
        <is>
          <t>Uber One</t>
        </is>
      </c>
      <c r="E10" s="127" t="inlineStr">
        <is>
          <t>Uber One for Students</t>
        </is>
      </c>
      <c r="F10" s="127" t="inlineStr">
        <is>
          <t>Special</t>
        </is>
      </c>
      <c r="G10" s="127" t="inlineStr">
        <is>
          <t>United States</t>
        </is>
      </c>
      <c r="H10" s="113" t="inlineStr">
        <is>
          <t>F05 - Use of Humour</t>
        </is>
      </c>
      <c r="I10" s="127" t="inlineStr">
        <is>
          <t>digital-presentation-images/film-uber-one-brian-cox-goes-to-college.webp</t>
        </is>
      </c>
      <c r="J10" s="127" t="inlineStr">
        <is>
          <t>vimeo:1035756667</t>
        </is>
      </c>
      <c r="K10" s="127" t="n"/>
      <c r="L10" s="128" t="inlineStr">
        <is>
          <t>https://www.lovethework.com/work/entries/brian-cox-goes-to-college-739411</t>
        </is>
      </c>
      <c r="M10" s="113" t="inlineStr">
        <is>
          <t>A TV spot for Uber One's student membership tier that casts 78-year-old Brian Cox — playing a gruff, curmudgeonly version of himself — as an unlikely college student willing to re-enroll just to access $4.99/month perks: $0 delivery fees, 10% off orders, and 6% cash back on rides. The joke is that the deal is so good it makes even a billionaire actor consider going back to campus, with Cox's talent for playing cantankerous authority lending the premise a dry, self-aware irony.</t>
        </is>
      </c>
      <c r="N10" s="113" t="inlineStr">
        <is>
          <t>ride-hailing, film, cinema, entertainment, humor, celebrity-casting, student-audience, subscription, united-states, uber-eats, food-delivery, food, restaurant, ecommerce, retail, online-shopping</t>
        </is>
      </c>
    </row>
    <row r="11" ht="30" customHeight="1" s="34">
      <c r="A11" s="127" t="n">
        <v>2025</v>
      </c>
      <c r="B11" s="136" t="inlineStr">
        <is>
          <t>Gold</t>
        </is>
      </c>
      <c r="C11" s="135" t="inlineStr">
        <is>
          <t>Group Therapy</t>
        </is>
      </c>
      <c r="D11" s="127" t="inlineStr">
        <is>
          <t>AXA</t>
        </is>
      </c>
      <c r="E11" s="127" t="inlineStr">
        <is>
          <t>AXA</t>
        </is>
      </c>
      <c r="F11" s="127" t="inlineStr">
        <is>
          <t>VML</t>
        </is>
      </c>
      <c r="G11" s="127" t="inlineStr">
        <is>
          <t>France</t>
        </is>
      </c>
      <c r="H11" s="113" t="inlineStr">
        <is>
          <t>F05 - Use of Humour</t>
        </is>
      </c>
      <c r="I11" s="127" t="inlineStr">
        <is>
          <t>digital-presentation-images/film-axa-group-therapy.webp</t>
        </is>
      </c>
      <c r="J11" s="127" t="inlineStr">
        <is>
          <t>vimeo:1158349533</t>
        </is>
      </c>
      <c r="K11" s="127" t="n"/>
      <c r="L11" s="128" t="inlineStr">
        <is>
          <t>https://www.lovethework.com/work/entries/group-therapy-739424</t>
        </is>
      </c>
      <c r="M11"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11" s="113" t="inlineStr">
        <is>
          <t>health-insurance, documentary, film, entertainment, cinema, mental-health, healthcare, medical, comedy, prime-video, streaming, tv, global, public-health, branded-content</t>
        </is>
      </c>
    </row>
    <row r="12" ht="30" customHeight="1" s="34">
      <c r="A12" s="127" t="n">
        <v>2025</v>
      </c>
      <c r="B12" s="137" t="inlineStr">
        <is>
          <t>Silver</t>
        </is>
      </c>
      <c r="C12" s="135" t="inlineStr">
        <is>
          <t>Flock</t>
        </is>
      </c>
      <c r="D12" s="127" t="inlineStr">
        <is>
          <t>Apple</t>
        </is>
      </c>
      <c r="E12" s="127" t="inlineStr">
        <is>
          <t>iPhone</t>
        </is>
      </c>
      <c r="F12" s="127" t="inlineStr">
        <is>
          <t>TBWA\Media Arts Lab</t>
        </is>
      </c>
      <c r="G12" s="127" t="inlineStr">
        <is>
          <t>United States</t>
        </is>
      </c>
      <c r="H12" s="113" t="inlineStr">
        <is>
          <t>A01 - Consumer Goods</t>
        </is>
      </c>
      <c r="I12" s="127" t="inlineStr">
        <is>
          <t>digital-presentation-images/film-apple-flock.webp</t>
        </is>
      </c>
      <c r="J12" s="127" t="inlineStr">
        <is>
          <t>vimeo:1006144786</t>
        </is>
      </c>
      <c r="K12" s="127" t="n"/>
      <c r="L12" s="128" t="inlineStr">
        <is>
          <t>https://www.lovethework.com/work/entries/flock-738495</t>
        </is>
      </c>
      <c r="M12"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12" s="113" t="inlineStr">
        <is>
          <t>iphone, consumer-electronics, film, cinema, entertainment, privacy, vfx, creature-design, united-states, safari, online-tracking</t>
        </is>
      </c>
    </row>
    <row r="13" ht="30" customHeight="1" s="34">
      <c r="A13" s="127" t="n">
        <v>2025</v>
      </c>
      <c r="B13" s="137" t="inlineStr">
        <is>
          <t>Silver</t>
        </is>
      </c>
      <c r="C13" s="135" t="inlineStr">
        <is>
          <t>Jordan Can't Ban Greatness</t>
        </is>
      </c>
      <c r="D13" s="127" t="inlineStr">
        <is>
          <t>Nike</t>
        </is>
      </c>
      <c r="E13" s="127" t="inlineStr">
        <is>
          <t>Nike</t>
        </is>
      </c>
      <c r="F13" s="127" t="inlineStr">
        <is>
          <t>Wieden+Kennedy</t>
        </is>
      </c>
      <c r="G13" s="127" t="inlineStr">
        <is>
          <t>United States</t>
        </is>
      </c>
      <c r="H13" s="113" t="inlineStr">
        <is>
          <t>A01 - Consumer Goods</t>
        </is>
      </c>
      <c r="I13" s="127" t="inlineStr">
        <is>
          <t>digital-presentation-images/film-nike-jordan-cant-ban-greatness.webp</t>
        </is>
      </c>
      <c r="J13" s="127" t="inlineStr">
        <is>
          <t>vimeo:1053855569</t>
        </is>
      </c>
      <c r="K13" s="127" t="n"/>
      <c r="L13" s="128" t="inlineStr">
        <is>
          <t>https://www.lovethework.com/work/entries/jordan-cant-ban-greatness-738501</t>
        </is>
      </c>
      <c r="M13" s="113" t="inlineStr">
        <is>
          <t>A staged "ban" rollout launched on NBA Christmas Day 2024, using the 40th anniversary of the NBA's 1985 fine on the Air Jordan I as its premise — asking what the world would look like if Nike had never paid it. Over the following weeks, Jordan Brand's own Instagram account disappeared, Air Jordans were pulled from Nike.com, Jalen Hurts was positioned as fined by the NFL for wearing "unapproved colors," the Jumpman was blacked out on Michael Jordan's Chicago statue, lyrics referencing Air Jordan were removed from Genius, the shoe was banned from NBA2K, a Jordan NASCAR wrap carried a "Banned" theme, and the Jumpman logo was projected into the sky via drone show above the Jordan Brand fan fest in Oakland.</t>
        </is>
      </c>
      <c r="N13" s="113" t="inlineStr">
        <is>
          <t>footwear, integrated-campaign, social-media, stunt, sports-marketing, united-states, basketball, film, cinema, entertainment</t>
        </is>
      </c>
    </row>
    <row r="14" ht="30" customHeight="1" s="34">
      <c r="A14" s="127" t="n">
        <v>2025</v>
      </c>
      <c r="B14" s="137" t="inlineStr">
        <is>
          <t>Silver</t>
        </is>
      </c>
      <c r="C14" s="135" t="inlineStr">
        <is>
          <t>Winning Isn't for Everyone</t>
        </is>
      </c>
      <c r="D14" s="127" t="inlineStr">
        <is>
          <t>Nike</t>
        </is>
      </c>
      <c r="E14" s="127" t="inlineStr">
        <is>
          <t>Nike</t>
        </is>
      </c>
      <c r="F14" s="127" t="inlineStr">
        <is>
          <t>Wieden+Kennedy</t>
        </is>
      </c>
      <c r="G14" s="127" t="inlineStr">
        <is>
          <t>United States</t>
        </is>
      </c>
      <c r="H14" s="113" t="inlineStr">
        <is>
          <t>A01 - Consumer Goods</t>
        </is>
      </c>
      <c r="I14" s="127" t="inlineStr">
        <is>
          <t>digital-presentation-images/film-nike-winning-isnt-for-everyone.webp</t>
        </is>
      </c>
      <c r="J14" s="127" t="inlineStr">
        <is>
          <t>vimeo:1059963620</t>
        </is>
      </c>
      <c r="K14" s="127" t="n"/>
      <c r="L14" s="128" t="inlineStr">
        <is>
          <t>https://www.lovethework.com/work/entries/winning-isnt-for-everyone-738402</t>
        </is>
      </c>
      <c r="M14" s="113" t="inlineStr">
        <is>
          <t>A global brand campaign built around the provocation that a winning mentality makes some people uncomfortable — and arguing that discomfort is precisely the point. OOH executions across major cities carried blunt, single-thought lines ("If you don't want to win, you've already lost," "Ambition needs no permission") while film, produced by Somesuch LA with Wieden+Kennedy Portland, showed Olympic, Paralympic, and Refugee athletes — LeBron, Sha'Carri Richardson, Giannis Antetokounmpo among them — demonstrating the psychological lengths they go to in pursuit of first place. The campaign was timed to the Paris Olympics, when Nike research found that the broader culture had begun framing the desire to win as a character flaw.</t>
        </is>
      </c>
      <c r="N14" s="113" t="inlineStr">
        <is>
          <t>sportswear, film, cinema, entertainment, ooh, global, olympics, sport, united-states, athlete-talent, wieden-kennedy</t>
        </is>
      </c>
    </row>
    <row r="15" ht="30" customHeight="1" s="34">
      <c r="A15" s="127" t="n">
        <v>2025</v>
      </c>
      <c r="B15" s="137" t="inlineStr">
        <is>
          <t>Silver</t>
        </is>
      </c>
      <c r="C15" s="135" t="inlineStr">
        <is>
          <t>Snitch</t>
        </is>
      </c>
      <c r="D15" s="127" t="inlineStr">
        <is>
          <t>Axion</t>
        </is>
      </c>
      <c r="E15" s="127" t="inlineStr">
        <is>
          <t>Castrol Lubricants</t>
        </is>
      </c>
      <c r="F15" s="127" t="inlineStr">
        <is>
          <t>Gut</t>
        </is>
      </c>
      <c r="G15" s="127" t="inlineStr">
        <is>
          <t>Argentina</t>
        </is>
      </c>
      <c r="H15" s="113" t="inlineStr">
        <is>
          <t>A03 - Automotive</t>
        </is>
      </c>
      <c r="I15" s="128" t="inlineStr">
        <is>
          <t>https://ascentialcdn.filespin.io/api/v1/storyboard/9b40129018d74d94bf27680ed70fddbf/storyboard_000008.jpg</t>
        </is>
      </c>
      <c r="J15" s="127" t="inlineStr">
        <is>
          <t>vimeo:1095860505</t>
        </is>
      </c>
      <c r="K15" s="127" t="n"/>
      <c r="L15" s="128" t="inlineStr">
        <is>
          <t>https://www.lovethework.com/work/entries/snitch-760290</t>
        </is>
      </c>
      <c r="M15" s="113" t="inlineStr">
        <is>
          <t>A film campaign for Castrol lubricants, sold under the Axion brand in Argentina, built around the idea of the engine itself as an informant — revealing the truth about a driver's behavior rather than foregrounding technical fuel specs. The narrative puts the audience inside the moral tension of a car that "snitches," framing the product's performance-monitoring properties through a cinematic, story-driven lens developed by GUT Buenos Aires.</t>
        </is>
      </c>
      <c r="N15" s="113" t="inlineStr">
        <is>
          <t>castrol-lubricants, automotive, cars, transport, film, cinema, entertainment, argentina, branded-content, gut-buenos-aires</t>
        </is>
      </c>
    </row>
    <row r="16" ht="30" customHeight="1" s="34">
      <c r="A16" s="127" t="n">
        <v>2025</v>
      </c>
      <c r="B16" s="137" t="inlineStr">
        <is>
          <t>Silver</t>
        </is>
      </c>
      <c r="C16" s="135" t="inlineStr">
        <is>
          <t>A Tale as Old as Websites</t>
        </is>
      </c>
      <c r="D16" s="127" t="inlineStr">
        <is>
          <t>Squarespace</t>
        </is>
      </c>
      <c r="E16" s="127" t="inlineStr">
        <is>
          <t>Squarespace</t>
        </is>
      </c>
      <c r="F16" s="127" t="inlineStr">
        <is>
          <t>Squarespace</t>
        </is>
      </c>
      <c r="G16" s="127" t="inlineStr">
        <is>
          <t>United States</t>
        </is>
      </c>
      <c r="H16" s="113" t="inlineStr">
        <is>
          <t>A06 - Consumer Services/Business to Business</t>
        </is>
      </c>
      <c r="I16" s="127" t="inlineStr">
        <is>
          <t>digital-presentation-images/film-squarespace-a-tale-as-old-as-websites.webp</t>
        </is>
      </c>
      <c r="J16" s="127" t="inlineStr">
        <is>
          <t>vimeo:1053465598</t>
        </is>
      </c>
      <c r="K16" s="127" t="n"/>
      <c r="L16" s="128" t="inlineStr">
        <is>
          <t>https://www.lovethework.com/work/entries/a-tale-as-old-as-websites-738642</t>
        </is>
      </c>
      <c r="M16"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16" s="113" t="inlineStr">
        <is>
          <t>website-builder, super-bowl, television, film, cinema, entertainment, united-states, ireland, celebrity, consumer-services, period-setting, entrepreneurship</t>
        </is>
      </c>
    </row>
    <row r="17" ht="30" customHeight="1" s="34">
      <c r="A17" s="127" t="n">
        <v>2025</v>
      </c>
      <c r="B17" s="137" t="inlineStr">
        <is>
          <t>Silver</t>
        </is>
      </c>
      <c r="C17" s="135" t="inlineStr">
        <is>
          <t>Warren</t>
        </is>
      </c>
      <c r="D17" s="127" t="inlineStr">
        <is>
          <t>Apple</t>
        </is>
      </c>
      <c r="E17" s="127" t="inlineStr">
        <is>
          <t>iPhone 16 / Apple Intelligence</t>
        </is>
      </c>
      <c r="F17" s="127" t="inlineStr">
        <is>
          <t>Apple</t>
        </is>
      </c>
      <c r="G17" s="127" t="inlineStr">
        <is>
          <t>United States</t>
        </is>
      </c>
      <c r="H17" s="113" t="inlineStr">
        <is>
          <t>B01 - Consumer Goods</t>
        </is>
      </c>
      <c r="I17" s="128" t="inlineStr">
        <is>
          <t>https://ascentialcdn.filespin.io/api/v1/storyboard/2775467c7cd54c3d9baa72e25671a229/storyboard_000008.jpg</t>
        </is>
      </c>
      <c r="J17" s="127" t="inlineStr">
        <is>
          <t>vimeo:1026354274</t>
        </is>
      </c>
      <c r="K17" s="127" t="n"/>
      <c r="L17" s="128" t="inlineStr">
        <is>
          <t>https://www.lovethework.com/work/entries/warren-738574</t>
        </is>
      </c>
      <c r="M17" s="113" t="inlineStr">
        <is>
          <t>Directed by Emmy Award-winning David Shane, Apple's 'Warren' shows a bored office worker, using Apple Intelligence to turn an overly casual email into a polished, professional note to his boss. The spot highlights the Writing Tools feature as an easy way to refine your tone—and impress people with one tap.</t>
        </is>
      </c>
      <c r="N17" s="113" t="inlineStr">
        <is>
          <t>technology, ai, consumer-electronics, film, cinema, entertainment, humor, productivity, united-states</t>
        </is>
      </c>
    </row>
    <row r="18" ht="30" customHeight="1" s="34">
      <c r="A18" s="127" t="n">
        <v>2025</v>
      </c>
      <c r="B18" s="137" t="inlineStr">
        <is>
          <t>Silver</t>
        </is>
      </c>
      <c r="C18" s="135" t="inlineStr">
        <is>
          <t>100 Years of Meisterstück, Montblanc X Wes Anderson</t>
        </is>
      </c>
      <c r="D18" s="127" t="inlineStr">
        <is>
          <t>Montblanc International Gmbh</t>
        </is>
      </c>
      <c r="E18" s="127" t="inlineStr">
        <is>
          <t>Writing Instruments</t>
        </is>
      </c>
      <c r="F18" s="127" t="inlineStr">
        <is>
          <t>Solomon Winter</t>
        </is>
      </c>
      <c r="G18" s="127" t="inlineStr">
        <is>
          <t>Germany</t>
        </is>
      </c>
      <c r="H18" s="113" t="inlineStr">
        <is>
          <t>B01 - Consumer Goods</t>
        </is>
      </c>
      <c r="I18" s="127" t="inlineStr">
        <is>
          <t>digital-presentation-images/film-montblanc-international-gmbh-100-years-of-meisterstuck-montblanc-x-wes-anderson.webp</t>
        </is>
      </c>
      <c r="J18" s="127" t="inlineStr">
        <is>
          <t>vimeo:1094958124</t>
        </is>
      </c>
      <c r="K18" s="127" t="n"/>
      <c r="L18" s="128" t="inlineStr">
        <is>
          <t>https://www.lovethework.com/work/entries/100-years-of-meisterstck-montblanc-x-wes-anderson-738682</t>
        </is>
      </c>
      <c r="M18" s="113" t="inlineStr">
        <is>
          <t>A short film directed by Wes Anderson — starring Rupert Friend, Jason Schwartzman, and Anderson himself — set at a fictional Montblanc Headquarters atop the Mont Blanc mountain, made to mark the 100th anniversary of the Meisterstück pen.</t>
        </is>
      </c>
      <c r="N18" s="113" t="inlineStr">
        <is>
          <t>luxury, pen, stationery, film, cinema, entertainment, branded-content, partnership, anniversary, craft, germany</t>
        </is>
      </c>
    </row>
    <row r="19" ht="30" customHeight="1" s="34">
      <c r="A19" s="127" t="n">
        <v>2025</v>
      </c>
      <c r="B19" s="137" t="inlineStr">
        <is>
          <t>Silver</t>
        </is>
      </c>
      <c r="C19" s="135" t="inlineStr">
        <is>
          <t>Is It Even a City?</t>
        </is>
      </c>
      <c r="D19" s="127" t="inlineStr">
        <is>
          <t>Visit Oslo</t>
        </is>
      </c>
      <c r="E19" s="127" t="inlineStr">
        <is>
          <t>Visit Oslo</t>
        </is>
      </c>
      <c r="F19" s="127" t="inlineStr">
        <is>
          <t>Newslab</t>
        </is>
      </c>
      <c r="G19" s="127" t="inlineStr">
        <is>
          <t>Norway</t>
        </is>
      </c>
      <c r="H19" s="113" t="inlineStr">
        <is>
          <t>B04 - Travel, Leisure, Retail, Restaurants &amp; Fast-Food Chains</t>
        </is>
      </c>
      <c r="I19" s="128" t="inlineStr">
        <is>
          <t>https://ascentialcdn.filespin.io/api/v1/storyboard/b0649b3b520e450ca4b8d80fb3fb66ca/storyboard_000008.jpg</t>
        </is>
      </c>
      <c r="J19" s="127" t="inlineStr">
        <is>
          <t>8vhD59ac7nw</t>
        </is>
      </c>
      <c r="K19" s="127" t="n"/>
      <c r="L19" s="128" t="inlineStr">
        <is>
          <t>https://www.lovethework.com/work/entries/is-it-even-a-city-738902</t>
        </is>
      </c>
      <c r="M19" s="113" t="inlineStr">
        <is>
          <t>A short film for VisitOSLO in which a deadpan character named Halfdan, played by Bendik Aunan, actively discourages viewers from visiting Oslo — questioning whether it even qualifies as a city while the footage shows its culture and scenery. The joke is carried by Norwegian self-irony: the reluctant pitch lands precisely because it never tries to sell anything.</t>
        </is>
      </c>
      <c r="N19" s="113" t="inlineStr">
        <is>
          <t>tourism, travel, film, cinema, entertainment, social-video, norway, self-irony, tiktok, comedy</t>
        </is>
      </c>
    </row>
    <row r="20" ht="30" customHeight="1" s="34">
      <c r="A20" s="127" t="n">
        <v>2025</v>
      </c>
      <c r="B20" s="137" t="inlineStr">
        <is>
          <t>Silver</t>
        </is>
      </c>
      <c r="C20" s="135" t="inlineStr">
        <is>
          <t>The Shooting</t>
        </is>
      </c>
      <c r="D20" s="127" t="inlineStr">
        <is>
          <t>La Unión Newspaper / Articulo 19</t>
        </is>
      </c>
      <c r="E20" s="127" t="inlineStr">
        <is>
          <t>La Unión Newspaper / Articulo 19</t>
        </is>
      </c>
      <c r="F20" s="127" t="inlineStr">
        <is>
          <t>Grey</t>
        </is>
      </c>
      <c r="G20" s="127" t="inlineStr">
        <is>
          <t>Mexico</t>
        </is>
      </c>
      <c r="H20" s="113" t="inlineStr">
        <is>
          <t>B05 - Media/Entertainment</t>
        </is>
      </c>
      <c r="I20" s="127" t="inlineStr">
        <is>
          <t>digital-presentation-images/film-la-union-newspaper-the-shooting.webp</t>
        </is>
      </c>
      <c r="J20" s="127" t="inlineStr">
        <is>
          <t>-saAXmItj_U</t>
        </is>
      </c>
      <c r="K20" s="127" t="n"/>
      <c r="L20" s="128" t="inlineStr">
        <is>
          <t>https://www.lovethework.com/work/entries/the-shooting-759301</t>
        </is>
      </c>
      <c r="M20"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20" s="113" t="inlineStr">
        <is>
          <t>newspaper, film, cinema, entertainment, public-service, press-freedom, mexico, short-film, social-issue, grey-mexico</t>
        </is>
      </c>
    </row>
    <row r="21" ht="30" customHeight="1" s="34">
      <c r="A21" s="127" t="n">
        <v>2025</v>
      </c>
      <c r="B21" s="137" t="inlineStr">
        <is>
          <t>Silver</t>
        </is>
      </c>
      <c r="C21" s="135" t="inlineStr">
        <is>
          <t>Everything, Covered – 100 Years of the New Yorker</t>
        </is>
      </c>
      <c r="D21" s="127" t="inlineStr">
        <is>
          <t>The New Yorker</t>
        </is>
      </c>
      <c r="E21" s="127" t="inlineStr">
        <is>
          <t>The New Yorker</t>
        </is>
      </c>
      <c r="F21" s="127" t="inlineStr">
        <is>
          <t>Le Truc</t>
        </is>
      </c>
      <c r="G21" s="127" t="inlineStr">
        <is>
          <t>United States</t>
        </is>
      </c>
      <c r="H21" s="113" t="inlineStr">
        <is>
          <t>B05 - Media/Entertainment</t>
        </is>
      </c>
      <c r="I21" s="128" t="inlineStr">
        <is>
          <t>https://ascentialcdn.filespin.io/api/v1/storyboard/e88276602e7e4dcc875c78f16cb77a65/storyboard_000008.jpg</t>
        </is>
      </c>
      <c r="J21" s="127" t="inlineStr">
        <is>
          <t>ZNXawJuIkMY</t>
        </is>
      </c>
      <c r="K21" s="127" t="n"/>
      <c r="L21" s="128" t="inlineStr">
        <is>
          <t>https://www.lovethework.com/work/entries/everything-covered-100-years-of-the-new-yorker-760528</t>
        </is>
      </c>
      <c r="M21" s="113" t="inlineStr">
        <is>
          <t>A web film created with animation studio Roof that animates a century of The New Yorker's covers, moving through notable illustrations alongside the societal moments they captured — from the laughable to the politically charged. The magazine's first-ever video campaign, made to mark its centenary.</t>
        </is>
      </c>
      <c r="N21" s="113" t="inlineStr">
        <is>
          <t>magazine, web-film, animation, print-heritage, media-entertainment, united-states, centenary, illustration</t>
        </is>
      </c>
    </row>
    <row r="22" ht="30" customHeight="1" s="34">
      <c r="A22" s="127" t="n">
        <v>2025</v>
      </c>
      <c r="B22" s="137" t="inlineStr">
        <is>
          <t>Silver</t>
        </is>
      </c>
      <c r="C22" s="135" t="inlineStr">
        <is>
          <t>The Count</t>
        </is>
      </c>
      <c r="D22" s="127" t="inlineStr">
        <is>
          <t>Sickkids Foundation</t>
        </is>
      </c>
      <c r="E22" s="127" t="inlineStr">
        <is>
          <t>Sickkids Foundation</t>
        </is>
      </c>
      <c r="F22" s="127" t="inlineStr">
        <is>
          <t>FCB Toronto</t>
        </is>
      </c>
      <c r="G22" s="127" t="inlineStr">
        <is>
          <t>Canada</t>
        </is>
      </c>
      <c r="H22" s="113" t="inlineStr">
        <is>
          <t>B07 - Not-For-Profit / Charity / Government</t>
        </is>
      </c>
      <c r="I22" s="127" t="inlineStr">
        <is>
          <t>digital-presentation-images/film-sickkids-foundation-the-count.webp</t>
        </is>
      </c>
      <c r="J22" s="127" t="inlineStr">
        <is>
          <t>qNF34ZROR8s</t>
        </is>
      </c>
      <c r="K22" s="127" t="n"/>
      <c r="L22" s="128" t="inlineStr">
        <is>
          <t>https://www.lovethework.com/work/entries/the-count-738967</t>
        </is>
      </c>
      <c r="M22"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22" s="113" t="inlineStr">
        <is>
          <t>charity, film, cinema, entertainment, healthcare, canada, music, fundraising, children, orchestral, sickkids-foundation</t>
        </is>
      </c>
    </row>
    <row r="23" ht="30" customHeight="1" s="34">
      <c r="A23" s="127" t="n">
        <v>2025</v>
      </c>
      <c r="B23" s="137" t="inlineStr">
        <is>
          <t>Silver</t>
        </is>
      </c>
      <c r="C23" s="135" t="inlineStr">
        <is>
          <t>The Comments Section</t>
        </is>
      </c>
      <c r="D23" s="127" t="inlineStr">
        <is>
          <t>Meat &amp; Livestock Australia</t>
        </is>
      </c>
      <c r="E23" s="127" t="inlineStr">
        <is>
          <t>Australian Lamb</t>
        </is>
      </c>
      <c r="F23" s="127" t="inlineStr">
        <is>
          <t>Droga5 Anz, Part of Accenture Song</t>
        </is>
      </c>
      <c r="G23" s="127" t="inlineStr">
        <is>
          <t>Australia</t>
        </is>
      </c>
      <c r="H23" s="113" t="inlineStr">
        <is>
          <t>C01 - Viral Film</t>
        </is>
      </c>
      <c r="I23" s="127" t="inlineStr">
        <is>
          <t>digital-presentation-images/film-meat-and-livestock-australia-the-comments-section.webp</t>
        </is>
      </c>
      <c r="J23" s="127" t="inlineStr">
        <is>
          <t>vimeo:1152992898</t>
        </is>
      </c>
      <c r="K23" s="127" t="n"/>
      <c r="L23" s="128" t="inlineStr">
        <is>
          <t>https://www.lovethework.com/work/entries/the-comments-section-739054</t>
        </is>
      </c>
      <c r="M23" s="113" t="inlineStr">
        <is>
          <t>A film built entirely from real Australian social media comments — flame wars about cereal, democracy, and climate change — staged as a single chaotic real-world crowd scene set at an Australian Lamb BBQ, directed by Max Barden from The Sweetshop. Comments posted about the ad were then repurposed as OOH placements, GIFs, and social ads, turning the comment sections of the campaign itself into media inventory for Meat &amp; Livestock Australia and Droga5 ANZ.</t>
        </is>
      </c>
      <c r="N23" s="113" t="inlineStr">
        <is>
          <t>lamb, australia, viral-film, social-media, ooh, user-generated-content, crowd, droga5</t>
        </is>
      </c>
    </row>
    <row r="24" ht="30" customHeight="1" s="34">
      <c r="A24" s="127" t="n">
        <v>2025</v>
      </c>
      <c r="B24" s="137" t="inlineStr">
        <is>
          <t>Silver</t>
        </is>
      </c>
      <c r="C24" s="135" t="inlineStr">
        <is>
          <t>Someday</t>
        </is>
      </c>
      <c r="D24" s="127" t="inlineStr">
        <is>
          <t>Apple</t>
        </is>
      </c>
      <c r="E24" s="127" t="inlineStr">
        <is>
          <t>Airpods</t>
        </is>
      </c>
      <c r="F24" s="127" t="inlineStr">
        <is>
          <t>TBWA\Media Arts Lab</t>
        </is>
      </c>
      <c r="G24" s="127" t="inlineStr">
        <is>
          <t>United States</t>
        </is>
      </c>
      <c r="H24" s="113" t="inlineStr">
        <is>
          <t>C01 - Viral Film</t>
        </is>
      </c>
      <c r="I24" s="127" t="inlineStr">
        <is>
          <t>digital-presentation-images/film-apple-someday.webp</t>
        </is>
      </c>
      <c r="J24" s="127" t="inlineStr">
        <is>
          <t>vimeo:1067749538</t>
        </is>
      </c>
      <c r="K24" s="127" t="n"/>
      <c r="L24" s="128" t="inlineStr">
        <is>
          <t>https://www.lovethework.com/work/entries/someday-739091</t>
        </is>
      </c>
      <c r="M24" s="113" t="inlineStr">
        <is>
          <t>A short film directed by Spike Jonze in which Pedro Pascal, isolated in a frozen winter landscape after a breakup, taps Active Noise Cancellation on his AirPods 4 and is pulled into a warm, choreographed world in full color. Made with TBWA\Media Arts Lab Los Angeles, it marks Jonze's second collaboration with Apple after his 2018 HomePod film featuring FKA Twigs.</t>
        </is>
      </c>
      <c r="N24" s="113" t="inlineStr">
        <is>
          <t>airpods, consumer-electronics, online-film, viral-film, celebrity, choreography, united-states, spike-jonze, tbwa-media-arts-lab</t>
        </is>
      </c>
    </row>
    <row r="25" ht="30" customHeight="1" s="34">
      <c r="A25" s="127" t="n">
        <v>2025</v>
      </c>
      <c r="B25" s="137" t="inlineStr">
        <is>
          <t>Silver</t>
        </is>
      </c>
      <c r="C25" s="135" t="inlineStr">
        <is>
          <t>Night Fishing</t>
        </is>
      </c>
      <c r="D25" s="127" t="inlineStr">
        <is>
          <t>Hyundai Motor Company</t>
        </is>
      </c>
      <c r="E25" s="127" t="inlineStr">
        <is>
          <t>Ioniq</t>
        </is>
      </c>
      <c r="F25" s="127" t="inlineStr">
        <is>
          <t>Innocean</t>
        </is>
      </c>
      <c r="G25" s="127" t="inlineStr">
        <is>
          <t>South Korea</t>
        </is>
      </c>
      <c r="H25" s="113" t="inlineStr">
        <is>
          <t>E01 - TV/Cinema Film</t>
        </is>
      </c>
      <c r="I25" s="127" t="inlineStr">
        <is>
          <t>digital-presentation-images/film-hyundai-motor-company-night-fishing.webp</t>
        </is>
      </c>
      <c r="J25" s="127" t="inlineStr">
        <is>
          <t>BTcsn4aLOkQ</t>
        </is>
      </c>
      <c r="K25" s="127" t="n"/>
      <c r="L25" s="128" t="inlineStr">
        <is>
          <t>https://www.lovethework.com/work/entries/night-fishing-739123</t>
        </is>
      </c>
      <c r="M25" s="113" t="inlineStr">
        <is>
          <t>A 13-minute short film shot entirely using the seven built-in cameras of the Hyundai IONIQ, theatrically released in South Korean CGV cinemas as a $1 ticketed feature — the first branded film to go through formal rating classification and charge admission. Made in partnership with CGV, the world's fifth-largest theater chain, which had faced a prolonged attendance slump since the pandemic, the film screened between feature films to draw audiences back to otherwise empty seats.</t>
        </is>
      </c>
      <c r="N25" s="113" t="inlineStr">
        <is>
          <t>automotive, cars, transport, branded-content, cinema, short-film, south-korea, in-vehicle-cameras, theatrical-release, ev, hyundai-ioniq</t>
        </is>
      </c>
    </row>
    <row r="26" ht="30" customHeight="1" s="34">
      <c r="A26" s="127" t="n">
        <v>2025</v>
      </c>
      <c r="B26" s="137" t="inlineStr">
        <is>
          <t>Silver</t>
        </is>
      </c>
      <c r="C26" s="135" t="inlineStr">
        <is>
          <t>Love Captured</t>
        </is>
      </c>
      <c r="D26" s="127" t="inlineStr">
        <is>
          <t>The Exodus Road</t>
        </is>
      </c>
      <c r="E26" s="127" t="inlineStr">
        <is>
          <t>Human Trafficking Awareness</t>
        </is>
      </c>
      <c r="F26" s="127" t="inlineStr">
        <is>
          <t>Klick Health</t>
        </is>
      </c>
      <c r="G26" s="127" t="inlineStr">
        <is>
          <t>Canada</t>
        </is>
      </c>
      <c r="H26" s="113" t="inlineStr">
        <is>
          <t>E02 - Online &amp; Viral Film</t>
        </is>
      </c>
      <c r="I26" s="127" t="inlineStr">
        <is>
          <t>digital-presentation-images/film-the-exodus-road-love-captured.webp</t>
        </is>
      </c>
      <c r="J26" s="127" t="inlineStr">
        <is>
          <t>vimeo:1092244065</t>
        </is>
      </c>
      <c r="K26" s="127" t="n"/>
      <c r="L26" s="128" t="inlineStr">
        <is>
          <t>https://www.lovethework.com/work/entries/love-captured-739069</t>
        </is>
      </c>
      <c r="M26" s="113" t="inlineStr">
        <is>
          <t>A dual-screen short film created for The Exodus Road in which a desktop displays what appears to be a romantic weekend escape — while a mobile phone, synced via QR code, shows a hidden-camera view of the same scene revealing the manipulation and control tactics of human trafficking. After the film, viewers can explore each trafficking warning sign in detail to reinforce recognition of what they've just watched.</t>
        </is>
      </c>
      <c r="N26" s="113" t="inlineStr">
        <is>
          <t>nonprofit, film, cinema, entertainment, dual-screen, mobile, human-trafficking, public-awareness, canada, interactive-film, social-issue</t>
        </is>
      </c>
    </row>
    <row r="27" ht="30" customHeight="1" s="34">
      <c r="A27" s="127" t="n">
        <v>2025</v>
      </c>
      <c r="B27" s="138" t="inlineStr">
        <is>
          <t>Bronze</t>
        </is>
      </c>
      <c r="C27" s="135" t="inlineStr">
        <is>
          <t>So Win</t>
        </is>
      </c>
      <c r="D27" s="127" t="inlineStr">
        <is>
          <t>Nike</t>
        </is>
      </c>
      <c r="E27" s="127" t="inlineStr">
        <is>
          <t>Nike</t>
        </is>
      </c>
      <c r="F27" s="127" t="inlineStr">
        <is>
          <t>Wieden+Kennedy</t>
        </is>
      </c>
      <c r="G27" s="127" t="inlineStr">
        <is>
          <t>United States</t>
        </is>
      </c>
      <c r="H27" s="113" t="inlineStr">
        <is>
          <t>A01 - Consumer Goods</t>
        </is>
      </c>
      <c r="I27" s="127" t="inlineStr">
        <is>
          <t>digital-presentation-images/film-nike-so-win.webp</t>
        </is>
      </c>
      <c r="J27" s="127" t="inlineStr">
        <is>
          <t>vimeo:1055257520</t>
        </is>
      </c>
      <c r="K27" s="127" t="n"/>
      <c r="L27" s="128" t="inlineStr">
        <is>
          <t>https://www.lovethework.com/work/entries/so-win-738552</t>
        </is>
      </c>
      <c r="M27" s="113" t="inlineStr">
        <is>
          <t>A 60-second Super Bowl spot placed just before halftime, in which Nike's female athletes — Sha'Carri Richardson, A'ja Wilson, Caitlin Clark, Jordan Chiles, Sabrina Ionescu, and others — are named for the exact behaviors the world criticizes them for: dominance, physicality, ambition, and celebration. Voiced by Grammy-winning rapper and former gymnast Doechii over Led Zeppelin's "Whole Lotta Love," the ad ends with "You can't win. So win." The campaign extended across major U.S. cities in large-format OOH and hand-painted murals, and individual films for each athlete were released through spring, timed to events including NBA All-Star Weekend, the Oscars, March Madness, the Champions League, and NWSL kickoff.</t>
        </is>
      </c>
      <c r="N27" s="113" t="inlineStr">
        <is>
          <t>sportswear, super-bowl, tv-film, ooh, women-in-sport, united-states, multi-platform, athlete-led</t>
        </is>
      </c>
    </row>
    <row r="28" ht="30" customHeight="1" s="34">
      <c r="A28" s="127" t="n">
        <v>2025</v>
      </c>
      <c r="B28" s="138" t="inlineStr">
        <is>
          <t>Bronze</t>
        </is>
      </c>
      <c r="C28" s="135" t="inlineStr">
        <is>
          <t>Go Further</t>
        </is>
      </c>
      <c r="D28" s="127" t="inlineStr">
        <is>
          <t>7-Eleven</t>
        </is>
      </c>
      <c r="E28" s="127" t="inlineStr">
        <is>
          <t>Mobil Fuels</t>
        </is>
      </c>
      <c r="F28" s="127" t="inlineStr">
        <is>
          <t>Clemenger BBDO</t>
        </is>
      </c>
      <c r="G28" s="127" t="inlineStr">
        <is>
          <t>Australia</t>
        </is>
      </c>
      <c r="H28" s="113" t="inlineStr">
        <is>
          <t>A01 - Consumer Goods</t>
        </is>
      </c>
      <c r="I28" s="128" t="inlineStr">
        <is>
          <t>https://ascentialcdn.filespin.io/api/v1/storyboard/21b5a87a37054403bf6297def115d30e/storyboard_000008.jpg</t>
        </is>
      </c>
      <c r="J28" s="127" t="inlineStr">
        <is>
          <t>vimeo:997540972</t>
        </is>
      </c>
      <c r="K28" s="127" t="n"/>
      <c r="L28" s="128" t="inlineStr">
        <is>
          <t>https://www.lovethework.com/work/entries/go-further-738542</t>
        </is>
      </c>
      <c r="M28" s="113" t="inlineStr">
        <is>
          <t>A television spot for 7-Eleven promoting Mobil fuels under the line "Go further with Mobil's best ever fuel at 7-Eleven." Created by Clemenger BBDO Melbourne, the ad positions the fuel as capable of extending the distance drivers can travel on a tank.</t>
        </is>
      </c>
      <c r="N28" s="113" t="inlineStr">
        <is>
          <t>fuel, television, automotive, cars, transport, australia, consumer-goods, cpg, fmcg</t>
        </is>
      </c>
    </row>
    <row r="29" ht="30" customHeight="1" s="34">
      <c r="A29" s="127" t="n">
        <v>2025</v>
      </c>
      <c r="B29" s="138" t="inlineStr">
        <is>
          <t>Bronze</t>
        </is>
      </c>
      <c r="C29" s="135" t="inlineStr">
        <is>
          <t>Century of Cravings</t>
        </is>
      </c>
      <c r="D29" s="127" t="inlineStr">
        <is>
          <t>Uber Eats</t>
        </is>
      </c>
      <c r="E29" s="127" t="inlineStr">
        <is>
          <t>Uber Eats</t>
        </is>
      </c>
      <c r="F29" s="127" t="inlineStr">
        <is>
          <t>Special</t>
        </is>
      </c>
      <c r="G29" s="127" t="inlineStr">
        <is>
          <t>United States</t>
        </is>
      </c>
      <c r="H29" s="113" t="inlineStr">
        <is>
          <t>A04 - Travel, Leisure, Retail, Restaurants &amp; Fast-Food Chains</t>
        </is>
      </c>
      <c r="I29" s="128" t="inlineStr">
        <is>
          <t>https://ascentialcdn.filespin.io/api/v1/storyboard/e82a1b3a62ff4635b7d927f608411604/storyboard_000008.jpg</t>
        </is>
      </c>
      <c r="J29" s="127" t="inlineStr">
        <is>
          <t>vimeo:1055406573</t>
        </is>
      </c>
      <c r="K29" s="127" t="n"/>
      <c r="L29" s="128" t="inlineStr">
        <is>
          <t>https://www.lovethework.com/work/entries/century-of-cravings-738462</t>
        </is>
      </c>
      <c r="M29" s="113" t="inlineStr">
        <is>
          <t>A Super Bowl spot in which Matthew McConaughey builds a spoof conspiracy theory — piecing together food references hidden across a century of football history — to argue the sport was invented solely to make people hungry. Greta Gerwig, Kevin Bacon, Charli XCX, and Martha Stewart appear alongside him as the theory unfolds, created by Special Group U.S.</t>
        </is>
      </c>
      <c r="N29" s="113" t="inlineStr">
        <is>
          <t>food-delivery, food, restaurant, ecommerce, retail, online-shopping, film, cinema, entertainment, super-bowl, celebrity, united-states, long-form, comedy, television</t>
        </is>
      </c>
    </row>
    <row r="30" ht="30" customHeight="1" s="34">
      <c r="A30" s="127" t="n">
        <v>2025</v>
      </c>
      <c r="B30" s="138" t="inlineStr">
        <is>
          <t>Bronze</t>
        </is>
      </c>
      <c r="C30" s="135" t="inlineStr">
        <is>
          <t>Obsession</t>
        </is>
      </c>
      <c r="D30" s="127" t="inlineStr">
        <is>
          <t>Riyadh Season</t>
        </is>
      </c>
      <c r="E30" s="127" t="inlineStr">
        <is>
          <t>Boxing Fight</t>
        </is>
      </c>
      <c r="F30" s="127" t="inlineStr">
        <is>
          <t>Bigtime Creative Shop</t>
        </is>
      </c>
      <c r="G30" s="127" t="inlineStr">
        <is>
          <t>Saudi Arabia</t>
        </is>
      </c>
      <c r="H30" s="113" t="inlineStr">
        <is>
          <t>A05 - Media/Entertainment</t>
        </is>
      </c>
      <c r="I30" s="127" t="inlineStr">
        <is>
          <t>digital-presentation-images/film-riyadh-season-obsession.webp</t>
        </is>
      </c>
      <c r="J30" s="127" t="inlineStr">
        <is>
          <t>B687Xux1-Bs</t>
        </is>
      </c>
      <c r="K30" s="127" t="n"/>
      <c r="L30" s="128" t="inlineStr">
        <is>
          <t>https://www.lovethework.com/work/entries/obsession-738673</t>
        </is>
      </c>
      <c r="M30"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30" s="113" t="inlineStr">
        <is>
          <t>sports-entertainment, film, cinema, entertainment, social-media, boxing, ai, technology, saudi-arabia, meme-marketing, influencer, pre-fight-promotion</t>
        </is>
      </c>
    </row>
    <row r="31" ht="30" customHeight="1" s="34">
      <c r="A31" s="127" t="n">
        <v>2025</v>
      </c>
      <c r="B31" s="138" t="inlineStr">
        <is>
          <t>Bronze</t>
        </is>
      </c>
      <c r="C31" s="135" t="inlineStr">
        <is>
          <t>Together Is for Christmas</t>
        </is>
      </c>
      <c r="D31" s="127" t="inlineStr">
        <is>
          <t>Telstra</t>
        </is>
      </c>
      <c r="E31" s="127" t="inlineStr">
        <is>
          <t>Telstra</t>
        </is>
      </c>
      <c r="F31" s="127" t="inlineStr">
        <is>
          <t>Bear Meets Eagle on Fire</t>
        </is>
      </c>
      <c r="G31" s="127" t="inlineStr">
        <is>
          <t>Australia</t>
        </is>
      </c>
      <c r="H31" s="113" t="inlineStr">
        <is>
          <t>A06 - Consumer Services/Business to Business</t>
        </is>
      </c>
      <c r="I31" s="127" t="inlineStr">
        <is>
          <t>digital-presentation-images/film-telstra-together-is-for-christmas.webp</t>
        </is>
      </c>
      <c r="J31" s="127" t="inlineStr">
        <is>
          <t>vimeo:1028285893</t>
        </is>
      </c>
      <c r="K31" s="127" t="n"/>
      <c r="L31" s="128" t="inlineStr">
        <is>
          <t>https://www.lovethework.com/work/entries/together-is-for-christmas-738755</t>
        </is>
      </c>
      <c r="M31" s="113" t="inlineStr">
        <is>
          <t>A Christmas film for Australian telco Telstra, developed by Bear Meets Eagle On Fire and +61, that follows a singing donkey who accidentally becomes a stage star before homesickness pulls her back to her family. The narrative runs through retail extensions into Telstra's physical stores under the line "Together is for Christmas."</t>
        </is>
      </c>
      <c r="N31" s="113" t="inlineStr">
        <is>
          <t>telecommunications, film, cinema, entertainment, christmas, retail, australia, seasonal, narrative, consumer-services</t>
        </is>
      </c>
    </row>
    <row r="32" ht="30" customHeight="1" s="34">
      <c r="A32" s="127" t="n">
        <v>2025</v>
      </c>
      <c r="B32" s="138" t="inlineStr">
        <is>
          <t>Bronze</t>
        </is>
      </c>
      <c r="C32" s="135" t="inlineStr">
        <is>
          <t>Orange - The Greatest Run</t>
        </is>
      </c>
      <c r="D32" s="127" t="inlineStr">
        <is>
          <t>Orange</t>
        </is>
      </c>
      <c r="E32" s="127" t="inlineStr">
        <is>
          <t>Paralympics Games</t>
        </is>
      </c>
      <c r="F32" s="127" t="inlineStr">
        <is>
          <t>Publicis Conseil</t>
        </is>
      </c>
      <c r="G32" s="127" t="inlineStr">
        <is>
          <t>France</t>
        </is>
      </c>
      <c r="H32" s="113" t="inlineStr">
        <is>
          <t>A06 - Consumer Services/Business to Business</t>
        </is>
      </c>
      <c r="I32" s="127" t="inlineStr">
        <is>
          <t>digital-presentation-images/film-orange-orange-the-greatest-run.webp</t>
        </is>
      </c>
      <c r="J32" s="127" t="inlineStr">
        <is>
          <t>P-45kC6zwlE</t>
        </is>
      </c>
      <c r="K32" s="127" t="n"/>
      <c r="L32" s="128" t="inlineStr">
        <is>
          <t>https://www.lovethework.com/work/entries/orange-the-greatest-run-738603</t>
        </is>
      </c>
      <c r="M32" s="113" t="inlineStr">
        <is>
          <t>A split-screen film placing the Olympic 1500m final and the Paralympic 1500m final side by side, synchronized so the two races appear to run at the same pace — before the finishing times reveal that four Paralympic athletes crossed the line faster than the Olympic gold medalist. Made for Orange ahead of the Paris 2024 Paralympic Games, when only about a third of tickets had sold and 27% of people viewed para-sports as performance-focused.</t>
        </is>
      </c>
      <c r="N32" s="113" t="inlineStr">
        <is>
          <t>telecom, film, cinema, entertainment, paralympics, sports, france, social-video, paris-2024, side-by-side</t>
        </is>
      </c>
    </row>
    <row r="33" ht="30" customHeight="1" s="34">
      <c r="A33" s="127" t="n">
        <v>2025</v>
      </c>
      <c r="B33" s="138" t="inlineStr">
        <is>
          <t>Bronze</t>
        </is>
      </c>
      <c r="C33" s="135" t="inlineStr">
        <is>
          <t>The Ugliest Sweater</t>
        </is>
      </c>
      <c r="D33" s="127" t="inlineStr">
        <is>
          <t>ILAS</t>
        </is>
      </c>
      <c r="E33" s="127" t="inlineStr">
        <is>
          <t>Child Abuse Foundation</t>
        </is>
      </c>
      <c r="F33" s="127" t="inlineStr">
        <is>
          <t>Made</t>
        </is>
      </c>
      <c r="G33" s="127" t="inlineStr">
        <is>
          <t>Mexico</t>
        </is>
      </c>
      <c r="H33" s="113" t="inlineStr">
        <is>
          <t>A07 - Not-For-Profit / Charity / Government</t>
        </is>
      </c>
      <c r="I33" s="128" t="inlineStr">
        <is>
          <t>https://ascentialcdn.filespin.io/api/v1/storyboard/1912e691abfe4b2ea4037335ca76487c/storyboard_000008.jpg</t>
        </is>
      </c>
      <c r="J33" s="127" t="inlineStr">
        <is>
          <t>0mfkxE8e2HI</t>
        </is>
      </c>
      <c r="K33" s="127" t="n"/>
      <c r="L33" s="128" t="inlineStr">
        <is>
          <t>https://www.lovethework.com/work/entries/the-ugliest-sweater-764667</t>
        </is>
      </c>
      <c r="M33" s="113" t="inlineStr">
        <is>
          <t>A short film built around the Christmas ugly sweater tradition, produced by The Maestros for the child abuse foundation ILAS, in which a child's peers wear deliberately mismatched, "ugly" sweaters in solidarity with him — using a familiar seasonal symbol to open a conversation about abuse, difference, and empathy. The film was directed with advisory from Sebastián Arrechedera.</t>
        </is>
      </c>
      <c r="N33" s="113" t="inlineStr">
        <is>
          <t>child-abuse-foundation, film, cinema, entertainment, not-for-profit, charity, ngo, social-good, christmas, mexico, seasonal, children, social-cause</t>
        </is>
      </c>
    </row>
    <row r="34" ht="30" customHeight="1" s="34">
      <c r="A34" s="127" t="n">
        <v>2025</v>
      </c>
      <c r="B34" s="138" t="inlineStr">
        <is>
          <t>Bronze</t>
        </is>
      </c>
      <c r="C34" s="135" t="inlineStr">
        <is>
          <t>Dog</t>
        </is>
      </c>
      <c r="D34" s="127" t="inlineStr">
        <is>
          <t>Axe/Lynx</t>
        </is>
      </c>
      <c r="E34" s="127" t="inlineStr">
        <is>
          <t>Deodorant</t>
        </is>
      </c>
      <c r="F34" s="127" t="inlineStr">
        <is>
          <t>Lola MullenLowe</t>
        </is>
      </c>
      <c r="G34" s="127" t="inlineStr">
        <is>
          <t>Spain</t>
        </is>
      </c>
      <c r="H34" s="113" t="inlineStr">
        <is>
          <t>B01 - Consumer Goods</t>
        </is>
      </c>
      <c r="I34" s="128" t="inlineStr">
        <is>
          <t>https://ascentialcdn.filespin.io/api/v1/storyboard/cee60b478e9e4b1cbf40f1225c244475/storyboard_000008.jpg</t>
        </is>
      </c>
      <c r="J34" s="127" t="inlineStr">
        <is>
          <t>-Vk5cTxiMfA</t>
        </is>
      </c>
      <c r="K34" s="127" t="n"/>
      <c r="L34" s="128" t="inlineStr">
        <is>
          <t>https://www.lovethework.com/work/entries/dog-738683</t>
        </is>
      </c>
      <c r="M34" s="113" t="inlineStr">
        <is>
          <t>A film for AXE deodorant, directed by Belgian duo Lionel Goldstein (Joe Vanhoutteghem and Koen Mortier), that explores the theme of sweetness with an unexpected twist — a man's dog turns hostile toward him after he applies the body spray, played for deadpan comic effect. Part of a three-spot campaign alongside "Bear" and "Baby," produced by CZAR Brussels for LOLA MullenLowe Madrid.</t>
        </is>
      </c>
      <c r="N34" s="113" t="inlineStr">
        <is>
          <t>deodorant, personal-care, beauty, film, cinema, entertainment, humor, gen-z, spain, consumer-goods, cpg, fmcg, craft</t>
        </is>
      </c>
    </row>
    <row r="35" ht="30" customHeight="1" s="34">
      <c r="A35" s="127" t="n">
        <v>2025</v>
      </c>
      <c r="B35" s="138" t="inlineStr">
        <is>
          <t>Bronze</t>
        </is>
      </c>
      <c r="C35" s="135" t="inlineStr">
        <is>
          <t>Call Me When You Need Me</t>
        </is>
      </c>
      <c r="D35" s="127" t="inlineStr">
        <is>
          <t>Vivo</t>
        </is>
      </c>
      <c r="E35" s="127" t="inlineStr">
        <is>
          <t>Vivo X100 Ultra</t>
        </is>
      </c>
      <c r="F35" s="127" t="inlineStr">
        <is>
          <t>Havas Beijing</t>
        </is>
      </c>
      <c r="G35" s="127" t="inlineStr">
        <is>
          <t>China</t>
        </is>
      </c>
      <c r="H35" s="113" t="inlineStr">
        <is>
          <t>B01 - Consumer Goods</t>
        </is>
      </c>
      <c r="I35" s="127" t="inlineStr">
        <is>
          <t>digital-presentation-images/film-vivo-call-me-when-you-need-me.webp</t>
        </is>
      </c>
      <c r="J35" s="127" t="inlineStr">
        <is>
          <t>vimeo:1090341135</t>
        </is>
      </c>
      <c r="K35" s="127" t="n"/>
      <c r="L35" s="128" t="inlineStr">
        <is>
          <t>https://www.lovethework.com/work/entries/call-me-when-you-need-me-738636</t>
        </is>
      </c>
      <c r="M35" s="113" t="inlineStr">
        <is>
          <t>A short film shot entirely on the vivo X100 Ultra, following three generations of a Chinese family and using phone calls as the connective thread between emotionally reserved fathers and sons. Made as part of vivo's annual film program, it addresses the cultural shift away from traditionally restrained father-son relationships in China, where affection has rarely been expressed openly.</t>
        </is>
      </c>
      <c r="N35" s="113" t="inlineStr">
        <is>
          <t>smartphone, branded-film, long-form-video, china, father-son, generational, branded-entertainment, havas-beijing</t>
        </is>
      </c>
    </row>
    <row r="36" ht="30" customHeight="1" s="34">
      <c r="A36" s="127" t="n">
        <v>2025</v>
      </c>
      <c r="B36" s="138" t="inlineStr">
        <is>
          <t>Bronze</t>
        </is>
      </c>
      <c r="C36" s="135" t="inlineStr">
        <is>
          <t>Invisible Stain</t>
        </is>
      </c>
      <c r="D36" s="127" t="inlineStr">
        <is>
          <t>Vanish</t>
        </is>
      </c>
      <c r="E36" s="127" t="inlineStr">
        <is>
          <t>Bullying Awareness</t>
        </is>
      </c>
      <c r="F36" s="127" t="inlineStr">
        <is>
          <t>BETC Havas</t>
        </is>
      </c>
      <c r="G36" s="127" t="inlineStr">
        <is>
          <t>Brazil</t>
        </is>
      </c>
      <c r="H36" s="113" t="inlineStr">
        <is>
          <t>B01 - Consumer Goods</t>
        </is>
      </c>
      <c r="I36" s="127" t="inlineStr">
        <is>
          <t>digital-presentation-images/film-vanish-invisible-stain.webp</t>
        </is>
      </c>
      <c r="J36" s="127" t="inlineStr">
        <is>
          <t>vimeo:1099522427</t>
        </is>
      </c>
      <c r="K36" s="127" t="n"/>
      <c r="L36" s="128" t="inlineStr">
        <is>
          <t>https://www.lovethework.com/work/entries/invisible-stain-738669</t>
        </is>
      </c>
      <c r="M36" s="113" t="inlineStr">
        <is>
          <t>A 3D-animated film for Vanish built around the metaphor of a stain on a school uniform that only the bullied child can see — a creature born from a prank that grows as it feeds on the boy's self-esteem. Developed with the Abrace Bullying Prevention Institute in Curitiba, the story extended beyond film into a children's book, laundromat activations, movie theater placements, and a presentation at UNESCO's World Anti-Bullying Forum.</t>
        </is>
      </c>
      <c r="N36" s="113" t="inlineStr">
        <is>
          <t>laundry-detergent, film, cinema, entertainment, animation, anti-bullying, public-service, children, brazil, integrated-campaign, children's-book</t>
        </is>
      </c>
    </row>
    <row r="37" ht="30" customHeight="1" s="34">
      <c r="A37" s="127" t="n">
        <v>2025</v>
      </c>
      <c r="B37" s="138" t="inlineStr">
        <is>
          <t>Bronze</t>
        </is>
      </c>
      <c r="C37" s="135" t="inlineStr">
        <is>
          <t>Cats Lose Their Cool | DJ Cat</t>
        </is>
      </c>
      <c r="D37" s="127" t="inlineStr">
        <is>
          <t>Temptations</t>
        </is>
      </c>
      <c r="E37" s="127" t="inlineStr">
        <is>
          <t>Temptations Lickable Spoons</t>
        </is>
      </c>
      <c r="F37" s="127" t="inlineStr">
        <is>
          <t>adam&amp;eveDDB</t>
        </is>
      </c>
      <c r="G37" s="127" t="inlineStr">
        <is>
          <t>United Kingdom</t>
        </is>
      </c>
      <c r="H37" s="113" t="inlineStr">
        <is>
          <t>B01 - Consumer Goods</t>
        </is>
      </c>
      <c r="I37" s="128" t="inlineStr">
        <is>
          <t>https://ascentialcdn.filespin.io/api/v1/storyboard/9fa88b83d0b8433088c04fb2f6724d65/storyboard_000008.jpg</t>
        </is>
      </c>
      <c r="J37" s="127" t="inlineStr">
        <is>
          <t>vimeo:935890559</t>
        </is>
      </c>
      <c r="K37" s="127" t="n"/>
      <c r="L37" s="128" t="inlineStr">
        <is>
          <t>https://www.lovethework.com/work/entries/cats-lose-their-cool-dj-cat-738942</t>
        </is>
      </c>
      <c r="M37" s="113" t="inlineStr">
        <is>
          <t>Temptations knows cats can sometimes be too cool for their humans. In this spot, a cat owner discovers his cat, Patches, has become so cool he's literally DJing for a room of human friends. Luckily, new Temptations Lickable Spoons are irresistible enough to make even the coolest cat lose all chill.</t>
        </is>
      </c>
      <c r="N37" s="113" t="inlineStr">
        <is>
          <t>pet-food, packaged-goods, cpg, fmcg, humor, film, cinema, entertainment, cats, product-launch, united-states</t>
        </is>
      </c>
    </row>
    <row r="38" ht="30" customHeight="1" s="34">
      <c r="A38" s="127" t="n">
        <v>2025</v>
      </c>
      <c r="B38" s="138" t="inlineStr">
        <is>
          <t>Bronze</t>
        </is>
      </c>
      <c r="C38" s="135" t="inlineStr">
        <is>
          <t>Lynx with Catnip</t>
        </is>
      </c>
      <c r="D38" s="127" t="inlineStr">
        <is>
          <t>Axe/Lynx</t>
        </is>
      </c>
      <c r="E38" s="127" t="inlineStr">
        <is>
          <t>Deodorant</t>
        </is>
      </c>
      <c r="F38" s="127" t="inlineStr">
        <is>
          <t>Lola MullenLowe</t>
        </is>
      </c>
      <c r="G38" s="127" t="inlineStr">
        <is>
          <t>Spain</t>
        </is>
      </c>
      <c r="H38" s="113" t="inlineStr">
        <is>
          <t>B01 - Consumer Goods</t>
        </is>
      </c>
      <c r="I38" s="127" t="inlineStr">
        <is>
          <t>digital-presentation-images/film-axe-lynx-with-catnip.webp</t>
        </is>
      </c>
      <c r="J38" s="127" t="inlineStr">
        <is>
          <t>CHHeZrjP87w</t>
        </is>
      </c>
      <c r="K38" s="127" t="n"/>
      <c r="L38" s="128" t="inlineStr">
        <is>
          <t>https://www.lovethework.com/work/entries/lynx-with-catnip-738842</t>
        </is>
      </c>
      <c r="M38" s="113" t="inlineStr">
        <is>
          <t>A limited-edition Lynx body spray infused with nepetalactone — the compound that makes cats roll on catnip — designed to win over a date's cat. Built around the insight that a majority of cat owners say a cat's reaction can break a dating prospect.</t>
        </is>
      </c>
      <c r="N38" s="113" t="inlineStr">
        <is>
          <t>fragrance, personal-care, beauty, product-launch, pets, packaged-goods, cpg, fmcg, humor, spain, social, gen-z</t>
        </is>
      </c>
    </row>
    <row r="39" ht="30" customHeight="1" s="34">
      <c r="A39" s="127" t="n">
        <v>2025</v>
      </c>
      <c r="B39" s="138" t="inlineStr">
        <is>
          <t>Bronze</t>
        </is>
      </c>
      <c r="C39" s="135" t="inlineStr">
        <is>
          <t>The Reinfall</t>
        </is>
      </c>
      <c r="D39" s="127" t="inlineStr">
        <is>
          <t>The Norwegian Postal Service</t>
        </is>
      </c>
      <c r="E39" s="127" t="inlineStr">
        <is>
          <t>Post Delivery</t>
        </is>
      </c>
      <c r="F39" s="127" t="inlineStr">
        <is>
          <t>POL</t>
        </is>
      </c>
      <c r="G39" s="127" t="inlineStr">
        <is>
          <t>Norway</t>
        </is>
      </c>
      <c r="H39" s="113" t="inlineStr">
        <is>
          <t>B06 - Consumer Services/Business to Business</t>
        </is>
      </c>
      <c r="I39" s="128" t="inlineStr">
        <is>
          <t>https://ascentialcdn.filespin.io/api/v1/storyboard/5ed8965efd35470096adab00a480bd1c/storyboard_000008.jpg</t>
        </is>
      </c>
      <c r="J39" s="127" t="inlineStr">
        <is>
          <t>RCyAAsOn70Y</t>
        </is>
      </c>
      <c r="K39" s="127" t="n"/>
      <c r="L39" s="128" t="inlineStr">
        <is>
          <t>https://www.lovethework.com/work/entries/the-reinfall-738770</t>
        </is>
      </c>
      <c r="M39" s="113" t="inlineStr">
        <is>
          <t>A Netflix-style short film, directed by Kasper Häggström through Bacon, that follows Rudolph the Red-Nosed Reindeer as a washed-up has-been — opening with him face-down on a beach, his celebrity faded after Santa's sleigh no longer needs a nose-lamp guide. Created by POL for the Norwegian Postal Service as a Christmas campaign, the film recasts one of the season's most recognizable characters as a cautionary tale about relevance.</t>
        </is>
      </c>
      <c r="N39" s="113" t="inlineStr">
        <is>
          <t>post-delivery, film, cinema, entertainment, christmas, norway, branded-content, short-film, consumer-services</t>
        </is>
      </c>
    </row>
    <row r="40" ht="30" customHeight="1" s="34">
      <c r="A40" s="127" t="n">
        <v>2025</v>
      </c>
      <c r="B40" s="138" t="inlineStr">
        <is>
          <t>Bronze</t>
        </is>
      </c>
      <c r="C40" s="135" t="inlineStr">
        <is>
          <t>Irmela vs. Nazis</t>
        </is>
      </c>
      <c r="D40" s="127" t="inlineStr">
        <is>
          <t>Toom DIY Market</t>
        </is>
      </c>
      <c r="E40" s="127" t="inlineStr">
        <is>
          <t>Toom Products</t>
        </is>
      </c>
      <c r="F40" s="127" t="inlineStr">
        <is>
          <t>Scholz &amp; Friends</t>
        </is>
      </c>
      <c r="G40" s="127" t="inlineStr">
        <is>
          <t>Germany</t>
        </is>
      </c>
      <c r="H40" s="113" t="inlineStr">
        <is>
          <t>D02 - Microfilm</t>
        </is>
      </c>
      <c r="I40" s="127" t="inlineStr">
        <is>
          <t>digital-presentation-images/film-toom-diy-market-irmela-vs-nazis.webp</t>
        </is>
      </c>
      <c r="J40" s="127" t="inlineStr">
        <is>
          <t>62AGpToKLuk</t>
        </is>
      </c>
      <c r="K40" s="127" t="n"/>
      <c r="L40" s="128" t="inlineStr">
        <is>
          <t>https://www.lovethework.com/work/entries/irmela-vs-nazis-739076</t>
        </is>
      </c>
      <c r="M40" s="113" t="inlineStr">
        <is>
          <t>Three documentary-style short films, aired on national TV and across social media and accompanied by an outdoor series, built around Irmela Mensah-Schramm — an 80-year-old German activist who has spent decades scraping and painting over Nazi symbols in public spaces across Germany. The films show her using ordinary toom DIY tools — a €2.59 scraper, a €3.79 brush, spray paint — to remove hate graffiti, connecting the retailer's "Respect for doing it yourself" positioning to a real, ongoing act of civic resistance.</t>
        </is>
      </c>
      <c r="N40" s="113" t="inlineStr">
        <is>
          <t>diy-retail, film, cinema, entertainment, documentary, social-media, ooh, germany, activism, social-good, anti-hate, public-space</t>
        </is>
      </c>
    </row>
    <row r="41" ht="30" customHeight="1" s="34">
      <c r="A41" s="127" t="n">
        <v>2025</v>
      </c>
      <c r="B41" s="138" t="inlineStr">
        <is>
          <t>Bronze</t>
        </is>
      </c>
      <c r="C41" s="135" t="inlineStr">
        <is>
          <t>You Have What It Takes</t>
        </is>
      </c>
      <c r="D41" s="127" t="inlineStr">
        <is>
          <t>Försvarsmakten</t>
        </is>
      </c>
      <c r="E41" s="127" t="inlineStr">
        <is>
          <t>Swedish Armed Force</t>
        </is>
      </c>
      <c r="F41" s="127" t="inlineStr">
        <is>
          <t>Nord DDB</t>
        </is>
      </c>
      <c r="G41" s="127" t="inlineStr">
        <is>
          <t>Sweden</t>
        </is>
      </c>
      <c r="H41" s="113" t="inlineStr">
        <is>
          <t>D02 - Microfilm</t>
        </is>
      </c>
      <c r="I41" s="128" t="inlineStr">
        <is>
          <t>https://ascentialcdn.filespin.io/api/v1/storyboard/e26b3466ac96451cb63011afdbc16dc4/storyboard_000008.jpg</t>
        </is>
      </c>
      <c r="J41" s="127" t="inlineStr">
        <is>
          <t>jBg5Cpabq8Q</t>
        </is>
      </c>
      <c r="K41" s="127" t="n"/>
      <c r="L41" s="128" t="inlineStr">
        <is>
          <t>https://www.lovethework.com/work/entries/you-have-what-it-takes-738975</t>
        </is>
      </c>
      <c r="M41" s="113" t="inlineStr">
        <is>
          <t>A short film made by the Swedish Armed Forces and Nord DDB, Stockholm, to recruit young women into military service — a demographic underrepresented despite conscription being legally mandatory for both sexes in Sweden. The film addresses the gap between official policy and practice by speaking directly to women who haven't seen themselves in traditional camouflage-and-combat recruitment imagery.</t>
        </is>
      </c>
      <c r="N41" s="113" t="inlineStr">
        <is>
          <t>swedish-armed-forces, recruitment, short-film, microfilm, women-in-military, sweden, nord-ddb, defense</t>
        </is>
      </c>
    </row>
    <row r="42" ht="30" customHeight="1" s="34">
      <c r="A42" s="127" t="n">
        <v>2025</v>
      </c>
      <c r="B42" s="138" t="inlineStr">
        <is>
          <t>Bronze</t>
        </is>
      </c>
      <c r="C42" s="135" t="inlineStr">
        <is>
          <t>Submerged</t>
        </is>
      </c>
      <c r="D42" s="127" t="inlineStr">
        <is>
          <t>Apple</t>
        </is>
      </c>
      <c r="E42" s="127" t="inlineStr">
        <is>
          <t>Apple Vision Pro</t>
        </is>
      </c>
      <c r="F42" s="127" t="inlineStr">
        <is>
          <t>Apple</t>
        </is>
      </c>
      <c r="G42" s="127" t="inlineStr">
        <is>
          <t>United States</t>
        </is>
      </c>
      <c r="H42" s="113" t="inlineStr">
        <is>
          <t>D03 - New Realities &amp; Emerging Tech</t>
        </is>
      </c>
      <c r="I42" s="127" t="inlineStr">
        <is>
          <t>digital-presentation-images/film-apple-submerged.webp</t>
        </is>
      </c>
      <c r="J42" s="127" t="inlineStr">
        <is>
          <t>vimeo:1124774457</t>
        </is>
      </c>
      <c r="K42" s="127" t="n"/>
      <c r="L42" s="128" t="inlineStr">
        <is>
          <t>https://www.lovethework.com/work/entries/submerged-765078</t>
        </is>
      </c>
      <c r="M42" s="113" t="inlineStr">
        <is>
          <t>A 17-minute scripted short film shot across the United States, Belgium, Czech Republic, and Malta using a 180-degree proprietary immersive camera — the first narrative work captured in Apple Immersive Video, designed exclusively for playback on Apple Vision Pro. Directed by Edward Berger, the submarine thriller was produced with fully immersive sets, custom rigs, and new post-production pipelines built specifically to meet the spatial storytelling demands of the headset's volumetric display.</t>
        </is>
      </c>
      <c r="N42" s="113" t="inlineStr">
        <is>
          <t>consumer-electronics, short-film, immersive-video, spatial-computing, emerging-tech, united-states, belgium, czech-republic, malta, production-design</t>
        </is>
      </c>
    </row>
    <row r="43" ht="30" customHeight="1" s="34">
      <c r="A43" s="127" t="n">
        <v>2025</v>
      </c>
      <c r="B43" s="138" t="inlineStr">
        <is>
          <t>Bronze</t>
        </is>
      </c>
      <c r="C43" s="135" t="inlineStr">
        <is>
          <t>Gambol "Dare to Step"</t>
        </is>
      </c>
      <c r="D43" s="127" t="inlineStr">
        <is>
          <t>Gambol</t>
        </is>
      </c>
      <c r="E43" s="127" t="inlineStr">
        <is>
          <t>Gambol Sandals</t>
        </is>
      </c>
      <c r="F43" s="127" t="inlineStr">
        <is>
          <t>YDM Thailand</t>
        </is>
      </c>
      <c r="G43" s="127" t="inlineStr">
        <is>
          <t>Thailand</t>
        </is>
      </c>
      <c r="H43" s="113" t="inlineStr">
        <is>
          <t>F01 - Local Brand</t>
        </is>
      </c>
      <c r="I43" s="127" t="inlineStr">
        <is>
          <t>digital-presentation-images/film-gambol-gambol-dare-to-step.webp</t>
        </is>
      </c>
      <c r="J43" s="127" t="inlineStr">
        <is>
          <t>428dy-MQabg</t>
        </is>
      </c>
      <c r="K43" s="127" t="n"/>
      <c r="L43" s="128" t="inlineStr">
        <is>
          <t>https://www.lovethework.com/work/entries/gambol-dare-to-step-758622</t>
        </is>
      </c>
      <c r="M43" s="113" t="inlineStr">
        <is>
          <t>A satirical film series set five million years ago, when apes ruled the land, each episode staging a contemporary Thai social ill — domestic violence, political corruption, air pollution — as prehistoric scenes interrupted by a misfit ape wearing Gambol sandals who steps in and demands accountability. The campaign is built around a Thai-language pun: "Klar-Tae," the sign-off line, means both "dare to step" and "dare to sandal," with "tae" being the Thai word for both action and footwear. Produced by YDM Thailand and Suneta House in Bangkok, the trilogy uses the sandal's physical comfort as a metaphor for moral courage — the idea that ease underfoot quiets the conscience.</t>
        </is>
      </c>
      <c r="N43" s="113" t="inlineStr">
        <is>
          <t>sandal, film, cinema, entertainment, satire, social-commentary, thailand, wordplay, brand-film, local-brand</t>
        </is>
      </c>
    </row>
    <row r="44" ht="30" customHeight="1" s="34">
      <c r="A44" s="127" t="n">
        <v>2025</v>
      </c>
      <c r="B44" s="138" t="inlineStr">
        <is>
          <t>Bronze</t>
        </is>
      </c>
      <c r="C44" s="135" t="inlineStr">
        <is>
          <t>Steal</t>
        </is>
      </c>
      <c r="D44" s="127" t="inlineStr">
        <is>
          <t>Mandaue Foam Home Store</t>
        </is>
      </c>
      <c r="E44" s="127" t="inlineStr">
        <is>
          <t>Mandaue Foam Home Store</t>
        </is>
      </c>
      <c r="F44" s="127" t="inlineStr">
        <is>
          <t>Gigil</t>
        </is>
      </c>
      <c r="G44" s="127" t="inlineStr">
        <is>
          <t>The Philippines</t>
        </is>
      </c>
      <c r="H44" s="113" t="inlineStr">
        <is>
          <t>F02 - Challenger Brand</t>
        </is>
      </c>
      <c r="I44" s="128" t="inlineStr">
        <is>
          <t>https://ascentialcdn.filespin.io/api/v1/storyboard/9ec1161c272f499ea887c4236fda3363/storyboard_000008.jpg</t>
        </is>
      </c>
      <c r="J44" s="127" t="inlineStr">
        <is>
          <t>pB69hy7B2TY</t>
        </is>
      </c>
      <c r="K44" s="127" t="n"/>
      <c r="L44" s="128" t="inlineStr">
        <is>
          <t>https://www.lovethework.com/work/entries/steal-739321</t>
        </is>
      </c>
      <c r="M44" s="113" t="inlineStr">
        <is>
          <t>A TV and online film for Mandaue Foam Home Store — a Philippines-based furniture and home goods retailer with over 50 showrooms — built around the explicit ambition of stealing customers from IKEA. Created by GIGIL, the spot repositions a brand known primarily for mattresses as a full home products destination, framing its challenger status as the entire creative premise.</t>
        </is>
      </c>
      <c r="N44" s="113" t="inlineStr">
        <is>
          <t>home-store, tv-film, challenger-brand, retail, philippines, vod, furniture, home</t>
        </is>
      </c>
    </row>
    <row r="45" ht="30" customHeight="1" s="34">
      <c r="A45" s="127" t="n">
        <v>2025</v>
      </c>
      <c r="B45" s="138" t="inlineStr">
        <is>
          <t>Bronze</t>
        </is>
      </c>
      <c r="C45" s="135" t="inlineStr">
        <is>
          <t>Miracle</t>
        </is>
      </c>
      <c r="D45" s="127" t="inlineStr">
        <is>
          <t>Rc Cola</t>
        </is>
      </c>
      <c r="E45" s="127" t="inlineStr">
        <is>
          <t>Rc Cola</t>
        </is>
      </c>
      <c r="F45" s="127" t="inlineStr">
        <is>
          <t>Gigil</t>
        </is>
      </c>
      <c r="G45" s="127" t="inlineStr">
        <is>
          <t>The Philippines</t>
        </is>
      </c>
      <c r="H45" s="113" t="inlineStr">
        <is>
          <t>F03 - Single-Market Campaign</t>
        </is>
      </c>
      <c r="I45" s="127" t="inlineStr">
        <is>
          <t>digital-presentation-images/film-rc-cola-miracle.webp</t>
        </is>
      </c>
      <c r="J45" s="127" t="inlineStr">
        <is>
          <t>u0c7pO99Ysw</t>
        </is>
      </c>
      <c r="K45" s="127" t="n"/>
      <c r="L45" s="128" t="inlineStr">
        <is>
          <t>https://www.lovethework.com/work/entries/miracle-739313</t>
        </is>
      </c>
      <c r="M45" s="113" t="inlineStr">
        <is>
          <t>A film ad for RC Cola's Mega variant that recreates scenes from Himala (1982), Ishmael Bernal's classic Filipino film — matching the acting, costumes, sets, color grading, and grain of the original — then inserts RC Cola as the source of the miracles. The RC Mega bottle, sized to serve up to four people, replaces the film's central supernatural element, positioning the product's value as the everyday miracle.</t>
        </is>
      </c>
      <c r="N45" s="113" t="inlineStr">
        <is>
          <t>cola, film, cinema, entertainment, philippines, online-video, cultural-reference, parody, single-market-campaign, gigil</t>
        </is>
      </c>
    </row>
    <row r="46" ht="30" customHeight="1" s="34">
      <c r="A46" s="127" t="n">
        <v>2025</v>
      </c>
      <c r="B46" s="138" t="inlineStr">
        <is>
          <t>Bronze</t>
        </is>
      </c>
      <c r="C46" s="135" t="inlineStr">
        <is>
          <t>Hey Jude</t>
        </is>
      </c>
      <c r="D46" s="127" t="inlineStr">
        <is>
          <t>Adidas Football</t>
        </is>
      </c>
      <c r="E46" s="127" t="inlineStr">
        <is>
          <t>Adidas</t>
        </is>
      </c>
      <c r="F46" s="127" t="inlineStr">
        <is>
          <t>Johannes Leonardo</t>
        </is>
      </c>
      <c r="G46" s="127" t="inlineStr">
        <is>
          <t>United States</t>
        </is>
      </c>
      <c r="H46" s="113" t="inlineStr">
        <is>
          <t>F03 - Single-Market Campaign</t>
        </is>
      </c>
      <c r="I46" s="127" t="inlineStr">
        <is>
          <t>digital-presentation-images/film-adidas-football-hey-jude.webp</t>
        </is>
      </c>
      <c r="J46" s="127" t="inlineStr">
        <is>
          <t>vimeo:974346956</t>
        </is>
      </c>
      <c r="K46" s="127" t="n"/>
      <c r="L46" s="128" t="inlineStr">
        <is>
          <t>https://www.lovethework.com/work/entries/hey-jude-739186</t>
        </is>
      </c>
      <c r="M46" s="113" t="inlineStr">
        <is>
          <t>A film set to The Beatles' "Hey Jude" that recasts the song as an England football anthem for Euro 2024 — adidas built it around Jude Bellingham, whose name made the double meaning literal, threading archival footage of 58 years of England tournament losses with present-day scenes of fans singing in stadiums, pubs, and neighborhoods. Because adidas held no official England national team sponsorship, the campaign operated entirely outside standard sports sponsorship territory, enlisting ex-players David Beckham, Frank Lampard, and Ian Wright alongside musician Stormzy and pundit Laura Woods to carry the message.</t>
        </is>
      </c>
      <c r="N46" s="113" t="inlineStr">
        <is>
          <t>sportswear, film, cinema, entertainment, football, soccer, sport, music-licensing, united-kingdom, euro-2024, celebrity, sports-sponsorship</t>
        </is>
      </c>
    </row>
    <row r="47" ht="30" customHeight="1" s="34">
      <c r="A47" s="127" t="n">
        <v>2025</v>
      </c>
      <c r="B47" s="138" t="inlineStr">
        <is>
          <t>Bronze</t>
        </is>
      </c>
      <c r="C47" s="135" t="inlineStr">
        <is>
          <t>Fer</t>
        </is>
      </c>
      <c r="D47" s="127" t="inlineStr">
        <is>
          <t>Save the Children, Mexico</t>
        </is>
      </c>
      <c r="E47" s="127" t="inlineStr">
        <is>
          <t>Save the Children</t>
        </is>
      </c>
      <c r="F47" s="127" t="inlineStr">
        <is>
          <t>Anonimo</t>
        </is>
      </c>
      <c r="G47" s="127" t="inlineStr">
        <is>
          <t>Mexico</t>
        </is>
      </c>
      <c r="H47" s="113" t="inlineStr">
        <is>
          <t>F04 - Social Behaviour</t>
        </is>
      </c>
      <c r="I47" s="127" t="inlineStr">
        <is>
          <t>digital-presentation-images/film-save-the-children-mexico-fer.webp</t>
        </is>
      </c>
      <c r="J47" s="127" t="inlineStr">
        <is>
          <t>vimeo:1017294125</t>
        </is>
      </c>
      <c r="K47" s="127" t="n"/>
      <c r="L47" s="128" t="inlineStr">
        <is>
          <t>https://www.lovethework.com/work/entries/fer-739197</t>
        </is>
      </c>
      <c r="M47" s="113" t="inlineStr">
        <is>
          <t>A six-minute short film, directed by Laura Baumeister through Catatonia, that follows Fer — a child in Mexico City running errands and witnessing the daily harassment and violence faced by women. The film withholds until its final moments that Fer is a girl whose mother has cut her hair and dressed her as a boy to keep her safe — a survival strategy used by real families in marginalized communities across Mexico, where women are twice as likely to experience violence as men.</t>
        </is>
      </c>
      <c r="N47" s="113" t="inlineStr">
        <is>
          <t>nonprofit, short-film, gender-based-violence, public-health, mexico, children, social-behaviour, online-video</t>
        </is>
      </c>
    </row>
    <row r="48" ht="30" customHeight="1" s="34">
      <c r="A48" s="127" t="n">
        <v>2025</v>
      </c>
      <c r="B48" s="138" t="inlineStr">
        <is>
          <t>Bronze</t>
        </is>
      </c>
      <c r="C48" s="135" t="inlineStr">
        <is>
          <t>18 Months</t>
        </is>
      </c>
      <c r="D48" s="127" t="inlineStr">
        <is>
          <t>Second Nurture</t>
        </is>
      </c>
      <c r="E48" s="127" t="inlineStr">
        <is>
          <t>Charity</t>
        </is>
      </c>
      <c r="F48" s="127" t="inlineStr">
        <is>
          <t>Klick Health</t>
        </is>
      </c>
      <c r="G48" s="127" t="inlineStr">
        <is>
          <t>Canada</t>
        </is>
      </c>
      <c r="H48" s="113" t="inlineStr">
        <is>
          <t>F04 - Social Behaviour</t>
        </is>
      </c>
      <c r="I48" s="127" t="inlineStr">
        <is>
          <t>digital-presentation-images/film-second-nurture-18-months.webp</t>
        </is>
      </c>
      <c r="J48" s="127" t="inlineStr">
        <is>
          <t>vimeo:1092249009</t>
        </is>
      </c>
      <c r="K48" s="127" t="n"/>
      <c r="L48" s="128" t="inlineStr">
        <is>
          <t>https://www.lovethework.com/work/entries/18-months-739267</t>
        </is>
      </c>
      <c r="M48" s="113" t="inlineStr">
        <is>
          <t>A stop-motion animated short whose sets were built entirely from the pages of outdated pregnancy books — the illustrated diagrams and text physically cut and constructed into six miniature environments by 180 artists, including Oscar and BAFTA-winning animators. The film, produced by Klick Health in Toronto for Second Nurture, follows a non-traditional family's journey to parenthood, using the medium of the books that exclude their story as the literal material of that story.</t>
        </is>
      </c>
      <c r="N48" s="113" t="inlineStr">
        <is>
          <t>charity, stop-motion, animation, film, cinema, entertainment, canada, non-profit, family-building, craft, klick-health</t>
        </is>
      </c>
    </row>
    <row r="49" ht="30" customHeight="1" s="34">
      <c r="A49" s="127" t="n">
        <v>2025</v>
      </c>
      <c r="B49" s="138" t="inlineStr">
        <is>
          <t>Bronze</t>
        </is>
      </c>
      <c r="C49" s="135" t="inlineStr">
        <is>
          <t>Read Better</t>
        </is>
      </c>
      <c r="D49" s="127" t="inlineStr">
        <is>
          <t>Waterstones</t>
        </is>
      </c>
      <c r="E49" s="127" t="inlineStr">
        <is>
          <t>Books</t>
        </is>
      </c>
      <c r="F49" s="127" t="inlineStr">
        <is>
          <t>FP7 McCANN</t>
        </is>
      </c>
      <c r="G49" s="127" t="inlineStr">
        <is>
          <t>United Arab Emirates</t>
        </is>
      </c>
      <c r="H49" s="113" t="inlineStr">
        <is>
          <t>F04 - Social Behaviour</t>
        </is>
      </c>
      <c r="I49" s="128" t="inlineStr">
        <is>
          <t>https://ascentialcdn.filespin.io/api/v1/conversion/fdf308fea817428794e5b51cfe09d79e</t>
        </is>
      </c>
      <c r="J49" s="127" t="inlineStr">
        <is>
          <t>vimeo:1104424991</t>
        </is>
      </c>
      <c r="K49" s="127" t="n"/>
      <c r="L49" s="128" t="inlineStr">
        <is>
          <t>https://www.lovethework.com/work/entries/read-better-762379</t>
        </is>
      </c>
      <c r="M49" s="113" t="inlineStr">
        <is>
          <t>A film and digital campaign for Waterstones, created with McCann Bristol and UM Central, built around the idea that reading books makes you better at interpreting the world around you. The work delivers a social-behaviour message — that regular reading sharpens comprehension and critical thinking — through demonstration rather than instruction.</t>
        </is>
      </c>
      <c r="N49" s="113" t="inlineStr">
        <is>
          <t>books, film, cinema, entertainment, digital, social-behaviour, united-arab-emirates, united-kingdom, reading, retail</t>
        </is>
      </c>
    </row>
    <row r="50" ht="30" customHeight="1" s="34">
      <c r="A50" s="127" t="n">
        <v>2025</v>
      </c>
      <c r="B50" s="138" t="inlineStr">
        <is>
          <t>Bronze</t>
        </is>
      </c>
      <c r="C50" s="135" t="inlineStr">
        <is>
          <t>Telstra - Better on a Better Network</t>
        </is>
      </c>
      <c r="D50" s="127" t="inlineStr">
        <is>
          <t>Telstra</t>
        </is>
      </c>
      <c r="E50" s="127" t="inlineStr">
        <is>
          <t>Telstra</t>
        </is>
      </c>
      <c r="F50" s="127" t="inlineStr">
        <is>
          <t>Bear Meets Eagle on Fire</t>
        </is>
      </c>
      <c r="G50" s="127" t="inlineStr">
        <is>
          <t>Australia</t>
        </is>
      </c>
      <c r="H50" s="113" t="inlineStr">
        <is>
          <t>F05 - Use of Humour</t>
        </is>
      </c>
      <c r="I50" s="127" t="inlineStr">
        <is>
          <t>digital-presentation-images/film-telstra-telstra-better-on-a-better-network.webp</t>
        </is>
      </c>
      <c r="J50" s="127" t="inlineStr">
        <is>
          <t>L8wOtakkr28</t>
        </is>
      </c>
      <c r="K50" s="127" t="n"/>
      <c r="L50" s="128" t="inlineStr">
        <is>
          <t>https://www.lovethework.com/work/entries/telstra-better-on-a-better-network-739394</t>
        </is>
      </c>
      <c r="M50"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50" s="113" t="inlineStr">
        <is>
          <t>telecommunications, film, cinema, entertainment, puppets, craft, regional, australia, broadcast, olympics, sport, multi-spot</t>
        </is>
      </c>
    </row>
    <row r="51" ht="30" customHeight="1" s="34">
      <c r="A51" s="127" t="n">
        <v>2025</v>
      </c>
      <c r="B51" s="138" t="inlineStr">
        <is>
          <t>Bronze</t>
        </is>
      </c>
      <c r="C51" s="135" t="inlineStr">
        <is>
          <t>Squad Up</t>
        </is>
      </c>
      <c r="D51" s="127" t="inlineStr">
        <is>
          <t>Supercell</t>
        </is>
      </c>
      <c r="E51" s="127" t="inlineStr">
        <is>
          <t>Entertainment</t>
        </is>
      </c>
      <c r="F51" s="127" t="inlineStr">
        <is>
          <t>Uncommon Creative Studio</t>
        </is>
      </c>
      <c r="G51" s="127" t="inlineStr">
        <is>
          <t>United Kingdom</t>
        </is>
      </c>
      <c r="H51" s="113" t="inlineStr">
        <is>
          <t>F05 - Use of Humour</t>
        </is>
      </c>
      <c r="I51" s="128" t="inlineStr">
        <is>
          <t>https://ascentialcdn.filespin.io/api/v1/conversion/d7137ce2bd54485cbcd0f8ed8ef89240</t>
        </is>
      </c>
      <c r="J51" s="127" t="inlineStr">
        <is>
          <t>vimeo:951306460</t>
        </is>
      </c>
      <c r="K51" s="127" t="n"/>
      <c r="L51" s="128" t="inlineStr">
        <is>
          <t>https://www.lovethework.com/work/entries/squad-up-739443</t>
        </is>
      </c>
      <c r="M51" s="113" t="inlineStr">
        <is>
          <t>A five-minute film launching Squad Busters — Supercell's first new global game in more than five years — in which Chris Hemsworth, Christina Ricci, Ken Jeong, Will Arnett, and Auli'i Cravalho each embody a character from the game. Directed by Jody Hill and produced by Caviar Content, the casting maps each celebrity's established comic persona to a specific in-game character type.</t>
        </is>
      </c>
      <c r="N51" s="113" t="inlineStr">
        <is>
          <t>mobile-gaming, film, cinema, entertainment, celebrity-casting, humor, united-kingdom, global</t>
        </is>
      </c>
    </row>
    <row r="52" ht="30" customHeight="1" s="34">
      <c r="A52" s="127" t="n">
        <v>2025</v>
      </c>
      <c r="B52" s="138" t="inlineStr">
        <is>
          <t>Bronze</t>
        </is>
      </c>
      <c r="C52" s="135" t="inlineStr">
        <is>
          <t>Paris Paralympics 2024: Considering What?</t>
        </is>
      </c>
      <c r="D52" s="127" t="inlineStr">
        <is>
          <t>Channel 4</t>
        </is>
      </c>
      <c r="E52" s="127" t="inlineStr">
        <is>
          <t>Channel 4</t>
        </is>
      </c>
      <c r="F52" s="127" t="inlineStr">
        <is>
          <t>Channel 4</t>
        </is>
      </c>
      <c r="G52" s="127" t="inlineStr">
        <is>
          <t>United Kingdom</t>
        </is>
      </c>
      <c r="H52" s="113" t="inlineStr">
        <is>
          <t>F07 - Corporate Purpose &amp; Social Responsibility</t>
        </is>
      </c>
      <c r="I52" s="127" t="inlineStr">
        <is>
          <t>digital-presentation-images/film-channel-4-paris-paralympic-2024-considering-what.webp</t>
        </is>
      </c>
      <c r="J52" s="127" t="inlineStr">
        <is>
          <t>bUs_mNTNwvE</t>
        </is>
      </c>
      <c r="K52" s="127" t="n"/>
      <c r="L52" s="128" t="inlineStr">
        <is>
          <t>https://www.lovethework.com/work/entries/paris-paralympics-2024-considering-what-739501</t>
        </is>
      </c>
      <c r="M52"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52" s="113" t="inlineStr">
        <is>
          <t>broadcaster, ooh, social-media, paralympics, disability, sport, film, cinema, entertainment, united-kingdom, 4creative</t>
        </is>
      </c>
    </row>
    <row r="53" ht="30" customHeight="1" s="34">
      <c r="A53" s="127" t="n">
        <v>2025</v>
      </c>
      <c r="B53" s="138" t="inlineStr">
        <is>
          <t>Bronze</t>
        </is>
      </c>
      <c r="C53" s="135" t="inlineStr">
        <is>
          <t>Skin</t>
        </is>
      </c>
      <c r="D53" s="127" t="inlineStr">
        <is>
          <t>Raça Magazine</t>
        </is>
      </c>
      <c r="E53" s="127" t="inlineStr">
        <is>
          <t>Institutional</t>
        </is>
      </c>
      <c r="F53" s="127" t="inlineStr">
        <is>
          <t>Lepub</t>
        </is>
      </c>
      <c r="G53" s="127" t="inlineStr">
        <is>
          <t>Brazil</t>
        </is>
      </c>
      <c r="H53" s="113" t="inlineStr">
        <is>
          <t>F09 - Cultural Engagement</t>
        </is>
      </c>
      <c r="I53" s="127" t="inlineStr">
        <is>
          <t>digital-presentation-images/film-raca-magazine-skin.webp</t>
        </is>
      </c>
      <c r="J53" s="127" t="inlineStr">
        <is>
          <t>vimeo:1088284685</t>
        </is>
      </c>
      <c r="K53" s="127" t="n"/>
      <c r="L53" s="128" t="inlineStr">
        <is>
          <t>https://www.lovethework.com/work/entries/skin-739661</t>
        </is>
      </c>
      <c r="M53" s="113" t="inlineStr">
        <is>
          <t>A print and film ad for RAÇA Magazine, Brazil's Black press publication, built around the handwritten testimony of Carlos Palmeira — a Brazilian man with vitiligo whose skin shifted from completely Black to completely White, a condition affecting 0.009% of Brazilians. His account, written in his own hand and overlaid across his portrait, describes how the same people who once profiled, ignored, or feared him began treating him with warmth as his pigmentation changed — a firsthand account of racism operating through appearance alone.</t>
        </is>
      </c>
      <c r="N53" s="113" t="inlineStr">
        <is>
          <t>print, film, cinema, entertainment, magazine, anti-racism, brazil, handwritten, institutional, racial-equity, portrait</t>
        </is>
      </c>
    </row>
  </sheetData>
  <autoFilter ref="A1:N53"/>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I6" r:id="rId5"/>
    <hyperlink xmlns:r="http://schemas.openxmlformats.org/officeDocument/2006/relationships" ref="L6" r:id="rId6"/>
    <hyperlink xmlns:r="http://schemas.openxmlformats.org/officeDocument/2006/relationships" ref="L7" r:id="rId7"/>
    <hyperlink xmlns:r="http://schemas.openxmlformats.org/officeDocument/2006/relationships" ref="L8" r:id="rId8"/>
    <hyperlink xmlns:r="http://schemas.openxmlformats.org/officeDocument/2006/relationships" ref="L9" r:id="rId9"/>
    <hyperlink xmlns:r="http://schemas.openxmlformats.org/officeDocument/2006/relationships" ref="L10" r:id="rId10"/>
    <hyperlink xmlns:r="http://schemas.openxmlformats.org/officeDocument/2006/relationships" ref="L11" r:id="rId11"/>
    <hyperlink xmlns:r="http://schemas.openxmlformats.org/officeDocument/2006/relationships" ref="L12" r:id="rId12"/>
    <hyperlink xmlns:r="http://schemas.openxmlformats.org/officeDocument/2006/relationships" ref="L13" r:id="rId13"/>
    <hyperlink xmlns:r="http://schemas.openxmlformats.org/officeDocument/2006/relationships" ref="L14" r:id="rId14"/>
    <hyperlink xmlns:r="http://schemas.openxmlformats.org/officeDocument/2006/relationships" ref="I15" r:id="rId15"/>
    <hyperlink xmlns:r="http://schemas.openxmlformats.org/officeDocument/2006/relationships" ref="L15" r:id="rId16"/>
    <hyperlink xmlns:r="http://schemas.openxmlformats.org/officeDocument/2006/relationships" ref="L16" r:id="rId17"/>
    <hyperlink xmlns:r="http://schemas.openxmlformats.org/officeDocument/2006/relationships" ref="I17" r:id="rId18"/>
    <hyperlink xmlns:r="http://schemas.openxmlformats.org/officeDocument/2006/relationships" ref="L17" r:id="rId19"/>
    <hyperlink xmlns:r="http://schemas.openxmlformats.org/officeDocument/2006/relationships" ref="L18" r:id="rId20"/>
    <hyperlink xmlns:r="http://schemas.openxmlformats.org/officeDocument/2006/relationships" ref="I19" r:id="rId21"/>
    <hyperlink xmlns:r="http://schemas.openxmlformats.org/officeDocument/2006/relationships" ref="L19" r:id="rId22"/>
    <hyperlink xmlns:r="http://schemas.openxmlformats.org/officeDocument/2006/relationships" ref="L20" r:id="rId23"/>
    <hyperlink xmlns:r="http://schemas.openxmlformats.org/officeDocument/2006/relationships" ref="I21" r:id="rId24"/>
    <hyperlink xmlns:r="http://schemas.openxmlformats.org/officeDocument/2006/relationships" ref="L21" r:id="rId25"/>
    <hyperlink xmlns:r="http://schemas.openxmlformats.org/officeDocument/2006/relationships" ref="L22" r:id="rId26"/>
    <hyperlink xmlns:r="http://schemas.openxmlformats.org/officeDocument/2006/relationships" ref="L23" r:id="rId27"/>
    <hyperlink xmlns:r="http://schemas.openxmlformats.org/officeDocument/2006/relationships" ref="L24" r:id="rId28"/>
    <hyperlink xmlns:r="http://schemas.openxmlformats.org/officeDocument/2006/relationships" ref="L25" r:id="rId29"/>
    <hyperlink xmlns:r="http://schemas.openxmlformats.org/officeDocument/2006/relationships" ref="L26" r:id="rId30"/>
    <hyperlink xmlns:r="http://schemas.openxmlformats.org/officeDocument/2006/relationships" ref="L27" r:id="rId31"/>
    <hyperlink xmlns:r="http://schemas.openxmlformats.org/officeDocument/2006/relationships" ref="I28" r:id="rId32"/>
    <hyperlink xmlns:r="http://schemas.openxmlformats.org/officeDocument/2006/relationships" ref="L28" r:id="rId33"/>
    <hyperlink xmlns:r="http://schemas.openxmlformats.org/officeDocument/2006/relationships" ref="I29" r:id="rId34"/>
    <hyperlink xmlns:r="http://schemas.openxmlformats.org/officeDocument/2006/relationships" ref="L29" r:id="rId35"/>
    <hyperlink xmlns:r="http://schemas.openxmlformats.org/officeDocument/2006/relationships" ref="L30" r:id="rId36"/>
    <hyperlink xmlns:r="http://schemas.openxmlformats.org/officeDocument/2006/relationships" ref="L31" r:id="rId37"/>
    <hyperlink xmlns:r="http://schemas.openxmlformats.org/officeDocument/2006/relationships" ref="L32" r:id="rId38"/>
    <hyperlink xmlns:r="http://schemas.openxmlformats.org/officeDocument/2006/relationships" ref="I33" r:id="rId39"/>
    <hyperlink xmlns:r="http://schemas.openxmlformats.org/officeDocument/2006/relationships" ref="L33" r:id="rId40"/>
    <hyperlink xmlns:r="http://schemas.openxmlformats.org/officeDocument/2006/relationships" ref="I34" r:id="rId41"/>
    <hyperlink xmlns:r="http://schemas.openxmlformats.org/officeDocument/2006/relationships" ref="L34" r:id="rId42"/>
    <hyperlink xmlns:r="http://schemas.openxmlformats.org/officeDocument/2006/relationships" ref="L35" r:id="rId43"/>
    <hyperlink xmlns:r="http://schemas.openxmlformats.org/officeDocument/2006/relationships" ref="L36" r:id="rId44"/>
    <hyperlink xmlns:r="http://schemas.openxmlformats.org/officeDocument/2006/relationships" ref="I37" r:id="rId45"/>
    <hyperlink xmlns:r="http://schemas.openxmlformats.org/officeDocument/2006/relationships" ref="L37" r:id="rId46"/>
    <hyperlink xmlns:r="http://schemas.openxmlformats.org/officeDocument/2006/relationships" ref="L38" r:id="rId47"/>
    <hyperlink xmlns:r="http://schemas.openxmlformats.org/officeDocument/2006/relationships" ref="I39" r:id="rId48"/>
    <hyperlink xmlns:r="http://schemas.openxmlformats.org/officeDocument/2006/relationships" ref="L39" r:id="rId49"/>
    <hyperlink xmlns:r="http://schemas.openxmlformats.org/officeDocument/2006/relationships" ref="L40" r:id="rId50"/>
    <hyperlink xmlns:r="http://schemas.openxmlformats.org/officeDocument/2006/relationships" ref="I41" r:id="rId51"/>
    <hyperlink xmlns:r="http://schemas.openxmlformats.org/officeDocument/2006/relationships" ref="L41" r:id="rId52"/>
    <hyperlink xmlns:r="http://schemas.openxmlformats.org/officeDocument/2006/relationships" ref="L42" r:id="rId53"/>
    <hyperlink xmlns:r="http://schemas.openxmlformats.org/officeDocument/2006/relationships" ref="L43" r:id="rId54"/>
    <hyperlink xmlns:r="http://schemas.openxmlformats.org/officeDocument/2006/relationships" ref="I44" r:id="rId55"/>
    <hyperlink xmlns:r="http://schemas.openxmlformats.org/officeDocument/2006/relationships" ref="L44" r:id="rId56"/>
    <hyperlink xmlns:r="http://schemas.openxmlformats.org/officeDocument/2006/relationships" ref="L45" r:id="rId57"/>
    <hyperlink xmlns:r="http://schemas.openxmlformats.org/officeDocument/2006/relationships" ref="L46" r:id="rId58"/>
    <hyperlink xmlns:r="http://schemas.openxmlformats.org/officeDocument/2006/relationships" ref="L47" r:id="rId59"/>
    <hyperlink xmlns:r="http://schemas.openxmlformats.org/officeDocument/2006/relationships" ref="L48" r:id="rId60"/>
    <hyperlink xmlns:r="http://schemas.openxmlformats.org/officeDocument/2006/relationships" ref="I49" r:id="rId61"/>
    <hyperlink xmlns:r="http://schemas.openxmlformats.org/officeDocument/2006/relationships" ref="L49" r:id="rId62"/>
    <hyperlink xmlns:r="http://schemas.openxmlformats.org/officeDocument/2006/relationships" ref="L50" r:id="rId63"/>
    <hyperlink xmlns:r="http://schemas.openxmlformats.org/officeDocument/2006/relationships" ref="I51" r:id="rId64"/>
    <hyperlink xmlns:r="http://schemas.openxmlformats.org/officeDocument/2006/relationships" ref="L51" r:id="rId65"/>
    <hyperlink xmlns:r="http://schemas.openxmlformats.org/officeDocument/2006/relationships" ref="L52" r:id="rId66"/>
    <hyperlink xmlns:r="http://schemas.openxmlformats.org/officeDocument/2006/relationships" ref="L53" r:id="rId6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7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4" t="inlineStr">
        <is>
          <t>Grand Prix</t>
        </is>
      </c>
      <c r="C2" s="135" t="inlineStr">
        <is>
          <t>Crowd</t>
        </is>
      </c>
      <c r="D2" s="127" t="inlineStr">
        <is>
          <t>KitKat</t>
        </is>
      </c>
      <c r="E2" s="127" t="inlineStr">
        <is>
          <t>KitKat</t>
        </is>
      </c>
      <c r="F2" s="127" t="inlineStr">
        <is>
          <t>VML</t>
        </is>
      </c>
      <c r="G2" s="127" t="inlineStr">
        <is>
          <t>Czech Republic</t>
        </is>
      </c>
      <c r="H2" s="113" t="inlineStr">
        <is>
          <t>A01 - Consumer Goods</t>
        </is>
      </c>
      <c r="I2" s="128" t="inlineStr">
        <is>
          <t>https://ascentialcdn.filespin.io/api/v1/conversion/6dc8ee87b55d449f88c8f8a0868b533a</t>
        </is>
      </c>
      <c r="J2" s="127" t="inlineStr">
        <is>
          <t>ByGNQ3wEbEY</t>
        </is>
      </c>
      <c r="K2" s="127" t="inlineStr">
        <is>
          <t>kitkat-a01-consumer-goods</t>
        </is>
      </c>
      <c r="L2" s="128" t="inlineStr">
        <is>
          <t>https://www.lovethework.com/work/entries/crowd-740225</t>
        </is>
      </c>
      <c r="M2" s="113" t="inlineStr">
        <is>
          <t>A series of out-of-home placements across Czech Republic public transport and streets that use existing crowds of commuters and pedestrians as the visual content of the ad — positioning densely packed people as the reason to take a break. Each execution frames the surrounding crowd through the KitKat creative, making the real-world environment the message.</t>
        </is>
      </c>
      <c r="N2" s="113" t="inlineStr">
        <is>
          <t>chocolate, ooh, public-transport, street, czech-republic, ambient, experiential, consumer-goods, cpg, fmcg</t>
        </is>
      </c>
    </row>
    <row r="3">
      <c r="A3" s="127" t="n">
        <v>2025</v>
      </c>
      <c r="B3" s="134" t="inlineStr">
        <is>
          <t>Grand Prix</t>
        </is>
      </c>
      <c r="C3" s="135" t="inlineStr">
        <is>
          <t>Public Transport</t>
        </is>
      </c>
      <c r="D3" s="127" t="inlineStr">
        <is>
          <t>KitKat</t>
        </is>
      </c>
      <c r="E3" s="127" t="inlineStr">
        <is>
          <t>KitKat</t>
        </is>
      </c>
      <c r="F3" s="127" t="inlineStr">
        <is>
          <t>VML</t>
        </is>
      </c>
      <c r="G3" s="127" t="inlineStr">
        <is>
          <t>Czech Republic</t>
        </is>
      </c>
      <c r="H3" s="113" t="inlineStr">
        <is>
          <t>A01 - Consumer Goods</t>
        </is>
      </c>
      <c r="I3" s="128" t="inlineStr">
        <is>
          <t>https://ascentialcdn.filespin.io/api/v1/conversion/9b1fc196d863402282277d81f4bdf031</t>
        </is>
      </c>
      <c r="J3" s="127" t="inlineStr">
        <is>
          <t>ByGNQ3wEbEY</t>
        </is>
      </c>
      <c r="K3" s="127" t="inlineStr">
        <is>
          <t>kitkat-a01-consumer-goods</t>
        </is>
      </c>
      <c r="L3" s="128" t="inlineStr">
        <is>
          <t>https://www.lovethework.com/work/entries/public-transport-758659</t>
        </is>
      </c>
      <c r="M3" s="113" t="inlineStr">
        <is>
          <t>An outdoor campaign across Czech Republic crowd, public transport, and street placements that depicted commuters and passersby in everyday phone-scrolling situations — but with KitKat bars swapped in place of their smartphones. The images required no explanation: the brand's longstanding "take a break" idea made literal by replacing the object people most compulsively reach for.</t>
        </is>
      </c>
      <c r="N3" s="113" t="inlineStr">
        <is>
          <t>snack, food, packaged-goods, cpg, fmcg, ooh, public-transport, street, czech-republic, print, photography, brand-awareness</t>
        </is>
      </c>
    </row>
    <row r="4">
      <c r="A4" s="127" t="n">
        <v>2025</v>
      </c>
      <c r="B4" s="134" t="inlineStr">
        <is>
          <t>Grand Prix</t>
        </is>
      </c>
      <c r="C4" s="135" t="inlineStr">
        <is>
          <t>Street</t>
        </is>
      </c>
      <c r="D4" s="127" t="inlineStr">
        <is>
          <t>KitKat</t>
        </is>
      </c>
      <c r="E4" s="127" t="inlineStr">
        <is>
          <t>KitKat</t>
        </is>
      </c>
      <c r="F4" s="127" t="inlineStr">
        <is>
          <t>VML</t>
        </is>
      </c>
      <c r="G4" s="127" t="inlineStr">
        <is>
          <t>Czech Republic</t>
        </is>
      </c>
      <c r="H4" s="113" t="inlineStr">
        <is>
          <t>A01 - Consumer Goods</t>
        </is>
      </c>
      <c r="I4" s="128" t="inlineStr">
        <is>
          <t>https://ascentialcdn.filespin.io/api/v1/conversion/ad97fbb0d50649118006eac4d5a902a7</t>
        </is>
      </c>
      <c r="J4" s="127" t="inlineStr">
        <is>
          <t>ByGNQ3wEbEY</t>
        </is>
      </c>
      <c r="K4" s="127" t="inlineStr">
        <is>
          <t>kitkat-a01-consumer-goods</t>
        </is>
      </c>
      <c r="L4" s="128" t="inlineStr">
        <is>
          <t>https://www.lovethework.com/work/entries/street-758667</t>
        </is>
      </c>
      <c r="M4" s="113" t="inlineStr">
        <is>
          <t>Outdoor installations across Czech Republic streets and public transport placements that replaced the expected KitKat branding with images of crowds of people — all looking down at their phones. The work revived the "Have a break, have a KitKat" line without stating it, letting the behavior of the crowd make the case for putting the phone down.</t>
        </is>
      </c>
      <c r="N4" s="113" t="inlineStr">
        <is>
          <t>snack, food, packaged-goods, cpg, fmcg, ooh, public-transport, street, czech-republic, consumer-goods, phone-behavior, outdoor-installation</t>
        </is>
      </c>
    </row>
    <row r="5">
      <c r="A5" s="127" t="n">
        <v>2025</v>
      </c>
      <c r="B5" s="134" t="inlineStr">
        <is>
          <t>Grand Prix</t>
        </is>
      </c>
      <c r="C5" s="135" t="inlineStr">
        <is>
          <t>Olympic Games Opening Ceremony Paris 2024</t>
        </is>
      </c>
      <c r="D5" s="127" t="inlineStr">
        <is>
          <t>Paris 2024</t>
        </is>
      </c>
      <c r="E5" s="127" t="inlineStr">
        <is>
          <t>Paris 2024</t>
        </is>
      </c>
      <c r="F5" s="127" t="inlineStr">
        <is>
          <t>Paname 24</t>
        </is>
      </c>
      <c r="G5" s="127" t="inlineStr">
        <is>
          <t>France</t>
        </is>
      </c>
      <c r="H5" s="113" t="inlineStr">
        <is>
          <t>C04 - Live Advertising and Events</t>
        </is>
      </c>
      <c r="I5" s="128" t="inlineStr">
        <is>
          <t>https://ascentialcdn.filespin.io/api/v1/conversion/60aa1888e5b6444381b060dc1801de84</t>
        </is>
      </c>
      <c r="J5" s="127" t="inlineStr">
        <is>
          <t>t8o4ulxT1Cc</t>
        </is>
      </c>
      <c r="K5" s="127" t="n"/>
      <c r="L5" s="128" t="inlineStr">
        <is>
          <t>https://www.lovethework.com/work/entries/olympic-games-opening-ceremony-paris-2024-740923</t>
        </is>
      </c>
      <c r="M5"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5" s="113" t="inlineStr">
        <is>
          <t>live-event, olympics, sport, ceremony, paris, large-scale, broadcast, entertainment, partnership, france</t>
        </is>
      </c>
    </row>
    <row r="6">
      <c r="A6" s="127" t="n">
        <v>2025</v>
      </c>
      <c r="B6" s="136" t="inlineStr">
        <is>
          <t>Gold</t>
        </is>
      </c>
      <c r="C6" s="135" t="inlineStr">
        <is>
          <t>The Sip of Sanctuary</t>
        </is>
      </c>
      <c r="D6" s="127" t="inlineStr">
        <is>
          <t>Stella Artois</t>
        </is>
      </c>
      <c r="E6" s="127" t="inlineStr">
        <is>
          <t>Stella Artois</t>
        </is>
      </c>
      <c r="F6" s="127" t="inlineStr">
        <is>
          <t>Grey</t>
        </is>
      </c>
      <c r="G6" s="127" t="inlineStr">
        <is>
          <t>United Kingdom</t>
        </is>
      </c>
      <c r="H6" s="113" t="inlineStr">
        <is>
          <t>A01 - Consumer Goods</t>
        </is>
      </c>
      <c r="I6" s="128" t="inlineStr">
        <is>
          <t>https://ascentialcdn.filespin.io/api/v1/conversion/bc046e548975443980453424bc30515a</t>
        </is>
      </c>
      <c r="J6" s="127" t="inlineStr"/>
      <c r="K6" s="127" t="inlineStr">
        <is>
          <t>stella-artois-philosophical</t>
        </is>
      </c>
      <c r="L6" s="128" t="inlineStr">
        <is>
          <t>https://www.lovethework.com/work/entries/the-sip-of-sanctuary-740333</t>
        </is>
      </c>
      <c r="M6"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6" s="113" t="inlineStr">
        <is>
          <t>beer, alcohol, print, poster, visual-storytelling, united-kingdom, illustration, campaign</t>
        </is>
      </c>
    </row>
    <row r="7">
      <c r="A7" s="127" t="n">
        <v>2025</v>
      </c>
      <c r="B7" s="136" t="inlineStr">
        <is>
          <t>Gold</t>
        </is>
      </c>
      <c r="C7" s="135" t="inlineStr">
        <is>
          <t>Protector of the Chalice</t>
        </is>
      </c>
      <c r="D7" s="127" t="inlineStr">
        <is>
          <t>Stella Artois</t>
        </is>
      </c>
      <c r="E7" s="127" t="inlineStr">
        <is>
          <t>Stella Artois</t>
        </is>
      </c>
      <c r="F7" s="127" t="inlineStr">
        <is>
          <t>Grey</t>
        </is>
      </c>
      <c r="G7" s="127" t="inlineStr">
        <is>
          <t>United Kingdom</t>
        </is>
      </c>
      <c r="H7" s="113" t="inlineStr">
        <is>
          <t>A01 - Consumer Goods</t>
        </is>
      </c>
      <c r="I7" s="128" t="inlineStr">
        <is>
          <t>https://ascentialcdn.filespin.io/api/v1/conversion/a33c9462c05d4330895b056745b6a602</t>
        </is>
      </c>
      <c r="J7" s="127" t="inlineStr"/>
      <c r="K7" s="127" t="inlineStr">
        <is>
          <t>stella-artois-philosophical</t>
        </is>
      </c>
      <c r="L7" s="128" t="inlineStr">
        <is>
          <t>https://www.lovethework.com/work/entries/protector-of-the-chalice-740342</t>
        </is>
      </c>
      <c r="M7"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7" s="113" t="inlineStr">
        <is>
          <t>beer, alcohol, print, ooh, poster, united-kingdom, illustration, consumer-goods, cpg, fmcg</t>
        </is>
      </c>
    </row>
    <row r="8">
      <c r="A8" s="127" t="n">
        <v>2025</v>
      </c>
      <c r="B8" s="136" t="inlineStr">
        <is>
          <t>Gold</t>
        </is>
      </c>
      <c r="C8" s="135" t="inlineStr">
        <is>
          <t>Happiness Within Chaos</t>
        </is>
      </c>
      <c r="D8" s="127" t="inlineStr">
        <is>
          <t>Stella Artois</t>
        </is>
      </c>
      <c r="E8" s="127" t="inlineStr">
        <is>
          <t>Stella Artois</t>
        </is>
      </c>
      <c r="F8" s="127" t="inlineStr">
        <is>
          <t>Grey</t>
        </is>
      </c>
      <c r="G8" s="127" t="inlineStr">
        <is>
          <t>United Kingdom</t>
        </is>
      </c>
      <c r="H8" s="113" t="inlineStr">
        <is>
          <t>A01 - Consumer Goods</t>
        </is>
      </c>
      <c r="I8" s="128" t="inlineStr">
        <is>
          <t>https://ascentialcdn.filespin.io/api/v1/conversion/882ea591b6fa40b29a529180b71afa65</t>
        </is>
      </c>
      <c r="J8" s="127" t="n"/>
      <c r="K8" s="127" t="inlineStr">
        <is>
          <t>stella-artois-philosophical</t>
        </is>
      </c>
      <c r="L8" s="128" t="inlineStr">
        <is>
          <t>https://www.lovethework.com/work/entries/happiness-within-chaos-740351</t>
        </is>
      </c>
      <c r="M8"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8" s="113" t="inlineStr">
        <is>
          <t>beer, alcohol, print, ooh, united-kingdom, campaign-series, illustration, consumer-goods, cpg, fmcg</t>
        </is>
      </c>
    </row>
    <row r="9">
      <c r="A9" s="127" t="n">
        <v>2025</v>
      </c>
      <c r="B9" s="136" t="inlineStr">
        <is>
          <t>Gold</t>
        </is>
      </c>
      <c r="C9" s="135" t="inlineStr">
        <is>
          <t>Fries</t>
        </is>
      </c>
      <c r="D9" s="127" t="inlineStr">
        <is>
          <t>Heinz</t>
        </is>
      </c>
      <c r="E9" s="127" t="inlineStr">
        <is>
          <t>Heinz</t>
        </is>
      </c>
      <c r="F9" s="127" t="inlineStr">
        <is>
          <t>Wieden+Kennedy</t>
        </is>
      </c>
      <c r="G9" s="127" t="inlineStr">
        <is>
          <t>United Kingdom</t>
        </is>
      </c>
      <c r="H9" s="113" t="inlineStr">
        <is>
          <t>B01 - Consumer Goods</t>
        </is>
      </c>
      <c r="I9" s="128" t="inlineStr">
        <is>
          <t>https://ascentialcdn.filespin.io/api/v1/conversion/9e7a10af468b4293bb13624b6ac695d7</t>
        </is>
      </c>
      <c r="J9" s="127" t="inlineStr">
        <is>
          <t>vimeo:1167690695</t>
        </is>
      </c>
      <c r="K9" s="127" t="inlineStr">
        <is>
          <t>heinz-b01-consumer-goods</t>
        </is>
      </c>
      <c r="L9" s="128" t="inlineStr">
        <is>
          <t>https://www.lovethework.com/work/entries/fries-740416</t>
        </is>
      </c>
      <c r="M9" s="113" t="inlineStr">
        <is>
          <t>A print and outdoor campaign from Wieden+Kennedy London that strips the Heinz label down to its iconic keystone frame, filling it with close-up photography of the brand's classic food pairings — fries, chips, and toast — with no product name required. The work leans on the idea that after 156 years, Heinz's associations are so ingrained in British culture that the pairings alone are enough to trigger recognition of the condiment.</t>
        </is>
      </c>
      <c r="N9" s="113" t="inlineStr">
        <is>
          <t>condiment, print, ooh, photography, brand-identity, united-kingdom, food-pairing, minimalism</t>
        </is>
      </c>
    </row>
    <row r="10">
      <c r="A10" s="127" t="n">
        <v>2025</v>
      </c>
      <c r="B10" s="136" t="inlineStr">
        <is>
          <t>Gold</t>
        </is>
      </c>
      <c r="C10" s="135" t="inlineStr">
        <is>
          <t>Chips</t>
        </is>
      </c>
      <c r="D10" s="127" t="inlineStr">
        <is>
          <t>Heinz</t>
        </is>
      </c>
      <c r="E10" s="127" t="inlineStr">
        <is>
          <t>Heinz</t>
        </is>
      </c>
      <c r="F10" s="127" t="inlineStr">
        <is>
          <t>Wieden+Kennedy</t>
        </is>
      </c>
      <c r="G10" s="127" t="inlineStr">
        <is>
          <t>United Kingdom</t>
        </is>
      </c>
      <c r="H10" s="113" t="inlineStr">
        <is>
          <t>B01 - Consumer Goods</t>
        </is>
      </c>
      <c r="I10" s="128" t="inlineStr">
        <is>
          <t>https://ascentialcdn.filespin.io/api/v1/conversion/98502860304b486096f96cbacf35f7ac</t>
        </is>
      </c>
      <c r="J10" s="127" t="inlineStr">
        <is>
          <t>vimeo:1167690695</t>
        </is>
      </c>
      <c r="K10" s="127" t="inlineStr">
        <is>
          <t>heinz-b01-consumer-goods</t>
        </is>
      </c>
      <c r="L10" s="128" t="inlineStr">
        <is>
          <t>https://www.lovethework.com/work/entries/chips-740534</t>
        </is>
      </c>
      <c r="M10" s="113" t="inlineStr">
        <is>
          <t>An outdoor campaign across major UK cities that swaps the word "Heinz" out of the brand's long-running "It Has to Be Heinz" tagline and replaces it with the food that completes the pairing — "It Has to Be Chips," "It Has to Be Toast," "It Has to Be Fries." Each execution centers on a single Heinz product shot alongside its instinctive companion, built on the idea that certain food combinations have become so fixed in British taste memory that either half of the pair can cue the brand. Produced by Studio Philotheus Nisch, Berlin.</t>
        </is>
      </c>
      <c r="N10" s="113" t="inlineStr">
        <is>
          <t>condiment, ooh, print, united-kingdom, campaign, food, copywriting, brand-tagline</t>
        </is>
      </c>
    </row>
    <row r="11">
      <c r="A11" s="127" t="n">
        <v>2025</v>
      </c>
      <c r="B11" s="136" t="inlineStr">
        <is>
          <t>Gold</t>
        </is>
      </c>
      <c r="C11" s="135" t="inlineStr">
        <is>
          <t>Toast</t>
        </is>
      </c>
      <c r="D11" s="127" t="inlineStr">
        <is>
          <t>Heinz</t>
        </is>
      </c>
      <c r="E11" s="127" t="inlineStr">
        <is>
          <t>Heinz</t>
        </is>
      </c>
      <c r="F11" s="127" t="inlineStr">
        <is>
          <t>Wieden+Kennedy</t>
        </is>
      </c>
      <c r="G11" s="127" t="inlineStr">
        <is>
          <t>United Kingdom</t>
        </is>
      </c>
      <c r="H11" s="113" t="inlineStr">
        <is>
          <t>B01 - Consumer Goods</t>
        </is>
      </c>
      <c r="I11" s="128" t="inlineStr">
        <is>
          <t>https://ascentialcdn.filespin.io/api/v1/conversion/19b79ceaf445400d88e358d61316e067</t>
        </is>
      </c>
      <c r="J11" s="127" t="inlineStr">
        <is>
          <t>vimeo:1167690695</t>
        </is>
      </c>
      <c r="K11" s="127" t="inlineStr">
        <is>
          <t>heinz-b01-consumer-goods</t>
        </is>
      </c>
      <c r="L11" s="128" t="inlineStr">
        <is>
          <t>https://www.lovethework.com/work/entries/toast-740549</t>
        </is>
      </c>
      <c r="M11" s="113" t="inlineStr">
        <is>
          <t>A print and outdoor campaign of extreme close-up images pairing Heinz products with the British foods they're most associated with — fries, chips, and toast — shot to trigger sensory food memories rather than show full meals. Created by Wieden+Kennedy London, the work runs nationwide across the United Kingdom as a masterbrand campaign built on the observation that Heinz is inseparable from the taste of specific everyday foods.</t>
        </is>
      </c>
      <c r="N11" s="113" t="inlineStr">
        <is>
          <t>condiment, print, ooh, food-photography, masterbrand, united-kingdom, consumer-goods, cpg, fmcg</t>
        </is>
      </c>
    </row>
    <row r="12">
      <c r="A12" s="127" t="n">
        <v>2025</v>
      </c>
      <c r="B12" s="136" t="inlineStr">
        <is>
          <t>Gold</t>
        </is>
      </c>
      <c r="C12" s="135" t="inlineStr">
        <is>
          <t>Scratch &amp; Sniff</t>
        </is>
      </c>
      <c r="D12" s="127" t="inlineStr">
        <is>
          <t>Axe/Lynx</t>
        </is>
      </c>
      <c r="E12" s="127" t="inlineStr">
        <is>
          <t>Deodorant</t>
        </is>
      </c>
      <c r="F12" s="127" t="inlineStr">
        <is>
          <t>LOLA MullenLowe</t>
        </is>
      </c>
      <c r="G12" s="127" t="inlineStr">
        <is>
          <t>Spain</t>
        </is>
      </c>
      <c r="H12" s="113" t="inlineStr">
        <is>
          <t>C01 - Displays</t>
        </is>
      </c>
      <c r="I12" s="128" t="inlineStr">
        <is>
          <t>https://ascentialcdn.filespin.io/api/v1/conversion/a4189a00c22b49558f6796c1b0fdf90c</t>
        </is>
      </c>
      <c r="J12" s="127" t="inlineStr">
        <is>
          <t>L5RfU7Jmoug</t>
        </is>
      </c>
      <c r="K12" s="127" t="n"/>
      <c r="L12" s="128" t="inlineStr">
        <is>
          <t>https://www.lovethework.com/work/entries/scratch-sniff-740665</t>
        </is>
      </c>
      <c r="M12" s="113" t="inlineStr">
        <is>
          <t>Scratch-and-sniff OOH panels placed in ambient locations to launch Axe/Lynx's new Lower Body Spray — a fine fragrance designed specifically for the groin area. The displays invited passersby to scratch the panel and smell the product, turning a taboo self-checking habit into a direct fragrance sampling mechanic.</t>
        </is>
      </c>
      <c r="N12" s="113" t="inlineStr">
        <is>
          <t>deodorant, personal-care, beauty, ooh, ambient, experiential, scent, sampling, spain, displays</t>
        </is>
      </c>
    </row>
    <row r="13">
      <c r="A13" s="127" t="n">
        <v>2025</v>
      </c>
      <c r="B13" s="136" t="inlineStr">
        <is>
          <t>Gold</t>
        </is>
      </c>
      <c r="C13" s="135" t="inlineStr">
        <is>
          <t>Shades of Red</t>
        </is>
      </c>
      <c r="D13" s="127" t="inlineStr">
        <is>
          <t>Coca-Cola</t>
        </is>
      </c>
      <c r="E13" s="127" t="inlineStr">
        <is>
          <t>Coca-Cola Company</t>
        </is>
      </c>
      <c r="F13" s="127" t="inlineStr">
        <is>
          <t>David</t>
        </is>
      </c>
      <c r="G13" s="127" t="inlineStr">
        <is>
          <t>Spain</t>
        </is>
      </c>
      <c r="H13" s="113" t="inlineStr">
        <is>
          <t>C03 - Special Build</t>
        </is>
      </c>
      <c r="I13" s="128" t="inlineStr">
        <is>
          <t>https://ascentialcdn.filespin.io/api/v1/conversion/b9b1ac806434448cb6648aa308f263db</t>
        </is>
      </c>
      <c r="J13" s="127" t="inlineStr">
        <is>
          <t>vimeo:1083484983</t>
        </is>
      </c>
      <c r="K13" s="127" t="inlineStr">
        <is>
          <t>coca-cola-shades-of-red</t>
        </is>
      </c>
      <c r="L13" s="128" t="inlineStr">
        <is>
          <t>https://www.lovethework.com/work/entries/shades-of-red-740785</t>
        </is>
      </c>
      <c r="M13" s="113" t="inlineStr">
        <is>
          <t>A program that retired 12,700 sun-faded red awnings from Mexico's small 'tiendita' corner stores and replaced them. Each shop's old awning was repurposed into branded billboards and merch, and Coca-Cola pressed a limited run of cans whose label color matched the exact, faded shade of red on each shop's awning.</t>
        </is>
      </c>
      <c r="N13" s="113" t="inlineStr">
        <is>
          <t>retail, ooh, packaging, partnership, small-business, mexico, beverage, drinks, single-market</t>
        </is>
      </c>
    </row>
    <row r="14">
      <c r="A14" s="127" t="n">
        <v>2025</v>
      </c>
      <c r="B14" s="136" t="inlineStr">
        <is>
          <t>Gold</t>
        </is>
      </c>
      <c r="C14" s="135" t="inlineStr">
        <is>
          <t>Missed Birthdays</t>
        </is>
      </c>
      <c r="D14" s="127" t="inlineStr">
        <is>
          <t>Itv X Calm</t>
        </is>
      </c>
      <c r="E14" s="127" t="inlineStr">
        <is>
          <t>Itv X Calm</t>
        </is>
      </c>
      <c r="F14" s="127" t="inlineStr">
        <is>
          <t>adam&amp;eveDDB</t>
        </is>
      </c>
      <c r="G14" s="127" t="inlineStr">
        <is>
          <t>United Kingdom</t>
        </is>
      </c>
      <c r="H14" s="113" t="inlineStr">
        <is>
          <t>C04 - Live Advertising and Events</t>
        </is>
      </c>
      <c r="I14" s="128" t="inlineStr">
        <is>
          <t>https://ascentialcdn.filespin.io/api/v1/conversion/238b3e3f0aab4c3fa9adf2b23d50eab3</t>
        </is>
      </c>
      <c r="J14" s="127" t="inlineStr">
        <is>
          <t>ifZVZ4fX4gg</t>
        </is>
      </c>
      <c r="K14" s="127" t="n"/>
      <c r="L14" s="128" t="inlineStr">
        <is>
          <t>https://www.lovethework.com/work/entries/missed-birthdays-740958</t>
        </is>
      </c>
      <c r="M14"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14" s="113" t="inlineStr">
        <is>
          <t>live-advertising, television, mental-health, healthcare, medical, suicide-prevention, public-service, united-kingdom, charity, broadcast, entertainment</t>
        </is>
      </c>
    </row>
    <row r="15">
      <c r="A15" s="127" t="n">
        <v>2025</v>
      </c>
      <c r="B15" s="136" t="inlineStr">
        <is>
          <t>Gold</t>
        </is>
      </c>
      <c r="C15" s="135" t="inlineStr">
        <is>
          <t>Tracking Bad Bunny</t>
        </is>
      </c>
      <c r="D15" s="127" t="inlineStr">
        <is>
          <t>Rimas Music</t>
        </is>
      </c>
      <c r="E15" s="127" t="inlineStr">
        <is>
          <t>Bad Bunny</t>
        </is>
      </c>
      <c r="F15" s="127" t="inlineStr">
        <is>
          <t>DDB Latina Puerto Rico</t>
        </is>
      </c>
      <c r="G15" s="127" t="inlineStr">
        <is>
          <t>Puerto Rico</t>
        </is>
      </c>
      <c r="H15" s="113" t="inlineStr">
        <is>
          <t>C05 - Interactive Experiences</t>
        </is>
      </c>
      <c r="I15" s="128" t="inlineStr">
        <is>
          <t>https://ascentialcdn.filespin.io/api/v1/conversion/8c433c0437494277a7cb3b8c1148b82c</t>
        </is>
      </c>
      <c r="J15" s="127" t="inlineStr">
        <is>
          <t>-3Aq3u6EJZ4</t>
        </is>
      </c>
      <c r="K15" s="127" t="n"/>
      <c r="L15" s="128" t="inlineStr">
        <is>
          <t>https://www.lovethework.com/work/entries/tracking-bad-bunny-759229</t>
        </is>
      </c>
      <c r="M15"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15" s="113" t="inlineStr">
        <is>
          <t>music, entertainment, interactive-experience, gps, scavenger-hunt, mobile, puerto-rico, album-launch, fan-engagement</t>
        </is>
      </c>
    </row>
    <row r="16">
      <c r="A16" s="127" t="n">
        <v>2025</v>
      </c>
      <c r="B16" s="136" t="inlineStr">
        <is>
          <t>Gold</t>
        </is>
      </c>
      <c r="C16" s="135" t="inlineStr">
        <is>
          <t>Gulf of Mexico (Bar)</t>
        </is>
      </c>
      <c r="D16" s="127" t="inlineStr">
        <is>
          <t>Tecate</t>
        </is>
      </c>
      <c r="E16" s="127" t="inlineStr">
        <is>
          <t>Tecate Light</t>
        </is>
      </c>
      <c r="F16" s="127" t="inlineStr">
        <is>
          <t>LePub</t>
        </is>
      </c>
      <c r="G16" s="127" t="inlineStr">
        <is>
          <t>Mexico</t>
        </is>
      </c>
      <c r="H16" s="113" t="inlineStr">
        <is>
          <t>E01 - Local Brand</t>
        </is>
      </c>
      <c r="I16" s="128" t="inlineStr">
        <is>
          <t>https://ascentialcdn.filespin.io/api/v1/conversion/afa88aa8421b41a18c68b9863bb6926c</t>
        </is>
      </c>
      <c r="J16" s="127" t="inlineStr">
        <is>
          <t>TFbAS7weMR8</t>
        </is>
      </c>
      <c r="K16" s="127" t="n"/>
      <c r="L16" s="128" t="inlineStr">
        <is>
          <t>https://www.lovethework.com/work/entries/gulf-of-mexico-bar-741350</t>
        </is>
      </c>
      <c r="M16"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6" s="113" t="inlineStr">
        <is>
          <t>ooh, brand-stunt, political-commentary, beer, alcohol, packaging, mexico, branded-venue, special-edition</t>
        </is>
      </c>
    </row>
    <row r="17">
      <c r="A17" s="127" t="n">
        <v>2025</v>
      </c>
      <c r="B17" s="136" t="inlineStr">
        <is>
          <t>Gold</t>
        </is>
      </c>
      <c r="C17" s="135" t="inlineStr">
        <is>
          <t>Price Packs</t>
        </is>
      </c>
      <c r="D17" s="127" t="inlineStr">
        <is>
          <t>Penny</t>
        </is>
      </c>
      <c r="E17" s="127" t="inlineStr">
        <is>
          <t>Food/Non-Food</t>
        </is>
      </c>
      <c r="F17" s="127" t="inlineStr">
        <is>
          <t>Serviceplan Germany</t>
        </is>
      </c>
      <c r="G17" s="127" t="inlineStr">
        <is>
          <t>Germany</t>
        </is>
      </c>
      <c r="H17" s="113" t="inlineStr">
        <is>
          <t>E02 - Challenger Brand</t>
        </is>
      </c>
      <c r="I17" s="128" t="inlineStr">
        <is>
          <t>https://ascentialcdn.filespin.io/api/v1/conversion/67b6df2a0fe64deeb274c91d50040c54</t>
        </is>
      </c>
      <c r="J17" s="127" t="inlineStr">
        <is>
          <t>cnAXR4lk6R0</t>
        </is>
      </c>
      <c r="K17" s="127" t="n"/>
      <c r="L17" s="128" t="inlineStr">
        <is>
          <t>https://www.lovethework.com/work/entries/price-packs-741243</t>
        </is>
      </c>
      <c r="M17"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7" s="113" t="inlineStr">
        <is>
          <t>packaging, retail, ooh, supermarket, grocery, design, price, germany, market-disruption</t>
        </is>
      </c>
    </row>
    <row r="18">
      <c r="A18" s="127" t="n">
        <v>2025</v>
      </c>
      <c r="B18" s="136" t="inlineStr">
        <is>
          <t>Gold</t>
        </is>
      </c>
      <c r="C18" s="135" t="inlineStr">
        <is>
          <t>Lucky Yatra</t>
        </is>
      </c>
      <c r="D18" s="127" t="inlineStr">
        <is>
          <t>Indian Railways</t>
        </is>
      </c>
      <c r="E18" s="127" t="inlineStr">
        <is>
          <t>Railway Service</t>
        </is>
      </c>
      <c r="F18" s="127" t="inlineStr">
        <is>
          <t>FCB India</t>
        </is>
      </c>
      <c r="G18" s="127" t="inlineStr">
        <is>
          <t>India</t>
        </is>
      </c>
      <c r="H18" s="113" t="inlineStr">
        <is>
          <t>E04 - Social Behaviour</t>
        </is>
      </c>
      <c r="I18" s="128" t="inlineStr">
        <is>
          <t>https://ascentialcdn.filespin.io/api/v1/conversion/7771593e59654e55b2c0654f5d61ec8e</t>
        </is>
      </c>
      <c r="J18" s="127" t="inlineStr">
        <is>
          <t>IYJlZRbvMEw</t>
        </is>
      </c>
      <c r="K18" s="127" t="n"/>
      <c r="L18" s="128" t="inlineStr">
        <is>
          <t>https://www.lovethework.com/work/entries/lucky-yatra-741463</t>
        </is>
      </c>
      <c r="M18"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18" s="113" t="inlineStr">
        <is>
          <t>railway-service, loyalty-program, public-service, mobile-app, india, gamification, ticketing</t>
        </is>
      </c>
    </row>
    <row r="19">
      <c r="A19" s="127" t="n">
        <v>2025</v>
      </c>
      <c r="B19" s="137" t="inlineStr">
        <is>
          <t>Silver</t>
        </is>
      </c>
      <c r="C19" s="135" t="inlineStr">
        <is>
          <t>Windsurf</t>
        </is>
      </c>
      <c r="D19" s="127" t="inlineStr">
        <is>
          <t>Cornetto</t>
        </is>
      </c>
      <c r="E19" s="127" t="inlineStr">
        <is>
          <t>Cornetto Ice Cream</t>
        </is>
      </c>
      <c r="F19" s="127" t="inlineStr">
        <is>
          <t>LOLA MullenLowe</t>
        </is>
      </c>
      <c r="G19" s="127" t="inlineStr">
        <is>
          <t>Spain</t>
        </is>
      </c>
      <c r="H19" s="113" t="inlineStr">
        <is>
          <t>B01 - Consumer Goods</t>
        </is>
      </c>
      <c r="I19" s="128" t="inlineStr">
        <is>
          <t>https://ascentialcdn.filespin.io/api/v1/conversion/2f9ebcc7b9ec4ad9a4dcf79bd56fa88b</t>
        </is>
      </c>
      <c r="J19" s="127" t="inlineStr">
        <is>
          <t>hWhvFLwHOlE</t>
        </is>
      </c>
      <c r="K19" s="127" t="inlineStr">
        <is>
          <t>cornetto-b01-consumer-goods</t>
        </is>
      </c>
      <c r="L19" s="128" t="inlineStr">
        <is>
          <t>https://www.lovethework.com/work/entries/windsurf-740535</t>
        </is>
      </c>
      <c r="M19" s="113" t="inlineStr">
        <is>
          <t>A series of outdoor print ads for Cornetto in Spain, each built around the shape of an unwrapped Cornetto cone used as the central graphic element — the wafer tip and chocolate base forming the hull of a boat, the body of a windsurfer, the arc of a wave, and the silhouette of a diver. Each execution in the "Unwrap It" campaign uses only the product's own geometry to construct a summer scene, with no additional illustration.</t>
        </is>
      </c>
      <c r="N19" s="113" t="inlineStr">
        <is>
          <t>ice-cream, ooh, print, outdoor, illustration, spain, summer, product-as-image, graphic-design</t>
        </is>
      </c>
    </row>
    <row r="20">
      <c r="A20" s="127" t="n">
        <v>2025</v>
      </c>
      <c r="B20" s="137" t="inlineStr">
        <is>
          <t>Silver</t>
        </is>
      </c>
      <c r="C20" s="135" t="inlineStr">
        <is>
          <t>Surfer</t>
        </is>
      </c>
      <c r="D20" s="127" t="inlineStr">
        <is>
          <t>Cornetto</t>
        </is>
      </c>
      <c r="E20" s="127" t="inlineStr">
        <is>
          <t>Cornetto Ice Cream</t>
        </is>
      </c>
      <c r="F20" s="127" t="inlineStr">
        <is>
          <t>LOLA MullenLowe</t>
        </is>
      </c>
      <c r="G20" s="127" t="inlineStr">
        <is>
          <t>Spain</t>
        </is>
      </c>
      <c r="H20" s="113" t="inlineStr">
        <is>
          <t>B01 - Consumer Goods</t>
        </is>
      </c>
      <c r="I20" s="128" t="inlineStr">
        <is>
          <t>https://ascentialcdn.filespin.io/api/v1/conversion/9ceaf650a007496f90b6d5670786b4df</t>
        </is>
      </c>
      <c r="J20" s="127" t="inlineStr">
        <is>
          <t>hWhvFLwHOlE</t>
        </is>
      </c>
      <c r="K20" s="127" t="inlineStr">
        <is>
          <t>cornetto-b01-consumer-goods</t>
        </is>
      </c>
      <c r="L20" s="128" t="inlineStr">
        <is>
          <t>https://www.lovethework.com/work/entries/surfer-740546</t>
        </is>
      </c>
      <c r="M20"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20" s="113" t="inlineStr">
        <is>
          <t>ice-cream, print, ooh, packaging, outdoor, graphic-design, spain, consumer-goods, cpg, fmcg</t>
        </is>
      </c>
    </row>
    <row r="21">
      <c r="A21" s="127" t="n">
        <v>2025</v>
      </c>
      <c r="B21" s="137" t="inlineStr">
        <is>
          <t>Silver</t>
        </is>
      </c>
      <c r="C21" s="135" t="inlineStr">
        <is>
          <t>Waves</t>
        </is>
      </c>
      <c r="D21" s="127" t="inlineStr">
        <is>
          <t>Cornetto</t>
        </is>
      </c>
      <c r="E21" s="127" t="inlineStr">
        <is>
          <t>Cornetto Ice Cream</t>
        </is>
      </c>
      <c r="F21" s="127" t="inlineStr">
        <is>
          <t>LOLA MullenLowe</t>
        </is>
      </c>
      <c r="G21" s="127" t="inlineStr">
        <is>
          <t>Spain</t>
        </is>
      </c>
      <c r="H21" s="113" t="inlineStr">
        <is>
          <t>B01 - Consumer Goods</t>
        </is>
      </c>
      <c r="I21" s="128" t="inlineStr">
        <is>
          <t>https://ascentialcdn.filespin.io/api/v1/conversion/35c567148f6e40e1a267849bde62ba92</t>
        </is>
      </c>
      <c r="J21" s="127" t="inlineStr">
        <is>
          <t>hWhvFLwHOlE</t>
        </is>
      </c>
      <c r="K21" s="127" t="inlineStr">
        <is>
          <t>cornetto-b01-consumer-goods</t>
        </is>
      </c>
      <c r="L21" s="128" t="inlineStr">
        <is>
          <t>https://www.lovethework.com/work/entries/waves-740554</t>
        </is>
      </c>
      <c r="M21"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1" s="113" t="inlineStr">
        <is>
          <t>ice-cream, print, ooh, packaging, collage, summer, spain, consumer-goods, cpg, fmcg</t>
        </is>
      </c>
    </row>
    <row r="22">
      <c r="A22" s="127" t="n">
        <v>2025</v>
      </c>
      <c r="B22" s="137" t="inlineStr">
        <is>
          <t>Silver</t>
        </is>
      </c>
      <c r="C22" s="135" t="inlineStr">
        <is>
          <t>Boat</t>
        </is>
      </c>
      <c r="D22" s="127" t="inlineStr">
        <is>
          <t>Cornetto</t>
        </is>
      </c>
      <c r="E22" s="127" t="inlineStr">
        <is>
          <t>Cornetto Ice Cream</t>
        </is>
      </c>
      <c r="F22" s="127" t="inlineStr">
        <is>
          <t>LOLA MullenLowe</t>
        </is>
      </c>
      <c r="G22" s="127" t="inlineStr">
        <is>
          <t>Spain</t>
        </is>
      </c>
      <c r="H22" s="113" t="inlineStr">
        <is>
          <t>B01 - Consumer Goods</t>
        </is>
      </c>
      <c r="I22" s="128" t="inlineStr">
        <is>
          <t>https://ascentialcdn.filespin.io/api/v1/conversion/3a177c8b37754037a19ddf0d99c858db</t>
        </is>
      </c>
      <c r="J22" s="127" t="inlineStr">
        <is>
          <t>hWhvFLwHOlE</t>
        </is>
      </c>
      <c r="K22" s="127" t="inlineStr">
        <is>
          <t>cornetto-b01-consumer-goods</t>
        </is>
      </c>
      <c r="L22" s="128" t="inlineStr">
        <is>
          <t>https://www.lovethework.com/work/entries/boat-740365</t>
        </is>
      </c>
      <c r="M22"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22" s="113" t="inlineStr">
        <is>
          <t>ice-cream, print, outdoor, packaging, illustration, spain, consumer-goods, cpg, fmcg, ooh</t>
        </is>
      </c>
    </row>
    <row r="23">
      <c r="A23" s="127" t="n">
        <v>2025</v>
      </c>
      <c r="B23" s="137" t="inlineStr">
        <is>
          <t>Silver</t>
        </is>
      </c>
      <c r="C23" s="135" t="inlineStr">
        <is>
          <t>Bundles of Joy OOH2</t>
        </is>
      </c>
      <c r="D23" s="127" t="inlineStr">
        <is>
          <t>Burger King UK</t>
        </is>
      </c>
      <c r="E23" s="127" t="inlineStr">
        <is>
          <t>Whopper</t>
        </is>
      </c>
      <c r="F23" s="127" t="inlineStr">
        <is>
          <t>BBH</t>
        </is>
      </c>
      <c r="G23" s="127" t="inlineStr">
        <is>
          <t>United Kingdom</t>
        </is>
      </c>
      <c r="H23" s="113" t="inlineStr">
        <is>
          <t>B04 - Travel, Leisure, Retail, Restaurants &amp; Fast-Food Chains</t>
        </is>
      </c>
      <c r="I23" s="127" t="inlineStr">
        <is>
          <t>digital-presentation-images/outdoor-burger-king-bundles-of-joy-ooh2.webp</t>
        </is>
      </c>
      <c r="J23" s="127" t="inlineStr">
        <is>
          <t>aVzEfsIC9KQ</t>
        </is>
      </c>
      <c r="K23" s="127" t="inlineStr">
        <is>
          <t>burger-king-uk-b04-travel-leisure-retail-restaurants-fast-food-chains</t>
        </is>
      </c>
      <c r="L23" s="128" t="inlineStr">
        <is>
          <t>https://www.lovethework.com/work/entries/bundles-of-joy-ooh2-740450</t>
        </is>
      </c>
      <c r="M23" s="113" t="inlineStr">
        <is>
          <t>A print and out-of-home series showing new mothers eating Whoppers in hospital beds, newborns resting in their arms, with delivery timestamps overlaid — "Arrived at 14:07" — blurring the language of food delivery and childbirth. Created by BBH London, the campaign positions the Burger King app as the first meal a mother orders the moment labour is over.</t>
        </is>
      </c>
      <c r="N23" s="113" t="inlineStr">
        <is>
          <t>qsr, fast-food, restaurant, food, ooh, print, food-delivery, ecommerce, retail, online-shopping, mobile-app, united-kingdom, photography, parenting, family</t>
        </is>
      </c>
    </row>
    <row r="24">
      <c r="A24" s="127" t="n">
        <v>2025</v>
      </c>
      <c r="B24" s="137" t="inlineStr">
        <is>
          <t>Silver</t>
        </is>
      </c>
      <c r="C24" s="135" t="inlineStr">
        <is>
          <t>Bundles of Joy OOH1</t>
        </is>
      </c>
      <c r="D24" s="127" t="inlineStr">
        <is>
          <t>Burger King UK</t>
        </is>
      </c>
      <c r="E24" s="127" t="inlineStr">
        <is>
          <t>Whopper</t>
        </is>
      </c>
      <c r="F24" s="127" t="inlineStr">
        <is>
          <t>BBH</t>
        </is>
      </c>
      <c r="G24" s="127" t="inlineStr">
        <is>
          <t>United Kingdom</t>
        </is>
      </c>
      <c r="H24" s="113" t="inlineStr">
        <is>
          <t>B04 - Travel, Leisure, Retail, Restaurants &amp; Fast-Food Chains</t>
        </is>
      </c>
      <c r="I24" s="127" t="inlineStr">
        <is>
          <t>digital-presentation-images/outdoor-burger-king-bundles-of-joy-ooh1.webp</t>
        </is>
      </c>
      <c r="J24" s="127" t="inlineStr">
        <is>
          <t>aVzEfsIC9KQ</t>
        </is>
      </c>
      <c r="K24" s="127" t="inlineStr">
        <is>
          <t>burger-king-uk-b04-travel-leisure-retail-restaurants-fast-food-chains</t>
        </is>
      </c>
      <c r="L24" s="128" t="inlineStr">
        <is>
          <t>https://www.lovethework.com/work/entries/bundles-of-joy-ooh1-740460</t>
        </is>
      </c>
      <c r="M24" s="113" t="inlineStr">
        <is>
          <t>A print OOH ad showing a new mother in a hospital bed holding her newborn with one arm and eating a Whopper with the other hand, captioned "Arrived at 18:51." The image uses the format of a birth announcement to position a Burger King delivery order as the first meal after labour.</t>
        </is>
      </c>
      <c r="N24" s="113" t="inlineStr">
        <is>
          <t>qsr, fast-food, restaurant, food, ooh, print, whopper, united-kingdom, food-delivery, ecommerce, retail, online-shopping, burger-king, bbh</t>
        </is>
      </c>
    </row>
    <row r="25">
      <c r="A25" s="127" t="n">
        <v>2025</v>
      </c>
      <c r="B25" s="137" t="inlineStr">
        <is>
          <t>Silver</t>
        </is>
      </c>
      <c r="C25" s="135" t="inlineStr">
        <is>
          <t>Bundles of Joy OOH4</t>
        </is>
      </c>
      <c r="D25" s="127" t="inlineStr">
        <is>
          <t>Burger King UK</t>
        </is>
      </c>
      <c r="E25" s="127" t="inlineStr">
        <is>
          <t>Whopper</t>
        </is>
      </c>
      <c r="F25" s="127" t="inlineStr">
        <is>
          <t>BBH</t>
        </is>
      </c>
      <c r="G25" s="127" t="inlineStr">
        <is>
          <t>United Kingdom</t>
        </is>
      </c>
      <c r="H25" s="113" t="inlineStr">
        <is>
          <t>B04 - Travel, Leisure, Retail, Restaurants &amp; Fast-Food Chains</t>
        </is>
      </c>
      <c r="I25" s="127" t="inlineStr">
        <is>
          <t>digital-presentation-images/outdoor-burger-king-bundles-of-joy-ooh4.webp</t>
        </is>
      </c>
      <c r="J25" s="127" t="inlineStr">
        <is>
          <t>aVzEfsIC9KQ</t>
        </is>
      </c>
      <c r="K25" s="127" t="inlineStr">
        <is>
          <t>burger-king-uk-b04-travel-leisure-retail-restaurants-fast-food-chains</t>
        </is>
      </c>
      <c r="L25" s="128" t="inlineStr">
        <is>
          <t>https://www.lovethework.com/work/entries/bundles-of-joy-ooh4-740466</t>
        </is>
      </c>
      <c r="M25" s="113" t="inlineStr">
        <is>
          <t>A series of out-of-home portraits showing new mothers eating a Whopper in their hospital bed, newborn in arm, with a timestamp captioned "Arrived at 17:35" — the Whopper's arrival, not the baby's. Created by BBH London, the campaign positions the Whopper as the first thing a mother reaches for after giving birth.</t>
        </is>
      </c>
      <c r="N25" s="113" t="inlineStr">
        <is>
          <t>quick-service-restaurant, ooh, whopper, united-kingdom, bbh, postpartum, burger-king, print</t>
        </is>
      </c>
    </row>
    <row r="26">
      <c r="A26" s="127" t="n">
        <v>2025</v>
      </c>
      <c r="B26" s="137" t="inlineStr">
        <is>
          <t>Silver</t>
        </is>
      </c>
      <c r="C26" s="135" t="inlineStr">
        <is>
          <t>Bundles of Joy OOH3</t>
        </is>
      </c>
      <c r="D26" s="127" t="inlineStr">
        <is>
          <t>Burger King UK</t>
        </is>
      </c>
      <c r="E26" s="127" t="inlineStr">
        <is>
          <t>Whopper</t>
        </is>
      </c>
      <c r="F26" s="127" t="inlineStr">
        <is>
          <t>BBH</t>
        </is>
      </c>
      <c r="G26" s="127" t="inlineStr">
        <is>
          <t>United Kingdom</t>
        </is>
      </c>
      <c r="H26" s="113" t="inlineStr">
        <is>
          <t>B04 - Travel, Leisure, Retail, Restaurants &amp; Fast-Food Chains</t>
        </is>
      </c>
      <c r="I26" s="127" t="inlineStr">
        <is>
          <t>digital-presentation-images/outdoor-burger-king-bundles-of-joy-ooh3.webp</t>
        </is>
      </c>
      <c r="J26" s="127" t="inlineStr">
        <is>
          <t>aVzEfsIC9KQ</t>
        </is>
      </c>
      <c r="K26" s="127" t="inlineStr">
        <is>
          <t>burger-king-uk-b04-travel-leisure-retail-restaurants-fast-food-chains</t>
        </is>
      </c>
      <c r="L26" s="128" t="inlineStr">
        <is>
          <t>https://www.lovethework.com/work/entries/bundles-of-joy-ooh3-762361</t>
        </is>
      </c>
      <c r="M26" s="113" t="inlineStr">
        <is>
          <t>A print and out-of-home campaign built around candid, documentary-style photographs of new mothers eating a Whopper in their hospital bed, newborn in arms, with a timestamp showing how soon after giving birth the burger arrived. Created by BBH London, the work positions Burger King delivery as the first meal a new mother reaches for once labour is over.</t>
        </is>
      </c>
      <c r="N26" s="113" t="inlineStr">
        <is>
          <t>qsr, fast-food, restaurant, food, ooh, print, burger-king, food-delivery, ecommerce, retail, online-shopping, united-kingdom, bbh, maternity, photography</t>
        </is>
      </c>
    </row>
    <row r="27">
      <c r="A27" s="127" t="n">
        <v>2025</v>
      </c>
      <c r="B27" s="137" t="inlineStr">
        <is>
          <t>Silver</t>
        </is>
      </c>
      <c r="C27" s="135" t="inlineStr">
        <is>
          <t>'Til I Died</t>
        </is>
      </c>
      <c r="D27" s="127" t="inlineStr">
        <is>
          <t>British Heart Foundation</t>
        </is>
      </c>
      <c r="E27" s="127" t="inlineStr">
        <is>
          <t>British Heart Foundation</t>
        </is>
      </c>
      <c r="F27" s="127" t="inlineStr">
        <is>
          <t>Saatchi &amp; Saatchi</t>
        </is>
      </c>
      <c r="G27" s="127" t="inlineStr">
        <is>
          <t>United Kingdom</t>
        </is>
      </c>
      <c r="H27" s="113" t="inlineStr">
        <is>
          <t>C01 - Displays</t>
        </is>
      </c>
      <c r="I27" s="128" t="inlineStr">
        <is>
          <t>https://ascentialcdn.filespin.io/api/v1/conversion/7c797fcbd4784d318b810a3e30777a8a</t>
        </is>
      </c>
      <c r="J27" s="127" t="inlineStr">
        <is>
          <t>jB_R0uQ_qcg</t>
        </is>
      </c>
      <c r="K27" s="127" t="n"/>
      <c r="L27" s="128" t="inlineStr">
        <is>
          <t>https://www.lovethework.com/work/entries/til-i-died-740701</t>
        </is>
      </c>
      <c r="M27" s="113" t="inlineStr">
        <is>
          <t>Outdoor displays placed in and around UK football stadiums that commemorated named young fans — Tom, Jenny, Myles — who died from cardiac arrest, framed as first-person messages from the deceased written in the style of fan tributes. Each execution used the visual language of supporter culture to surface the fact that sudden cardiac arrest kills young people, using real individuals' stories rather than statistics.</t>
        </is>
      </c>
      <c r="N27" s="113" t="inlineStr">
        <is>
          <t>british-heart-foundation, ooh, charity, football, soccer, sport, out-of-home, public-health, united-kingdom, ambient, fan-culture</t>
        </is>
      </c>
    </row>
    <row r="28">
      <c r="A28" s="127" t="n">
        <v>2025</v>
      </c>
      <c r="B28" s="137" t="inlineStr">
        <is>
          <t>Silver</t>
        </is>
      </c>
      <c r="C28" s="135" t="inlineStr">
        <is>
          <t>Winter Takes on Colors</t>
        </is>
      </c>
      <c r="D28" s="127" t="inlineStr">
        <is>
          <t>McDonald's Polska</t>
        </is>
      </c>
      <c r="E28" s="127" t="inlineStr">
        <is>
          <t>Drwala Burger (Limited Timed Offer)</t>
        </is>
      </c>
      <c r="F28" s="127" t="inlineStr">
        <is>
          <t>DDB Warsaw</t>
        </is>
      </c>
      <c r="G28" s="127" t="inlineStr">
        <is>
          <t>Poland</t>
        </is>
      </c>
      <c r="H28" s="113" t="inlineStr">
        <is>
          <t>C03 - Special Build</t>
        </is>
      </c>
      <c r="I28" s="128" t="inlineStr">
        <is>
          <t>https://ascentialcdn.filespin.io/api/v1/conversion/5c6b7faa74e6455a830e3ef1f22b78d7</t>
        </is>
      </c>
      <c r="J28" s="127" t="inlineStr">
        <is>
          <t>qcSHtBgAB6o</t>
        </is>
      </c>
      <c r="K28" s="127" t="n"/>
      <c r="L28" s="128" t="inlineStr">
        <is>
          <t>https://www.lovethework.com/work/entries/winter-takes-on-colors-740759</t>
        </is>
      </c>
      <c r="M28"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28" s="113" t="inlineStr">
        <is>
          <t>qsr, fast-food, restaurant, food, retail-experience, branded-merch, craft, fashion, poland, seasonal, ooh</t>
        </is>
      </c>
    </row>
    <row r="29">
      <c r="A29" s="127" t="n">
        <v>2025</v>
      </c>
      <c r="B29" s="137" t="inlineStr">
        <is>
          <t>Silver</t>
        </is>
      </c>
      <c r="C29" s="135" t="inlineStr">
        <is>
          <t>Night Signals</t>
        </is>
      </c>
      <c r="D29" s="127" t="inlineStr">
        <is>
          <t>Chevrolet Dominican Republic</t>
        </is>
      </c>
      <c r="E29" s="127" t="inlineStr">
        <is>
          <t>Chevrolet</t>
        </is>
      </c>
      <c r="F29" s="127" t="inlineStr">
        <is>
          <t>Ogilvy Dominican Republic</t>
        </is>
      </c>
      <c r="G29" s="127" t="inlineStr">
        <is>
          <t>Dominican Republic</t>
        </is>
      </c>
      <c r="H29" s="113" t="inlineStr">
        <is>
          <t>C06 - Transit</t>
        </is>
      </c>
      <c r="I29" s="128" t="inlineStr">
        <is>
          <t>https://ascentialcdn.filespin.io/api/v1/conversion/08a2258d5d1348b1bc8f6014ff0c6655</t>
        </is>
      </c>
      <c r="J29" s="127" t="inlineStr">
        <is>
          <t>XVCXMuUU9s8</t>
        </is>
      </c>
      <c r="K29" s="127" t="n"/>
      <c r="L29" s="128" t="inlineStr">
        <is>
          <t>https://www.lovethework.com/work/entries/night-signals-741104</t>
        </is>
      </c>
      <c r="M29" s="113" t="inlineStr">
        <is>
          <t>Chevrolet dealership billboards placed along unlit road stretches in the Dominican Republic that doubled as reflective traffic signs after dark — the same printed canvas that carried daytime advertising became retroreflective road guidance for drivers at night. The campaign was built in partnership with Santo Domingo Motors, the National Institute of Transit and Land Transportation, and the Ministry of Public Works (MOPC).</t>
        </is>
      </c>
      <c r="N29" s="113" t="inlineStr">
        <is>
          <t>automotive, cars, transport, ooh, road-safety, dominican-republic, reflective, transit, public-service, out-of-home, public-private-partnership</t>
        </is>
      </c>
    </row>
    <row r="30">
      <c r="A30" s="127" t="n">
        <v>2025</v>
      </c>
      <c r="B30" s="137" t="inlineStr">
        <is>
          <t>Silver</t>
        </is>
      </c>
      <c r="C30" s="135" t="inlineStr">
        <is>
          <t>Speed Coupons</t>
        </is>
      </c>
      <c r="D30" s="127" t="inlineStr">
        <is>
          <t>Mercado Livre</t>
        </is>
      </c>
      <c r="E30" s="127" t="inlineStr">
        <is>
          <t>Mercado Livre</t>
        </is>
      </c>
      <c r="F30" s="127" t="inlineStr">
        <is>
          <t>Gut</t>
        </is>
      </c>
      <c r="G30" s="127" t="inlineStr">
        <is>
          <t>Brazil</t>
        </is>
      </c>
      <c r="H30" s="113" t="inlineStr">
        <is>
          <t>D01 - Standard Sites</t>
        </is>
      </c>
      <c r="I30" s="128" t="inlineStr">
        <is>
          <t>https://ascentialcdn.filespin.io/api/v1/conversion/7e353b967fd64b6692fd97647bd4fbd2</t>
        </is>
      </c>
      <c r="J30" s="127" t="inlineStr">
        <is>
          <t>l3Sxq8LCXZA</t>
        </is>
      </c>
      <c r="K30" s="127" t="n"/>
      <c r="L30" s="128" t="inlineStr">
        <is>
          <t>https://www.lovethework.com/work/entries/speed-coupons-741121</t>
        </is>
      </c>
      <c r="M30" s="113" t="inlineStr">
        <is>
          <t>Outdoor discount coupons placed on Brazilian speed-camera signs, timed so that drivers traveling at or below the legal speed limit could photograph the QR code and redeem a deal on Mercado Livre. The mechanic turns the roadside infrastructure that penalizes speeding into a reward for obeying it.</t>
        </is>
      </c>
      <c r="N30" s="113" t="inlineStr">
        <is>
          <t>e-commerce, ooh, ambient, qr-code, promotion, road-safety, brazil, outdoor</t>
        </is>
      </c>
    </row>
    <row r="31">
      <c r="A31" s="127" t="n">
        <v>2025</v>
      </c>
      <c r="B31" s="137" t="inlineStr">
        <is>
          <t>Silver</t>
        </is>
      </c>
      <c r="C31" s="135" t="inlineStr">
        <is>
          <t>Sun Reserve</t>
        </is>
      </c>
      <c r="D31" s="127" t="inlineStr">
        <is>
          <t>Corona</t>
        </is>
      </c>
      <c r="E31" s="127" t="inlineStr">
        <is>
          <t>Corona</t>
        </is>
      </c>
      <c r="F31" s="127" t="inlineStr">
        <is>
          <t>Grey</t>
        </is>
      </c>
      <c r="G31" s="127" t="inlineStr">
        <is>
          <t>Brazil</t>
        </is>
      </c>
      <c r="H31" s="113" t="inlineStr">
        <is>
          <t>D02 - Ambient Outdoor</t>
        </is>
      </c>
      <c r="I31" s="128" t="inlineStr">
        <is>
          <t>https://ascentialcdn.filespin.io/api/v1/conversion/652b705dcecc4cb7a72c76e4e22c80e5</t>
        </is>
      </c>
      <c r="J31" s="127" t="inlineStr">
        <is>
          <t>7i2fC6qJR2o</t>
        </is>
      </c>
      <c r="K31" s="127" t="n"/>
      <c r="L31" s="128" t="inlineStr">
        <is>
          <t>https://www.lovethework.com/work/entries/sun-reserve-741012</t>
        </is>
      </c>
      <c r="M31" s="113" t="inlineStr">
        <is>
          <t>A land lease on Piedade Beach in Pernambuco, Brazil, where Corona acquired beachfront-facing property and capped building heights to prevent future construction from blocking sunlight reaching the sand. Created by Grey São Paulo to mark the brand's 100th birthday, the lease establishes what Corona calls the world's first "Sun Reserve" — a legal mechanism to protect public access to sunlight on a beach.</t>
        </is>
      </c>
      <c r="N31" s="113" t="inlineStr">
        <is>
          <t>beer, alcohol, events-and-stunts, experiential, brazil, ooh, land-use, environmental, branded-space</t>
        </is>
      </c>
    </row>
    <row r="32">
      <c r="A32" s="127" t="n">
        <v>2025</v>
      </c>
      <c r="B32" s="137" t="inlineStr">
        <is>
          <t>Silver</t>
        </is>
      </c>
      <c r="C32" s="135" t="inlineStr">
        <is>
          <t>The Philharmonic Prints</t>
        </is>
      </c>
      <c r="D32" s="127" t="inlineStr">
        <is>
          <t>Berliner Philharmonie</t>
        </is>
      </c>
      <c r="E32" s="127" t="inlineStr">
        <is>
          <t>Berliner Philharmoniker</t>
        </is>
      </c>
      <c r="F32" s="127" t="inlineStr">
        <is>
          <t>Scholz &amp; Friends</t>
        </is>
      </c>
      <c r="G32" s="127" t="inlineStr">
        <is>
          <t>Germany</t>
        </is>
      </c>
      <c r="H32" s="113" t="inlineStr">
        <is>
          <t>E01 - Local Brand</t>
        </is>
      </c>
      <c r="I32" s="128" t="inlineStr">
        <is>
          <t>https://ascentialcdn.filespin.io/api/v1/conversion/a41ca6a9e9454bb585e089d1abcf0187</t>
        </is>
      </c>
      <c r="J32" s="127" t="inlineStr">
        <is>
          <t>6JuPo6BNhqU</t>
        </is>
      </c>
      <c r="K32" s="127" t="n"/>
      <c r="L32" s="128" t="inlineStr">
        <is>
          <t>https://www.lovethework.com/work/entries/the-philharmonic-prints-741191</t>
        </is>
      </c>
      <c r="M32" s="113" t="inlineStr">
        <is>
          <t>A series of handmade, analog artworks created by Scholz &amp; Friends Berlin to mark the 60th anniversary of the Berliner Philharmoniker's home — the Hans Scharoun-designed concert hall in Berlin. Each print isolates and foregrounds the building's characteristic formal design language, offering a close study of Scharoun's architectural vocabulary through physical, hand-crafted means.</t>
        </is>
      </c>
      <c r="N32" s="113" t="inlineStr">
        <is>
          <t>classical-music, poster, print, ooh, anniversary, germany, architecture, handmade</t>
        </is>
      </c>
    </row>
    <row r="33">
      <c r="A33" s="127" t="n">
        <v>2025</v>
      </c>
      <c r="B33" s="137" t="inlineStr">
        <is>
          <t>Silver</t>
        </is>
      </c>
      <c r="C33" s="135" t="inlineStr">
        <is>
          <t>See Them for Real</t>
        </is>
      </c>
      <c r="D33" s="127" t="inlineStr">
        <is>
          <t>Musée de l'Armée</t>
        </is>
      </c>
      <c r="E33" s="127" t="inlineStr">
        <is>
          <t>Museum</t>
        </is>
      </c>
      <c r="F33" s="127" t="inlineStr">
        <is>
          <t>Buzzman</t>
        </is>
      </c>
      <c r="G33" s="127" t="inlineStr">
        <is>
          <t>France</t>
        </is>
      </c>
      <c r="H33" s="113" t="inlineStr">
        <is>
          <t>E02 - Challenger Brand</t>
        </is>
      </c>
      <c r="I33" s="128" t="inlineStr">
        <is>
          <t>https://ascentialcdn.filespin.io/api/v1/conversion/f23ad7b894c14298b819130d99bc560f</t>
        </is>
      </c>
      <c r="J33" s="127" t="inlineStr">
        <is>
          <t>vimeo:1162577214</t>
        </is>
      </c>
      <c r="K33" s="127" t="n"/>
      <c r="L33" s="128" t="inlineStr">
        <is>
          <t>https://www.lovethework.com/work/entries/see-them-for-real-741246</t>
        </is>
      </c>
      <c r="M33" s="113" t="inlineStr">
        <is>
          <t>An OOH series placed near the Louvre, Musée d'Orsay, and Versailles that identifies objects depicted in those museums' most recognizable masterpieces — Napoleon's hat in a Louvre portrait, for instance — and flags them as artifacts held in person at the Musée de l'Armée. Each execution positions the famous painting or artwork as an incomplete half of a story, with the real object waiting a short distance away.</t>
        </is>
      </c>
      <c r="N33" s="113" t="inlineStr">
        <is>
          <t>museum, ooh, challenger-brand, direct, france, guerrilla-marketing, paris, ambient</t>
        </is>
      </c>
    </row>
    <row r="34">
      <c r="A34" s="127" t="n">
        <v>2025</v>
      </c>
      <c r="B34" s="137" t="inlineStr">
        <is>
          <t>Silver</t>
        </is>
      </c>
      <c r="C34" s="135" t="inlineStr">
        <is>
          <t>Bumpboards</t>
        </is>
      </c>
      <c r="D34" s="127" t="inlineStr">
        <is>
          <t>Citroen</t>
        </is>
      </c>
      <c r="E34" s="127" t="inlineStr">
        <is>
          <t>Citroen</t>
        </is>
      </c>
      <c r="F34" s="127" t="inlineStr">
        <is>
          <t>BETC</t>
        </is>
      </c>
      <c r="G34" s="127" t="inlineStr">
        <is>
          <t>France</t>
        </is>
      </c>
      <c r="H34" s="113" t="inlineStr">
        <is>
          <t>E03 - Single-Market Campaign</t>
        </is>
      </c>
      <c r="I34" s="128" t="inlineStr">
        <is>
          <t>https://ascentialcdn.filespin.io/api/v1/conversion/51f7223ae6f6484caace1b6d0e8df74c</t>
        </is>
      </c>
      <c r="J34" s="127" t="inlineStr">
        <is>
          <t>Qh8iW06HWYI</t>
        </is>
      </c>
      <c r="K34" s="127" t="n"/>
      <c r="L34" s="128" t="inlineStr">
        <is>
          <t>https://www.lovethework.com/work/entries/bumpboards-741287</t>
        </is>
      </c>
      <c r="M34" s="113" t="inlineStr">
        <is>
          <t>A road infrastructure swap in which Citroën, working with BETC Paris, replaced illegal rubber speed bumps — banned in France since 2009 for being dangerously slippery in rain, but still widespread because small municipalities lack upgrade budgets — with compliant, branded alternatives funded at the cost of a billboard placement. Citroën has invited French town halls to apply for installations, with new deployments continuing through 2025.</t>
        </is>
      </c>
      <c r="N34" s="113" t="inlineStr">
        <is>
          <t>automotive, cars, transport, ooh, public-safety, road-infrastructure, france, branded-environment, single-market</t>
        </is>
      </c>
    </row>
    <row r="35">
      <c r="A35" s="127" t="n">
        <v>2025</v>
      </c>
      <c r="B35" s="137" t="inlineStr">
        <is>
          <t>Silver</t>
        </is>
      </c>
      <c r="C35" s="135" t="inlineStr">
        <is>
          <t>Balikbayan Magic: Philippine Oriental Food Market</t>
        </is>
      </c>
      <c r="D35" s="127" t="inlineStr">
        <is>
          <t>Coca-Cola</t>
        </is>
      </c>
      <c r="E35" s="127" t="inlineStr">
        <is>
          <t>Coca-Cola</t>
        </is>
      </c>
      <c r="F35" s="127" t="inlineStr">
        <is>
          <t>VML</t>
        </is>
      </c>
      <c r="G35" s="127" t="inlineStr">
        <is>
          <t>Canada</t>
        </is>
      </c>
      <c r="H35" s="113" t="inlineStr">
        <is>
          <t>E04 - Social Behaviour</t>
        </is>
      </c>
      <c r="I35" s="127" t="inlineStr">
        <is>
          <t>digital-presentation-images/outdoor-coca-cola-balikbayan-magic-philippine-oriental-food-market.webp</t>
        </is>
      </c>
      <c r="J35" s="127" t="inlineStr">
        <is>
          <t>8WbE3jyFeM8</t>
        </is>
      </c>
      <c r="K35" s="127" t="n"/>
      <c r="L35" s="128" t="inlineStr">
        <is>
          <t>https://www.lovethework.com/work/entries/balikbayan-magic-philippine-oriental-food-market-741455</t>
        </is>
      </c>
      <c r="M35" s="113" t="inlineStr">
        <is>
          <t>A Toronto sari-sari store — Philippine Oriental Food Market, the oldest Filipino grocery in the city — wrapped entirely in Coca-Cola red and white to resemble an oversized Balikbayan box, the cardboard shipping containers Filipinos abroad traditionally pack with gifts and send back to family in the Philippines. The activation, by VML Toronto, also distributed free custom Balikbayan boxes with prepaid shipping from the store, so community members could continue the tradition themselves.</t>
        </is>
      </c>
      <c r="N35" s="113" t="inlineStr">
        <is>
          <t>soft-drink, ooh, experiential, packaging, filipino-diaspora, canada, holiday, community, cultural-tradition</t>
        </is>
      </c>
    </row>
    <row r="36">
      <c r="A36" s="127" t="n">
        <v>2025</v>
      </c>
      <c r="B36" s="137" t="inlineStr">
        <is>
          <t>Silver</t>
        </is>
      </c>
      <c r="C36" s="135" t="inlineStr">
        <is>
          <t>Meet Me at the Coke Sign</t>
        </is>
      </c>
      <c r="D36" s="127" t="inlineStr">
        <is>
          <t>Coca-Cola</t>
        </is>
      </c>
      <c r="E36" s="127" t="inlineStr">
        <is>
          <t>Coca-Cola</t>
        </is>
      </c>
      <c r="F36" s="127" t="inlineStr">
        <is>
          <t>Ogilvy</t>
        </is>
      </c>
      <c r="G36" s="127" t="inlineStr">
        <is>
          <t>Australia</t>
        </is>
      </c>
      <c r="H36" s="113" t="inlineStr">
        <is>
          <t>E04 - Social Behaviour</t>
        </is>
      </c>
      <c r="I36" s="128" t="inlineStr">
        <is>
          <t>https://ascentialcdn.filespin.io/api/v1/conversion/e4e51d450eb8458dab81e55d80f5d56b</t>
        </is>
      </c>
      <c r="J36" s="127" t="inlineStr">
        <is>
          <t>V2RVAsIFjF0</t>
        </is>
      </c>
      <c r="K36" s="127" t="n"/>
      <c r="L36" s="128" t="inlineStr">
        <is>
          <t>https://www.lovethework.com/work/entries/meet-me-at-the-coke-sign-741472</t>
        </is>
      </c>
      <c r="M36" s="113" t="inlineStr">
        <is>
          <t>A QR code added to Coca-Cola's long-standing billboard in Sydney, inviting passers-by to scan and submit personal stories of meeting friends and loved ones at the sign. The billboard — a decades-old rendezvous landmark for Australians — became an active archive of those shared memories.</t>
        </is>
      </c>
      <c r="N36" s="113" t="inlineStr">
        <is>
          <t>coca-cola, soft-drink, ooh, billboard, qr-code, user-generated-content, australia, social-behaviour</t>
        </is>
      </c>
    </row>
    <row r="37">
      <c r="A37" s="127" t="n">
        <v>2025</v>
      </c>
      <c r="B37" s="137" t="inlineStr">
        <is>
          <t>Silver</t>
        </is>
      </c>
      <c r="C37" s="135" t="inlineStr">
        <is>
          <t>Nature Shapes Britannia</t>
        </is>
      </c>
      <c r="D37" s="127" t="inlineStr">
        <is>
          <t>Britannia Industries Ltd.</t>
        </is>
      </c>
      <c r="E37" s="127" t="inlineStr">
        <is>
          <t>Britannia Sustainability</t>
        </is>
      </c>
      <c r="F37" s="127" t="inlineStr">
        <is>
          <t>Talented</t>
        </is>
      </c>
      <c r="G37" s="127" t="inlineStr">
        <is>
          <t>India</t>
        </is>
      </c>
      <c r="H37" s="113" t="inlineStr">
        <is>
          <t>E06 - Breakthrough on a Budget</t>
        </is>
      </c>
      <c r="I37" s="128" t="inlineStr">
        <is>
          <t>https://ascentialcdn.filespin.io/api/v1/conversion/716b17d07a0d40d2b7b2a29d2ae9e171</t>
        </is>
      </c>
      <c r="J37" s="127" t="inlineStr">
        <is>
          <t>dEC4Wo3ZlXQ</t>
        </is>
      </c>
      <c r="K37" s="127" t="n"/>
      <c r="L37" s="128" t="inlineStr">
        <is>
          <t>https://www.lovethework.com/work/entries/nature-shapes-britannia-741532</t>
        </is>
      </c>
      <c r="M37" s="113" t="inlineStr">
        <is>
          <t>An outdoor advertising format, developed with Coral Media and MOMS Outdoor, that redesigns billboard layouts to work around existing trees rather than removing them — bending, curving, and compressing the Britannia logotype to fit whatever space the tree's canopy and trunk leave available. Britannia and Talented then open-sourced the production manual so other advertisers could apply the same approach to their own OOH buys across India.</t>
        </is>
      </c>
      <c r="N37" s="113" t="inlineStr">
        <is>
          <t>sustainability, ooh, outdoor-advertising, typography, open-source, india, biscuit, food</t>
        </is>
      </c>
    </row>
    <row r="38">
      <c r="A38" s="127" t="n">
        <v>2025</v>
      </c>
      <c r="B38" s="137" t="inlineStr">
        <is>
          <t>Silver</t>
        </is>
      </c>
      <c r="C38" s="135" t="inlineStr">
        <is>
          <t>Too Yumm to Cheer!</t>
        </is>
      </c>
      <c r="D38" s="127" t="inlineStr">
        <is>
          <t>Too Yumm!</t>
        </is>
      </c>
      <c r="E38" s="127" t="inlineStr">
        <is>
          <t>Too Yumm\!</t>
        </is>
      </c>
      <c r="F38" s="127" t="inlineStr">
        <is>
          <t>FCB Kinnect</t>
        </is>
      </c>
      <c r="G38" s="127" t="inlineStr">
        <is>
          <t>India</t>
        </is>
      </c>
      <c r="H38" s="113" t="inlineStr">
        <is>
          <t>E06 - Breakthrough on a Budget</t>
        </is>
      </c>
      <c r="I38" s="128" t="inlineStr">
        <is>
          <t>https://ascentialcdn.filespin.io/api/v1/conversion/cb9c8fa9b4464dc6bdc84535bb7991d5</t>
        </is>
      </c>
      <c r="J38" s="127" t="inlineStr">
        <is>
          <t>vimeo:1098960207</t>
        </is>
      </c>
      <c r="K38" s="127" t="n"/>
      <c r="L38" s="128" t="inlineStr">
        <is>
          <t>https://www.lovethework.com/work/entries/too-yumm-to-cheer-741592</t>
        </is>
      </c>
      <c r="M38" s="113" t="inlineStr">
        <is>
          <t>Too Yumm! snack packaging redesigned as oversized edible cheer signs — banners, placards, and rally boards fans could hold up in cricket stadiums, where outside food is typically restricted but packaged snacks are permitted. The mechanic let supporters bring in branded cheer props that doubled as the snack itself, sidestepping stadium rules without requiring any special venue arrangement.</t>
        </is>
      </c>
      <c r="N38" s="113" t="inlineStr">
        <is>
          <t>snack, food, packaged-goods, cpg, fmcg, packaging, sports-sponsorship, cricket, experiential, ooh, india, fcb-kinnect</t>
        </is>
      </c>
    </row>
    <row r="39">
      <c r="A39" s="127" t="n">
        <v>2025</v>
      </c>
      <c r="B39" s="137" t="inlineStr">
        <is>
          <t>Silver</t>
        </is>
      </c>
      <c r="C39" s="135" t="inlineStr">
        <is>
          <t>Estibadores</t>
        </is>
      </c>
      <c r="D39" s="127" t="inlineStr">
        <is>
          <t>MiBanco</t>
        </is>
      </c>
      <c r="E39" s="127" t="inlineStr">
        <is>
          <t>Financial Inclusion Program</t>
        </is>
      </c>
      <c r="F39" s="127" t="inlineStr">
        <is>
          <t>Circus Grey</t>
        </is>
      </c>
      <c r="G39" s="127" t="inlineStr">
        <is>
          <t>Peru</t>
        </is>
      </c>
      <c r="H39" s="113" t="inlineStr">
        <is>
          <t>E07 - Corporate Purpose &amp; Social Responsibility</t>
        </is>
      </c>
      <c r="I39" s="128" t="inlineStr">
        <is>
          <t>https://ascentialcdn.filespin.io/api/v1/conversion/0ee92655171346d888a62ac1b5baeb96</t>
        </is>
      </c>
      <c r="J39" s="127" t="inlineStr">
        <is>
          <t>ZUXcFSbQ8LA</t>
        </is>
      </c>
      <c r="K39" s="127" t="n"/>
      <c r="L39" s="128" t="inlineStr">
        <is>
          <t>https://www.lovethework.com/work/entries/estibadores-741560</t>
        </is>
      </c>
      <c r="M39" s="113" t="inlineStr">
        <is>
          <t>An out-of-home format built around the cargo dollies used by estibadores — the informal load carriers who work the Gamarra textile market in Lima — converting each trolley into a branded mobile advertising panel. The work responds to a Peruvian regulation that capped the weight estibadores are legally allowed to carry, cutting their earnings, by giving them a new income stream from the ad space on their equipment.</t>
        </is>
      </c>
      <c r="N39" s="113" t="inlineStr">
        <is>
          <t>financial-inclusion, ooh, informal-economy, peru, mibanco, labor-rights, mobile-advertising, corporate-purpose</t>
        </is>
      </c>
    </row>
    <row r="40">
      <c r="A40" s="127" t="n">
        <v>2025</v>
      </c>
      <c r="B40" s="137" t="inlineStr">
        <is>
          <t>Silver</t>
        </is>
      </c>
      <c r="C40" s="135" t="inlineStr">
        <is>
          <t>Still Open</t>
        </is>
      </c>
      <c r="D40" s="127" t="inlineStr">
        <is>
          <t>JCDecaux</t>
        </is>
      </c>
      <c r="E40" s="127" t="inlineStr">
        <is>
          <t>OOH Media</t>
        </is>
      </c>
      <c r="F40" s="127" t="inlineStr">
        <is>
          <t>David</t>
        </is>
      </c>
      <c r="G40" s="127" t="inlineStr">
        <is>
          <t>Spain</t>
        </is>
      </c>
      <c r="H40" s="113" t="inlineStr">
        <is>
          <t>E07 - Corporate Purpose &amp; Social Responsibility</t>
        </is>
      </c>
      <c r="I40" s="128" t="inlineStr">
        <is>
          <t>https://ascentialcdn.filespin.io/api/v1/conversion/dd37db0fdabf4182b51ade62463b79e2</t>
        </is>
      </c>
      <c r="J40" s="127" t="inlineStr">
        <is>
          <t>uIR17EmDu7g</t>
        </is>
      </c>
      <c r="K40" s="127" t="n"/>
      <c r="L40" s="128" t="inlineStr">
        <is>
          <t>https://www.lovethework.com/work/entries/still-open-741731</t>
        </is>
      </c>
      <c r="M40" s="113" t="inlineStr">
        <is>
          <t>JCDecaux's billboard network across Valencia, Spain, repurposed as free advertising space for local businesses devastated by the October 2024 floods — shops, restaurants, and services used the panels to signal to customers that they were still operating. Developed with DAVID Madrid, the initiative turned existing street furniture into a recovery tool at a moment when the flooding had left entire commercial districts uncertain about their status.</t>
        </is>
      </c>
      <c r="N40" s="113" t="inlineStr">
        <is>
          <t>ooh, ooh-media, outdoor-advertising, disaster-relief, corporate-purpose, spain, local-business, pro-bono</t>
        </is>
      </c>
    </row>
    <row r="41">
      <c r="A41" s="127" t="n">
        <v>2025</v>
      </c>
      <c r="B41" s="137" t="inlineStr">
        <is>
          <t>Silver</t>
        </is>
      </c>
      <c r="C41" s="135" t="inlineStr">
        <is>
          <t>Olympic Games Opening Ceremony Paris 2024</t>
        </is>
      </c>
      <c r="D41" s="127" t="inlineStr">
        <is>
          <t>Paris 2024</t>
        </is>
      </c>
      <c r="E41" s="127" t="inlineStr">
        <is>
          <t>Paris 2024</t>
        </is>
      </c>
      <c r="F41" s="127" t="inlineStr">
        <is>
          <t>Paname 24</t>
        </is>
      </c>
      <c r="G41" s="127" t="inlineStr">
        <is>
          <t>France</t>
        </is>
      </c>
      <c r="H41" s="113" t="inlineStr">
        <is>
          <t>E09 - Cultural Engagement</t>
        </is>
      </c>
      <c r="I41" s="128" t="inlineStr">
        <is>
          <t>https://ascentialcdn.filespin.io/api/v1/conversion/60aa1888e5b6444381b060dc1801de84</t>
        </is>
      </c>
      <c r="J41" s="127" t="inlineStr">
        <is>
          <t>t8o4ulxT1Cc</t>
        </is>
      </c>
      <c r="K41" s="127" t="n"/>
      <c r="L41" s="128" t="inlineStr">
        <is>
          <t>https://www.lovethework.com/work/entries/olympic-games-opening-ceremony-paris-2024-741644</t>
        </is>
      </c>
      <c r="M41"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41" s="113" t="inlineStr">
        <is>
          <t>live-event, olympics, sport, ceremony, paris, large-scale, broadcast, entertainment, partnership, france</t>
        </is>
      </c>
    </row>
    <row r="42">
      <c r="A42" s="127" t="n">
        <v>2025</v>
      </c>
      <c r="B42" s="137" t="inlineStr">
        <is>
          <t>Silver</t>
        </is>
      </c>
      <c r="C42" s="135" t="inlineStr">
        <is>
          <t>Found in Translation</t>
        </is>
      </c>
      <c r="D42" s="127" t="inlineStr">
        <is>
          <t>Medalla Light</t>
        </is>
      </c>
      <c r="E42" s="127" t="inlineStr">
        <is>
          <t>Medalla Light</t>
        </is>
      </c>
      <c r="F42" s="127" t="inlineStr">
        <is>
          <t>DDB Latina Puerto Rico</t>
        </is>
      </c>
      <c r="G42" s="127" t="inlineStr">
        <is>
          <t>Puerto Rico</t>
        </is>
      </c>
      <c r="H42" s="113" t="inlineStr">
        <is>
          <t>E09 - Cultural Engagement</t>
        </is>
      </c>
      <c r="I42" s="128" t="inlineStr">
        <is>
          <t>https://ascentialcdn.filespin.io/api/v1/conversion/aa75461755994abb9341413d542beaa8</t>
        </is>
      </c>
      <c r="J42" s="127" t="inlineStr">
        <is>
          <t>5E08r_ShJQQ</t>
        </is>
      </c>
      <c r="K42" s="127" t="n"/>
      <c r="L42" s="128" t="inlineStr">
        <is>
          <t>https://www.lovethework.com/work/entries/found-in-translation-741695</t>
        </is>
      </c>
      <c r="M42"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42" s="113" t="inlineStr">
        <is>
          <t>beer, alcohol, print, ooh, cultural-engagement, diaspora, spanglish, puerto-rico, united-states, language</t>
        </is>
      </c>
    </row>
    <row r="43">
      <c r="A43" s="127" t="n">
        <v>2025</v>
      </c>
      <c r="B43" s="137" t="inlineStr">
        <is>
          <t>Silver</t>
        </is>
      </c>
      <c r="C43" s="135" t="inlineStr">
        <is>
          <t>Pub Succession</t>
        </is>
      </c>
      <c r="D43" s="127" t="inlineStr">
        <is>
          <t>Heineken</t>
        </is>
      </c>
      <c r="E43" s="127" t="inlineStr">
        <is>
          <t>Heineken</t>
        </is>
      </c>
      <c r="F43" s="127" t="inlineStr">
        <is>
          <t>LePub</t>
        </is>
      </c>
      <c r="G43" s="127" t="inlineStr">
        <is>
          <t>Italy</t>
        </is>
      </c>
      <c r="H43" s="113" t="inlineStr">
        <is>
          <t>E09 - Cultural Engagement</t>
        </is>
      </c>
      <c r="I43" s="128" t="inlineStr">
        <is>
          <t>https://ascentialcdn.filespin.io/api/v1/conversion/a8d4e72bb1ce47508dcea8db73d16b01</t>
        </is>
      </c>
      <c r="J43" s="127" t="inlineStr">
        <is>
          <t>Cu0FLBdZrcM</t>
        </is>
      </c>
      <c r="K43" s="127" t="n"/>
      <c r="L43" s="128" t="inlineStr">
        <is>
          <t>https://www.lovethework.com/work/entries/pub-succession-741618</t>
        </is>
      </c>
      <c r="M43"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43" s="113" t="inlineStr">
        <is>
          <t>pr, integrated, ooh, beer, alcohol, ireland, recruitment, cultural-engagement, partnership</t>
        </is>
      </c>
    </row>
    <row r="44">
      <c r="A44" s="127" t="n">
        <v>2025</v>
      </c>
      <c r="B44" s="138" t="inlineStr">
        <is>
          <t>Bronze</t>
        </is>
      </c>
      <c r="C44" s="135" t="inlineStr">
        <is>
          <t>'The Shining'</t>
        </is>
      </c>
      <c r="D44" s="127" t="inlineStr">
        <is>
          <t>Coca-Cola</t>
        </is>
      </c>
      <c r="E44" s="127" t="inlineStr">
        <is>
          <t>Coca-Cola</t>
        </is>
      </c>
      <c r="F44" s="127" t="inlineStr">
        <is>
          <t>VML</t>
        </is>
      </c>
      <c r="G44" s="127" t="inlineStr">
        <is>
          <t>United States</t>
        </is>
      </c>
      <c r="H44" s="113" t="inlineStr">
        <is>
          <t>A01 - Consumer Goods</t>
        </is>
      </c>
      <c r="I44" s="128" t="inlineStr">
        <is>
          <t>https://ascentialcdn.filespin.io/api/v1/conversion/44405bf6f33b4e919c5b283211199392</t>
        </is>
      </c>
      <c r="J44" s="127" t="inlineStr">
        <is>
          <t>vimeo:1124237531</t>
        </is>
      </c>
      <c r="K44" s="127" t="n"/>
      <c r="L44" s="128" t="inlineStr">
        <is>
          <t>https://www.lovethework.com/work/entries/the-shining-740263</t>
        </is>
      </c>
      <c r="M44"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44" s="113" t="inlineStr">
        <is>
          <t>beverage, drinks, ooh, branded-content, craft, literature, partnership, global, print</t>
        </is>
      </c>
    </row>
    <row r="45">
      <c r="A45" s="127" t="n">
        <v>2025</v>
      </c>
      <c r="B45" s="138" t="inlineStr">
        <is>
          <t>Bronze</t>
        </is>
      </c>
      <c r="C45" s="135" t="inlineStr">
        <is>
          <t>Mimi's Red</t>
        </is>
      </c>
      <c r="D45" s="127" t="inlineStr">
        <is>
          <t>Coca-Cola</t>
        </is>
      </c>
      <c r="E45" s="127" t="inlineStr">
        <is>
          <t>Coca-Cola Company</t>
        </is>
      </c>
      <c r="F45" s="127" t="inlineStr">
        <is>
          <t>David</t>
        </is>
      </c>
      <c r="G45" s="127" t="inlineStr">
        <is>
          <t>Spain</t>
        </is>
      </c>
      <c r="H45" s="113" t="inlineStr">
        <is>
          <t>A01 - Consumer Goods</t>
        </is>
      </c>
      <c r="I45" s="128" t="inlineStr">
        <is>
          <t>https://ascentialcdn.filespin.io/api/v1/conversion/476f91b3c4024d889f9c5a3071d2af7f</t>
        </is>
      </c>
      <c r="J45" s="127" t="inlineStr">
        <is>
          <t>vimeo:1083484983</t>
        </is>
      </c>
      <c r="K45" s="127" t="inlineStr">
        <is>
          <t>coca-cola-shades-of-red</t>
        </is>
      </c>
      <c r="L45" s="128" t="inlineStr">
        <is>
          <t>https://www.lovethework.com/work/entries/mimis-red-740318</t>
        </is>
      </c>
      <c r="M45"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5" s="113" t="inlineStr">
        <is>
          <t>beverage, drinks, ooh, retail, small-business, mexico, packaging, sustainability, single-market</t>
        </is>
      </c>
    </row>
    <row r="46">
      <c r="A46" s="127" t="n">
        <v>2025</v>
      </c>
      <c r="B46" s="138" t="inlineStr">
        <is>
          <t>Bronze</t>
        </is>
      </c>
      <c r="C46" s="135" t="inlineStr">
        <is>
          <t>Prado's Red</t>
        </is>
      </c>
      <c r="D46" s="127" t="inlineStr">
        <is>
          <t>Coca-Cola</t>
        </is>
      </c>
      <c r="E46" s="127" t="inlineStr">
        <is>
          <t>Coca-Cola Company</t>
        </is>
      </c>
      <c r="F46" s="127" t="inlineStr">
        <is>
          <t>David</t>
        </is>
      </c>
      <c r="G46" s="127" t="inlineStr">
        <is>
          <t>Spain</t>
        </is>
      </c>
      <c r="H46" s="113" t="inlineStr">
        <is>
          <t>A01 - Consumer Goods</t>
        </is>
      </c>
      <c r="I46" s="128" t="inlineStr">
        <is>
          <t>https://ascentialcdn.filespin.io/api/v1/conversion/9d778b6a2550440b9a1b11e17c7ad280</t>
        </is>
      </c>
      <c r="J46" s="127" t="inlineStr">
        <is>
          <t>vimeo:1083484983</t>
        </is>
      </c>
      <c r="K46" s="127" t="inlineStr">
        <is>
          <t>coca-cola-shades-of-red</t>
        </is>
      </c>
      <c r="L46" s="128" t="inlineStr">
        <is>
          <t>https://www.lovethework.com/work/entries/prados-red-740326</t>
        </is>
      </c>
      <c r="M46"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6" s="113" t="inlineStr">
        <is>
          <t>beverage, drinks, ooh, retail, small-business, mexico, packaging, sustainability, single-market</t>
        </is>
      </c>
    </row>
    <row r="47">
      <c r="A47" s="127" t="n">
        <v>2025</v>
      </c>
      <c r="B47" s="138" t="inlineStr">
        <is>
          <t>Bronze</t>
        </is>
      </c>
      <c r="C47" s="135" t="inlineStr">
        <is>
          <t>El Campo's Red</t>
        </is>
      </c>
      <c r="D47" s="127" t="inlineStr">
        <is>
          <t>Coca-Cola</t>
        </is>
      </c>
      <c r="E47" s="127" t="inlineStr">
        <is>
          <t>Coca-Cola Company</t>
        </is>
      </c>
      <c r="F47" s="127" t="inlineStr">
        <is>
          <t>David</t>
        </is>
      </c>
      <c r="G47" s="127" t="inlineStr">
        <is>
          <t>Spain</t>
        </is>
      </c>
      <c r="H47" s="113" t="inlineStr">
        <is>
          <t>A01 - Consumer Goods</t>
        </is>
      </c>
      <c r="I47" s="128" t="inlineStr">
        <is>
          <t>https://ascentialcdn.filespin.io/api/v1/conversion/cc0c84dd54874fdea4173e4874a381c3</t>
        </is>
      </c>
      <c r="J47" s="127" t="inlineStr">
        <is>
          <t>vimeo:1083484983</t>
        </is>
      </c>
      <c r="K47" s="127" t="inlineStr">
        <is>
          <t>coca-cola-shades-of-red</t>
        </is>
      </c>
      <c r="L47" s="128" t="inlineStr">
        <is>
          <t>https://www.lovethework.com/work/entries/el-campos-red-740334</t>
        </is>
      </c>
      <c r="M47" s="113" t="inlineStr">
        <is>
          <t>Coca-Cola turned Mexico's faded red shop awnings into a tribute to the small businesses that made them cultural landmarks. Instead of throwing them away, the brand renewed 12,700 awnings for free, then transformed the old fabric into billboards, posters, merch and commemorative cans that preserved every unique shade of Coca-Cola red.</t>
        </is>
      </c>
      <c r="N47" s="113" t="inlineStr">
        <is>
          <t>beverage, drinks, ooh, retail, small-business, mexico, packaging, sustainability, single-market</t>
        </is>
      </c>
    </row>
    <row r="48">
      <c r="A48" s="127" t="n">
        <v>2025</v>
      </c>
      <c r="B48" s="138" t="inlineStr">
        <is>
          <t>Bronze</t>
        </is>
      </c>
      <c r="C48" s="135" t="inlineStr">
        <is>
          <t>Corona Eclipse - Uruguay</t>
        </is>
      </c>
      <c r="D48" s="127" t="inlineStr">
        <is>
          <t>Corona</t>
        </is>
      </c>
      <c r="E48" s="127" t="inlineStr">
        <is>
          <t>Corona</t>
        </is>
      </c>
      <c r="F48" s="127" t="inlineStr">
        <is>
          <t>David</t>
        </is>
      </c>
      <c r="G48" s="127" t="inlineStr">
        <is>
          <t>United States</t>
        </is>
      </c>
      <c r="H48" s="113" t="inlineStr">
        <is>
          <t>A01 - Consumer Goods</t>
        </is>
      </c>
      <c r="I48" s="128" t="inlineStr">
        <is>
          <t>https://ascentialcdn.filespin.io/api/v1/conversion/77eb12aacaf340e1b7d9e79c99556281</t>
        </is>
      </c>
      <c r="J48" s="127" t="inlineStr">
        <is>
          <t>ViJvHO9BxvU</t>
        </is>
      </c>
      <c r="K48" s="127" t="inlineStr">
        <is>
          <t>corona-a01-consumer-goods</t>
        </is>
      </c>
      <c r="L48" s="128" t="inlineStr">
        <is>
          <t>https://www.lovethework.com/work/entries/corona-eclipse-uruguay-740235</t>
        </is>
      </c>
      <c r="M48" s="113" t="inlineStr">
        <is>
          <t>A consumer campaign built around the natural alignment between a solar eclipse and Corona's iconic bottle silhouette — the circular crown of the bottle mouth framing the sun as the moon passes across it. Created by DAVID, the work invited people to hold up a Corona bottle to witness the eclipse through the brand's own shape.</t>
        </is>
      </c>
      <c r="N48" s="113" t="inlineStr">
        <is>
          <t>beer, alcohol, experiential, ooh, united-states, uruguay, outdoor, brand-event, astronomy</t>
        </is>
      </c>
    </row>
    <row r="49">
      <c r="A49" s="127" t="n">
        <v>2025</v>
      </c>
      <c r="B49" s="138" t="inlineStr">
        <is>
          <t>Bronze</t>
        </is>
      </c>
      <c r="C49" s="135" t="inlineStr">
        <is>
          <t>Corona Eclipse - Argentina 1</t>
        </is>
      </c>
      <c r="D49" s="127" t="inlineStr">
        <is>
          <t>Corona</t>
        </is>
      </c>
      <c r="E49" s="127" t="inlineStr">
        <is>
          <t>Corona</t>
        </is>
      </c>
      <c r="F49" s="127" t="inlineStr">
        <is>
          <t>David</t>
        </is>
      </c>
      <c r="G49" s="127" t="inlineStr">
        <is>
          <t>United States</t>
        </is>
      </c>
      <c r="H49" s="113" t="inlineStr">
        <is>
          <t>A01 - Consumer Goods</t>
        </is>
      </c>
      <c r="I49" s="128" t="inlineStr">
        <is>
          <t>https://ascentialcdn.filespin.io/api/v1/conversion/923c26278b3042ac83d908e11d20b46c</t>
        </is>
      </c>
      <c r="J49" s="127" t="inlineStr">
        <is>
          <t>ViJvHO9BxvU</t>
        </is>
      </c>
      <c r="K49" s="127" t="inlineStr">
        <is>
          <t>corona-a01-consumer-goods</t>
        </is>
      </c>
      <c r="L49" s="128" t="inlineStr">
        <is>
          <t>https://www.lovethework.com/work/entries/corona-eclipse-argentina-1-740248</t>
        </is>
      </c>
      <c r="M49" s="113" t="inlineStr">
        <is>
          <t>A live event activation built around the 2024 total solar eclipse, during which Corona — whose logo centers on a sun — claimed the moment the moon fully blocked the sun as a natural brand sponsorship. The campaign positioned the eclipse's corona, the ring of light visible only during totality, as the brand's own.</t>
        </is>
      </c>
      <c r="N49" s="113" t="inlineStr">
        <is>
          <t>beer, alcohol, experiential, live-event, united-states, argentina, outdoor, branded-moment, astronomy</t>
        </is>
      </c>
    </row>
    <row r="50">
      <c r="A50" s="127" t="n">
        <v>2025</v>
      </c>
      <c r="B50" s="138" t="inlineStr">
        <is>
          <t>Bronze</t>
        </is>
      </c>
      <c r="C50" s="135" t="inlineStr">
        <is>
          <t>Corona Eclipse - Argentina 2</t>
        </is>
      </c>
      <c r="D50" s="127" t="inlineStr">
        <is>
          <t>Corona</t>
        </is>
      </c>
      <c r="E50" s="127" t="inlineStr">
        <is>
          <t>Corona</t>
        </is>
      </c>
      <c r="F50" s="127" t="inlineStr">
        <is>
          <t>David</t>
        </is>
      </c>
      <c r="G50" s="127" t="inlineStr">
        <is>
          <t>United States</t>
        </is>
      </c>
      <c r="H50" s="113" t="inlineStr">
        <is>
          <t>A01 - Consumer Goods</t>
        </is>
      </c>
      <c r="I50" s="128" t="inlineStr">
        <is>
          <t>https://ascentialcdn.filespin.io/api/v1/conversion/7a260b4ceb6f4f7c998edf6aa5b09344</t>
        </is>
      </c>
      <c r="J50" s="127" t="inlineStr">
        <is>
          <t>ViJvHO9BxvU</t>
        </is>
      </c>
      <c r="K50" s="127" t="inlineStr">
        <is>
          <t>corona-a01-consumer-goods</t>
        </is>
      </c>
      <c r="L50" s="128" t="inlineStr">
        <is>
          <t>https://www.lovethework.com/work/entries/corona-eclipse-argentina-2-740260</t>
        </is>
      </c>
      <c r="M50" s="113" t="inlineStr">
        <is>
          <t>A live event activation built around the total solar eclipse visible across parts of the United States, in which Corona — whose logo centers on a sun — positioned its bottles and branding within the path of totality. The campaign used the natural alignment of sun, moon, and Corona's iconic sun imagery as the mechanic, framing outdoor placements and consumer moments around the eclipse itself.</t>
        </is>
      </c>
      <c r="N50" s="113" t="inlineStr">
        <is>
          <t>beer, alcohol, outdoor, live-event, united-states, argentina, experiential, seasonal, ooh</t>
        </is>
      </c>
    </row>
    <row r="51">
      <c r="A51" s="127" t="n">
        <v>2025</v>
      </c>
      <c r="B51" s="138" t="inlineStr">
        <is>
          <t>Bronze</t>
        </is>
      </c>
      <c r="C51" s="135" t="inlineStr">
        <is>
          <t>Price Packs - Chips</t>
        </is>
      </c>
      <c r="D51" s="127" t="inlineStr">
        <is>
          <t>Penny</t>
        </is>
      </c>
      <c r="E51" s="127" t="inlineStr">
        <is>
          <t>Food/Non-Food</t>
        </is>
      </c>
      <c r="F51" s="127" t="inlineStr">
        <is>
          <t>Serviceplan Germany</t>
        </is>
      </c>
      <c r="G51" s="127" t="inlineStr">
        <is>
          <t>Germany</t>
        </is>
      </c>
      <c r="H51" s="113" t="inlineStr">
        <is>
          <t>A04 - Travel, Leisure, Retail, Restaurants &amp; Fast-Food Chains</t>
        </is>
      </c>
      <c r="I51" s="128" t="inlineStr">
        <is>
          <t>https://ascentialcdn.filespin.io/api/v1/conversion/27ff97121fa2498480c1c23ae148604d</t>
        </is>
      </c>
      <c r="J51" s="127" t="inlineStr">
        <is>
          <t>cnAXR4lk6R0</t>
        </is>
      </c>
      <c r="K51" s="127" t="inlineStr">
        <is>
          <t>penny-a04-travel-leisure-retail-restaurants-fast-food-chains</t>
        </is>
      </c>
      <c r="L51" s="128" t="inlineStr">
        <is>
          <t>https://www.lovethework.com/work/entries/price-packs-chips-740364</t>
        </is>
      </c>
      <c r="M51" s="113" t="inlineStr">
        <is>
          <t>A retail packaging campaign by Penny and Serviceplan Germany that reframes chip bag sizing and pricing into a direct, shelf-level communication tool. The packs themselves carry the price message, turning the product packaging into the primary medium for a value proposition.</t>
        </is>
      </c>
      <c r="N51" s="113" t="inlineStr">
        <is>
          <t>supermarket-retail, packaging, snack, food, packaged-goods, cpg, fmcg, price-promotion, germany, point-of-sale</t>
        </is>
      </c>
    </row>
    <row r="52">
      <c r="A52" s="127" t="n">
        <v>2025</v>
      </c>
      <c r="B52" s="138" t="inlineStr">
        <is>
          <t>Bronze</t>
        </is>
      </c>
      <c r="C52" s="135" t="inlineStr">
        <is>
          <t>Price Packs - Oatmeal</t>
        </is>
      </c>
      <c r="D52" s="127" t="inlineStr">
        <is>
          <t>Penny</t>
        </is>
      </c>
      <c r="E52" s="127" t="inlineStr">
        <is>
          <t>Food/Non-Food</t>
        </is>
      </c>
      <c r="F52" s="127" t="inlineStr">
        <is>
          <t>Serviceplan Germany</t>
        </is>
      </c>
      <c r="G52" s="127" t="inlineStr">
        <is>
          <t>Germany</t>
        </is>
      </c>
      <c r="H52" s="113" t="inlineStr">
        <is>
          <t>A04 - Travel, Leisure, Retail, Restaurants &amp; Fast-Food Chains</t>
        </is>
      </c>
      <c r="I52" s="128" t="inlineStr">
        <is>
          <t>https://ascentialcdn.filespin.io/api/v1/conversion/c3069b2a659a442aaabf5389719b9fa6</t>
        </is>
      </c>
      <c r="J52" s="127" t="inlineStr">
        <is>
          <t>cnAXR4lk6R0</t>
        </is>
      </c>
      <c r="K52" s="127" t="inlineStr">
        <is>
          <t>penny-a04-travel-leisure-retail-restaurants-fast-food-chains</t>
        </is>
      </c>
      <c r="L52" s="128" t="inlineStr">
        <is>
          <t>https://www.lovethework.com/work/entries/price-packs-oatmeal-740376</t>
        </is>
      </c>
      <c r="M52" s="113" t="inlineStr">
        <is>
          <t>A retail packaging campaign by Penny and Serviceplan Germany that reframes price promotions through oatmeal — a staple grocery item — by printing price-pack deals directly onto the product packaging. The design puts the value proposition at the shelf level, where the purchase decision is made.</t>
        </is>
      </c>
      <c r="N52" s="113" t="inlineStr">
        <is>
          <t>food-retail, packaging, price-promotion, fmcg, germany, grocery, retail, oatmeal</t>
        </is>
      </c>
    </row>
    <row r="53">
      <c r="A53" s="127" t="n">
        <v>2025</v>
      </c>
      <c r="B53" s="138" t="inlineStr">
        <is>
          <t>Bronze</t>
        </is>
      </c>
      <c r="C53" s="135" t="inlineStr">
        <is>
          <t>Price Packs - Toast</t>
        </is>
      </c>
      <c r="D53" s="127" t="inlineStr">
        <is>
          <t>Penny</t>
        </is>
      </c>
      <c r="E53" s="127" t="inlineStr">
        <is>
          <t>Food/Non-Food</t>
        </is>
      </c>
      <c r="F53" s="127" t="inlineStr">
        <is>
          <t>Serviceplan Germany</t>
        </is>
      </c>
      <c r="G53" s="127" t="inlineStr">
        <is>
          <t>Germany</t>
        </is>
      </c>
      <c r="H53" s="113" t="inlineStr">
        <is>
          <t>A04 - Travel, Leisure, Retail, Restaurants &amp; Fast-Food Chains</t>
        </is>
      </c>
      <c r="I53" s="128" t="inlineStr">
        <is>
          <t>https://ascentialcdn.filespin.io/api/v1/conversion/0f62d161bf704e03bcece90e78e11d29</t>
        </is>
      </c>
      <c r="J53" s="127" t="inlineStr">
        <is>
          <t>cnAXR4lk6R0</t>
        </is>
      </c>
      <c r="K53" s="127" t="inlineStr">
        <is>
          <t>penny-a04-travel-leisure-retail-restaurants-fast-food-chains</t>
        </is>
      </c>
      <c r="L53" s="128" t="inlineStr">
        <is>
          <t>https://www.lovethework.com/work/entries/price-packs-toast-740385</t>
        </is>
      </c>
      <c r="M53" s="113" t="inlineStr">
        <is>
          <t>A retail packaging campaign for Penny in Germany that uses the physical pack design of everyday food products to communicate price. Created by Serviceplan Germany, the campaign turns the toast packaging itself into the price message, making shelf-level value visible without requiring a separate promotional label or display.</t>
        </is>
      </c>
      <c r="N53" s="113" t="inlineStr">
        <is>
          <t>retail, packaging, food, grocery, germany, price-communication, ooh, serviceplan</t>
        </is>
      </c>
    </row>
    <row r="54">
      <c r="A54" s="127" t="n">
        <v>2025</v>
      </c>
      <c r="B54" s="138" t="inlineStr">
        <is>
          <t>Bronze</t>
        </is>
      </c>
      <c r="C54" s="135" t="inlineStr">
        <is>
          <t>The Sip of Sanctuary</t>
        </is>
      </c>
      <c r="D54" s="127" t="inlineStr">
        <is>
          <t>Stella Artois</t>
        </is>
      </c>
      <c r="E54" s="127" t="inlineStr">
        <is>
          <t>Stella Artois</t>
        </is>
      </c>
      <c r="F54" s="127" t="inlineStr">
        <is>
          <t>Grey</t>
        </is>
      </c>
      <c r="G54" s="127" t="inlineStr">
        <is>
          <t>United Kingdom</t>
        </is>
      </c>
      <c r="H54" s="113" t="inlineStr">
        <is>
          <t>B01 - Consumer Goods</t>
        </is>
      </c>
      <c r="I54" s="128" t="inlineStr">
        <is>
          <t>https://ascentialcdn.filespin.io/api/v1/conversion/bc046e548975443980453424bc30515a</t>
        </is>
      </c>
      <c r="J54" s="127" t="inlineStr"/>
      <c r="K54" s="127" t="inlineStr">
        <is>
          <t>stella-artois-philosophical</t>
        </is>
      </c>
      <c r="L54" s="128" t="inlineStr">
        <is>
          <t>https://www.lovethework.com/work/entries/the-sip-of-sanctuary-740553</t>
        </is>
      </c>
      <c r="M54"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54" s="113" t="inlineStr">
        <is>
          <t>beer, alcohol, print, poster, visual-storytelling, united-kingdom, illustration, campaign</t>
        </is>
      </c>
    </row>
    <row r="55">
      <c r="A55" s="127" t="n">
        <v>2025</v>
      </c>
      <c r="B55" s="138" t="inlineStr">
        <is>
          <t>Bronze</t>
        </is>
      </c>
      <c r="C55" s="135" t="inlineStr">
        <is>
          <t>Happiness Within Chaos</t>
        </is>
      </c>
      <c r="D55" s="127" t="inlineStr">
        <is>
          <t>Stella Artois</t>
        </is>
      </c>
      <c r="E55" s="127" t="inlineStr">
        <is>
          <t>Stella Artois</t>
        </is>
      </c>
      <c r="F55" s="127" t="inlineStr">
        <is>
          <t>Grey</t>
        </is>
      </c>
      <c r="G55" s="127" t="inlineStr">
        <is>
          <t>United Kingdom</t>
        </is>
      </c>
      <c r="H55" s="113" t="inlineStr">
        <is>
          <t>B01 - Consumer Goods</t>
        </is>
      </c>
      <c r="I55" s="128" t="inlineStr">
        <is>
          <t>https://ascentialcdn.filespin.io/api/v1/conversion/882ea591b6fa40b29a529180b71afa65</t>
        </is>
      </c>
      <c r="J55" s="127" t="n"/>
      <c r="K55" s="127" t="inlineStr">
        <is>
          <t>stella-artois-philosophical</t>
        </is>
      </c>
      <c r="L55" s="128" t="inlineStr">
        <is>
          <t>https://www.lovethework.com/work/entries/happiness-within-chaos-740366</t>
        </is>
      </c>
      <c r="M55"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55" s="113" t="inlineStr">
        <is>
          <t>beer, alcohol, print, ooh, united-kingdom, campaign-series, illustration, consumer-goods, cpg, fmcg</t>
        </is>
      </c>
    </row>
    <row r="56">
      <c r="A56" s="127" t="n">
        <v>2025</v>
      </c>
      <c r="B56" s="138" t="inlineStr">
        <is>
          <t>Bronze</t>
        </is>
      </c>
      <c r="C56" s="135" t="inlineStr">
        <is>
          <t>Protector of the Chalice</t>
        </is>
      </c>
      <c r="D56" s="127" t="inlineStr">
        <is>
          <t>Stella Artois</t>
        </is>
      </c>
      <c r="E56" s="127" t="inlineStr">
        <is>
          <t>Stella Artois</t>
        </is>
      </c>
      <c r="F56" s="127" t="inlineStr">
        <is>
          <t>Grey</t>
        </is>
      </c>
      <c r="G56" s="127" t="inlineStr">
        <is>
          <t>United Kingdom</t>
        </is>
      </c>
      <c r="H56" s="113" t="inlineStr">
        <is>
          <t>B01 - Consumer Goods</t>
        </is>
      </c>
      <c r="I56" s="128" t="inlineStr">
        <is>
          <t>https://ascentialcdn.filespin.io/api/v1/conversion/a33c9462c05d4330895b056745b6a602</t>
        </is>
      </c>
      <c r="J56" s="127" t="inlineStr"/>
      <c r="K56" s="127" t="inlineStr">
        <is>
          <t>stella-artois-philosophical</t>
        </is>
      </c>
      <c r="L56" s="128" t="inlineStr">
        <is>
          <t>https://www.lovethework.com/work/entries/protector-of-the-chalice-740439</t>
        </is>
      </c>
      <c r="M56"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56" s="113" t="inlineStr">
        <is>
          <t>beer, alcohol, print, ooh, poster, united-kingdom, illustration, consumer-goods, cpg, fmcg</t>
        </is>
      </c>
    </row>
    <row r="57">
      <c r="A57" s="127" t="n">
        <v>2025</v>
      </c>
      <c r="B57" s="138" t="inlineStr">
        <is>
          <t>Bronze</t>
        </is>
      </c>
      <c r="C57" s="135" t="inlineStr">
        <is>
          <t>Likes</t>
        </is>
      </c>
      <c r="D57" s="127" t="inlineStr">
        <is>
          <t>History Channel</t>
        </is>
      </c>
      <c r="E57" s="127" t="inlineStr">
        <is>
          <t>History Channel</t>
        </is>
      </c>
      <c r="F57" s="127" t="inlineStr">
        <is>
          <t>Dentsu Creative</t>
        </is>
      </c>
      <c r="G57" s="127" t="inlineStr">
        <is>
          <t>Portugal</t>
        </is>
      </c>
      <c r="H57" s="113" t="inlineStr">
        <is>
          <t>B05 - Media/Entertainment</t>
        </is>
      </c>
      <c r="I57" s="128" t="inlineStr">
        <is>
          <t>https://ascentialcdn.filespin.io/api/v1/conversion/9e6eef6a84b640f9b2da45ad47d321c9</t>
        </is>
      </c>
      <c r="J57" s="127" t="inlineStr">
        <is>
          <t>W29029BIbvY</t>
        </is>
      </c>
      <c r="K57" s="127" t="inlineStr">
        <is>
          <t>history-channel-b05-media-entertainment</t>
        </is>
      </c>
      <c r="L57" s="128" t="inlineStr">
        <is>
          <t>https://www.lovethework.com/work/entries/likes-763469</t>
        </is>
      </c>
      <c r="M57" s="113" t="inlineStr">
        <is>
          <t>An OOH, print, and TV campaign that places a single social media data point — 1,856 likes on a comment reading "We miss you, Hitler" — alongside present-day statistics: 33,963 racial hate crimes in Germany in 2024 and 162 neo-Nazi marches in six months. The juxtaposition uses live, sourced numbers to argue that the distance between historical atrocity and the present is shorter than it appears.</t>
        </is>
      </c>
      <c r="N57" s="113" t="inlineStr">
        <is>
          <t>history-channel, media-entertainment, ooh, print, television, social-data, portugal, germany, public-awareness</t>
        </is>
      </c>
    </row>
    <row r="58">
      <c r="A58" s="127" t="n">
        <v>2025</v>
      </c>
      <c r="B58" s="138" t="inlineStr">
        <is>
          <t>Bronze</t>
        </is>
      </c>
      <c r="C58" s="135" t="inlineStr">
        <is>
          <t>Marches</t>
        </is>
      </c>
      <c r="D58" s="127" t="inlineStr">
        <is>
          <t>History Channel</t>
        </is>
      </c>
      <c r="E58" s="127" t="inlineStr">
        <is>
          <t>History Channel</t>
        </is>
      </c>
      <c r="F58" s="127" t="inlineStr">
        <is>
          <t>Dentsu Creative</t>
        </is>
      </c>
      <c r="G58" s="127" t="inlineStr">
        <is>
          <t>Portugal</t>
        </is>
      </c>
      <c r="H58" s="113" t="inlineStr">
        <is>
          <t>B05 - Media/Entertainment</t>
        </is>
      </c>
      <c r="I58" s="128" t="inlineStr">
        <is>
          <t>https://ascentialcdn.filespin.io/api/v1/conversion/848c6f5fe00a4cc2be171136fcd87b87</t>
        </is>
      </c>
      <c r="J58" s="127" t="inlineStr">
        <is>
          <t>W29029BIbvY</t>
        </is>
      </c>
      <c r="K58" s="127" t="inlineStr">
        <is>
          <t>history-channel-b05-media-entertainment</t>
        </is>
      </c>
      <c r="L58" s="128" t="inlineStr">
        <is>
          <t>https://www.lovethework.com/work/entries/marches-763480</t>
        </is>
      </c>
      <c r="M58" s="113" t="inlineStr">
        <is>
          <t>A set of outdoor displays placed along Portuguese streets where historical marches — the traditional Lisbon neighborhood processions — take place, pairing real crime-scene locations with History Channel's true-crime programming slate. The displays position the march routes themselves as evidence of the crimes covered in the channel's shows.</t>
        </is>
      </c>
      <c r="N58" s="113" t="inlineStr">
        <is>
          <t>history-channel, media-entertainment, ooh, true-crime, portugal, displays, street-level</t>
        </is>
      </c>
    </row>
    <row r="59">
      <c r="A59" s="127" t="n">
        <v>2025</v>
      </c>
      <c r="B59" s="138" t="inlineStr">
        <is>
          <t>Bronze</t>
        </is>
      </c>
      <c r="C59" s="135" t="inlineStr">
        <is>
          <t>Crimes</t>
        </is>
      </c>
      <c r="D59" s="127" t="inlineStr">
        <is>
          <t>History Channel</t>
        </is>
      </c>
      <c r="E59" s="127" t="inlineStr">
        <is>
          <t>History Channel</t>
        </is>
      </c>
      <c r="F59" s="127" t="inlineStr">
        <is>
          <t>Dentsu Creative</t>
        </is>
      </c>
      <c r="G59" s="127" t="inlineStr">
        <is>
          <t>Portugal</t>
        </is>
      </c>
      <c r="H59" s="113" t="inlineStr">
        <is>
          <t>B05 - Media/Entertainment</t>
        </is>
      </c>
      <c r="I59" s="128" t="inlineStr">
        <is>
          <t>https://ascentialcdn.filespin.io/api/v1/conversion/2aba4c2194414c37b9cf328c0dcc193f</t>
        </is>
      </c>
      <c r="J59" s="127" t="inlineStr">
        <is>
          <t>W29029BIbvY</t>
        </is>
      </c>
      <c r="K59" s="127" t="inlineStr">
        <is>
          <t>history-channel-b05-media-entertainment</t>
        </is>
      </c>
      <c r="L59" s="128" t="inlineStr">
        <is>
          <t>https://www.lovethework.com/work/entries/crimes-763490</t>
        </is>
      </c>
      <c r="M59" s="113" t="inlineStr">
        <is>
          <t>A series of out-of-home displays placed at real-world crime scenes — or locations tied to historical crimes — in Portugal, using physical signage to surface the History Channel's crime-related programming at the sites where those events actually occurred. The campaign was created by Dentsu Creative Lisbon.</t>
        </is>
      </c>
      <c r="N59" s="113" t="inlineStr">
        <is>
          <t>history-channel, media-entertainment, ooh, displays, portugal, true-crime, site-specific</t>
        </is>
      </c>
    </row>
    <row r="60">
      <c r="A60" s="127" t="n">
        <v>2025</v>
      </c>
      <c r="B60" s="138" t="inlineStr">
        <is>
          <t>Bronze</t>
        </is>
      </c>
      <c r="C60" s="135" t="inlineStr">
        <is>
          <t>Signs from Heaven</t>
        </is>
      </c>
      <c r="D60" s="127" t="inlineStr">
        <is>
          <t>Pangu Cloud</t>
        </is>
      </c>
      <c r="E60" s="127" t="inlineStr">
        <is>
          <t>Pangu Meteorological Model</t>
        </is>
      </c>
      <c r="F60" s="127" t="inlineStr">
        <is>
          <t>Ogilvy</t>
        </is>
      </c>
      <c r="G60" s="127" t="inlineStr">
        <is>
          <t>China</t>
        </is>
      </c>
      <c r="H60" s="113" t="inlineStr">
        <is>
          <t>C01 - Displays</t>
        </is>
      </c>
      <c r="I60" s="128" t="inlineStr">
        <is>
          <t>https://ascentialcdn.filespin.io/api/v1/conversion/09dbff10bf5e4eaeae2d578fe9cc19b0</t>
        </is>
      </c>
      <c r="J60" s="127" t="inlineStr">
        <is>
          <t>CLTN81ECv6E</t>
        </is>
      </c>
      <c r="K60" s="127" t="n"/>
      <c r="L60" s="128" t="inlineStr">
        <is>
          <t>https://www.lovethework.com/work/entries/signs-from-heaven-740708</t>
        </is>
      </c>
      <c r="M60" s="113" t="inlineStr">
        <is>
          <t>An early-warning system built for remote fishing communities and villages in Madagascar, using Pangu Cloud's AI-powered meteorological model to detect incoming storms and deliver life-saving weather alerts before they strike. Because thousands of fishermen and villagers die each year from storms they had no advance notice of, the alerts were distributed through local channels accessible to communities with no reliable digital infrastructure.</t>
        </is>
      </c>
      <c r="N60" s="113" t="inlineStr">
        <is>
          <t>meteorological-model, ai, technology, public-safety, ooh, madagascar, china, early-warning, weather</t>
        </is>
      </c>
    </row>
    <row r="61">
      <c r="A61" s="127" t="n">
        <v>2025</v>
      </c>
      <c r="B61" s="138" t="inlineStr">
        <is>
          <t>Bronze</t>
        </is>
      </c>
      <c r="C61" s="135" t="inlineStr">
        <is>
          <t>Smile 20</t>
        </is>
      </c>
      <c r="D61" s="127" t="inlineStr">
        <is>
          <t>Goody's Pain Powder</t>
        </is>
      </c>
      <c r="E61" s="127" t="inlineStr">
        <is>
          <t>Goody's Pain Powder</t>
        </is>
      </c>
      <c r="F61" s="127" t="inlineStr">
        <is>
          <t>FCB Chicago</t>
        </is>
      </c>
      <c r="G61" s="127" t="inlineStr">
        <is>
          <t>United States</t>
        </is>
      </c>
      <c r="H61" s="113" t="inlineStr">
        <is>
          <t>C02 - Interactive/Dynamic Digital Screens</t>
        </is>
      </c>
      <c r="I61" s="128" t="inlineStr">
        <is>
          <t>https://ascentialcdn.filespin.io/api/v1/conversion/102f0d648c284c6e98ed2de341d6a49d</t>
        </is>
      </c>
      <c r="J61" s="127" t="inlineStr">
        <is>
          <t>vimeo:1081666376</t>
        </is>
      </c>
      <c r="K61" s="127" t="n"/>
      <c r="L61" s="128" t="inlineStr">
        <is>
          <t>https://www.lovethework.com/work/entries/smile-20-740676</t>
        </is>
      </c>
      <c r="M61" s="113" t="inlineStr">
        <is>
          <t>An AI-powered digital screen placed at Mile 20 of the Knoxville Marathon — the point where runners hit "the wall" — that detected each runner's face and overlaid a smile filter in real time, prompting an involuntary physical smile during one of the race's most painful stretches. The placement responds to a specific constraint: runners are medically advised not to take NSAIDs like Goody's Pain Powder mid-race, so the brand offered an alternative form of relief at the moment it couldn't offer its actual product.</t>
        </is>
      </c>
      <c r="N61" s="113" t="inlineStr">
        <is>
          <t>pain-relief, ooh, dynamic-digital-screens, ai, technology, face-detection, experiential, running, united-states, sports-marketing</t>
        </is>
      </c>
    </row>
    <row r="62">
      <c r="A62" s="127" t="n">
        <v>2025</v>
      </c>
      <c r="B62" s="138" t="inlineStr">
        <is>
          <t>Bronze</t>
        </is>
      </c>
      <c r="C62" s="135" t="inlineStr">
        <is>
          <t>Carrefoursa - Ghost Town</t>
        </is>
      </c>
      <c r="D62" s="127" t="inlineStr">
        <is>
          <t>Carrefoursa</t>
        </is>
      </c>
      <c r="E62" s="127" t="inlineStr">
        <is>
          <t>Retail</t>
        </is>
      </c>
      <c r="F62" s="127" t="inlineStr">
        <is>
          <t>TBWA\Istanbul</t>
        </is>
      </c>
      <c r="G62" s="127" t="inlineStr">
        <is>
          <t>Turkey</t>
        </is>
      </c>
      <c r="H62" s="113" t="inlineStr">
        <is>
          <t>C03 - Special Build</t>
        </is>
      </c>
      <c r="I62" s="128" t="inlineStr">
        <is>
          <t>https://ascentialcdn.filespin.io/api/v1/conversion/7aeda253bc4a4f4e8c659c64a4721596</t>
        </is>
      </c>
      <c r="J62" s="127" t="inlineStr">
        <is>
          <t>0tKFbogECr4</t>
        </is>
      </c>
      <c r="K62" s="127" t="n"/>
      <c r="L62" s="128" t="inlineStr">
        <is>
          <t>https://www.lovethework.com/work/entries/carrefoursa-ghost-town-740781</t>
        </is>
      </c>
      <c r="M62" s="113" t="inlineStr">
        <is>
          <t>To expose the threat of abandoned 'ghost nets,' CarrefourSA collected them from the sea and draped them across Ocaklar, turning the Turkish fishing village into a haunting vision of the ghost town it could become. The installation made the invisible crisis impossible to ignore, while a training program and digital platform helped educate thousands of fishermen on protecting sustainable seafood and coastal livelihoods.</t>
        </is>
      </c>
      <c r="N62" s="113" t="inlineStr">
        <is>
          <t>retail, supermarket, grocery, ooh, sustainability, environment, social-good, turkey, partnership, installation</t>
        </is>
      </c>
    </row>
    <row r="63">
      <c r="A63" s="127" t="n">
        <v>2025</v>
      </c>
      <c r="B63" s="138" t="inlineStr">
        <is>
          <t>Bronze</t>
        </is>
      </c>
      <c r="C63" s="135" t="inlineStr">
        <is>
          <t>Chai Bansuri - the Tea Flute</t>
        </is>
      </c>
      <c r="D63" s="127" t="inlineStr">
        <is>
          <t>Unilever</t>
        </is>
      </c>
      <c r="E63" s="127" t="inlineStr">
        <is>
          <t>Brooke Bond Taj Mahal Tea</t>
        </is>
      </c>
      <c r="F63" s="127" t="inlineStr">
        <is>
          <t>Ogilvy</t>
        </is>
      </c>
      <c r="G63" s="127" t="inlineStr">
        <is>
          <t>India</t>
        </is>
      </c>
      <c r="H63" s="113" t="inlineStr">
        <is>
          <t>C04 - Live Advertising and Events</t>
        </is>
      </c>
      <c r="I63" s="128" t="inlineStr">
        <is>
          <t>https://ascentialcdn.filespin.io/api/v1/conversion/b79b43804eae486ea54374794321d26f</t>
        </is>
      </c>
      <c r="J63" s="127" t="inlineStr">
        <is>
          <t>rUaCL7lrVa4</t>
        </is>
      </c>
      <c r="K63" s="127" t="n"/>
      <c r="L63" s="128" t="inlineStr">
        <is>
          <t>https://www.lovethework.com/work/entries/chai-bansuri-the-tea-flute-740791</t>
        </is>
      </c>
      <c r="M63" s="113" t="inlineStr">
        <is>
          <t>A 500-litre kettle engineered to play the flute — steam from brewing Taj Mahal Tea was channeled through a bansuri while mechanized fingers worked the finger holes to produce live music. The installation draws on Taj Mahal Tea's long association with classical Indian music, using the act of brewing itself as the instrument.</t>
        </is>
      </c>
      <c r="N63" s="113" t="inlineStr">
        <is>
          <t>tea, live-event, installation, india, classical-music, ogilvy, experiential, branded-entertainment</t>
        </is>
      </c>
    </row>
    <row r="64">
      <c r="A64" s="127" t="n">
        <v>2025</v>
      </c>
      <c r="B64" s="138" t="inlineStr">
        <is>
          <t>Bronze</t>
        </is>
      </c>
      <c r="C64" s="135" t="inlineStr">
        <is>
          <t>Worst Children's Library</t>
        </is>
      </c>
      <c r="D64" s="127" t="inlineStr">
        <is>
          <t>Samsung</t>
        </is>
      </c>
      <c r="E64" s="127" t="inlineStr">
        <is>
          <t>Samsung</t>
        </is>
      </c>
      <c r="F64" s="127" t="inlineStr">
        <is>
          <t>DDB New Zealand</t>
        </is>
      </c>
      <c r="G64" s="127" t="inlineStr">
        <is>
          <t>New Zealand</t>
        </is>
      </c>
      <c r="H64" s="113" t="inlineStr">
        <is>
          <t>C05 - Interactive Experiences</t>
        </is>
      </c>
      <c r="I64" s="128" t="inlineStr">
        <is>
          <t>https://ascentialcdn.filespin.io/api/v1/conversion/0e92a3c97dfe4f05b663ae448b0f27d4</t>
        </is>
      </c>
      <c r="J64" s="127" t="inlineStr">
        <is>
          <t>vimeo:1105993323</t>
        </is>
      </c>
      <c r="K64" s="127" t="n"/>
      <c r="L64" s="128" t="inlineStr">
        <is>
          <t>https://www.lovethework.com/work/entries/worst-childrens-library-740810</t>
        </is>
      </c>
      <c r="M64" s="113" t="inlineStr">
        <is>
          <t>A real school library at Auckland Normal Intermediate stripped of its usual books and replaced with 1,160 hand-bound titles — each one a piece of harmful digital content that children have actually encountered online. Topics ranged from toxic masculinity to self-harm to animal cruelty, catalogued in a custom 'Dewey Decimal System of Harm,' with parents invited to walk the shelves.</t>
        </is>
      </c>
      <c r="N64" s="113" t="inlineStr">
        <is>
          <t>social-good, online-safety, education, exhibition, kids, new-zealand, partnership, behaviour-change</t>
        </is>
      </c>
    </row>
    <row r="65">
      <c r="A65" s="127" t="n">
        <v>2025</v>
      </c>
      <c r="B65" s="138" t="inlineStr">
        <is>
          <t>Bronze</t>
        </is>
      </c>
      <c r="C65" s="135" t="inlineStr">
        <is>
          <t>Mayo Exchange</t>
        </is>
      </c>
      <c r="D65" s="127" t="inlineStr">
        <is>
          <t>Hellmann's</t>
        </is>
      </c>
      <c r="E65" s="127" t="inlineStr">
        <is>
          <t>Hellmann's Mayonnaise</t>
        </is>
      </c>
      <c r="F65" s="127" t="inlineStr">
        <is>
          <t>Edelman</t>
        </is>
      </c>
      <c r="G65" s="127" t="inlineStr">
        <is>
          <t>United Kingdom</t>
        </is>
      </c>
      <c r="H65" s="113" t="inlineStr">
        <is>
          <t>C05 - Interactive Experiences</t>
        </is>
      </c>
      <c r="I65" s="128" t="inlineStr">
        <is>
          <t>https://ascentialcdn.filespin.io/api/v1/conversion/2f963ba6e5b3402fb58a7907daa78953</t>
        </is>
      </c>
      <c r="J65" s="127" t="inlineStr">
        <is>
          <t>4NpEnDNRwc0</t>
        </is>
      </c>
      <c r="K65" s="127" t="n"/>
      <c r="L65" s="128" t="inlineStr">
        <is>
          <t>https://www.lovethework.com/work/entries/mayo-exchange-740956</t>
        </is>
      </c>
      <c r="M65" s="113" t="inlineStr">
        <is>
          <t>A pop-up condiment currency exchange run across 62 locations in the United Kingdom, where Hellmann's invited ketchup owners to physically hand in their bottles in exchange for Hellmann's Mayonnaise. The exchange framing — staffed counters, branded currency signage — positioned mayo as the superior condiment by treating ketchup as a currency worth trading away.</t>
        </is>
      </c>
      <c r="N65" s="113" t="inlineStr">
        <is>
          <t>mayonnaise, experiential, ooh, pop-up, condiment, united-kingdom, retail-activation, interactive-experience</t>
        </is>
      </c>
    </row>
    <row r="66">
      <c r="A66" s="127" t="n">
        <v>2025</v>
      </c>
      <c r="B66" s="138" t="inlineStr">
        <is>
          <t>Bronze</t>
        </is>
      </c>
      <c r="C66" s="135" t="inlineStr">
        <is>
          <t>Touchboards Discount</t>
        </is>
      </c>
      <c r="D66" s="127" t="inlineStr">
        <is>
          <t>Itaú Unibanco</t>
        </is>
      </c>
      <c r="E66" s="127" t="inlineStr">
        <is>
          <t>Bank</t>
        </is>
      </c>
      <c r="F66" s="127" t="inlineStr">
        <is>
          <t>Africa Creative DDB</t>
        </is>
      </c>
      <c r="G66" s="127" t="inlineStr">
        <is>
          <t>Brazil</t>
        </is>
      </c>
      <c r="H66" s="113" t="inlineStr">
        <is>
          <t>C05 - Interactive Experiences</t>
        </is>
      </c>
      <c r="I66" s="128" t="inlineStr">
        <is>
          <t>https://ascentialcdn.filespin.io/api/v1/conversion/e14b84bfe13a475898db5ad4b54d8a97</t>
        </is>
      </c>
      <c r="J66" s="127" t="inlineStr">
        <is>
          <t>vimeo:1136599182</t>
        </is>
      </c>
      <c r="K66" s="127" t="n"/>
      <c r="L66" s="128" t="inlineStr">
        <is>
          <t>https://www.lovethework.com/work/entries/touchboards-discount-740763</t>
        </is>
      </c>
      <c r="M66" s="113" t="inlineStr">
        <is>
          <t>For Black Friday, Itaú Shop turned missed shots during a major Brazilian championship match into instant marketplace discounts. Using touch-enabled boards around the field, every ball that hit the ads unlocked deals on fan-favorite items like TVs, jerseys and soccer balls, transforming bad plays into rewarding moments for fans in the stadium and at home.</t>
        </is>
      </c>
      <c r="N66" s="113" t="inlineStr">
        <is>
          <t>banking, financial-services, finance, fintech, sport, football, soccer, ooh, interactive, brazil, retail-promo, real-time</t>
        </is>
      </c>
    </row>
    <row r="67">
      <c r="A67" s="127" t="n">
        <v>2025</v>
      </c>
      <c r="B67" s="138" t="inlineStr">
        <is>
          <t>Bronze</t>
        </is>
      </c>
      <c r="C67" s="135" t="inlineStr">
        <is>
          <t>Followers Store</t>
        </is>
      </c>
      <c r="D67" s="127" t="inlineStr">
        <is>
          <t>New Balance</t>
        </is>
      </c>
      <c r="E67" s="127" t="inlineStr">
        <is>
          <t>New Balance</t>
        </is>
      </c>
      <c r="F67" s="127" t="inlineStr">
        <is>
          <t>LePub</t>
        </is>
      </c>
      <c r="G67" s="127" t="inlineStr">
        <is>
          <t>Brazil</t>
        </is>
      </c>
      <c r="H67" s="113" t="inlineStr">
        <is>
          <t>C06 - Transit</t>
        </is>
      </c>
      <c r="I67" s="128" t="inlineStr">
        <is>
          <t>https://ascentialcdn.filespin.io/api/v1/conversion/3f6078e96a9a4e17acada7c2ad04d652</t>
        </is>
      </c>
      <c r="J67" s="127" t="inlineStr">
        <is>
          <t>uYskstOPF4U</t>
        </is>
      </c>
      <c r="K67" s="127" t="n"/>
      <c r="L67" s="128" t="inlineStr">
        <is>
          <t>https://www.lovethework.com/work/entries/followers-store-741098</t>
        </is>
      </c>
      <c r="M67"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67" s="113" t="inlineStr">
        <is>
          <t>ecommerce, retail, online-shopping, geolocation, football, soccer, sport, brazil, app, partnership</t>
        </is>
      </c>
    </row>
    <row r="68">
      <c r="A68" s="127" t="n">
        <v>2025</v>
      </c>
      <c r="B68" s="138" t="inlineStr">
        <is>
          <t>Bronze</t>
        </is>
      </c>
      <c r="C68" s="135" t="inlineStr">
        <is>
          <t>Lucky Yatra</t>
        </is>
      </c>
      <c r="D68" s="127" t="inlineStr">
        <is>
          <t>Indian Railways</t>
        </is>
      </c>
      <c r="E68" s="127" t="inlineStr">
        <is>
          <t>Railway Service</t>
        </is>
      </c>
      <c r="F68" s="127" t="inlineStr">
        <is>
          <t>FCB India</t>
        </is>
      </c>
      <c r="G68" s="127" t="inlineStr">
        <is>
          <t>India</t>
        </is>
      </c>
      <c r="H68" s="113" t="inlineStr">
        <is>
          <t>C06 - Transit</t>
        </is>
      </c>
      <c r="I68" s="128" t="inlineStr">
        <is>
          <t>https://ascentialcdn.filespin.io/api/v1/conversion/cf238077a73e4204aff7e28913d98b1d</t>
        </is>
      </c>
      <c r="J68" s="127" t="inlineStr">
        <is>
          <t>IYJlZRbvMEw</t>
        </is>
      </c>
      <c r="K68" s="127" t="n"/>
      <c r="L68" s="128" t="inlineStr">
        <is>
          <t>https://www.lovethework.com/work/entries/lucky-yatra-741094</t>
        </is>
      </c>
      <c r="M68"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68" s="113" t="inlineStr">
        <is>
          <t>railway-service, loyalty-program, public-service, mobile-app, india, gamification, ticketing</t>
        </is>
      </c>
    </row>
    <row r="69">
      <c r="A69" s="127" t="n">
        <v>2025</v>
      </c>
      <c r="B69" s="138" t="inlineStr">
        <is>
          <t>Bronze</t>
        </is>
      </c>
      <c r="C69" s="135" t="inlineStr">
        <is>
          <t>Hidden Message</t>
        </is>
      </c>
      <c r="D69" s="127" t="inlineStr">
        <is>
          <t>Heineken</t>
        </is>
      </c>
      <c r="E69" s="127" t="inlineStr">
        <is>
          <t>Heineken</t>
        </is>
      </c>
      <c r="F69" s="127" t="inlineStr">
        <is>
          <t>LePub</t>
        </is>
      </c>
      <c r="G69" s="127" t="inlineStr">
        <is>
          <t>Italy</t>
        </is>
      </c>
      <c r="H69" s="113" t="inlineStr">
        <is>
          <t>D03 - Technology</t>
        </is>
      </c>
      <c r="I69" s="128" t="inlineStr">
        <is>
          <t>https://ascentialcdn.filespin.io/api/v1/conversion/459dc31c901d4c3385f219939e6621a9</t>
        </is>
      </c>
      <c r="J69" s="127" t="inlineStr">
        <is>
          <t>PPtbr6aJ7_A</t>
        </is>
      </c>
      <c r="K69" s="127" t="n"/>
      <c r="L69" s="128" t="inlineStr">
        <is>
          <t>https://www.lovethework.com/work/entries/hidden-message-741175</t>
        </is>
      </c>
      <c r="M69" s="113" t="inlineStr">
        <is>
          <t>Billboards fitted with infrared lights, placed at music festivals, that are invisible to the naked eye but appear only through a smartphone camera — so the message is revealed exclusively to people already holding their phones up to film. The boards were activated at major live events to turn the act of reaching for your phone into the moment you're told to put it down.</t>
        </is>
      </c>
      <c r="N69" s="113" t="inlineStr">
        <is>
          <t>beer, alcohol, ooh, music-festivals, infrared, live-events, italy, technology, ambient</t>
        </is>
      </c>
    </row>
    <row r="70">
      <c r="A70" s="127" t="n">
        <v>2025</v>
      </c>
      <c r="B70" s="138" t="inlineStr">
        <is>
          <t>Bronze</t>
        </is>
      </c>
      <c r="C70" s="135" t="inlineStr">
        <is>
          <t>The Shaded Route</t>
        </is>
      </c>
      <c r="D70" s="127" t="inlineStr">
        <is>
          <t>HungerStation</t>
        </is>
      </c>
      <c r="E70" s="127" t="inlineStr">
        <is>
          <t>HungerStation Delivery App</t>
        </is>
      </c>
      <c r="F70" s="127" t="inlineStr">
        <is>
          <t>VML</t>
        </is>
      </c>
      <c r="G70" s="127" t="inlineStr">
        <is>
          <t>Saudi Arabia</t>
        </is>
      </c>
      <c r="H70" s="113" t="inlineStr">
        <is>
          <t>D03 - Technology</t>
        </is>
      </c>
      <c r="I70" s="128" t="inlineStr">
        <is>
          <t>https://ascentialcdn.filespin.io/api/v1/conversion/a5387631458b48648c6dba4b21efb3d0</t>
        </is>
      </c>
      <c r="J70" s="127" t="inlineStr">
        <is>
          <t>NZcCfqEoFoo</t>
        </is>
      </c>
      <c r="K70" s="127" t="n"/>
      <c r="L70" s="128" t="inlineStr">
        <is>
          <t>https://www.lovethework.com/work/entries/the-shaded-route-741203</t>
        </is>
      </c>
      <c r="M70"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70" s="113" t="inlineStr">
        <is>
          <t>delivery-app, mobile-app, technology, data, real-time, rider-welfare, saudi-arabia, navigation, heat</t>
        </is>
      </c>
    </row>
    <row r="71">
      <c r="A71" s="127" t="n">
        <v>2025</v>
      </c>
      <c r="B71" s="138" t="inlineStr">
        <is>
          <t>Bronze</t>
        </is>
      </c>
      <c r="C71" s="135" t="inlineStr">
        <is>
          <t>Winning Isn't Comfortable</t>
        </is>
      </c>
      <c r="D71" s="127" t="inlineStr">
        <is>
          <t>Nike</t>
        </is>
      </c>
      <c r="E71" s="127" t="inlineStr">
        <is>
          <t>Nike</t>
        </is>
      </c>
      <c r="F71" s="127" t="inlineStr">
        <is>
          <t>Wieden+Kennedy</t>
        </is>
      </c>
      <c r="G71" s="127" t="inlineStr">
        <is>
          <t>United States</t>
        </is>
      </c>
      <c r="H71" s="113" t="inlineStr">
        <is>
          <t>E04 - Social Behaviour</t>
        </is>
      </c>
      <c r="I71" s="127" t="inlineStr">
        <is>
          <t>digital-presentation-images/outdoor-nike-winning-isnt-comfortable.webp</t>
        </is>
      </c>
      <c r="J71" s="127" t="inlineStr">
        <is>
          <t>FFFmnfdBrm8</t>
        </is>
      </c>
      <c r="K71" s="127" t="n"/>
      <c r="L71" s="128" t="inlineStr">
        <is>
          <t>https://www.lovethework.com/work/entries/winning-isnt-comfortable-741524</t>
        </is>
      </c>
      <c r="M71" s="113" t="inlineStr">
        <is>
          <t>An OOH campaign across 200+ placements at and around five marathons — including Chicago and New York — where billboard copy transitions meaning mid-message, mirroring the way runners hate a run in the moment but love it once it's done. Locations were selected using Strava data to target popular running routes, and executions followed runners from bib pick-up through every mile to the subway ride home. Wieden+Kennedy Portland built the work around the unspoken truth that running is awful and runners know it, countering a category convention of smiling, sweat-free athletes in effortless motion.</t>
        </is>
      </c>
      <c r="N71" s="113" t="inlineStr">
        <is>
          <t>sportswear, ooh, out-of-home, running, marathon, united-states, strava-partnership, copywriting</t>
        </is>
      </c>
    </row>
    <row r="72">
      <c r="A72" s="127" t="n">
        <v>2025</v>
      </c>
      <c r="B72" s="138" t="inlineStr">
        <is>
          <t>Bronze</t>
        </is>
      </c>
      <c r="C72" s="135" t="inlineStr">
        <is>
          <t>Not for First Dates</t>
        </is>
      </c>
      <c r="D72" s="127" t="inlineStr">
        <is>
          <t>McDonald's</t>
        </is>
      </c>
      <c r="E72" s="127" t="inlineStr">
        <is>
          <t>McDonald's Meals</t>
        </is>
      </c>
      <c r="F72" s="127" t="inlineStr">
        <is>
          <t>FP7 McCann</t>
        </is>
      </c>
      <c r="G72" s="127" t="inlineStr">
        <is>
          <t>United Arab Emirates</t>
        </is>
      </c>
      <c r="H72" s="113" t="inlineStr">
        <is>
          <t>E04 - Social Behaviour</t>
        </is>
      </c>
      <c r="I72" s="128" t="inlineStr">
        <is>
          <t>https://ascentialcdn.filespin.io/api/v1/conversion/591a046477ac42a3973af316aacb0ac5</t>
        </is>
      </c>
      <c r="J72" s="127" t="inlineStr">
        <is>
          <t>vimeo:1083528511</t>
        </is>
      </c>
      <c r="K72" s="127" t="n"/>
      <c r="L72" s="128" t="inlineStr">
        <is>
          <t>https://www.lovethework.com/work/entries/not-for-first-dates-741459</t>
        </is>
      </c>
      <c r="M72" s="113" t="inlineStr">
        <is>
          <t>An outdoor campaign for McDonald's UAE built on the cultural insight that real intimacy — the kind where you eat messily, share fries, and drop sauce on your shirt — comes after the first-date performance is over. The work positions McDonald's meals as the food of established comfort rather than courtship, running in partnership with Weber Shandwick MENAT, UM, and Craft.</t>
        </is>
      </c>
      <c r="N72" s="113" t="inlineStr">
        <is>
          <t>quick-service-restaurant, ooh, social-behaviour, united-arab-emirates, cultural-insight, relationship, middle-east</t>
        </is>
      </c>
    </row>
    <row r="73">
      <c r="A73" s="127" t="n">
        <v>2025</v>
      </c>
      <c r="B73" s="138" t="inlineStr">
        <is>
          <t>Bronze</t>
        </is>
      </c>
      <c r="C73" s="135" t="inlineStr">
        <is>
          <t>Awkboards</t>
        </is>
      </c>
      <c r="D73" s="127" t="inlineStr">
        <is>
          <t>Life Pharmacy</t>
        </is>
      </c>
      <c r="E73" s="127" t="inlineStr">
        <is>
          <t>OTC Products</t>
        </is>
      </c>
      <c r="F73" s="127" t="inlineStr">
        <is>
          <t>FCB New Zealand</t>
        </is>
      </c>
      <c r="G73" s="127" t="inlineStr">
        <is>
          <t>New Zealand</t>
        </is>
      </c>
      <c r="H73" s="113" t="inlineStr">
        <is>
          <t>E05 - Use of Humour</t>
        </is>
      </c>
      <c r="I73" s="128" t="inlineStr">
        <is>
          <t>https://ascentialcdn.filespin.io/api/v1/conversion/acd8d741c65343949410395ac1ef1341</t>
        </is>
      </c>
      <c r="J73" s="127" t="inlineStr">
        <is>
          <t>vimeo:1065727535</t>
        </is>
      </c>
      <c r="K73" s="127" t="n"/>
      <c r="L73" s="128" t="inlineStr">
        <is>
          <t>https://www.lovethework.com/work/entries/awkboards-741401</t>
        </is>
      </c>
      <c r="M73" s="113" t="inlineStr">
        <is>
          <t>A series of bold digital out-of-home billboards that displayed the names of embarrassing pharmacy products — laxatives, lubricants, and similar purchases — in large, unapologetic type to normalise buying them in person. The campaign was tied to a partnership with Uber Eats, which gave New Zealanders the option to order those same products for discreet home delivery through Life Pharmacy and Unichem.</t>
        </is>
      </c>
      <c r="N73" s="113" t="inlineStr">
        <is>
          <t>pharmacy, ooh, digital-billboard, humor, new-zealand, uber-eats-partnership, otc-products, destigmatization</t>
        </is>
      </c>
    </row>
    <row r="74">
      <c r="A74" s="127" t="n">
        <v>2025</v>
      </c>
      <c r="B74" s="138" t="inlineStr">
        <is>
          <t>Bronze</t>
        </is>
      </c>
      <c r="C74" s="135" t="inlineStr">
        <is>
          <t>Trollboards</t>
        </is>
      </c>
      <c r="D74" s="127" t="inlineStr">
        <is>
          <t>Skyscanner</t>
        </is>
      </c>
      <c r="E74" s="127" t="inlineStr">
        <is>
          <t>Skyscanner Search Aggregator and Travel Agency</t>
        </is>
      </c>
      <c r="F74" s="127" t="inlineStr">
        <is>
          <t>Courage</t>
        </is>
      </c>
      <c r="G74" s="127" t="inlineStr">
        <is>
          <t>Canada</t>
        </is>
      </c>
      <c r="H74" s="113" t="inlineStr">
        <is>
          <t>E06 - Breakthrough on a Budget</t>
        </is>
      </c>
      <c r="I74" s="128" t="inlineStr">
        <is>
          <t>https://ascentialcdn.filespin.io/api/v1/conversion/2e3e8abad74c4c44a8e303b53e1f6eea</t>
        </is>
      </c>
      <c r="J74" s="127" t="inlineStr">
        <is>
          <t>vimeo:1030104933</t>
        </is>
      </c>
      <c r="K74" s="127" t="n"/>
      <c r="L74" s="128" t="inlineStr">
        <is>
          <t>https://www.lovethework.com/work/entries/trollboards-741387</t>
        </is>
      </c>
      <c r="M74" s="113" t="inlineStr">
        <is>
          <t>Outdoor boards placed courtside during the NBA playoffs that replicated the look of the fan-held troll signs long associated with basketball playoff culture — repurposed to carry Skyscanner messaging. The placement put the brand inside a long-running arena meme at a fraction of traditional sponsorship spend, with media handled by Rebel &amp; Thorn.</t>
        </is>
      </c>
      <c r="N74" s="113" t="inlineStr">
        <is>
          <t>travel-aggregator, ooh, sports-sponsorship, basketball, nba, canada, breakthrough-on-a-budget, cultural-moment</t>
        </is>
      </c>
    </row>
    <row r="75">
      <c r="A75" s="127" t="n">
        <v>2025</v>
      </c>
      <c r="B75" s="138" t="inlineStr">
        <is>
          <t>Bronze</t>
        </is>
      </c>
      <c r="C75" s="135" t="inlineStr">
        <is>
          <t>Save Us from the USA</t>
        </is>
      </c>
      <c r="D75" s="127" t="inlineStr">
        <is>
          <t>Change the Ref</t>
        </is>
      </c>
      <c r="E75" s="127" t="inlineStr">
        <is>
          <t>Gun Violence Awareness</t>
        </is>
      </c>
      <c r="F75" s="127" t="inlineStr">
        <is>
          <t>Stream and Tough Guy</t>
        </is>
      </c>
      <c r="G75" s="127" t="inlineStr">
        <is>
          <t>Portugal</t>
        </is>
      </c>
      <c r="H75" s="113" t="inlineStr">
        <is>
          <t>E08 - Market Disruption</t>
        </is>
      </c>
      <c r="I75" s="128" t="inlineStr">
        <is>
          <t>https://ascentialcdn.filespin.io/api/v1/conversion/01a9990a2bf44119a25722e3b82f52aa</t>
        </is>
      </c>
      <c r="J75" s="127" t="inlineStr">
        <is>
          <t>vimeo:1073667667</t>
        </is>
      </c>
      <c r="K75" s="127" t="n"/>
      <c r="L75" s="128" t="inlineStr">
        <is>
          <t>https://www.lovethework.com/work/entries/save-us-from-the-usa-741701</t>
        </is>
      </c>
      <c r="M75" s="113" t="inlineStr">
        <is>
          <t>A campaign aired outside the United States — first in Portugal and then across other countries — asking foreign nationals to adopt American children and bring them to their safer home countries. The creative premise pivots on the fact that gun-related child deaths in the U.S. are 29 times higher than in other developed nations, framing the plea as coming from beyond U.S. borders where domestic anti-gun campaigns have failed to move policy.</t>
        </is>
      </c>
      <c r="N75" s="113" t="inlineStr">
        <is>
          <t>gun-violence-awareness, public-service, international-media, portugal, united-states, advocacy, broadcast, entertainment, social-issue</t>
        </is>
      </c>
    </row>
    <row r="76">
      <c r="A76" s="127" t="n">
        <v>2025</v>
      </c>
      <c r="B76" s="138" t="inlineStr">
        <is>
          <t>Bronze</t>
        </is>
      </c>
      <c r="C76" s="135" t="inlineStr">
        <is>
          <t>See My Name</t>
        </is>
      </c>
      <c r="D76" s="127" t="inlineStr">
        <is>
          <t>Molson Coors</t>
        </is>
      </c>
      <c r="E76" s="127" t="inlineStr">
        <is>
          <t>Molson Coors</t>
        </is>
      </c>
      <c r="F76" s="127" t="inlineStr">
        <is>
          <t>Rethink</t>
        </is>
      </c>
      <c r="G76" s="127" t="inlineStr">
        <is>
          <t>Canada</t>
        </is>
      </c>
      <c r="H76" s="113" t="inlineStr">
        <is>
          <t>E09 - Cultural Engagement</t>
        </is>
      </c>
      <c r="I76" s="128" t="inlineStr">
        <is>
          <t>https://ascentialcdn.filespin.io/api/v1/conversion/50b54ec5009448c5b2d59e4b93bfd487</t>
        </is>
      </c>
      <c r="J76" s="127" t="inlineStr">
        <is>
          <t>vimeo:1037597208</t>
        </is>
      </c>
      <c r="K76" s="127" t="n"/>
      <c r="L76" s="128" t="inlineStr">
        <is>
          <t>https://www.lovethework.com/work/entries/see-my-name-741591</t>
        </is>
      </c>
      <c r="M76" s="113" t="inlineStr">
        <is>
          <t>A jersey sponsorship adjustment made by Molson Coors for the PWHL (Professional Women's Hockey League) in Canada: the brand moved its logo placement on players' jerseys so that female athletes' surnames — traditionally obscured by sponsor branding — became clearly legible on the ice. The shift required no new jersey design, only a deliberate repositioning of where Molson Coors placed its mark.</t>
        </is>
      </c>
      <c r="N76" s="113" t="inlineStr">
        <is>
          <t>beer, alcohol, sports-sponsorship, pwhl, ooh, canada, gender-equality, social-good, hockey, apparel</t>
        </is>
      </c>
    </row>
    <row r="77">
      <c r="A77" s="127" t="n">
        <v>2025</v>
      </c>
      <c r="B77" s="138" t="inlineStr">
        <is>
          <t>Bronze</t>
        </is>
      </c>
      <c r="C77" s="135" t="inlineStr">
        <is>
          <t>VI Guardian Beads</t>
        </is>
      </c>
      <c r="D77" s="127" t="inlineStr">
        <is>
          <t>VI (Vodafone Idea)</t>
        </is>
      </c>
      <c r="E77" s="127" t="inlineStr">
        <is>
          <t>Holy Beads</t>
        </is>
      </c>
      <c r="F77" s="127" t="inlineStr">
        <is>
          <t>Ogilvy</t>
        </is>
      </c>
      <c r="G77" s="127" t="inlineStr">
        <is>
          <t>India</t>
        </is>
      </c>
      <c r="H77" s="113" t="inlineStr">
        <is>
          <t>E09 - Cultural Engagement</t>
        </is>
      </c>
      <c r="I77" s="128" t="inlineStr">
        <is>
          <t>https://ascentialcdn.filespin.io/api/v1/conversion/b018a310a849410db9cc6b9091ca2dcb</t>
        </is>
      </c>
      <c r="J77" s="127" t="inlineStr">
        <is>
          <t>mp4:videos/vi_guardian_beads.mp4</t>
        </is>
      </c>
      <c r="K77" s="127" t="n"/>
      <c r="L77" s="128" t="inlineStr">
        <is>
          <t>https://www.lovethework.com/work/entries/vi-guardian-beads-741561</t>
        </is>
      </c>
      <c r="M77" s="113" t="inlineStr">
        <is>
          <t>A bracelet made from sacred beads, each engraved with a digit from 0 to 9, distributed to pilgrims at the Kumbh Mela so they could string together a personal contact number — giving anyone with a phone a wearable way to be found by family if separated in the crowd. Vi (Vodafone Idea) and Ogilvy Mumbai built the mechanic around the religious significance of the beads themselves, which are traditionally worn and not removed, making the encoded number a permanent fixture on the wrist for the duration of the festival.</t>
        </is>
      </c>
      <c r="N77" s="113" t="inlineStr">
        <is>
          <t>telecom, product-design, cultural-engagement, india, experiential, ooh, public-safety, religious-festival</t>
        </is>
      </c>
    </row>
    <row r="78">
      <c r="A78" s="127" t="n">
        <v>2025</v>
      </c>
      <c r="B78" s="138" t="inlineStr">
        <is>
          <t>Bronze</t>
        </is>
      </c>
      <c r="C78" s="135" t="inlineStr">
        <is>
          <t>Aeromexicanos</t>
        </is>
      </c>
      <c r="D78" s="127" t="inlineStr">
        <is>
          <t>Aeromexico</t>
        </is>
      </c>
      <c r="E78" s="127" t="inlineStr">
        <is>
          <t>Aeromexico</t>
        </is>
      </c>
      <c r="F78" s="127" t="inlineStr">
        <is>
          <t>Ogilvy</t>
        </is>
      </c>
      <c r="G78" s="127" t="inlineStr">
        <is>
          <t>Mexico</t>
        </is>
      </c>
      <c r="H78" s="113" t="inlineStr">
        <is>
          <t>E09 - Cultural Engagement</t>
        </is>
      </c>
      <c r="I78" s="128" t="inlineStr">
        <is>
          <t>https://ascentialcdn.filespin.io/api/v1/conversion/f9f2a8cb575c498084f110de98272a4a</t>
        </is>
      </c>
      <c r="J78" s="127" t="inlineStr">
        <is>
          <t>6MDBJbej100</t>
        </is>
      </c>
      <c r="K78" s="127" t="n"/>
      <c r="L78" s="128" t="inlineStr">
        <is>
          <t>https://www.lovethework.com/work/entries/aeromexicanos-741588</t>
        </is>
      </c>
      <c r="M78" s="113" t="inlineStr">
        <is>
          <t>A campaign pairing Aeromexico with luchadores — Mexican wrestlers — to draw a parallel between the athleticism and artistry of lucha libre and the experience of flight. Created by Ogilvy Mexico City, the work used advanced audience segmentation to tailor messaging across multiple touchpoints.</t>
        </is>
      </c>
      <c r="N78" s="113" t="inlineStr">
        <is>
          <t>airline, sport, cultural-engagement, lucha-libre, mexico, ooh, audience-segmentation, entertainment</t>
        </is>
      </c>
    </row>
  </sheetData>
  <autoFilter ref="A1:N7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I21" r:id="rId39"/>
    <hyperlink xmlns:r="http://schemas.openxmlformats.org/officeDocument/2006/relationships" ref="L21" r:id="rId40"/>
    <hyperlink xmlns:r="http://schemas.openxmlformats.org/officeDocument/2006/relationships" ref="I22" r:id="rId41"/>
    <hyperlink xmlns:r="http://schemas.openxmlformats.org/officeDocument/2006/relationships" ref="L22" r:id="rId42"/>
    <hyperlink xmlns:r="http://schemas.openxmlformats.org/officeDocument/2006/relationships" ref="L23" r:id="rId43"/>
    <hyperlink xmlns:r="http://schemas.openxmlformats.org/officeDocument/2006/relationships" ref="L24" r:id="rId44"/>
    <hyperlink xmlns:r="http://schemas.openxmlformats.org/officeDocument/2006/relationships" ref="L25" r:id="rId45"/>
    <hyperlink xmlns:r="http://schemas.openxmlformats.org/officeDocument/2006/relationships" ref="L26" r:id="rId46"/>
    <hyperlink xmlns:r="http://schemas.openxmlformats.org/officeDocument/2006/relationships" ref="I27" r:id="rId47"/>
    <hyperlink xmlns:r="http://schemas.openxmlformats.org/officeDocument/2006/relationships" ref="L27" r:id="rId48"/>
    <hyperlink xmlns:r="http://schemas.openxmlformats.org/officeDocument/2006/relationships" ref="I28" r:id="rId49"/>
    <hyperlink xmlns:r="http://schemas.openxmlformats.org/officeDocument/2006/relationships" ref="L28" r:id="rId50"/>
    <hyperlink xmlns:r="http://schemas.openxmlformats.org/officeDocument/2006/relationships" ref="I29" r:id="rId51"/>
    <hyperlink xmlns:r="http://schemas.openxmlformats.org/officeDocument/2006/relationships" ref="L29" r:id="rId52"/>
    <hyperlink xmlns:r="http://schemas.openxmlformats.org/officeDocument/2006/relationships" ref="I30" r:id="rId53"/>
    <hyperlink xmlns:r="http://schemas.openxmlformats.org/officeDocument/2006/relationships" ref="L30" r:id="rId54"/>
    <hyperlink xmlns:r="http://schemas.openxmlformats.org/officeDocument/2006/relationships" ref="I31" r:id="rId55"/>
    <hyperlink xmlns:r="http://schemas.openxmlformats.org/officeDocument/2006/relationships" ref="L31" r:id="rId56"/>
    <hyperlink xmlns:r="http://schemas.openxmlformats.org/officeDocument/2006/relationships" ref="I32" r:id="rId57"/>
    <hyperlink xmlns:r="http://schemas.openxmlformats.org/officeDocument/2006/relationships" ref="L32" r:id="rId58"/>
    <hyperlink xmlns:r="http://schemas.openxmlformats.org/officeDocument/2006/relationships" ref="I33" r:id="rId59"/>
    <hyperlink xmlns:r="http://schemas.openxmlformats.org/officeDocument/2006/relationships" ref="L33" r:id="rId60"/>
    <hyperlink xmlns:r="http://schemas.openxmlformats.org/officeDocument/2006/relationships" ref="I34" r:id="rId61"/>
    <hyperlink xmlns:r="http://schemas.openxmlformats.org/officeDocument/2006/relationships" ref="L34" r:id="rId62"/>
    <hyperlink xmlns:r="http://schemas.openxmlformats.org/officeDocument/2006/relationships" ref="L35" r:id="rId63"/>
    <hyperlink xmlns:r="http://schemas.openxmlformats.org/officeDocument/2006/relationships" ref="I36" r:id="rId64"/>
    <hyperlink xmlns:r="http://schemas.openxmlformats.org/officeDocument/2006/relationships" ref="L36" r:id="rId65"/>
    <hyperlink xmlns:r="http://schemas.openxmlformats.org/officeDocument/2006/relationships" ref="I37" r:id="rId66"/>
    <hyperlink xmlns:r="http://schemas.openxmlformats.org/officeDocument/2006/relationships" ref="L37" r:id="rId67"/>
    <hyperlink xmlns:r="http://schemas.openxmlformats.org/officeDocument/2006/relationships" ref="I38" r:id="rId68"/>
    <hyperlink xmlns:r="http://schemas.openxmlformats.org/officeDocument/2006/relationships" ref="L38" r:id="rId69"/>
    <hyperlink xmlns:r="http://schemas.openxmlformats.org/officeDocument/2006/relationships" ref="I39" r:id="rId70"/>
    <hyperlink xmlns:r="http://schemas.openxmlformats.org/officeDocument/2006/relationships" ref="L39" r:id="rId71"/>
    <hyperlink xmlns:r="http://schemas.openxmlformats.org/officeDocument/2006/relationships" ref="I40" r:id="rId72"/>
    <hyperlink xmlns:r="http://schemas.openxmlformats.org/officeDocument/2006/relationships" ref="L40" r:id="rId73"/>
    <hyperlink xmlns:r="http://schemas.openxmlformats.org/officeDocument/2006/relationships" ref="I41" r:id="rId74"/>
    <hyperlink xmlns:r="http://schemas.openxmlformats.org/officeDocument/2006/relationships" ref="L41" r:id="rId75"/>
    <hyperlink xmlns:r="http://schemas.openxmlformats.org/officeDocument/2006/relationships" ref="I42" r:id="rId76"/>
    <hyperlink xmlns:r="http://schemas.openxmlformats.org/officeDocument/2006/relationships" ref="L42" r:id="rId77"/>
    <hyperlink xmlns:r="http://schemas.openxmlformats.org/officeDocument/2006/relationships" ref="I43" r:id="rId78"/>
    <hyperlink xmlns:r="http://schemas.openxmlformats.org/officeDocument/2006/relationships" ref="L43" r:id="rId79"/>
    <hyperlink xmlns:r="http://schemas.openxmlformats.org/officeDocument/2006/relationships" ref="I44" r:id="rId80"/>
    <hyperlink xmlns:r="http://schemas.openxmlformats.org/officeDocument/2006/relationships" ref="L44" r:id="rId81"/>
    <hyperlink xmlns:r="http://schemas.openxmlformats.org/officeDocument/2006/relationships" ref="I45" r:id="rId82"/>
    <hyperlink xmlns:r="http://schemas.openxmlformats.org/officeDocument/2006/relationships" ref="L45" r:id="rId83"/>
    <hyperlink xmlns:r="http://schemas.openxmlformats.org/officeDocument/2006/relationships" ref="I46" r:id="rId84"/>
    <hyperlink xmlns:r="http://schemas.openxmlformats.org/officeDocument/2006/relationships" ref="L46" r:id="rId85"/>
    <hyperlink xmlns:r="http://schemas.openxmlformats.org/officeDocument/2006/relationships" ref="I47" r:id="rId86"/>
    <hyperlink xmlns:r="http://schemas.openxmlformats.org/officeDocument/2006/relationships" ref="L47" r:id="rId87"/>
    <hyperlink xmlns:r="http://schemas.openxmlformats.org/officeDocument/2006/relationships" ref="I48" r:id="rId88"/>
    <hyperlink xmlns:r="http://schemas.openxmlformats.org/officeDocument/2006/relationships" ref="L48" r:id="rId89"/>
    <hyperlink xmlns:r="http://schemas.openxmlformats.org/officeDocument/2006/relationships" ref="I49" r:id="rId90"/>
    <hyperlink xmlns:r="http://schemas.openxmlformats.org/officeDocument/2006/relationships" ref="L49" r:id="rId91"/>
    <hyperlink xmlns:r="http://schemas.openxmlformats.org/officeDocument/2006/relationships" ref="I50" r:id="rId92"/>
    <hyperlink xmlns:r="http://schemas.openxmlformats.org/officeDocument/2006/relationships" ref="L50" r:id="rId93"/>
    <hyperlink xmlns:r="http://schemas.openxmlformats.org/officeDocument/2006/relationships" ref="I51" r:id="rId94"/>
    <hyperlink xmlns:r="http://schemas.openxmlformats.org/officeDocument/2006/relationships" ref="L51" r:id="rId95"/>
    <hyperlink xmlns:r="http://schemas.openxmlformats.org/officeDocument/2006/relationships" ref="I52" r:id="rId96"/>
    <hyperlink xmlns:r="http://schemas.openxmlformats.org/officeDocument/2006/relationships" ref="L52" r:id="rId97"/>
    <hyperlink xmlns:r="http://schemas.openxmlformats.org/officeDocument/2006/relationships" ref="I53" r:id="rId98"/>
    <hyperlink xmlns:r="http://schemas.openxmlformats.org/officeDocument/2006/relationships" ref="L53" r:id="rId99"/>
    <hyperlink xmlns:r="http://schemas.openxmlformats.org/officeDocument/2006/relationships" ref="I54" r:id="rId100"/>
    <hyperlink xmlns:r="http://schemas.openxmlformats.org/officeDocument/2006/relationships" ref="L54" r:id="rId101"/>
    <hyperlink xmlns:r="http://schemas.openxmlformats.org/officeDocument/2006/relationships" ref="I55" r:id="rId102"/>
    <hyperlink xmlns:r="http://schemas.openxmlformats.org/officeDocument/2006/relationships" ref="L55" r:id="rId103"/>
    <hyperlink xmlns:r="http://schemas.openxmlformats.org/officeDocument/2006/relationships" ref="I56" r:id="rId104"/>
    <hyperlink xmlns:r="http://schemas.openxmlformats.org/officeDocument/2006/relationships" ref="L56" r:id="rId105"/>
    <hyperlink xmlns:r="http://schemas.openxmlformats.org/officeDocument/2006/relationships" ref="I57" r:id="rId106"/>
    <hyperlink xmlns:r="http://schemas.openxmlformats.org/officeDocument/2006/relationships" ref="L57" r:id="rId107"/>
    <hyperlink xmlns:r="http://schemas.openxmlformats.org/officeDocument/2006/relationships" ref="I58" r:id="rId108"/>
    <hyperlink xmlns:r="http://schemas.openxmlformats.org/officeDocument/2006/relationships" ref="L58" r:id="rId109"/>
    <hyperlink xmlns:r="http://schemas.openxmlformats.org/officeDocument/2006/relationships" ref="I59" r:id="rId110"/>
    <hyperlink xmlns:r="http://schemas.openxmlformats.org/officeDocument/2006/relationships" ref="L59" r:id="rId111"/>
    <hyperlink xmlns:r="http://schemas.openxmlformats.org/officeDocument/2006/relationships" ref="I60" r:id="rId112"/>
    <hyperlink xmlns:r="http://schemas.openxmlformats.org/officeDocument/2006/relationships" ref="L60" r:id="rId113"/>
    <hyperlink xmlns:r="http://schemas.openxmlformats.org/officeDocument/2006/relationships" ref="I61" r:id="rId114"/>
    <hyperlink xmlns:r="http://schemas.openxmlformats.org/officeDocument/2006/relationships" ref="L61" r:id="rId115"/>
    <hyperlink xmlns:r="http://schemas.openxmlformats.org/officeDocument/2006/relationships" ref="I62" r:id="rId116"/>
    <hyperlink xmlns:r="http://schemas.openxmlformats.org/officeDocument/2006/relationships" ref="L62" r:id="rId117"/>
    <hyperlink xmlns:r="http://schemas.openxmlformats.org/officeDocument/2006/relationships" ref="I63" r:id="rId118"/>
    <hyperlink xmlns:r="http://schemas.openxmlformats.org/officeDocument/2006/relationships" ref="L63" r:id="rId119"/>
    <hyperlink xmlns:r="http://schemas.openxmlformats.org/officeDocument/2006/relationships" ref="I64" r:id="rId120"/>
    <hyperlink xmlns:r="http://schemas.openxmlformats.org/officeDocument/2006/relationships" ref="L64" r:id="rId121"/>
    <hyperlink xmlns:r="http://schemas.openxmlformats.org/officeDocument/2006/relationships" ref="I65" r:id="rId122"/>
    <hyperlink xmlns:r="http://schemas.openxmlformats.org/officeDocument/2006/relationships" ref="L65" r:id="rId123"/>
    <hyperlink xmlns:r="http://schemas.openxmlformats.org/officeDocument/2006/relationships" ref="I66" r:id="rId124"/>
    <hyperlink xmlns:r="http://schemas.openxmlformats.org/officeDocument/2006/relationships" ref="L66" r:id="rId125"/>
    <hyperlink xmlns:r="http://schemas.openxmlformats.org/officeDocument/2006/relationships" ref="I67" r:id="rId126"/>
    <hyperlink xmlns:r="http://schemas.openxmlformats.org/officeDocument/2006/relationships" ref="L67" r:id="rId127"/>
    <hyperlink xmlns:r="http://schemas.openxmlformats.org/officeDocument/2006/relationships" ref="I68" r:id="rId128"/>
    <hyperlink xmlns:r="http://schemas.openxmlformats.org/officeDocument/2006/relationships" ref="L68" r:id="rId129"/>
    <hyperlink xmlns:r="http://schemas.openxmlformats.org/officeDocument/2006/relationships" ref="I69" r:id="rId130"/>
    <hyperlink xmlns:r="http://schemas.openxmlformats.org/officeDocument/2006/relationships" ref="L69" r:id="rId131"/>
    <hyperlink xmlns:r="http://schemas.openxmlformats.org/officeDocument/2006/relationships" ref="I70" r:id="rId132"/>
    <hyperlink xmlns:r="http://schemas.openxmlformats.org/officeDocument/2006/relationships" ref="L70" r:id="rId133"/>
    <hyperlink xmlns:r="http://schemas.openxmlformats.org/officeDocument/2006/relationships" ref="L71" r:id="rId134"/>
    <hyperlink xmlns:r="http://schemas.openxmlformats.org/officeDocument/2006/relationships" ref="I72" r:id="rId135"/>
    <hyperlink xmlns:r="http://schemas.openxmlformats.org/officeDocument/2006/relationships" ref="L72" r:id="rId136"/>
    <hyperlink xmlns:r="http://schemas.openxmlformats.org/officeDocument/2006/relationships" ref="I73" r:id="rId137"/>
    <hyperlink xmlns:r="http://schemas.openxmlformats.org/officeDocument/2006/relationships" ref="L73" r:id="rId138"/>
    <hyperlink xmlns:r="http://schemas.openxmlformats.org/officeDocument/2006/relationships" ref="I74" r:id="rId139"/>
    <hyperlink xmlns:r="http://schemas.openxmlformats.org/officeDocument/2006/relationships" ref="L74" r:id="rId140"/>
    <hyperlink xmlns:r="http://schemas.openxmlformats.org/officeDocument/2006/relationships" ref="I75" r:id="rId141"/>
    <hyperlink xmlns:r="http://schemas.openxmlformats.org/officeDocument/2006/relationships" ref="L75" r:id="rId142"/>
    <hyperlink xmlns:r="http://schemas.openxmlformats.org/officeDocument/2006/relationships" ref="I76" r:id="rId143"/>
    <hyperlink xmlns:r="http://schemas.openxmlformats.org/officeDocument/2006/relationships" ref="L76" r:id="rId144"/>
    <hyperlink xmlns:r="http://schemas.openxmlformats.org/officeDocument/2006/relationships" ref="I77" r:id="rId145"/>
    <hyperlink xmlns:r="http://schemas.openxmlformats.org/officeDocument/2006/relationships" ref="L77" r:id="rId146"/>
    <hyperlink xmlns:r="http://schemas.openxmlformats.org/officeDocument/2006/relationships" ref="I78" r:id="rId147"/>
    <hyperlink xmlns:r="http://schemas.openxmlformats.org/officeDocument/2006/relationships" ref="L78" r:id="rId14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47"/>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Price Packs</t>
        </is>
      </c>
      <c r="D2" s="127" t="inlineStr">
        <is>
          <t>Penny</t>
        </is>
      </c>
      <c r="E2" s="127" t="inlineStr">
        <is>
          <t>Food/non-Food</t>
        </is>
      </c>
      <c r="F2" s="127" t="inlineStr">
        <is>
          <t>Serviceplan Germany</t>
        </is>
      </c>
      <c r="G2" s="127" t="inlineStr">
        <is>
          <t>Germany</t>
        </is>
      </c>
      <c r="H2" s="113" t="inlineStr">
        <is>
          <t>Market Disruption</t>
        </is>
      </c>
      <c r="I2" s="128" t="inlineStr">
        <is>
          <t>https://ascentialcdn.filespin.io/api/v1/conversion/67b6df2a0fe64deeb274c91d50040c54</t>
        </is>
      </c>
      <c r="J2" s="127" t="inlineStr">
        <is>
          <t>wXx6z3mDnVc</t>
        </is>
      </c>
      <c r="K2" s="127" t="n"/>
      <c r="L2" s="128" t="inlineStr">
        <is>
          <t>https://www.lovethework.com/work/entries/price-packs-740125</t>
        </is>
      </c>
      <c r="M2"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 s="113" t="inlineStr">
        <is>
          <t>packaging, retail, ooh, supermarket, grocery, design, price, germany, market-disruption</t>
        </is>
      </c>
    </row>
    <row r="3">
      <c r="A3" s="127" t="n">
        <v>2025</v>
      </c>
      <c r="B3" s="140" t="inlineStr">
        <is>
          <t>Gold</t>
        </is>
      </c>
      <c r="C3" s="127" t="inlineStr">
        <is>
          <t>Ink of Democracy</t>
        </is>
      </c>
      <c r="D3" s="127" t="inlineStr">
        <is>
          <t>Times of India Group</t>
        </is>
      </c>
      <c r="E3" s="127" t="inlineStr">
        <is>
          <t>Election Appeal</t>
        </is>
      </c>
      <c r="F3" s="127" t="inlineStr">
        <is>
          <t>Havas</t>
        </is>
      </c>
      <c r="G3" s="127" t="inlineStr">
        <is>
          <t>India</t>
        </is>
      </c>
      <c r="H3" s="113" t="inlineStr">
        <is>
          <t>Corporate Purpose &amp; Social Responsibility</t>
        </is>
      </c>
      <c r="I3" s="127" t="inlineStr">
        <is>
          <t>digital-presentation-images/print-and-publishing-times-of-india-group-ink-of-democracy.webp</t>
        </is>
      </c>
      <c r="J3" s="127" t="inlineStr">
        <is>
          <t>Y04IsSy9fCI</t>
        </is>
      </c>
      <c r="K3" s="127" t="n"/>
      <c r="L3" s="128" t="inlineStr">
        <is>
          <t>https://www.lovethework.com/work/entries/ink-of-democracy-740050</t>
        </is>
      </c>
      <c r="M3" s="113" t="inlineStr">
        <is>
          <t>Pages of The Times of India and The Economic Times — India's highest-circulation English-language newspapers — were printed in purple ink instead of black during the 2024 Indian General Elections, mirroring the electoral ink applied to every voter's finger as proof of voting. For every 132 registered voters who had not cast a ballot in the previous election, one purple-ink page was produced, resulting in 2.28 million prints, each functioning as a direct appeal to a specific share of the absent electorate. The campaign was created by Havas Creative India in partnership with The Times of India Group, drawing on the fact that 7,500 litres of electoral ink went unused in 2019 due to low turnout.</t>
        </is>
      </c>
      <c r="N3" s="113" t="inlineStr">
        <is>
          <t>newspaper, print, public-service, voter-turnout, india, corporate-purpose, packaging-craft, elections, media-brand</t>
        </is>
      </c>
    </row>
    <row r="4">
      <c r="A4" s="127" t="n">
        <v>2025</v>
      </c>
      <c r="B4" s="140" t="inlineStr">
        <is>
          <t>Gold</t>
        </is>
      </c>
      <c r="C4" s="127" t="inlineStr">
        <is>
          <t>Holi</t>
        </is>
      </c>
      <c r="D4" s="127" t="inlineStr">
        <is>
          <t>Dove</t>
        </is>
      </c>
      <c r="E4" s="127" t="inlineStr">
        <is>
          <t>Dove Soap</t>
        </is>
      </c>
      <c r="F4" s="127" t="inlineStr">
        <is>
          <t>Ogilvy</t>
        </is>
      </c>
      <c r="G4" s="127" t="inlineStr">
        <is>
          <t>United States</t>
        </is>
      </c>
      <c r="H4" s="113" t="inlineStr">
        <is>
          <t>Consumer Goods</t>
        </is>
      </c>
      <c r="I4" s="128" t="inlineStr">
        <is>
          <t>https://ascentialcdn.filespin.io/api/v1/conversion/8487f504004046b3b4f39c80f9542955</t>
        </is>
      </c>
      <c r="J4" s="127" t="inlineStr">
        <is>
          <t>vimeo:1174772200</t>
        </is>
      </c>
      <c r="K4" s="127" t="inlineStr">
        <is>
          <t>dove-consumer-goods</t>
        </is>
      </c>
      <c r="L4" s="128" t="inlineStr">
        <is>
          <t>https://www.lovethework.com/work/entries/holi-739718</t>
        </is>
      </c>
      <c r="M4" s="113" t="inlineStr">
        <is>
          <t>A print campaign for Dove Beauty Bar built around the "morning after" specific celebrations — the Holi edition shows the bar resting among the vivid, smeared pigment residue left on skin after the festival of colors. Part of Ogilvy's broader "Get Unready" series that counters social media "Get Ready With Me" content by centering the cleansing and removal ritual instead of the application one. The campaign also includes Mardi Gras and Carnaval executions, each using the distinctive aftermath of that celebration as the visual context for the soap's role.</t>
        </is>
      </c>
      <c r="N4" s="113" t="inlineStr">
        <is>
          <t>soap, print, beauty, consumer-goods, cpg, fmcg, holiday-campaign, united-states, get-unready, skin-care</t>
        </is>
      </c>
    </row>
    <row r="5">
      <c r="A5" s="127" t="n">
        <v>2025</v>
      </c>
      <c r="B5" s="140" t="inlineStr">
        <is>
          <t>Gold</t>
        </is>
      </c>
      <c r="C5" s="127" t="inlineStr">
        <is>
          <t>St. Patrick's Day</t>
        </is>
      </c>
      <c r="D5" s="127" t="inlineStr">
        <is>
          <t>Dove</t>
        </is>
      </c>
      <c r="E5" s="127" t="inlineStr">
        <is>
          <t>Dove Soap</t>
        </is>
      </c>
      <c r="F5" s="127" t="inlineStr">
        <is>
          <t>Ogilvy</t>
        </is>
      </c>
      <c r="G5" s="127" t="inlineStr">
        <is>
          <t>United States</t>
        </is>
      </c>
      <c r="H5" s="113" t="inlineStr">
        <is>
          <t>Consumer Goods</t>
        </is>
      </c>
      <c r="I5" s="128" t="inlineStr">
        <is>
          <t>https://ascentialcdn.filespin.io/api/v1/conversion/372489df63044fcf8bfb5e5cca943bfe</t>
        </is>
      </c>
      <c r="J5" s="127" t="inlineStr">
        <is>
          <t>vimeo:1174772200</t>
        </is>
      </c>
      <c r="K5" s="127" t="inlineStr">
        <is>
          <t>dove-consumer-goods</t>
        </is>
      </c>
      <c r="L5" s="128" t="inlineStr">
        <is>
          <t>https://www.lovethework.com/work/entries/st-patricks-day-739704</t>
        </is>
      </c>
      <c r="M5" s="113" t="inlineStr">
        <is>
          <t>A cultural extension of Dove's "Get Unready" platform, timed to St. Patrick's Day, inviting people to remove the makeup, glitter, and face paint worn for the holiday using Dove soap. The activation follows the same mechanic as earlier "Get Unready" moments — New Year's Eve, Holi, Carnaval — where high-pigment, high-product celebrations become a natural prompt to show Dove's cleansing in use.</t>
        </is>
      </c>
      <c r="N5" s="113" t="inlineStr">
        <is>
          <t>soap, consumer-goods, cpg, fmcg, social, united-states, skincare, personal-care, beauty, seasonal, ogilvy, get-unready</t>
        </is>
      </c>
    </row>
    <row r="6">
      <c r="A6" s="127" t="n">
        <v>2025</v>
      </c>
      <c r="B6" s="140" t="inlineStr">
        <is>
          <t>Gold</t>
        </is>
      </c>
      <c r="C6" s="127" t="inlineStr">
        <is>
          <t>Happiness Within Chaos</t>
        </is>
      </c>
      <c r="D6" s="127" t="inlineStr">
        <is>
          <t>Stella Artois</t>
        </is>
      </c>
      <c r="E6" s="127" t="inlineStr">
        <is>
          <t>Stella Artois</t>
        </is>
      </c>
      <c r="F6" s="127" t="inlineStr">
        <is>
          <t>Grey</t>
        </is>
      </c>
      <c r="G6" s="127" t="inlineStr">
        <is>
          <t>United Kingdom</t>
        </is>
      </c>
      <c r="H6" s="113" t="inlineStr">
        <is>
          <t>Consumer Goods</t>
        </is>
      </c>
      <c r="I6" s="128" t="inlineStr">
        <is>
          <t>https://ascentialcdn.filespin.io/api/v1/conversion/882ea591b6fa40b29a529180b71afa65</t>
        </is>
      </c>
      <c r="J6" s="127" t="n"/>
      <c r="K6" s="127" t="inlineStr">
        <is>
          <t>stella-artois-philosophical</t>
        </is>
      </c>
      <c r="L6" s="128" t="inlineStr">
        <is>
          <t>https://www.lovethework.com/work/entries/happiness-within-chaos-739654</t>
        </is>
      </c>
      <c r="M6"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6" s="113" t="inlineStr">
        <is>
          <t>beer, alcohol, print, ooh, united-kingdom, campaign-series, illustration, consumer-goods, cpg, fmcg</t>
        </is>
      </c>
    </row>
    <row r="7">
      <c r="A7" s="127" t="n">
        <v>2025</v>
      </c>
      <c r="B7" s="140" t="inlineStr">
        <is>
          <t>Gold</t>
        </is>
      </c>
      <c r="C7" s="127" t="inlineStr">
        <is>
          <t>New Year's</t>
        </is>
      </c>
      <c r="D7" s="127" t="inlineStr">
        <is>
          <t>Dove</t>
        </is>
      </c>
      <c r="E7" s="127" t="inlineStr">
        <is>
          <t>Dove Soap</t>
        </is>
      </c>
      <c r="F7" s="127" t="inlineStr">
        <is>
          <t>Ogilvy</t>
        </is>
      </c>
      <c r="G7" s="127" t="inlineStr">
        <is>
          <t>United States</t>
        </is>
      </c>
      <c r="H7" s="113" t="inlineStr">
        <is>
          <t>Consumer Goods</t>
        </is>
      </c>
      <c r="I7" s="128" t="inlineStr">
        <is>
          <t>https://ascentialcdn.filespin.io/api/v1/conversion/38e5adf42b364346bf882ff41160aabc</t>
        </is>
      </c>
      <c r="J7" s="127" t="inlineStr">
        <is>
          <t>vimeo:1174772200</t>
        </is>
      </c>
      <c r="K7" s="127" t="inlineStr">
        <is>
          <t>dove-consumer-goods</t>
        </is>
      </c>
      <c r="L7" s="128" t="inlineStr">
        <is>
          <t>https://www.lovethework.com/work/entries/new-years-739696</t>
        </is>
      </c>
      <c r="M7" s="113" t="inlineStr">
        <is>
          <t>A multi-phased campaign for Dove's Beauty Bar that launched immediately after midnight on New Year's Eve, positioning the bar soap as a self-care ritual for winding down after life's big moments rather than getting ready for them. Developed by Ogilvy, the "Get Unready" work debuted across the United States with creative centered on the quiet, personal act of washing off the night — leaning into the bar's 65-plus-year presence in the bathroom as a comfort object rather than a beauty step.</t>
        </is>
      </c>
      <c r="N7" s="113" t="inlineStr">
        <is>
          <t>soap, consumer-goods, cpg, fmcg, ooh, social, united-states, self-care, new-years, seasonal, multi-platform</t>
        </is>
      </c>
    </row>
    <row r="8">
      <c r="A8" s="127" t="n">
        <v>2025</v>
      </c>
      <c r="B8" s="140" t="inlineStr">
        <is>
          <t>Gold</t>
        </is>
      </c>
      <c r="C8" s="127" t="inlineStr">
        <is>
          <t>Mardi Gras</t>
        </is>
      </c>
      <c r="D8" s="127" t="inlineStr">
        <is>
          <t>Dove</t>
        </is>
      </c>
      <c r="E8" s="127" t="inlineStr">
        <is>
          <t>Dove Soap</t>
        </is>
      </c>
      <c r="F8" s="127" t="inlineStr">
        <is>
          <t>Ogilvy</t>
        </is>
      </c>
      <c r="G8" s="127" t="inlineStr">
        <is>
          <t>United States</t>
        </is>
      </c>
      <c r="H8" s="113" t="inlineStr">
        <is>
          <t>Consumer Goods</t>
        </is>
      </c>
      <c r="I8" s="128" t="inlineStr">
        <is>
          <t>https://ascentialcdn.filespin.io/api/v1/conversion/616e9779606e4684a96c828d12a9b7a0</t>
        </is>
      </c>
      <c r="J8" s="127" t="inlineStr">
        <is>
          <t>vimeo:1174772200</t>
        </is>
      </c>
      <c r="K8" s="127" t="inlineStr">
        <is>
          <t>dove-consumer-goods</t>
        </is>
      </c>
      <c r="L8" s="128" t="inlineStr">
        <is>
          <t>https://www.lovethework.com/work/entries/mardi-gras-739712</t>
        </is>
      </c>
      <c r="M8" s="113" t="inlineStr">
        <is>
          <t>A print campaign for Dove Soap that uses the visual language of Mardi Gras, Holi, and Carnaval — three festivals defined by the ritualized throwing or covering of color — as a backdrop for the brand's skin-care messaging. Each execution centers on a different celebration, pairing its signature palette and iconography with Dove's positioning around real skin.</t>
        </is>
      </c>
      <c r="N8" s="113" t="inlineStr">
        <is>
          <t>dove-soap, print, consumer-goods, cpg, fmcg, united-states, festival, skin-care, campaign, ogilvy</t>
        </is>
      </c>
    </row>
    <row r="9">
      <c r="A9" s="127" t="n">
        <v>2025</v>
      </c>
      <c r="B9" s="140" t="inlineStr">
        <is>
          <t>Gold</t>
        </is>
      </c>
      <c r="C9" s="127" t="inlineStr">
        <is>
          <t>Carnaval</t>
        </is>
      </c>
      <c r="D9" s="127" t="inlineStr">
        <is>
          <t>Dove</t>
        </is>
      </c>
      <c r="E9" s="127" t="inlineStr">
        <is>
          <t>Dove Soap</t>
        </is>
      </c>
      <c r="F9" s="127" t="inlineStr">
        <is>
          <t>Ogilvy</t>
        </is>
      </c>
      <c r="G9" s="127" t="inlineStr">
        <is>
          <t>United States</t>
        </is>
      </c>
      <c r="H9" s="113" t="inlineStr">
        <is>
          <t>Consumer Goods</t>
        </is>
      </c>
      <c r="I9" s="128" t="inlineStr">
        <is>
          <t>https://ascentialcdn.filespin.io/api/v1/conversion/3bc75956d7df4f839632c72343fb5cb5</t>
        </is>
      </c>
      <c r="J9" s="127" t="inlineStr">
        <is>
          <t>vimeo:1174772200</t>
        </is>
      </c>
      <c r="K9" s="127" t="inlineStr">
        <is>
          <t>dove-consumer-goods</t>
        </is>
      </c>
      <c r="L9" s="128" t="inlineStr">
        <is>
          <t>https://www.lovethework.com/work/entries/carnaval-739726</t>
        </is>
      </c>
      <c r="M9" s="113" t="inlineStr">
        <is>
          <t>A print campaign for Dove Beauty Bar built around three global skin-cleansing festivals — Mardi Gras, Holi, and Carnaval — each execution showing the bar removing the vivid pigments, body paint, and glitter associated with that celebration. The work positions Dove's facial cleansing benefits against the specific, intense residue left by each festival's traditions rather than generic everyday makeup.</t>
        </is>
      </c>
      <c r="N9" s="113" t="inlineStr">
        <is>
          <t>soap, print, consumer-goods, cpg, fmcg, festival, beauty, united-states, skincare, personal-care, ogilvy</t>
        </is>
      </c>
    </row>
    <row r="10">
      <c r="A10" s="127" t="n">
        <v>2025</v>
      </c>
      <c r="B10" s="140" t="inlineStr">
        <is>
          <t>Gold</t>
        </is>
      </c>
      <c r="C10" s="127" t="inlineStr">
        <is>
          <t>The Sip of Sanctuary</t>
        </is>
      </c>
      <c r="D10" s="127" t="inlineStr">
        <is>
          <t>Stella Artois</t>
        </is>
      </c>
      <c r="E10" s="127" t="inlineStr">
        <is>
          <t>Stella Artois</t>
        </is>
      </c>
      <c r="F10" s="127" t="inlineStr">
        <is>
          <t>Grey</t>
        </is>
      </c>
      <c r="G10" s="127" t="inlineStr">
        <is>
          <t>United Kingdom</t>
        </is>
      </c>
      <c r="H10" s="113" t="inlineStr">
        <is>
          <t>Consumer Goods</t>
        </is>
      </c>
      <c r="I10" s="128" t="inlineStr">
        <is>
          <t>https://ascentialcdn.filespin.io/api/v1/conversion/bc046e548975443980453424bc30515a</t>
        </is>
      </c>
      <c r="J10" s="127" t="n"/>
      <c r="K10" s="127" t="inlineStr">
        <is>
          <t>stella-artois-philosophical</t>
        </is>
      </c>
      <c r="L10" s="128" t="inlineStr">
        <is>
          <t>https://www.lovethework.com/work/entries/the-sip-of-sanctuary-739632</t>
        </is>
      </c>
      <c r="M10" s="113" t="inlineStr">
        <is>
          <t>A print campaign for Stella Artois, created by Grey London, built around three posters — "The Sip of Sanctuary," "Protector of the Chalice," and "Happiness Within Chaos" — each depicting the Stella Artois chalice as a refuge of calm amid surrounding disorder or threat. The imagery uses the glass itself as the visual anchor, framing a quiet moment of stillness as something worth protecting.</t>
        </is>
      </c>
      <c r="N10" s="113" t="inlineStr">
        <is>
          <t>beer, alcohol, print, poster, visual-storytelling, united-kingdom, illustration, campaign</t>
        </is>
      </c>
    </row>
    <row r="11">
      <c r="A11" s="127" t="n">
        <v>2025</v>
      </c>
      <c r="B11" s="140" t="inlineStr">
        <is>
          <t>Gold</t>
        </is>
      </c>
      <c r="C11" s="127" t="inlineStr">
        <is>
          <t>Protector of the Chalice</t>
        </is>
      </c>
      <c r="D11" s="127" t="inlineStr">
        <is>
          <t>Stella Artois</t>
        </is>
      </c>
      <c r="E11" s="127" t="inlineStr">
        <is>
          <t>Stella Artois</t>
        </is>
      </c>
      <c r="F11" s="127" t="inlineStr">
        <is>
          <t>Grey</t>
        </is>
      </c>
      <c r="G11" s="127" t="inlineStr">
        <is>
          <t>United Kingdom</t>
        </is>
      </c>
      <c r="H11" s="113" t="inlineStr">
        <is>
          <t>Consumer Goods</t>
        </is>
      </c>
      <c r="I11" s="128" t="inlineStr">
        <is>
          <t>https://ascentialcdn.filespin.io/api/v1/conversion/a33c9462c05d4330895b056745b6a602</t>
        </is>
      </c>
      <c r="J11" s="127" t="n"/>
      <c r="K11" s="127" t="inlineStr">
        <is>
          <t>stella-artois-philosophical</t>
        </is>
      </c>
      <c r="L11" s="128" t="inlineStr">
        <is>
          <t>https://www.lovethework.com/work/entries/protector-of-the-chalice-739644</t>
        </is>
      </c>
      <c r="M11"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11" s="113" t="inlineStr">
        <is>
          <t>beer, alcohol, print, ooh, poster, united-kingdom, illustration, consumer-goods, cpg, fmcg</t>
        </is>
      </c>
    </row>
    <row r="12">
      <c r="A12" s="127" t="n">
        <v>2025</v>
      </c>
      <c r="B12" s="132" t="inlineStr">
        <is>
          <t>Silver</t>
        </is>
      </c>
      <c r="C12" s="127" t="inlineStr">
        <is>
          <t>Roses</t>
        </is>
      </c>
      <c r="D12" s="127" t="inlineStr">
        <is>
          <t>Oreo</t>
        </is>
      </c>
      <c r="E12" s="127" t="inlineStr">
        <is>
          <t>Oreo</t>
        </is>
      </c>
      <c r="F12" s="127" t="inlineStr">
        <is>
          <t>Lepub Bogota</t>
        </is>
      </c>
      <c r="G12" s="127" t="inlineStr">
        <is>
          <t>Colombia</t>
        </is>
      </c>
      <c r="H12" s="113" t="inlineStr">
        <is>
          <t>Consumer Goods</t>
        </is>
      </c>
      <c r="I12" s="128" t="inlineStr">
        <is>
          <t>https://ascentialcdn.filespin.io/api/v1/conversion/7e2d8fe4c7af49f0b2003ab42f27074e</t>
        </is>
      </c>
      <c r="J12" s="127" t="inlineStr">
        <is>
          <t>p_3AcLnU1A8</t>
        </is>
      </c>
      <c r="K12" s="127" t="inlineStr">
        <is>
          <t>oreo-consumer-goods</t>
        </is>
      </c>
      <c r="L12" s="128" t="inlineStr">
        <is>
          <t>https://www.lovethework.com/work/entries/roses-764508</t>
        </is>
      </c>
      <c r="M12" s="113" t="inlineStr">
        <is>
          <t>A print visual from a five-part OREO campaign — Eggs, Roses, Bananas, Duck, and Toilet Paper — in which each image depicts an everyday object or food that has visibly been twisted apart in the same way as an OREO cookie. The series uses the gesture as a universal sign of a considered choice, running under the line "A Decision Was Made Here."</t>
        </is>
      </c>
      <c r="N12" s="113" t="inlineStr">
        <is>
          <t>snack, food, packaged-goods, cpg, fmcg, print, ooh, photography, colombia, visual-series, consumer-goods, humor</t>
        </is>
      </c>
    </row>
    <row r="13">
      <c r="A13" s="127" t="n">
        <v>2025</v>
      </c>
      <c r="B13" s="132" t="inlineStr">
        <is>
          <t>Silver</t>
        </is>
      </c>
      <c r="C13" s="127" t="inlineStr">
        <is>
          <t>Toilet Paper</t>
        </is>
      </c>
      <c r="D13" s="127" t="inlineStr">
        <is>
          <t>Oreo</t>
        </is>
      </c>
      <c r="E13" s="127" t="inlineStr">
        <is>
          <t>Oreo</t>
        </is>
      </c>
      <c r="F13" s="127" t="inlineStr">
        <is>
          <t>Lepub Bogota</t>
        </is>
      </c>
      <c r="G13" s="127" t="inlineStr">
        <is>
          <t>Colombia</t>
        </is>
      </c>
      <c r="H13" s="113" t="inlineStr">
        <is>
          <t>Consumer Goods</t>
        </is>
      </c>
      <c r="I13" s="128" t="inlineStr">
        <is>
          <t>https://ascentialcdn.filespin.io/api/v1/conversion/96ea34877f1644f4a22d867dfa8e2f5d</t>
        </is>
      </c>
      <c r="J13" s="127" t="inlineStr">
        <is>
          <t>p_3AcLnU1A8</t>
        </is>
      </c>
      <c r="K13" s="127" t="inlineStr">
        <is>
          <t>oreo-consumer-goods</t>
        </is>
      </c>
      <c r="L13" s="128" t="inlineStr">
        <is>
          <t>https://www.lovethework.com/work/entries/toilet-paper-764491</t>
        </is>
      </c>
      <c r="M13" s="113" t="inlineStr">
        <is>
          <t>A print campaign that places Oreo cookies inside mundane, everyday objects — toilet paper rolls, egg cartons, rose bouquets, banana bunches, and rubber ducks — as if the cookie naturally belongs there. Each execution uses a clean, precise art direction to let the visual joke land without copy, relying on the familiarity of the Oreo shape to create instant recognition in an unexpected context.</t>
        </is>
      </c>
      <c r="N13" s="113" t="inlineStr">
        <is>
          <t>oreo, snack, food, packaged-goods, cpg, fmcg, print, colombia, netherlands, humor, art-direction, consumer-goods</t>
        </is>
      </c>
    </row>
    <row r="14">
      <c r="A14" s="127" t="n">
        <v>2025</v>
      </c>
      <c r="B14" s="132" t="inlineStr">
        <is>
          <t>Silver</t>
        </is>
      </c>
      <c r="C14" s="127" t="inlineStr">
        <is>
          <t>Not Every Smile Starts as a Smile</t>
        </is>
      </c>
      <c r="D14" s="127" t="inlineStr">
        <is>
          <t>Colgate</t>
        </is>
      </c>
      <c r="E14" s="127" t="inlineStr">
        <is>
          <t>Colgate</t>
        </is>
      </c>
      <c r="F14" s="127" t="inlineStr">
        <is>
          <t>VML</t>
        </is>
      </c>
      <c r="G14" s="127" t="inlineStr">
        <is>
          <t>France</t>
        </is>
      </c>
      <c r="H14" s="113" t="inlineStr">
        <is>
          <t>Social Behaviour</t>
        </is>
      </c>
      <c r="I14" s="128" t="inlineStr">
        <is>
          <t>https://ascentialcdn.filespin.io/api/v1/conversion/7795062110544927acc4f73eedfb3d7d</t>
        </is>
      </c>
      <c r="J14" s="127" t="inlineStr">
        <is>
          <t>vimeo:1099341785</t>
        </is>
      </c>
      <c r="K14" s="127" t="n"/>
      <c r="L14" s="128" t="inlineStr">
        <is>
          <t>https://www.lovethework.com/work/entries/not-every-smile-starts-as-a-smile-740106</t>
        </is>
      </c>
      <c r="M14" s="113" t="inlineStr">
        <is>
          <t>A print campaign for Colgate, created by VML Paris with media handled by Wavemaker, built around the visual observation that many children's genuine smiles begin as something else — a grimace, a pout, a scrunched face mid-brush. The prints capture those in-between expressions to reframe the everyday friction of kids' tooth-brushing as the precursor to the smile itself.</t>
        </is>
      </c>
      <c r="N14" s="113" t="inlineStr">
        <is>
          <t>toothpaste, print, kids, oral-care, social-behaviour, france, united-kingdom, photography</t>
        </is>
      </c>
    </row>
    <row r="15">
      <c r="A15" s="127" t="n">
        <v>2025</v>
      </c>
      <c r="B15" s="132" t="inlineStr">
        <is>
          <t>Silver</t>
        </is>
      </c>
      <c r="C15" s="127" t="inlineStr">
        <is>
          <t>Notes on Notes</t>
        </is>
      </c>
      <c r="D15" s="127" t="inlineStr">
        <is>
          <t>Capital Bank</t>
        </is>
      </c>
      <c r="E15" s="127" t="inlineStr">
        <is>
          <t>Capital Bank Loans</t>
        </is>
      </c>
      <c r="F15" s="127" t="inlineStr">
        <is>
          <t>Adpro&amp;</t>
        </is>
      </c>
      <c r="G15" s="127" t="inlineStr">
        <is>
          <t>Jordan</t>
        </is>
      </c>
      <c r="H15" s="113" t="inlineStr">
        <is>
          <t>Social Behaviour</t>
        </is>
      </c>
      <c r="I15" s="128" t="inlineStr">
        <is>
          <t>https://ascentialcdn.filespin.io/api/v1/conversion/26f992b0fc0e4479b962853921264524</t>
        </is>
      </c>
      <c r="J15" s="127" t="inlineStr">
        <is>
          <t>vimeo:1093833076</t>
        </is>
      </c>
      <c r="K15" s="127" t="n"/>
      <c r="L15" s="128" t="inlineStr">
        <is>
          <t>https://www.lovethework.com/work/entries/notes-on-notes-739979</t>
        </is>
      </c>
      <c r="M15" s="113" t="inlineStr">
        <is>
          <t>Capital Bank tapped into the Jordanian tradition of writing wishes on money notes, reframing those hopes as goals people could act on with competitive loan rates. The campaign encouraged Jordanians to stop waiting for their dreams to circulate and start making them happen through housing, personal and car loans, driving major lifts in loan interest and traffic.</t>
        </is>
      </c>
      <c r="N15" s="113" t="inlineStr">
        <is>
          <t>banking, financial-services, finance, loans, jordan, cultural-engagement, print, integrated</t>
        </is>
      </c>
    </row>
    <row r="16">
      <c r="A16" s="127" t="n">
        <v>2025</v>
      </c>
      <c r="B16" s="132" t="inlineStr">
        <is>
          <t>Silver</t>
        </is>
      </c>
      <c r="C16" s="127" t="inlineStr">
        <is>
          <t>Public Transport</t>
        </is>
      </c>
      <c r="D16" s="127" t="inlineStr">
        <is>
          <t>Kitkat</t>
        </is>
      </c>
      <c r="E16" s="127" t="inlineStr">
        <is>
          <t>Kitkat</t>
        </is>
      </c>
      <c r="F16" s="127" t="inlineStr">
        <is>
          <t>VML</t>
        </is>
      </c>
      <c r="G16" s="127" t="inlineStr">
        <is>
          <t>Czech Republic</t>
        </is>
      </c>
      <c r="H16" s="113" t="inlineStr">
        <is>
          <t>Consumer Goods</t>
        </is>
      </c>
      <c r="I16" s="128" t="inlineStr">
        <is>
          <t>https://ascentialcdn.filespin.io/api/v1/conversion/5faffc268ac047f7a20b5bf0e2fb5e1a</t>
        </is>
      </c>
      <c r="J16" s="127" t="inlineStr">
        <is>
          <t>ByGNQ3wEbEY</t>
        </is>
      </c>
      <c r="K16" s="127" t="inlineStr">
        <is>
          <t>kitkat-consumer-goods</t>
        </is>
      </c>
      <c r="L16" s="128" t="inlineStr">
        <is>
          <t>https://www.lovethework.com/work/entries/public-transport-760550</t>
        </is>
      </c>
      <c r="M16" s="113" t="inlineStr">
        <is>
          <t>An outdoor campaign across Czech Republic crowd, public transport, and street placements that depicted commuters and passersby in everyday phone-scrolling situations — but with KitKat bars swapped in place of their smartphones. The images required no explanation: the brand's longstanding "take a break" idea made literal by replacing the object people most compulsively reach for.</t>
        </is>
      </c>
      <c r="N16" s="113" t="inlineStr">
        <is>
          <t>snack, food, packaged-goods, cpg, fmcg, ooh, public-transport, street, czech-republic, print, photography, brand-awareness</t>
        </is>
      </c>
    </row>
    <row r="17">
      <c r="A17" s="127" t="n">
        <v>2025</v>
      </c>
      <c r="B17" s="132" t="inlineStr">
        <is>
          <t>Silver</t>
        </is>
      </c>
      <c r="C17" s="127" t="inlineStr">
        <is>
          <t>Street</t>
        </is>
      </c>
      <c r="D17" s="127" t="inlineStr">
        <is>
          <t>Kitkat</t>
        </is>
      </c>
      <c r="E17" s="127" t="inlineStr">
        <is>
          <t>Kitkat</t>
        </is>
      </c>
      <c r="F17" s="127" t="inlineStr">
        <is>
          <t>VML</t>
        </is>
      </c>
      <c r="G17" s="127" t="inlineStr">
        <is>
          <t>Czech Republic</t>
        </is>
      </c>
      <c r="H17" s="113" t="inlineStr">
        <is>
          <t>Consumer Goods</t>
        </is>
      </c>
      <c r="I17" s="128" t="inlineStr">
        <is>
          <t>https://ascentialcdn.filespin.io/api/v1/conversion/1d6b4cb3e726479c8a6b03da24a5d79e</t>
        </is>
      </c>
      <c r="J17" s="127" t="inlineStr">
        <is>
          <t>ByGNQ3wEbEY</t>
        </is>
      </c>
      <c r="K17" s="127" t="inlineStr">
        <is>
          <t>kitkat-consumer-goods</t>
        </is>
      </c>
      <c r="L17" s="128" t="inlineStr">
        <is>
          <t>https://www.lovethework.com/work/entries/street-760556</t>
        </is>
      </c>
      <c r="M17" s="113" t="inlineStr">
        <is>
          <t>Outdoor installations across Czech Republic streets and public transport placements that replaced the expected KitKat branding with images of crowds of people — all looking down at their phones. The work revived the "Have a break, have a KitKat" line without stating it, letting the behavior of the crowd make the case for putting the phone down.</t>
        </is>
      </c>
      <c r="N17" s="113" t="inlineStr">
        <is>
          <t>snack, food, packaged-goods, cpg, fmcg, ooh, public-transport, street, czech-republic, consumer-goods, phone-behavior, outdoor-installation</t>
        </is>
      </c>
    </row>
    <row r="18">
      <c r="A18" s="127" t="n">
        <v>2025</v>
      </c>
      <c r="B18" s="132" t="inlineStr">
        <is>
          <t>Silver</t>
        </is>
      </c>
      <c r="C18" s="127" t="inlineStr">
        <is>
          <t>Crowd</t>
        </is>
      </c>
      <c r="D18" s="127" t="inlineStr">
        <is>
          <t>Kitkat</t>
        </is>
      </c>
      <c r="E18" s="127" t="inlineStr">
        <is>
          <t>Kitkat</t>
        </is>
      </c>
      <c r="F18" s="127" t="inlineStr">
        <is>
          <t>VML</t>
        </is>
      </c>
      <c r="G18" s="127" t="inlineStr">
        <is>
          <t>Czech Republic</t>
        </is>
      </c>
      <c r="H18" s="113" t="inlineStr">
        <is>
          <t>Consumer Goods</t>
        </is>
      </c>
      <c r="I18" s="128" t="inlineStr">
        <is>
          <t>https://ascentialcdn.filespin.io/api/v1/conversion/f6a6e5cb949d4b8fa071221329aa94bf</t>
        </is>
      </c>
      <c r="J18" s="127" t="inlineStr">
        <is>
          <t>ByGNQ3wEbEY</t>
        </is>
      </c>
      <c r="K18" s="127" t="inlineStr">
        <is>
          <t>kitkat-consumer-goods</t>
        </is>
      </c>
      <c r="L18" s="128" t="inlineStr">
        <is>
          <t>https://www.lovethework.com/work/entries/crowd-760545</t>
        </is>
      </c>
      <c r="M18" s="113" t="inlineStr">
        <is>
          <t>A series of out-of-home placements across Czech Republic public transport and streets that use existing crowds of commuters and pedestrians as the visual content of the ad — positioning densely packed people as the reason to take a break. Each execution frames the surrounding crowd through the KitKat creative, making the real-world environment the message.</t>
        </is>
      </c>
      <c r="N18" s="113" t="inlineStr">
        <is>
          <t>chocolate, ooh, public-transport, street, czech-republic, ambient, experiential, consumer-goods, cpg, fmcg</t>
        </is>
      </c>
    </row>
    <row r="19">
      <c r="A19" s="127" t="n">
        <v>2025</v>
      </c>
      <c r="B19" s="132" t="inlineStr">
        <is>
          <t>Silver</t>
        </is>
      </c>
      <c r="C19" s="127" t="inlineStr">
        <is>
          <t>Game Day</t>
        </is>
      </c>
      <c r="D19" s="127" t="inlineStr">
        <is>
          <t>Stella Artois</t>
        </is>
      </c>
      <c r="E19" s="127" t="inlineStr">
        <is>
          <t>Stella Artois</t>
        </is>
      </c>
      <c r="F19" s="127" t="inlineStr">
        <is>
          <t>Ogilvy</t>
        </is>
      </c>
      <c r="G19" s="127" t="inlineStr">
        <is>
          <t>United States</t>
        </is>
      </c>
      <c r="H19" s="113" t="inlineStr">
        <is>
          <t>Consumer Goods</t>
        </is>
      </c>
      <c r="I19" s="128" t="inlineStr">
        <is>
          <t>https://ascentialcdn.filespin.io/api/v1/conversion/7bfaee649e4b417698823553cddf194e</t>
        </is>
      </c>
      <c r="J19" s="127" t="inlineStr">
        <is>
          <t>HLbAbQdJTtQ</t>
        </is>
      </c>
      <c r="K19" s="127" t="inlineStr">
        <is>
          <t>stella-artois-occasions</t>
        </is>
      </c>
      <c r="L19" s="128" t="inlineStr">
        <is>
          <t>https://www.lovethework.com/work/entries/game-day-739606</t>
        </is>
      </c>
      <c r="M19"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19" s="113" t="inlineStr">
        <is>
          <t>beer, alcohol, print, humor, packaging, social, global</t>
        </is>
      </c>
    </row>
    <row r="20">
      <c r="A20" s="127" t="n">
        <v>2025</v>
      </c>
      <c r="B20" s="132" t="inlineStr">
        <is>
          <t>Silver</t>
        </is>
      </c>
      <c r="C20" s="127" t="inlineStr">
        <is>
          <t>Birthday Party</t>
        </is>
      </c>
      <c r="D20" s="127" t="inlineStr">
        <is>
          <t>Stella Artois</t>
        </is>
      </c>
      <c r="E20" s="127" t="inlineStr">
        <is>
          <t>Stella Artois</t>
        </is>
      </c>
      <c r="F20" s="127" t="inlineStr">
        <is>
          <t>Ogilvy</t>
        </is>
      </c>
      <c r="G20" s="127" t="inlineStr">
        <is>
          <t>United States</t>
        </is>
      </c>
      <c r="H20" s="113" t="inlineStr">
        <is>
          <t>Consumer Goods</t>
        </is>
      </c>
      <c r="I20" s="128" t="inlineStr">
        <is>
          <t>https://ascentialcdn.filespin.io/api/v1/conversion/7bfaee649e4b417698823553cddf194e</t>
        </is>
      </c>
      <c r="J20" s="127" t="inlineStr">
        <is>
          <t>kYb25YZDQ-E</t>
        </is>
      </c>
      <c r="K20" s="127" t="inlineStr">
        <is>
          <t>stella-artois-occasions</t>
        </is>
      </c>
      <c r="L20" s="128" t="inlineStr">
        <is>
          <t>https://www.lovethework.com/work/entries/birthday-party-739588</t>
        </is>
      </c>
      <c r="M20"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20" s="113" t="inlineStr">
        <is>
          <t>beer, alcohol, print, humor, packaging, social, global</t>
        </is>
      </c>
    </row>
    <row r="21">
      <c r="A21" s="127" t="n">
        <v>2025</v>
      </c>
      <c r="B21" s="132" t="inlineStr">
        <is>
          <t>Silver</t>
        </is>
      </c>
      <c r="C21" s="127" t="inlineStr">
        <is>
          <t>Dinner</t>
        </is>
      </c>
      <c r="D21" s="127" t="inlineStr">
        <is>
          <t>Stella Artois</t>
        </is>
      </c>
      <c r="E21" s="127" t="inlineStr">
        <is>
          <t>Stella Artois</t>
        </is>
      </c>
      <c r="F21" s="127" t="inlineStr">
        <is>
          <t>Ogilvy</t>
        </is>
      </c>
      <c r="G21" s="127" t="inlineStr">
        <is>
          <t>United States</t>
        </is>
      </c>
      <c r="H21" s="113" t="inlineStr">
        <is>
          <t>Consumer Goods</t>
        </is>
      </c>
      <c r="I21" s="128" t="inlineStr">
        <is>
          <t>https://ascentialcdn.filespin.io/api/v1/conversion/7bfaee649e4b417698823553cddf194e</t>
        </is>
      </c>
      <c r="J21" s="127" t="inlineStr">
        <is>
          <t>bKyHQlIq-dQ</t>
        </is>
      </c>
      <c r="K21" s="127" t="inlineStr">
        <is>
          <t>stella-artois-occasions</t>
        </is>
      </c>
      <c r="L21" s="128" t="inlineStr">
        <is>
          <t>https://www.lovethework.com/work/entries/dinner-739600</t>
        </is>
      </c>
      <c r="M21" s="113" t="inlineStr">
        <is>
          <t>Stella Artois turned the all-too-real party fear of someone stealing your premium beer into a playful print campaign. Hiders Keepers celebrates the classic move of hiding your Stella at house parties, sports gatherings and birthdays so no one else claims it first.</t>
        </is>
      </c>
      <c r="N21" s="113" t="inlineStr">
        <is>
          <t>beer, alcohol, print, humor, packaging, social, global</t>
        </is>
      </c>
    </row>
    <row r="22">
      <c r="A22" s="127" t="n">
        <v>2025</v>
      </c>
      <c r="B22" s="132" t="inlineStr">
        <is>
          <t>Silver</t>
        </is>
      </c>
      <c r="C22" s="127" t="inlineStr">
        <is>
          <t>Bananas</t>
        </is>
      </c>
      <c r="D22" s="127" t="inlineStr">
        <is>
          <t>Oreo</t>
        </is>
      </c>
      <c r="E22" s="127" t="inlineStr">
        <is>
          <t>Oreo</t>
        </is>
      </c>
      <c r="F22" s="127" t="inlineStr">
        <is>
          <t>Lepub Bogota</t>
        </is>
      </c>
      <c r="G22" s="127" t="inlineStr">
        <is>
          <t>Colombia</t>
        </is>
      </c>
      <c r="H22" s="113" t="inlineStr">
        <is>
          <t>Consumer Goods</t>
        </is>
      </c>
      <c r="I22" s="128" t="inlineStr">
        <is>
          <t>https://ascentialcdn.filespin.io/api/v1/conversion/2e8876adc7f74c79b691fdfab21733d3</t>
        </is>
      </c>
      <c r="J22" s="127" t="inlineStr">
        <is>
          <t>p_3AcLnU1A8</t>
        </is>
      </c>
      <c r="K22" s="127" t="inlineStr">
        <is>
          <t>oreo-consumer-goods</t>
        </is>
      </c>
      <c r="L22" s="128" t="inlineStr">
        <is>
          <t>https://www.lovethework.com/work/entries/bananas-764516</t>
        </is>
      </c>
      <c r="M22" s="113" t="inlineStr">
        <is>
          <t>A print execution in the OREO 'A Decision Was Made Here' campaign showing a banana with a distinctive bite taken out of it — the shape of the missing piece unmistakably echoing an OREO cookie. Created by LePub Amsterdam and LePub Bogotá, the series uses everyday objects marked by a familiar crescent bite to imply that someone paused mid-snack to twist, lick, or dunk an OREO instead.</t>
        </is>
      </c>
      <c r="N22" s="113" t="inlineStr">
        <is>
          <t>oreo, snack, food, packaged-goods, cpg, fmcg, print, consumer-goods, colombia, netherlands, print-and-publishing</t>
        </is>
      </c>
    </row>
    <row r="23">
      <c r="A23" s="127" t="n">
        <v>2025</v>
      </c>
      <c r="B23" s="132" t="inlineStr">
        <is>
          <t>Silver</t>
        </is>
      </c>
      <c r="C23" s="127" t="inlineStr">
        <is>
          <t>Eggs</t>
        </is>
      </c>
      <c r="D23" s="127" t="inlineStr">
        <is>
          <t>Oreo</t>
        </is>
      </c>
      <c r="E23" s="127" t="inlineStr">
        <is>
          <t>Oreo</t>
        </is>
      </c>
      <c r="F23" s="127" t="inlineStr">
        <is>
          <t>Lepub Bogota</t>
        </is>
      </c>
      <c r="G23" s="127" t="inlineStr">
        <is>
          <t>Colombia</t>
        </is>
      </c>
      <c r="H23" s="113" t="inlineStr">
        <is>
          <t>Consumer Goods</t>
        </is>
      </c>
      <c r="I23" s="128" t="inlineStr">
        <is>
          <t>https://ascentialcdn.filespin.io/api/v1/conversion/bde69bf2e7be40499498d5c2b091ec54</t>
        </is>
      </c>
      <c r="J23" s="127" t="inlineStr">
        <is>
          <t>p_3AcLnU1A8</t>
        </is>
      </c>
      <c r="K23" s="127" t="inlineStr">
        <is>
          <t>oreo-consumer-goods</t>
        </is>
      </c>
      <c r="L23" s="128" t="inlineStr">
        <is>
          <t>https://www.lovethework.com/work/entries/eggs-764497</t>
        </is>
      </c>
      <c r="M23" s="113" t="inlineStr">
        <is>
          <t>A print ad for Oreo in which the cookie's familiar black-and-white pattern is revealed inside the cross-section of a cracked egg — the cream filling standing in for the yolk. Part of a campaign series (Eggs, Roses, Bananas, Duck) that hides the Oreo design within everyday objects that share its two-tone structure.</t>
        </is>
      </c>
      <c r="N23" s="113" t="inlineStr">
        <is>
          <t>oreo, snack, food, packaged-goods, cpg, fmcg, print, colombia, visual-identity, illustration, consumer-goods</t>
        </is>
      </c>
    </row>
    <row r="24">
      <c r="A24" s="127" t="n">
        <v>2025</v>
      </c>
      <c r="B24" s="132" t="inlineStr">
        <is>
          <t>Silver</t>
        </is>
      </c>
      <c r="C24" s="127" t="inlineStr">
        <is>
          <t>The Shakespeare Bic</t>
        </is>
      </c>
      <c r="D24" s="127" t="inlineStr">
        <is>
          <t>Bic</t>
        </is>
      </c>
      <c r="E24" s="127" t="inlineStr">
        <is>
          <t>Bic Crystal Pen</t>
        </is>
      </c>
      <c r="F24" s="127" t="inlineStr">
        <is>
          <t>VML</t>
        </is>
      </c>
      <c r="G24" s="127" t="inlineStr">
        <is>
          <t>Brazil</t>
        </is>
      </c>
      <c r="H24" s="113" t="inlineStr">
        <is>
          <t>Innovative and adapted use of Print &amp; Publishing</t>
        </is>
      </c>
      <c r="I24" s="128" t="inlineStr">
        <is>
          <t>https://ascentialcdn.filespin.io/api/v1/conversion/3bc3455889f14af89ad13e749464c1f2</t>
        </is>
      </c>
      <c r="J24" s="127" t="inlineStr">
        <is>
          <t>5ngNVTeyi4g</t>
        </is>
      </c>
      <c r="K24" s="127" t="n"/>
      <c r="L24" s="128" t="inlineStr">
        <is>
          <t>https://www.lovethework.com/work/entries/the-shakespeare-bic-740046</t>
        </is>
      </c>
      <c r="M24"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24" s="113" t="inlineStr">
        <is>
          <t>ballpoint-pen, special-edition, packaging, print, brazil, writing-instrument, craft, cultural-heritage</t>
        </is>
      </c>
    </row>
    <row r="25">
      <c r="A25" s="127" t="n">
        <v>2025</v>
      </c>
      <c r="B25" s="132" t="inlineStr">
        <is>
          <t>Silver</t>
        </is>
      </c>
      <c r="C25" s="127" t="inlineStr">
        <is>
          <t>Duck</t>
        </is>
      </c>
      <c r="D25" s="127" t="inlineStr">
        <is>
          <t>Oreo</t>
        </is>
      </c>
      <c r="E25" s="127" t="inlineStr">
        <is>
          <t>Oreo</t>
        </is>
      </c>
      <c r="F25" s="127" t="inlineStr">
        <is>
          <t>Lepub Bogota</t>
        </is>
      </c>
      <c r="G25" s="127" t="inlineStr">
        <is>
          <t>Colombia</t>
        </is>
      </c>
      <c r="H25" s="113" t="inlineStr">
        <is>
          <t>Consumer Goods</t>
        </is>
      </c>
      <c r="I25" s="128" t="inlineStr">
        <is>
          <t>https://ascentialcdn.filespin.io/api/v1/conversion/2b000adce52c43929b343bdac9dd757a</t>
        </is>
      </c>
      <c r="J25" s="127" t="inlineStr">
        <is>
          <t>p_3AcLnU1A8</t>
        </is>
      </c>
      <c r="K25" s="127" t="inlineStr">
        <is>
          <t>oreo-consumer-goods</t>
        </is>
      </c>
      <c r="L25" s="128" t="inlineStr">
        <is>
          <t>https://www.lovethework.com/work/entries/duck-764523</t>
        </is>
      </c>
      <c r="M25" s="113" t="inlineStr">
        <is>
          <t>A print ad for OREO that communicates the cookie's twist-lick-dunk ritual using a single image of a duck — the bird's characteristic head-dipping behavior mirroring the motion of dunking an OREO in milk. Part of a series by LePub Amsterdam and LePub Bogotá in which everyday objects and animals stand in for the ritual without a word of copy.</t>
        </is>
      </c>
      <c r="N25" s="113" t="inlineStr">
        <is>
          <t>snack, food, packaged-goods, cpg, fmcg, print, photography, colombia, visual-metaphor, consumer-goods, single-image</t>
        </is>
      </c>
    </row>
    <row r="26">
      <c r="A26" s="127" t="n">
        <v>2025</v>
      </c>
      <c r="B26" s="132" t="inlineStr">
        <is>
          <t>Silver</t>
        </is>
      </c>
      <c r="C26" s="127" t="inlineStr">
        <is>
          <t>Corona Eclipse</t>
        </is>
      </c>
      <c r="D26" s="127" t="inlineStr">
        <is>
          <t>Corona</t>
        </is>
      </c>
      <c r="E26" s="127" t="inlineStr">
        <is>
          <t>Corona</t>
        </is>
      </c>
      <c r="F26" s="127" t="inlineStr">
        <is>
          <t>David</t>
        </is>
      </c>
      <c r="G26" s="127" t="inlineStr">
        <is>
          <t>United States</t>
        </is>
      </c>
      <c r="H26" s="113" t="inlineStr">
        <is>
          <t>Social Behaviour</t>
        </is>
      </c>
      <c r="I26" s="128" t="inlineStr">
        <is>
          <t>https://ascentialcdn.filespin.io/api/v1/conversion/f853d90cf7e444e99add88e4dc3a069b</t>
        </is>
      </c>
      <c r="J26" s="127" t="inlineStr">
        <is>
          <t>ViJvHO9BxvU</t>
        </is>
      </c>
      <c r="K26" s="127" t="n"/>
      <c r="L26" s="128" t="inlineStr">
        <is>
          <t>https://www.lovethework.com/work/entries/corona-eclipse-740137</t>
        </is>
      </c>
      <c r="M26" s="113" t="inlineStr">
        <is>
          <t>A real-time photography stunt timed to the 2024 Annular Solar Eclipse, in which Corona positioned the sun's crescent shape to stand in for the lime slice on its bottle. Guest photographers captured the alignment at key locations across the United States, producing images where the partially eclipsed sun completed the brand's signature serve.</t>
        </is>
      </c>
      <c r="N26" s="113" t="inlineStr">
        <is>
          <t>beer, alcohol, social-behaviour, experiential, photography, ooh, united-states, natural-ingredients, stunt</t>
        </is>
      </c>
    </row>
    <row r="27">
      <c r="A27" s="127" t="n">
        <v>2025</v>
      </c>
      <c r="B27" s="133" t="inlineStr">
        <is>
          <t>Bronze</t>
        </is>
      </c>
      <c r="C27" s="127" t="inlineStr">
        <is>
          <t>Jordan 23</t>
        </is>
      </c>
      <c r="D27" s="127" t="inlineStr">
        <is>
          <t>NBA India</t>
        </is>
      </c>
      <c r="E27" s="127" t="inlineStr">
        <is>
          <t>Basketball</t>
        </is>
      </c>
      <c r="F27" s="127" t="inlineStr">
        <is>
          <t>Leo</t>
        </is>
      </c>
      <c r="G27" s="127" t="inlineStr">
        <is>
          <t>United Arab Emirates</t>
        </is>
      </c>
      <c r="H27" s="113" t="inlineStr">
        <is>
          <t>Travel, Leisure, Retail, Restaurants &amp; Fast-Food Chains</t>
        </is>
      </c>
      <c r="I27" s="128" t="inlineStr">
        <is>
          <t>https://ascentialcdn.filespin.io/api/v1/conversion/c5b031a5911b4850a76ea7fd56dbea94</t>
        </is>
      </c>
      <c r="J27" s="127" t="inlineStr">
        <is>
          <t>v4Gr9oKgZR8</t>
        </is>
      </c>
      <c r="K27" s="127" t="inlineStr">
        <is>
          <t>nba-india-travel-leisure-retail-restaurants-fast-food-chains</t>
        </is>
      </c>
      <c r="L27" s="128" t="inlineStr">
        <is>
          <t>https://www.lovethework.com/work/entries/jordan-23-739924</t>
        </is>
      </c>
      <c r="M27"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27" s="113" t="inlineStr">
        <is>
          <t>sport, basketball, print, partnership, india, cultural-engagement, photography, league</t>
        </is>
      </c>
    </row>
    <row r="28">
      <c r="A28" s="127" t="n">
        <v>2025</v>
      </c>
      <c r="B28" s="133" t="inlineStr">
        <is>
          <t>Bronze</t>
        </is>
      </c>
      <c r="C28" s="127" t="inlineStr">
        <is>
          <t>Running</t>
        </is>
      </c>
      <c r="D28" s="127" t="inlineStr">
        <is>
          <t>Dirt Is Good</t>
        </is>
      </c>
      <c r="E28" s="127" t="inlineStr">
        <is>
          <t>Persil</t>
        </is>
      </c>
      <c r="F28" s="127" t="inlineStr">
        <is>
          <t>MullenLowe UK</t>
        </is>
      </c>
      <c r="G28" s="127" t="inlineStr">
        <is>
          <t>United Kingdom</t>
        </is>
      </c>
      <c r="H28" s="113" t="inlineStr">
        <is>
          <t>Consumer Goods</t>
        </is>
      </c>
      <c r="I28" s="128" t="inlineStr">
        <is>
          <t>https://ascentialcdn.filespin.io/api/v1/conversion/7f9c50afbfc4459aa7a6bc82ca0b9c86</t>
        </is>
      </c>
      <c r="J28" s="127" t="inlineStr">
        <is>
          <t>invT2-ON-k4</t>
        </is>
      </c>
      <c r="K28" s="127" t="inlineStr">
        <is>
          <t>dirt-is-good-consumer-goods</t>
        </is>
      </c>
      <c r="L28" s="128" t="inlineStr">
        <is>
          <t>https://www.lovethework.com/work/entries/running-739716</t>
        </is>
      </c>
      <c r="M28"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28" s="113" t="inlineStr">
        <is>
          <t>detergent, household, home, cpg, social-good, sport, gender-equality, partnership, print, womens-rights</t>
        </is>
      </c>
    </row>
    <row r="29">
      <c r="A29" s="127" t="n">
        <v>2025</v>
      </c>
      <c r="B29" s="133" t="inlineStr">
        <is>
          <t>Bronze</t>
        </is>
      </c>
      <c r="C29" s="127" t="inlineStr">
        <is>
          <t>Waves</t>
        </is>
      </c>
      <c r="D29" s="127" t="inlineStr">
        <is>
          <t>Cornetto</t>
        </is>
      </c>
      <c r="E29" s="127" t="inlineStr">
        <is>
          <t>Cornetto Ice Cream</t>
        </is>
      </c>
      <c r="F29" s="127" t="inlineStr">
        <is>
          <t>Lola MullenLowe</t>
        </is>
      </c>
      <c r="G29" s="127" t="inlineStr">
        <is>
          <t>Spain</t>
        </is>
      </c>
      <c r="H29" s="113" t="inlineStr">
        <is>
          <t>Consumer Goods</t>
        </is>
      </c>
      <c r="I29" s="128" t="inlineStr">
        <is>
          <t>https://ascentialcdn.filespin.io/api/v1/conversion/35c567148f6e40e1a267849bde62ba92</t>
        </is>
      </c>
      <c r="J29" s="127" t="inlineStr">
        <is>
          <t>hWhvFLwHOlE</t>
        </is>
      </c>
      <c r="K29" s="127" t="inlineStr">
        <is>
          <t>cornetto-consumer-goods</t>
        </is>
      </c>
      <c r="L29" s="128" t="inlineStr">
        <is>
          <t>https://www.lovethework.com/work/entries/waves-758582</t>
        </is>
      </c>
      <c r="M29"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9" s="113" t="inlineStr">
        <is>
          <t>ice-cream, print, ooh, packaging, collage, summer, spain, consumer-goods, cpg, fmcg</t>
        </is>
      </c>
    </row>
    <row r="30">
      <c r="A30" s="127" t="n">
        <v>2025</v>
      </c>
      <c r="B30" s="133" t="inlineStr">
        <is>
          <t>Bronze</t>
        </is>
      </c>
      <c r="C30" s="127" t="inlineStr">
        <is>
          <t>History Outnumbered</t>
        </is>
      </c>
      <c r="D30" s="127" t="inlineStr">
        <is>
          <t>History Channel</t>
        </is>
      </c>
      <c r="E30" s="127" t="inlineStr">
        <is>
          <t>History Channel</t>
        </is>
      </c>
      <c r="F30" s="127" t="inlineStr">
        <is>
          <t>Dentsu Creative</t>
        </is>
      </c>
      <c r="G30" s="127" t="inlineStr">
        <is>
          <t>Portugal</t>
        </is>
      </c>
      <c r="H30" s="113" t="inlineStr">
        <is>
          <t>Corporate Purpose &amp; Social Responsibility</t>
        </is>
      </c>
      <c r="I30" s="128" t="inlineStr">
        <is>
          <t>https://ascentialcdn.filespin.io/api/v1/conversion/07c2f6587e874a9db8f1446fd7f9d520</t>
        </is>
      </c>
      <c r="J30" s="127" t="inlineStr">
        <is>
          <t>W29029BIbvY</t>
        </is>
      </c>
      <c r="K30" s="127" t="n"/>
      <c r="L30" s="128" t="inlineStr">
        <is>
          <t>https://www.lovethework.com/work/entries/history-outnumbered-760429</t>
        </is>
      </c>
      <c r="M30" s="113" t="inlineStr">
        <is>
          <t>An outdoor campaign that placed Nazi concentration camp tattoo numbers alongside the total number of Nazi perpetrators and collaborators — turning the numerical record of Holocaust victims into a direct counter to white supremacist propaganda. Launched in Portugal to mark the 80th anniversary of the Holocaust and the History Channel's 25th anniversary, the work was created with Dentsu Creative Portugal.</t>
        </is>
      </c>
      <c r="N30" s="113" t="inlineStr">
        <is>
          <t>history-channel, ooh, corporate-purpose, social-responsibility, portugal, holocaust, typography, public-awareness</t>
        </is>
      </c>
    </row>
    <row r="31">
      <c r="A31" s="127" t="n">
        <v>2025</v>
      </c>
      <c r="B31" s="133" t="inlineStr">
        <is>
          <t>Bronze</t>
        </is>
      </c>
      <c r="C31" s="127" t="inlineStr">
        <is>
          <t>Windsurf</t>
        </is>
      </c>
      <c r="D31" s="127" t="inlineStr">
        <is>
          <t>Cornetto</t>
        </is>
      </c>
      <c r="E31" s="127" t="inlineStr">
        <is>
          <t>Cornetto Ice Cream</t>
        </is>
      </c>
      <c r="F31" s="127" t="inlineStr">
        <is>
          <t>Lola MullenLowe</t>
        </is>
      </c>
      <c r="G31" s="127" t="inlineStr">
        <is>
          <t>Spain</t>
        </is>
      </c>
      <c r="H31" s="113" t="inlineStr">
        <is>
          <t>Consumer Goods</t>
        </is>
      </c>
      <c r="I31" s="128" t="inlineStr">
        <is>
          <t>https://ascentialcdn.filespin.io/api/v1/conversion/2f9ebcc7b9ec4ad9a4dcf79bd56fa88b</t>
        </is>
      </c>
      <c r="J31" s="127" t="inlineStr">
        <is>
          <t>hWhvFLwHOlE</t>
        </is>
      </c>
      <c r="K31" s="127" t="inlineStr">
        <is>
          <t>cornetto-consumer-goods</t>
        </is>
      </c>
      <c r="L31" s="128" t="inlineStr">
        <is>
          <t>https://www.lovethework.com/work/entries/windsurf-758599</t>
        </is>
      </c>
      <c r="M31" s="113" t="inlineStr">
        <is>
          <t>A series of outdoor print ads for Cornetto in Spain, each built around the shape of an unwrapped Cornetto cone used as the central graphic element — the wafer tip and chocolate base forming the hull of a boat, the body of a windsurfer, the arc of a wave, and the silhouette of a diver. Each execution in the "Unwrap It" campaign uses only the product's own geometry to construct a summer scene, with no additional illustration.</t>
        </is>
      </c>
      <c r="N31" s="113" t="inlineStr">
        <is>
          <t>ice-cream, ooh, print, outdoor, illustration, spain, summer, product-as-image, graphic-design</t>
        </is>
      </c>
    </row>
    <row r="32">
      <c r="A32" s="127" t="n">
        <v>2025</v>
      </c>
      <c r="B32" s="133" t="inlineStr">
        <is>
          <t>Bronze</t>
        </is>
      </c>
      <c r="C32" s="127" t="inlineStr">
        <is>
          <t>Shaq 34</t>
        </is>
      </c>
      <c r="D32" s="127" t="inlineStr">
        <is>
          <t>NBA India</t>
        </is>
      </c>
      <c r="E32" s="127" t="inlineStr">
        <is>
          <t>Basketball</t>
        </is>
      </c>
      <c r="F32" s="127" t="inlineStr">
        <is>
          <t>Leo</t>
        </is>
      </c>
      <c r="G32" s="127" t="inlineStr">
        <is>
          <t>United Arab Emirates</t>
        </is>
      </c>
      <c r="H32" s="113" t="inlineStr">
        <is>
          <t>Travel, Leisure, Retail, Restaurants &amp; Fast-Food Chains</t>
        </is>
      </c>
      <c r="I32" s="128" t="inlineStr">
        <is>
          <t>https://ascentialcdn.filespin.io/api/v1/conversion/e7cc0c06262e42b19cab333197725351</t>
        </is>
      </c>
      <c r="J32" s="127" t="inlineStr">
        <is>
          <t>v4Gr9oKgZR8</t>
        </is>
      </c>
      <c r="K32" s="127" t="inlineStr">
        <is>
          <t>nba-india-travel-leisure-retail-restaurants-fast-food-chains</t>
        </is>
      </c>
      <c r="L32" s="128" t="inlineStr">
        <is>
          <t>https://www.lovethework.com/work/entries/shaq-34-739934</t>
        </is>
      </c>
      <c r="M32"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32" s="113" t="inlineStr">
        <is>
          <t>sport, basketball, print, partnership, india, cultural-engagement, photography, league</t>
        </is>
      </c>
    </row>
    <row r="33">
      <c r="A33" s="127" t="n">
        <v>2025</v>
      </c>
      <c r="B33" s="133" t="inlineStr">
        <is>
          <t>Bronze</t>
        </is>
      </c>
      <c r="C33" s="127" t="inlineStr">
        <is>
          <t>Kick Boxing</t>
        </is>
      </c>
      <c r="D33" s="127" t="inlineStr">
        <is>
          <t>Dirt Is Good</t>
        </is>
      </c>
      <c r="E33" s="127" t="inlineStr">
        <is>
          <t>Persil</t>
        </is>
      </c>
      <c r="F33" s="127" t="inlineStr">
        <is>
          <t>MullenLowe UK</t>
        </is>
      </c>
      <c r="G33" s="127" t="inlineStr">
        <is>
          <t>United Kingdom</t>
        </is>
      </c>
      <c r="H33" s="113" t="inlineStr">
        <is>
          <t>Consumer Goods</t>
        </is>
      </c>
      <c r="I33" s="128" t="inlineStr">
        <is>
          <t>https://ascentialcdn.filespin.io/api/v1/conversion/38843c3e975e4cdfb57d5df8c625382d</t>
        </is>
      </c>
      <c r="J33" s="127" t="inlineStr">
        <is>
          <t>invT2-ON-k4</t>
        </is>
      </c>
      <c r="K33" s="127" t="inlineStr">
        <is>
          <t>dirt-is-good-consumer-goods</t>
        </is>
      </c>
      <c r="L33" s="128" t="inlineStr">
        <is>
          <t>https://www.lovethework.com/work/entries/kick-boxing-739728</t>
        </is>
      </c>
      <c r="M33"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33" s="113" t="inlineStr">
        <is>
          <t>detergent, household, home, cpg, social-good, sport, gender-equality, partnership, print, womens-rights</t>
        </is>
      </c>
    </row>
    <row r="34">
      <c r="A34" s="127" t="n">
        <v>2025</v>
      </c>
      <c r="B34" s="133" t="inlineStr">
        <is>
          <t>Bronze</t>
        </is>
      </c>
      <c r="C34" s="127" t="inlineStr">
        <is>
          <t>Lebron 6</t>
        </is>
      </c>
      <c r="D34" s="127" t="inlineStr">
        <is>
          <t>NBA India</t>
        </is>
      </c>
      <c r="E34" s="127" t="inlineStr">
        <is>
          <t>Basketball</t>
        </is>
      </c>
      <c r="F34" s="127" t="inlineStr">
        <is>
          <t>Leo</t>
        </is>
      </c>
      <c r="G34" s="127" t="inlineStr">
        <is>
          <t>United Arab Emirates</t>
        </is>
      </c>
      <c r="H34" s="113" t="inlineStr">
        <is>
          <t>Travel, Leisure, Retail, Restaurants &amp; Fast-Food Chains</t>
        </is>
      </c>
      <c r="I34" s="128" t="inlineStr">
        <is>
          <t>https://ascentialcdn.filespin.io/api/v1/conversion/c9a1239df73f4604809221939576d7f1</t>
        </is>
      </c>
      <c r="J34" s="127" t="inlineStr">
        <is>
          <t>v4Gr9oKgZR8</t>
        </is>
      </c>
      <c r="K34" s="127" t="inlineStr">
        <is>
          <t>nba-india-travel-leisure-retail-restaurants-fast-food-chains</t>
        </is>
      </c>
      <c r="L34" s="128" t="inlineStr">
        <is>
          <t>https://www.lovethework.com/work/entries/lebron-6-739952</t>
        </is>
      </c>
      <c r="M34"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34" s="113" t="inlineStr">
        <is>
          <t>sport, basketball, print, partnership, india, cultural-engagement, photography, league</t>
        </is>
      </c>
    </row>
    <row r="35">
      <c r="A35" s="127" t="n">
        <v>2025</v>
      </c>
      <c r="B35" s="133" t="inlineStr">
        <is>
          <t>Bronze</t>
        </is>
      </c>
      <c r="C35" s="127" t="inlineStr">
        <is>
          <t>Found in Translation</t>
        </is>
      </c>
      <c r="D35" s="127" t="inlineStr">
        <is>
          <t>Medalla Light</t>
        </is>
      </c>
      <c r="E35" s="127" t="inlineStr">
        <is>
          <t>Medalla Light</t>
        </is>
      </c>
      <c r="F35" s="127" t="inlineStr">
        <is>
          <t>DDB Latina Puerto Rico</t>
        </is>
      </c>
      <c r="G35" s="127" t="inlineStr">
        <is>
          <t>Puerto Rico</t>
        </is>
      </c>
      <c r="H35" s="113" t="inlineStr">
        <is>
          <t>Cultural Engagement</t>
        </is>
      </c>
      <c r="I35" s="128" t="inlineStr">
        <is>
          <t>https://ascentialcdn.filespin.io/api/v1/conversion/e7509fe94193449ab6656099498b127b</t>
        </is>
      </c>
      <c r="J35" s="127" t="inlineStr">
        <is>
          <t>O_uAjIgBx2g</t>
        </is>
      </c>
      <c r="K35" s="127" t="n"/>
      <c r="L35" s="128" t="inlineStr">
        <is>
          <t>https://www.lovethework.com/work/entries/found-in-translation-740061</t>
        </is>
      </c>
      <c r="M35"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35" s="113" t="inlineStr">
        <is>
          <t>beer, alcohol, print, ooh, cultural-engagement, diaspora, spanglish, puerto-rico, united-states, language</t>
        </is>
      </c>
    </row>
    <row r="36">
      <c r="A36" s="127" t="n">
        <v>2025</v>
      </c>
      <c r="B36" s="133" t="inlineStr">
        <is>
          <t>Bronze</t>
        </is>
      </c>
      <c r="C36" s="127" t="inlineStr">
        <is>
          <t>Diver</t>
        </is>
      </c>
      <c r="D36" s="127" t="inlineStr">
        <is>
          <t>Cornetto</t>
        </is>
      </c>
      <c r="E36" s="127" t="inlineStr">
        <is>
          <t>Cornetto Ice Cream</t>
        </is>
      </c>
      <c r="F36" s="127" t="inlineStr">
        <is>
          <t>Lola MullenLowe</t>
        </is>
      </c>
      <c r="G36" s="127" t="inlineStr">
        <is>
          <t>Spain</t>
        </is>
      </c>
      <c r="H36" s="113" t="inlineStr">
        <is>
          <t>Consumer Goods</t>
        </is>
      </c>
      <c r="I36" s="128" t="inlineStr">
        <is>
          <t>https://ascentialcdn.filespin.io/api/v1/conversion/e42388f28bfb41c7ad9b20fe7d0d6982</t>
        </is>
      </c>
      <c r="J36" s="127" t="inlineStr">
        <is>
          <t>hWhvFLwHOlE</t>
        </is>
      </c>
      <c r="K36" s="127" t="inlineStr">
        <is>
          <t>cornetto-consumer-goods</t>
        </is>
      </c>
      <c r="L36" s="128" t="inlineStr">
        <is>
          <t>https://www.lovethework.com/work/entries/diver-758726</t>
        </is>
      </c>
      <c r="M36" s="113" t="inlineStr">
        <is>
          <t>A print series for Cornetto ice cream in which the wrapper's signature swirl is used as the graphic centerpiece of five outdoor visuals — "Diver," "Boat," "Waves," "Surfer," and "Windsurf" — each placing the unwrapped cone's spiral ribbon in the role of ocean water, waves, or wake. Created by Lola MullenLowe Madrid, the campaign runs across Spain under the umbrella title "Unwrap It."</t>
        </is>
      </c>
      <c r="N36" s="113" t="inlineStr">
        <is>
          <t>ice-cream, print, ooh, outdoor, graphic-design, spain, illustration, packaging-as-medium</t>
        </is>
      </c>
    </row>
    <row r="37">
      <c r="A37" s="127" t="n">
        <v>2025</v>
      </c>
      <c r="B37" s="133" t="inlineStr">
        <is>
          <t>Bronze</t>
        </is>
      </c>
      <c r="C37" s="127" t="inlineStr">
        <is>
          <t>Eye - Shot on Faber-Castell</t>
        </is>
      </c>
      <c r="D37" s="127" t="inlineStr">
        <is>
          <t>Faber Castell</t>
        </is>
      </c>
      <c r="E37" s="127" t="inlineStr">
        <is>
          <t>Faber-Castell</t>
        </is>
      </c>
      <c r="F37" s="127" t="inlineStr">
        <is>
          <t>David</t>
        </is>
      </c>
      <c r="G37" s="127" t="inlineStr">
        <is>
          <t>Brazil</t>
        </is>
      </c>
      <c r="H37" s="113" t="inlineStr">
        <is>
          <t>Consumer Goods</t>
        </is>
      </c>
      <c r="I37" s="128" t="inlineStr">
        <is>
          <t>https://ascentialcdn.filespin.io/api/v1/conversion/13a4275fa0744f33abce7c940e31f041</t>
        </is>
      </c>
      <c r="J37" s="127" t="inlineStr">
        <is>
          <t>vimeo:946365669</t>
        </is>
      </c>
      <c r="K37" s="127" t="inlineStr">
        <is>
          <t>faber-castell-consumer-goods</t>
        </is>
      </c>
      <c r="L37" s="128" t="inlineStr">
        <is>
          <t>https://www.lovethework.com/work/entries/eye-shot-on-faber-castell-739620</t>
        </is>
      </c>
      <c r="M37"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37" s="113" t="inlineStr">
        <is>
          <t>stationery, art-supplies, print, craft, branded-content, illustration, hyperrealism, brazil</t>
        </is>
      </c>
    </row>
    <row r="38">
      <c r="A38" s="127" t="n">
        <v>2025</v>
      </c>
      <c r="B38" s="133" t="inlineStr">
        <is>
          <t>Bronze</t>
        </is>
      </c>
      <c r="C38" s="127" t="inlineStr">
        <is>
          <t>boAt</t>
        </is>
      </c>
      <c r="D38" s="127" t="inlineStr">
        <is>
          <t>Cornetto</t>
        </is>
      </c>
      <c r="E38" s="127" t="inlineStr">
        <is>
          <t>Cornetto Ice Cream</t>
        </is>
      </c>
      <c r="F38" s="127" t="inlineStr">
        <is>
          <t>Lola MullenLowe</t>
        </is>
      </c>
      <c r="G38" s="127" t="inlineStr">
        <is>
          <t>Spain</t>
        </is>
      </c>
      <c r="H38" s="113" t="inlineStr">
        <is>
          <t>Consumer Goods</t>
        </is>
      </c>
      <c r="I38" s="128" t="inlineStr">
        <is>
          <t>https://ascentialcdn.filespin.io/api/v1/conversion/3a177c8b37754037a19ddf0d99c858db</t>
        </is>
      </c>
      <c r="J38" s="127" t="inlineStr">
        <is>
          <t>hWhvFLwHOlE</t>
        </is>
      </c>
      <c r="K38" s="127" t="inlineStr">
        <is>
          <t>cornetto-consumer-goods</t>
        </is>
      </c>
      <c r="L38" s="128" t="inlineStr">
        <is>
          <t>https://www.lovethework.com/work/entries/boat-758573</t>
        </is>
      </c>
      <c r="M38"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38" s="113" t="inlineStr">
        <is>
          <t>ice-cream, print, outdoor, packaging, illustration, spain, consumer-goods, cpg, fmcg, ooh</t>
        </is>
      </c>
    </row>
    <row r="39">
      <c r="A39" s="127" t="n">
        <v>2025</v>
      </c>
      <c r="B39" s="133" t="inlineStr">
        <is>
          <t>Bronze</t>
        </is>
      </c>
      <c r="C39" s="127" t="inlineStr">
        <is>
          <t>Lemon - Shot on Faber-Castell</t>
        </is>
      </c>
      <c r="D39" s="127" t="inlineStr">
        <is>
          <t>Faber Castell</t>
        </is>
      </c>
      <c r="E39" s="127" t="inlineStr">
        <is>
          <t>Faber-Castell</t>
        </is>
      </c>
      <c r="F39" s="127" t="inlineStr">
        <is>
          <t>David</t>
        </is>
      </c>
      <c r="G39" s="127" t="inlineStr">
        <is>
          <t>Brazil</t>
        </is>
      </c>
      <c r="H39" s="113" t="inlineStr">
        <is>
          <t>Consumer Goods</t>
        </is>
      </c>
      <c r="I39" s="128" t="inlineStr">
        <is>
          <t>https://ascentialcdn.filespin.io/api/v1/conversion/3a49c191a12941509feeea5c2f551a2b</t>
        </is>
      </c>
      <c r="J39" s="127" t="inlineStr">
        <is>
          <t>vimeo:946365669</t>
        </is>
      </c>
      <c r="K39" s="127" t="inlineStr">
        <is>
          <t>faber-castell-consumer-goods</t>
        </is>
      </c>
      <c r="L39" s="128" t="inlineStr">
        <is>
          <t>https://www.lovethework.com/work/entries/lemon-shot-on-faber-castell-739605</t>
        </is>
      </c>
      <c r="M39"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39" s="113" t="inlineStr">
        <is>
          <t>stationery, art-supplies, print, craft, branded-content, illustration, hyperrealism, brazil</t>
        </is>
      </c>
    </row>
    <row r="40">
      <c r="A40" s="127" t="n">
        <v>2025</v>
      </c>
      <c r="B40" s="133" t="inlineStr">
        <is>
          <t>Bronze</t>
        </is>
      </c>
      <c r="C40" s="127" t="inlineStr">
        <is>
          <t>Surfer</t>
        </is>
      </c>
      <c r="D40" s="127" t="inlineStr">
        <is>
          <t>Cornetto</t>
        </is>
      </c>
      <c r="E40" s="127" t="inlineStr">
        <is>
          <t>Cornetto Ice Cream</t>
        </is>
      </c>
      <c r="F40" s="127" t="inlineStr">
        <is>
          <t>Lola MullenLowe</t>
        </is>
      </c>
      <c r="G40" s="127" t="inlineStr">
        <is>
          <t>Spain</t>
        </is>
      </c>
      <c r="H40" s="113" t="inlineStr">
        <is>
          <t>Consumer Goods</t>
        </is>
      </c>
      <c r="I40" s="128" t="inlineStr">
        <is>
          <t>https://ascentialcdn.filespin.io/api/v1/conversion/9ceaf650a007496f90b6d5670786b4df</t>
        </is>
      </c>
      <c r="J40" s="127" t="inlineStr">
        <is>
          <t>hWhvFLwHOlE</t>
        </is>
      </c>
      <c r="K40" s="127" t="inlineStr">
        <is>
          <t>cornetto-consumer-goods</t>
        </is>
      </c>
      <c r="L40" s="128" t="inlineStr">
        <is>
          <t>https://www.lovethework.com/work/entries/surfer-758590</t>
        </is>
      </c>
      <c r="M40"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40" s="113" t="inlineStr">
        <is>
          <t>ice-cream, print, ooh, packaging, outdoor, graphic-design, spain, consumer-goods, cpg, fmcg</t>
        </is>
      </c>
    </row>
    <row r="41">
      <c r="A41" s="127" t="n">
        <v>2025</v>
      </c>
      <c r="B41" s="133" t="inlineStr">
        <is>
          <t>Bronze</t>
        </is>
      </c>
      <c r="C41" s="127" t="inlineStr">
        <is>
          <t>Kobe 8</t>
        </is>
      </c>
      <c r="D41" s="127" t="inlineStr">
        <is>
          <t>NBA India</t>
        </is>
      </c>
      <c r="E41" s="127" t="inlineStr">
        <is>
          <t>Basketball</t>
        </is>
      </c>
      <c r="F41" s="127" t="inlineStr">
        <is>
          <t>Leo</t>
        </is>
      </c>
      <c r="G41" s="127" t="inlineStr">
        <is>
          <t>United Arab Emirates</t>
        </is>
      </c>
      <c r="H41" s="113" t="inlineStr">
        <is>
          <t>Travel, Leisure, Retail, Restaurants &amp; Fast-Food Chains</t>
        </is>
      </c>
      <c r="I41" s="128" t="inlineStr">
        <is>
          <t>https://ascentialcdn.filespin.io/api/v1/conversion/d693c1e769a741a4b475d5ec8a7e89a1</t>
        </is>
      </c>
      <c r="J41" s="127" t="inlineStr">
        <is>
          <t>v4Gr9oKgZR8</t>
        </is>
      </c>
      <c r="K41" s="127" t="inlineStr">
        <is>
          <t>nba-india-travel-leisure-retail-restaurants-fast-food-chains</t>
        </is>
      </c>
      <c r="L41" s="128" t="inlineStr">
        <is>
          <t>https://www.lovethework.com/work/entries/kobe-8-739945</t>
        </is>
      </c>
      <c r="M41" s="113" t="inlineStr">
        <is>
          <t>NBA India's The Great Indian Dunk reimagined iconic basketball dunks through everyday moments captured across India. The black-and-white print series connected legendary players like Jordan, Shaq, LeBron and Kobe to a billion-person culture, bringing India closer to basketball while suggesting the NBA's next great dunk could be found there.</t>
        </is>
      </c>
      <c r="N41" s="113" t="inlineStr">
        <is>
          <t>sport, basketball, print, partnership, india, cultural-engagement, photography, league</t>
        </is>
      </c>
    </row>
    <row r="42">
      <c r="A42" s="127" t="n">
        <v>2025</v>
      </c>
      <c r="B42" s="133" t="inlineStr">
        <is>
          <t>Bronze</t>
        </is>
      </c>
      <c r="C42" s="127" t="inlineStr">
        <is>
          <t>Scholarship in Books</t>
        </is>
      </c>
      <c r="D42" s="127" t="inlineStr">
        <is>
          <t>Uniasselvi</t>
        </is>
      </c>
      <c r="E42" s="127" t="inlineStr">
        <is>
          <t>Scholarships</t>
        </is>
      </c>
      <c r="F42" s="127" t="inlineStr">
        <is>
          <t>BETC Havas</t>
        </is>
      </c>
      <c r="G42" s="127" t="inlineStr">
        <is>
          <t>Brazil</t>
        </is>
      </c>
      <c r="H42" s="113" t="inlineStr">
        <is>
          <t>Corporate Purpose &amp; Social Responsibility</t>
        </is>
      </c>
      <c r="I42" s="128" t="inlineStr">
        <is>
          <t>https://ascentialcdn.filespin.io/api/v1/conversion/9dcab7bc84b744cea2a588c2b63f30c2</t>
        </is>
      </c>
      <c r="J42" s="127" t="inlineStr">
        <is>
          <t>vimeo:1093833192</t>
        </is>
      </c>
      <c r="K42" s="127" t="n"/>
      <c r="L42" s="128" t="inlineStr">
        <is>
          <t>https://www.lovethework.com/work/entries/scholarship-in-books-740104</t>
        </is>
      </c>
      <c r="M42" s="113" t="inlineStr">
        <is>
          <t>A print campaign in which Uniasselvi hid scholarship codes inside the paragraphs of widely read books — titles including "Quem Pensa Enriquece" ("Think and Grow Rich") and "Projeto de Vida" — so that readers who reached certain passages discovered a full scholarship rather than just a line of text. The mechanic turned the act of reading itself into the application process, reaching an audience already motivated to self-improve.</t>
        </is>
      </c>
      <c r="N42" s="113" t="inlineStr">
        <is>
          <t>scholarships, print, higher-education, brazil, books, hidden-message, corporate-purpose, social-responsibility, betc-havas</t>
        </is>
      </c>
    </row>
    <row r="43">
      <c r="A43" s="127" t="n">
        <v>2025</v>
      </c>
      <c r="B43" s="133" t="inlineStr">
        <is>
          <t>Bronze</t>
        </is>
      </c>
      <c r="C43" s="127" t="inlineStr">
        <is>
          <t>Pubic Service Announcement</t>
        </is>
      </c>
      <c r="D43" s="127" t="inlineStr">
        <is>
          <t>Kiehl's</t>
        </is>
      </c>
      <c r="E43" s="127" t="inlineStr">
        <is>
          <t>KIEHLâS DERMATOLOGIST BRANDâS INTIMATE CARE LINE-UP INCLUDING INGROWN HAIR &amp; TONE CORRECTIVE DROPS.</t>
        </is>
      </c>
      <c r="F43" s="127" t="inlineStr">
        <is>
          <t>Marcel</t>
        </is>
      </c>
      <c r="G43" s="127" t="inlineStr">
        <is>
          <t>France</t>
        </is>
      </c>
      <c r="H43" s="113" t="inlineStr">
        <is>
          <t>Cultural Engagement</t>
        </is>
      </c>
      <c r="I43" s="127" t="inlineStr">
        <is>
          <t>digital-presentation-images/print-and-publishing-kiehls-public-service-announcement.webp</t>
        </is>
      </c>
      <c r="J43" s="127" t="inlineStr">
        <is>
          <t>HhChMlLE2QU</t>
        </is>
      </c>
      <c r="K43" s="127" t="n"/>
      <c r="L43" s="128" t="inlineStr">
        <is>
          <t>https://www.lovethework.com/work/entries/pubic-service-announcement-760516</t>
        </is>
      </c>
      <c r="M43" s="113" t="inlineStr">
        <is>
          <t>A custom typeface designed and physically crafted from 100% real human pubic hair, created by Kiehl's and Marcel Paris to promote an intimate grooming oil after platform censorship forced the brand to pull campaign imagery showing models with visible pubic hair. The open-source font was released for public download so anyone could write in it, and was deployed across OOH, print, and social — with the censored model photos replaced by typographic statements like "OUR PHOTOS OF MODELS WITH PUBIC HAIR WERE CENSORED SO WE REMOVED THE MODELS."</t>
        </is>
      </c>
      <c r="N43" s="113" t="inlineStr">
        <is>
          <t>skincare, personal-care, beauty, typography, custom-font, ooh, social-media, body-positivity, intimate-care, france, open-source, censorship</t>
        </is>
      </c>
    </row>
    <row r="44">
      <c r="A44" s="127" t="n">
        <v>2025</v>
      </c>
      <c r="B44" s="133" t="inlineStr">
        <is>
          <t>Bronze</t>
        </is>
      </c>
      <c r="C44" s="127" t="inlineStr">
        <is>
          <t>Coffee - Shot on Faber-Castell</t>
        </is>
      </c>
      <c r="D44" s="127" t="inlineStr">
        <is>
          <t>Faber Castell</t>
        </is>
      </c>
      <c r="E44" s="127" t="inlineStr">
        <is>
          <t>Faber-Castell</t>
        </is>
      </c>
      <c r="F44" s="127" t="inlineStr">
        <is>
          <t>David</t>
        </is>
      </c>
      <c r="G44" s="127" t="inlineStr">
        <is>
          <t>Brazil</t>
        </is>
      </c>
      <c r="H44" s="113" t="inlineStr">
        <is>
          <t>Consumer Goods</t>
        </is>
      </c>
      <c r="I44" s="128" t="inlineStr">
        <is>
          <t>https://ascentialcdn.filespin.io/api/v1/conversion/2d1f419e936b4d0ea17e3840fa1b8a50</t>
        </is>
      </c>
      <c r="J44" s="127" t="inlineStr">
        <is>
          <t>vimeo:946365669</t>
        </is>
      </c>
      <c r="K44" s="127" t="inlineStr">
        <is>
          <t>faber-castell-consumer-goods</t>
        </is>
      </c>
      <c r="L44" s="128" t="inlineStr">
        <is>
          <t>https://www.lovethework.com/work/entries/coffee-shot-on-faber-castell-739612</t>
        </is>
      </c>
      <c r="M44" s="113" t="inlineStr">
        <is>
          <t>Faber-Castell hijacked the language of tech advertising by presenting ultra-realistic images that looked like they were 'shot on iPhone,' then revealing they were actually handmade with colored pencils. Created by five artists over 400 hours using 100+ colors, the campaign proves that amazing resolution doesn't need lenses, cameras or AI—it can come from SuperSoft by Faber-Castell.</t>
        </is>
      </c>
      <c r="N44" s="113" t="inlineStr">
        <is>
          <t>stationery, art-supplies, print, craft, branded-content, illustration, hyperrealism, brazil</t>
        </is>
      </c>
    </row>
    <row r="45">
      <c r="A45" s="127" t="n">
        <v>2025</v>
      </c>
      <c r="B45" s="133" t="inlineStr">
        <is>
          <t>Bronze</t>
        </is>
      </c>
      <c r="C45" s="127" t="inlineStr">
        <is>
          <t>Football</t>
        </is>
      </c>
      <c r="D45" s="127" t="inlineStr">
        <is>
          <t>Dirt Is Good</t>
        </is>
      </c>
      <c r="E45" s="127" t="inlineStr">
        <is>
          <t>Persil</t>
        </is>
      </c>
      <c r="F45" s="127" t="inlineStr">
        <is>
          <t>MullenLowe UK</t>
        </is>
      </c>
      <c r="G45" s="127" t="inlineStr">
        <is>
          <t>United Kingdom</t>
        </is>
      </c>
      <c r="H45" s="113" t="inlineStr">
        <is>
          <t>Consumer Goods</t>
        </is>
      </c>
      <c r="I45" s="128" t="inlineStr">
        <is>
          <t>https://ascentialcdn.filespin.io/api/v1/conversion/9d66925a6eb0418eb99f0354abd04b27</t>
        </is>
      </c>
      <c r="J45" s="127" t="inlineStr">
        <is>
          <t>invT2-ON-k4</t>
        </is>
      </c>
      <c r="K45" s="127" t="inlineStr">
        <is>
          <t>dirt-is-good-consumer-goods</t>
        </is>
      </c>
      <c r="L45" s="128" t="inlineStr">
        <is>
          <t>https://www.lovethework.com/work/entries/football-739709</t>
        </is>
      </c>
      <c r="M45" s="113" t="inlineStr">
        <is>
          <t>Persil's Dirt Is Good campaign challenged the double standard that treats blood from sports injuries as bravery, but period blood as shame. Partnering with Arsenal, the brand reframed period leaks as just another stain that belongs in the game, encouraging girls to keep playing without fear or stigma.</t>
        </is>
      </c>
      <c r="N45" s="113" t="inlineStr">
        <is>
          <t>detergent, household, home, cpg, social-good, sport, gender-equality, partnership, print, womens-rights</t>
        </is>
      </c>
    </row>
    <row r="46">
      <c r="A46" s="127" t="n">
        <v>2025</v>
      </c>
      <c r="B46" s="133" t="inlineStr">
        <is>
          <t>Bronze</t>
        </is>
      </c>
      <c r="C46" s="127" t="inlineStr">
        <is>
          <t>Coupon Rain</t>
        </is>
      </c>
      <c r="D46" s="127" t="inlineStr">
        <is>
          <t>Mercado Livre</t>
        </is>
      </c>
      <c r="E46" s="127" t="inlineStr">
        <is>
          <t>Mercado Livre</t>
        </is>
      </c>
      <c r="F46" s="127" t="inlineStr">
        <is>
          <t>Gut</t>
        </is>
      </c>
      <c r="G46" s="127" t="inlineStr">
        <is>
          <t>Brazil</t>
        </is>
      </c>
      <c r="H46" s="113" t="inlineStr">
        <is>
          <t>Single-Market Campaign</t>
        </is>
      </c>
      <c r="I46" s="128" t="inlineStr">
        <is>
          <t>https://ascentialcdn.filespin.io/api/v1/conversion/36fd55aacbed488286697152f0a3eeb3</t>
        </is>
      </c>
      <c r="J46" s="127" t="inlineStr">
        <is>
          <t>vimeo:1093414319</t>
        </is>
      </c>
      <c r="K46" s="127" t="n"/>
      <c r="L46" s="128" t="inlineStr">
        <is>
          <t>https://www.lovethework.com/work/entries/coupon-rain-760474</t>
        </is>
      </c>
      <c r="M46"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46" s="113" t="inlineStr">
        <is>
          <t>ecommerce, retail, online-shopping, sponsorship, football, soccer, sport, retail-promo, stunt, brazil, partnership</t>
        </is>
      </c>
    </row>
    <row r="47">
      <c r="A47" s="127" t="n">
        <v>2025</v>
      </c>
      <c r="B47" s="133" t="inlineStr">
        <is>
          <t>Bronze</t>
        </is>
      </c>
      <c r="C47" s="127" t="inlineStr">
        <is>
          <t>The Freedom Edition</t>
        </is>
      </c>
      <c r="D47" s="127" t="inlineStr">
        <is>
          <t>Society</t>
        </is>
      </c>
      <c r="E47" s="127" t="inlineStr">
        <is>
          <t>Society</t>
        </is>
      </c>
      <c r="F47" s="127" t="inlineStr">
        <is>
          <t>BETC</t>
        </is>
      </c>
      <c r="G47" s="127" t="inlineStr">
        <is>
          <t>France</t>
        </is>
      </c>
      <c r="H47" s="113" t="inlineStr">
        <is>
          <t>Corporate Purpose &amp; Social Responsibility</t>
        </is>
      </c>
      <c r="I47" s="128" t="inlineStr">
        <is>
          <t>https://ascentialcdn.filespin.io/api/v1/conversion/e09e1f0a06fc44109db762800cac9584</t>
        </is>
      </c>
      <c r="J47" s="127" t="inlineStr">
        <is>
          <t>WK6ONFfbUvI</t>
        </is>
      </c>
      <c r="K47" s="127" t="n"/>
      <c r="L47" s="128" t="inlineStr">
        <is>
          <t>https://www.lovethework.com/work/entries/the-freedom-edition-740070</t>
        </is>
      </c>
      <c r="M47" s="113" t="inlineStr">
        <is>
          <t>A special print edition of French biweekly magazine Society, conceived with Reporters Sans Frontières (RSF) and written entirely by eight journalists currently imprisoned around the world. The issue was designed as both a functional magazine and a direct argument for press freedom, with each article authored from inside a prison cell.</t>
        </is>
      </c>
      <c r="N47" s="113" t="inlineStr">
        <is>
          <t>magazine, print, press-freedom, publishing, corporate-purpose, journalism, france, partnership, ooh</t>
        </is>
      </c>
    </row>
  </sheetData>
  <autoFilter ref="A1:N47"/>
  <hyperlinks>
    <hyperlink xmlns:r="http://schemas.openxmlformats.org/officeDocument/2006/relationships" ref="I2" r:id="rId1"/>
    <hyperlink xmlns:r="http://schemas.openxmlformats.org/officeDocument/2006/relationships" ref="L2" r:id="rId2"/>
    <hyperlink xmlns:r="http://schemas.openxmlformats.org/officeDocument/2006/relationships" ref="L3" r:id="rId3"/>
    <hyperlink xmlns:r="http://schemas.openxmlformats.org/officeDocument/2006/relationships" ref="I4" r:id="rId4"/>
    <hyperlink xmlns:r="http://schemas.openxmlformats.org/officeDocument/2006/relationships" ref="L4" r:id="rId5"/>
    <hyperlink xmlns:r="http://schemas.openxmlformats.org/officeDocument/2006/relationships" ref="I5"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I7"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I9" r:id="rId14"/>
    <hyperlink xmlns:r="http://schemas.openxmlformats.org/officeDocument/2006/relationships" ref="L9" r:id="rId15"/>
    <hyperlink xmlns:r="http://schemas.openxmlformats.org/officeDocument/2006/relationships" ref="I10" r:id="rId16"/>
    <hyperlink xmlns:r="http://schemas.openxmlformats.org/officeDocument/2006/relationships" ref="L10" r:id="rId17"/>
    <hyperlink xmlns:r="http://schemas.openxmlformats.org/officeDocument/2006/relationships" ref="I11" r:id="rId18"/>
    <hyperlink xmlns:r="http://schemas.openxmlformats.org/officeDocument/2006/relationships" ref="L11" r:id="rId19"/>
    <hyperlink xmlns:r="http://schemas.openxmlformats.org/officeDocument/2006/relationships" ref="I12" r:id="rId20"/>
    <hyperlink xmlns:r="http://schemas.openxmlformats.org/officeDocument/2006/relationships" ref="L12" r:id="rId21"/>
    <hyperlink xmlns:r="http://schemas.openxmlformats.org/officeDocument/2006/relationships" ref="I13" r:id="rId22"/>
    <hyperlink xmlns:r="http://schemas.openxmlformats.org/officeDocument/2006/relationships" ref="L13" r:id="rId23"/>
    <hyperlink xmlns:r="http://schemas.openxmlformats.org/officeDocument/2006/relationships" ref="I14" r:id="rId24"/>
    <hyperlink xmlns:r="http://schemas.openxmlformats.org/officeDocument/2006/relationships" ref="L14" r:id="rId25"/>
    <hyperlink xmlns:r="http://schemas.openxmlformats.org/officeDocument/2006/relationships" ref="I15" r:id="rId26"/>
    <hyperlink xmlns:r="http://schemas.openxmlformats.org/officeDocument/2006/relationships" ref="L15" r:id="rId27"/>
    <hyperlink xmlns:r="http://schemas.openxmlformats.org/officeDocument/2006/relationships" ref="I16" r:id="rId28"/>
    <hyperlink xmlns:r="http://schemas.openxmlformats.org/officeDocument/2006/relationships" ref="L16" r:id="rId29"/>
    <hyperlink xmlns:r="http://schemas.openxmlformats.org/officeDocument/2006/relationships" ref="I17" r:id="rId30"/>
    <hyperlink xmlns:r="http://schemas.openxmlformats.org/officeDocument/2006/relationships" ref="L17" r:id="rId31"/>
    <hyperlink xmlns:r="http://schemas.openxmlformats.org/officeDocument/2006/relationships" ref="I18" r:id="rId32"/>
    <hyperlink xmlns:r="http://schemas.openxmlformats.org/officeDocument/2006/relationships" ref="L18" r:id="rId33"/>
    <hyperlink xmlns:r="http://schemas.openxmlformats.org/officeDocument/2006/relationships" ref="I19" r:id="rId34"/>
    <hyperlink xmlns:r="http://schemas.openxmlformats.org/officeDocument/2006/relationships" ref="L19" r:id="rId35"/>
    <hyperlink xmlns:r="http://schemas.openxmlformats.org/officeDocument/2006/relationships" ref="I20" r:id="rId36"/>
    <hyperlink xmlns:r="http://schemas.openxmlformats.org/officeDocument/2006/relationships" ref="L20" r:id="rId37"/>
    <hyperlink xmlns:r="http://schemas.openxmlformats.org/officeDocument/2006/relationships" ref="I21" r:id="rId38"/>
    <hyperlink xmlns:r="http://schemas.openxmlformats.org/officeDocument/2006/relationships" ref="L21" r:id="rId39"/>
    <hyperlink xmlns:r="http://schemas.openxmlformats.org/officeDocument/2006/relationships" ref="I22" r:id="rId40"/>
    <hyperlink xmlns:r="http://schemas.openxmlformats.org/officeDocument/2006/relationships" ref="L22" r:id="rId41"/>
    <hyperlink xmlns:r="http://schemas.openxmlformats.org/officeDocument/2006/relationships" ref="I23" r:id="rId42"/>
    <hyperlink xmlns:r="http://schemas.openxmlformats.org/officeDocument/2006/relationships" ref="L23" r:id="rId43"/>
    <hyperlink xmlns:r="http://schemas.openxmlformats.org/officeDocument/2006/relationships" ref="I24" r:id="rId44"/>
    <hyperlink xmlns:r="http://schemas.openxmlformats.org/officeDocument/2006/relationships" ref="L24" r:id="rId45"/>
    <hyperlink xmlns:r="http://schemas.openxmlformats.org/officeDocument/2006/relationships" ref="I25" r:id="rId46"/>
    <hyperlink xmlns:r="http://schemas.openxmlformats.org/officeDocument/2006/relationships" ref="L25" r:id="rId47"/>
    <hyperlink xmlns:r="http://schemas.openxmlformats.org/officeDocument/2006/relationships" ref="I26" r:id="rId48"/>
    <hyperlink xmlns:r="http://schemas.openxmlformats.org/officeDocument/2006/relationships" ref="L26" r:id="rId49"/>
    <hyperlink xmlns:r="http://schemas.openxmlformats.org/officeDocument/2006/relationships" ref="I27" r:id="rId50"/>
    <hyperlink xmlns:r="http://schemas.openxmlformats.org/officeDocument/2006/relationships" ref="L27" r:id="rId51"/>
    <hyperlink xmlns:r="http://schemas.openxmlformats.org/officeDocument/2006/relationships" ref="I28" r:id="rId52"/>
    <hyperlink xmlns:r="http://schemas.openxmlformats.org/officeDocument/2006/relationships" ref="L28" r:id="rId53"/>
    <hyperlink xmlns:r="http://schemas.openxmlformats.org/officeDocument/2006/relationships" ref="I29" r:id="rId54"/>
    <hyperlink xmlns:r="http://schemas.openxmlformats.org/officeDocument/2006/relationships" ref="L29" r:id="rId55"/>
    <hyperlink xmlns:r="http://schemas.openxmlformats.org/officeDocument/2006/relationships" ref="I30" r:id="rId56"/>
    <hyperlink xmlns:r="http://schemas.openxmlformats.org/officeDocument/2006/relationships" ref="L30" r:id="rId57"/>
    <hyperlink xmlns:r="http://schemas.openxmlformats.org/officeDocument/2006/relationships" ref="I31" r:id="rId58"/>
    <hyperlink xmlns:r="http://schemas.openxmlformats.org/officeDocument/2006/relationships" ref="L31" r:id="rId59"/>
    <hyperlink xmlns:r="http://schemas.openxmlformats.org/officeDocument/2006/relationships" ref="I32" r:id="rId60"/>
    <hyperlink xmlns:r="http://schemas.openxmlformats.org/officeDocument/2006/relationships" ref="L32" r:id="rId61"/>
    <hyperlink xmlns:r="http://schemas.openxmlformats.org/officeDocument/2006/relationships" ref="I33" r:id="rId62"/>
    <hyperlink xmlns:r="http://schemas.openxmlformats.org/officeDocument/2006/relationships" ref="L33" r:id="rId63"/>
    <hyperlink xmlns:r="http://schemas.openxmlformats.org/officeDocument/2006/relationships" ref="I34" r:id="rId64"/>
    <hyperlink xmlns:r="http://schemas.openxmlformats.org/officeDocument/2006/relationships" ref="L34" r:id="rId65"/>
    <hyperlink xmlns:r="http://schemas.openxmlformats.org/officeDocument/2006/relationships" ref="I35" r:id="rId66"/>
    <hyperlink xmlns:r="http://schemas.openxmlformats.org/officeDocument/2006/relationships" ref="L35" r:id="rId67"/>
    <hyperlink xmlns:r="http://schemas.openxmlformats.org/officeDocument/2006/relationships" ref="I36" r:id="rId68"/>
    <hyperlink xmlns:r="http://schemas.openxmlformats.org/officeDocument/2006/relationships" ref="L36" r:id="rId69"/>
    <hyperlink xmlns:r="http://schemas.openxmlformats.org/officeDocument/2006/relationships" ref="I37" r:id="rId70"/>
    <hyperlink xmlns:r="http://schemas.openxmlformats.org/officeDocument/2006/relationships" ref="L37" r:id="rId71"/>
    <hyperlink xmlns:r="http://schemas.openxmlformats.org/officeDocument/2006/relationships" ref="I38" r:id="rId72"/>
    <hyperlink xmlns:r="http://schemas.openxmlformats.org/officeDocument/2006/relationships" ref="L38" r:id="rId73"/>
    <hyperlink xmlns:r="http://schemas.openxmlformats.org/officeDocument/2006/relationships" ref="I39" r:id="rId74"/>
    <hyperlink xmlns:r="http://schemas.openxmlformats.org/officeDocument/2006/relationships" ref="L39" r:id="rId75"/>
    <hyperlink xmlns:r="http://schemas.openxmlformats.org/officeDocument/2006/relationships" ref="I40" r:id="rId76"/>
    <hyperlink xmlns:r="http://schemas.openxmlformats.org/officeDocument/2006/relationships" ref="L40" r:id="rId77"/>
    <hyperlink xmlns:r="http://schemas.openxmlformats.org/officeDocument/2006/relationships" ref="I41" r:id="rId78"/>
    <hyperlink xmlns:r="http://schemas.openxmlformats.org/officeDocument/2006/relationships" ref="L41" r:id="rId79"/>
    <hyperlink xmlns:r="http://schemas.openxmlformats.org/officeDocument/2006/relationships" ref="I42" r:id="rId80"/>
    <hyperlink xmlns:r="http://schemas.openxmlformats.org/officeDocument/2006/relationships" ref="L42" r:id="rId81"/>
    <hyperlink xmlns:r="http://schemas.openxmlformats.org/officeDocument/2006/relationships" ref="L43" r:id="rId82"/>
    <hyperlink xmlns:r="http://schemas.openxmlformats.org/officeDocument/2006/relationships" ref="I44" r:id="rId83"/>
    <hyperlink xmlns:r="http://schemas.openxmlformats.org/officeDocument/2006/relationships" ref="L44" r:id="rId84"/>
    <hyperlink xmlns:r="http://schemas.openxmlformats.org/officeDocument/2006/relationships" ref="I45" r:id="rId85"/>
    <hyperlink xmlns:r="http://schemas.openxmlformats.org/officeDocument/2006/relationships" ref="L45" r:id="rId86"/>
    <hyperlink xmlns:r="http://schemas.openxmlformats.org/officeDocument/2006/relationships" ref="I46" r:id="rId87"/>
    <hyperlink xmlns:r="http://schemas.openxmlformats.org/officeDocument/2006/relationships" ref="L46" r:id="rId88"/>
    <hyperlink xmlns:r="http://schemas.openxmlformats.org/officeDocument/2006/relationships" ref="I47" r:id="rId89"/>
    <hyperlink xmlns:r="http://schemas.openxmlformats.org/officeDocument/2006/relationships" ref="L47" r:id="rId90"/>
  </hyperlinks>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N32"/>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6" customWidth="1" style="33" min="1" max="1"/>
    <col width="16" customWidth="1" style="33" min="2" max="2"/>
    <col width="34" customWidth="1" style="33" min="3" max="3"/>
    <col width="22" customWidth="1" style="33" min="4" max="4"/>
    <col width="26" customWidth="1" style="33" min="5" max="5"/>
    <col width="28" customWidth="1" style="33" min="6" max="6"/>
    <col width="16" customWidth="1" style="33" min="7" max="7"/>
    <col width="34" customWidth="1" style="33" min="8" max="8"/>
    <col width="18" customWidth="1" style="33"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ht="34.5" customHeight="1" s="34">
      <c r="A2" s="141" t="n">
        <v>2025</v>
      </c>
      <c r="B2" s="142" t="inlineStr">
        <is>
          <t>Grand Prix</t>
        </is>
      </c>
      <c r="C2" s="143" t="inlineStr">
        <is>
          <t>Caption with Intention</t>
        </is>
      </c>
      <c r="D2" s="141" t="inlineStr">
        <is>
          <t>Academy of Motion Picture Arts &amp; Sciences / Chicago Hearing Society</t>
        </is>
      </c>
      <c r="E2" s="141" t="inlineStr">
        <is>
          <t>Closed Captioning</t>
        </is>
      </c>
      <c r="F2" s="141" t="inlineStr">
        <is>
          <t>FCB Chicago</t>
        </is>
      </c>
      <c r="G2" s="141" t="inlineStr">
        <is>
          <t>United States</t>
        </is>
      </c>
      <c r="H2" s="80" t="inlineStr">
        <is>
          <t>B01 - Inclusive Design</t>
        </is>
      </c>
      <c r="I2" s="128" t="inlineStr">
        <is>
          <t>https://ascentialcdn.filespin.io/api/v1/conversion/1a22539ff6e94e288d6a3aa1a3a9ace5</t>
        </is>
      </c>
      <c r="J2" s="141" t="inlineStr">
        <is>
          <t>F48khKZhKHM</t>
        </is>
      </c>
      <c r="K2" s="127" t="n"/>
      <c r="L2" s="128" t="inlineStr">
        <is>
          <t>https://www.lovethework.com/work/entries/caption-with-intention-758922</t>
        </is>
      </c>
      <c r="M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2" s="113" t="inlineStr">
        <is>
          <t>accessibility, captioning, film, cinema, entertainment, typography, deaf-and-hard-of-hearing, product-design, inclusion, united-states</t>
        </is>
      </c>
    </row>
    <row r="3" ht="34.5" customHeight="1" s="34">
      <c r="A3" s="141" t="n">
        <v>2025</v>
      </c>
      <c r="B3" s="144" t="inlineStr">
        <is>
          <t>Gold</t>
        </is>
      </c>
      <c r="C3" s="143" t="inlineStr">
        <is>
          <t>AirPods Pro 2 Hearing Aid Feature</t>
        </is>
      </c>
      <c r="D3" s="141" t="inlineStr">
        <is>
          <t>Apple</t>
        </is>
      </c>
      <c r="E3" s="141" t="inlineStr">
        <is>
          <t>AirPods Pro 2</t>
        </is>
      </c>
      <c r="F3" s="141" t="inlineStr">
        <is>
          <t>Apple</t>
        </is>
      </c>
      <c r="G3" s="141" t="inlineStr">
        <is>
          <t>United States</t>
        </is>
      </c>
      <c r="H3" s="80" t="inlineStr">
        <is>
          <t>A04 - Product Design</t>
        </is>
      </c>
      <c r="I3" s="128" t="inlineStr">
        <is>
          <t>https://ascentialcdn.filespin.io/api/v1/conversion/d124f3704bf34fe8a63e19e8325d9220</t>
        </is>
      </c>
      <c r="J3" s="141" t="inlineStr">
        <is>
          <t>vimeo:1093371918</t>
        </is>
      </c>
      <c r="K3" s="127" t="n"/>
      <c r="L3" s="128" t="inlineStr">
        <is>
          <t>https://www.lovethework.com/work/entries/airpods-pro-2-hearing-aid-feature-748829</t>
        </is>
      </c>
      <c r="M3" s="113" t="inlineStr">
        <is>
          <t>A software update to AirPods Pro 2 that adds a clinically validated, over-the-counter hearing aid mode — users complete an in-ear audiogram test on their iPhone, and the earbuds adjust their audio output to compensate for measured hearing loss. The feature launched in the United States, Germany, Japan, and New Zealand, where regulatory frameworks permit software-enabled OTC hearing aids, bypassing the traditional audiology clinic model.</t>
        </is>
      </c>
      <c r="N3" s="113" t="inlineStr">
        <is>
          <t>headphones, product-design, hearing-health, mobile-app, united-states, germany, japan, new-zealand, accessibility</t>
        </is>
      </c>
    </row>
    <row r="4" ht="34.5" customHeight="1" s="34">
      <c r="A4" s="141" t="n">
        <v>2025</v>
      </c>
      <c r="B4" s="144" t="inlineStr">
        <is>
          <t>Gold</t>
        </is>
      </c>
      <c r="C4" s="143" t="inlineStr">
        <is>
          <t>Nigrum Corpus</t>
        </is>
      </c>
      <c r="D4" s="141" t="inlineStr">
        <is>
          <t>Idomed</t>
        </is>
      </c>
      <c r="E4" s="141" t="inlineStr">
        <is>
          <t>Nigrum Corpus</t>
        </is>
      </c>
      <c r="F4" s="141" t="inlineStr">
        <is>
          <t>Artplan</t>
        </is>
      </c>
      <c r="G4" s="141" t="inlineStr">
        <is>
          <t>Brazil</t>
        </is>
      </c>
      <c r="H4" s="80" t="inlineStr">
        <is>
          <t>A06 - Books</t>
        </is>
      </c>
      <c r="I4" s="128" t="inlineStr">
        <is>
          <t>https://ascentialcdn.filespin.io/api/v1/conversion/83e9fc2a93254c029a34755ff3c96853</t>
        </is>
      </c>
      <c r="J4" s="141" t="inlineStr">
        <is>
          <t>RCK4iiCB2P0</t>
        </is>
      </c>
      <c r="K4" s="127" t="n"/>
      <c r="L4" s="128" t="inlineStr">
        <is>
          <t>https://www.lovethework.com/work/entries/nigrum-corpus-764511</t>
        </is>
      </c>
      <c r="M4"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4" s="113" t="inlineStr">
        <is>
          <t>medical-education, book, illustration, typography, brazil, health-equity, racial-inclusion, print</t>
        </is>
      </c>
    </row>
    <row r="5" ht="34.5" customHeight="1" s="34">
      <c r="A5" s="141" t="n">
        <v>2025</v>
      </c>
      <c r="B5" s="144" t="inlineStr">
        <is>
          <t>Gold</t>
        </is>
      </c>
      <c r="C5" s="143" t="inlineStr">
        <is>
          <t>CarrefourSA - Ghost Town</t>
        </is>
      </c>
      <c r="D5" s="141" t="inlineStr">
        <is>
          <t>CarrefourSA</t>
        </is>
      </c>
      <c r="E5" s="141" t="inlineStr">
        <is>
          <t>Retail</t>
        </is>
      </c>
      <c r="F5" s="141" t="inlineStr">
        <is>
          <t>TBWA\Istanbul</t>
        </is>
      </c>
      <c r="G5" s="141" t="inlineStr">
        <is>
          <t>Turkey</t>
        </is>
      </c>
      <c r="H5" s="80" t="inlineStr">
        <is>
          <t>A08 - Brand Environment &amp; Experience Design</t>
        </is>
      </c>
      <c r="I5" s="128" t="inlineStr">
        <is>
          <t>https://ascentialcdn.filespin.io/api/v1/conversion/a8b0865217084e348df3921cebc7c41f</t>
        </is>
      </c>
      <c r="J5" s="141" t="inlineStr">
        <is>
          <t>0tKFbogECr4</t>
        </is>
      </c>
      <c r="K5" s="127" t="n"/>
      <c r="L5" s="128" t="inlineStr">
        <is>
          <t>https://www.lovethework.com/work/entries/carrefoursa-ghost-town-748805</t>
        </is>
      </c>
      <c r="M5" s="113" t="inlineStr">
        <is>
          <t>A special-build installation that turned an abandoned town in Turkey into a full-scale Carrefoursa store — shelves, signage, and product displays staged inside empty, derelict buildings. The build used the ghost town's existing structures as aisles and storefronts, drawing a contrast between emptied communities and the retail presence Carrefoursa brings to populated neighborhoods.</t>
        </is>
      </c>
      <c r="N5" s="113" t="inlineStr">
        <is>
          <t>retail, special-build, out-of-home, installation, turkey, experiential, ambient</t>
        </is>
      </c>
    </row>
    <row r="6" ht="34.5" customHeight="1" s="34">
      <c r="A6" s="141" t="n">
        <v>2025</v>
      </c>
      <c r="B6" s="144" t="inlineStr">
        <is>
          <t>Gold</t>
        </is>
      </c>
      <c r="C6" s="143" t="inlineStr">
        <is>
          <t>Spreadbeats</t>
        </is>
      </c>
      <c r="D6" s="141" t="inlineStr">
        <is>
          <t>Spotify</t>
        </is>
      </c>
      <c r="E6" s="141" t="inlineStr">
        <is>
          <t>Spotify</t>
        </is>
      </c>
      <c r="F6" s="141" t="inlineStr">
        <is>
          <t>FCB New York</t>
        </is>
      </c>
      <c r="G6" s="141" t="inlineStr">
        <is>
          <t>United States</t>
        </is>
      </c>
      <c r="H6" s="80" t="inlineStr">
        <is>
          <t>A09 - Design-Driven Effectiveness</t>
        </is>
      </c>
      <c r="I6" s="128" t="inlineStr">
        <is>
          <t>https://ascentialcdn.filespin.io/api/v1/conversion/4ebdb10e5b80456a925dc283ac7e501a</t>
        </is>
      </c>
      <c r="J6" s="141" t="inlineStr">
        <is>
          <t>vimeo:1000498095</t>
        </is>
      </c>
      <c r="K6" s="127" t="n"/>
      <c r="L6" s="128" t="inlineStr">
        <is>
          <t>https://www.lovethework.com/work/entries/spreadbeats-748953</t>
        </is>
      </c>
      <c r="M6"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6" s="113" t="inlineStr">
        <is>
          <t>b2b, business, sales-enablement, digital-craft, music, entertainment, spreadsheet, united-states, audio-platform, streaming, tv, design</t>
        </is>
      </c>
    </row>
    <row r="7" ht="34.5" customHeight="1" s="34">
      <c r="A7" s="141" t="n">
        <v>2025</v>
      </c>
      <c r="B7" s="145" t="inlineStr">
        <is>
          <t>Silver</t>
        </is>
      </c>
      <c r="C7" s="143" t="inlineStr">
        <is>
          <t>Spreadbeats</t>
        </is>
      </c>
      <c r="D7" s="141" t="inlineStr">
        <is>
          <t>Spotify</t>
        </is>
      </c>
      <c r="E7" s="141" t="inlineStr">
        <is>
          <t>Spotify</t>
        </is>
      </c>
      <c r="F7" s="141" t="inlineStr">
        <is>
          <t>FCB New York</t>
        </is>
      </c>
      <c r="G7" s="141" t="inlineStr">
        <is>
          <t>United States</t>
        </is>
      </c>
      <c r="H7" s="80" t="inlineStr">
        <is>
          <t>A07 - Digital Design</t>
        </is>
      </c>
      <c r="I7" s="128" t="inlineStr">
        <is>
          <t>https://ascentialcdn.filespin.io/api/v1/conversion/1cc1b629542a4d1db92e5b0d90116de7</t>
        </is>
      </c>
      <c r="J7" s="141" t="inlineStr">
        <is>
          <t>vimeo:1000498095</t>
        </is>
      </c>
      <c r="K7" s="127" t="n"/>
      <c r="L7" s="128" t="inlineStr">
        <is>
          <t>https://www.lovethework.com/work/entries/spreadbeats-748925</t>
        </is>
      </c>
      <c r="M7"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7" s="113" t="inlineStr">
        <is>
          <t>b2b, business, sales-enablement, digital-craft, music, entertainment, spreadsheet, united-states, audio-platform, streaming, tv, design</t>
        </is>
      </c>
    </row>
    <row r="8" ht="34.5" customHeight="1" s="34">
      <c r="A8" s="141" t="n">
        <v>2025</v>
      </c>
      <c r="B8" s="145" t="inlineStr">
        <is>
          <t>Silver</t>
        </is>
      </c>
      <c r="C8" s="143" t="inlineStr">
        <is>
          <t>Price Packs</t>
        </is>
      </c>
      <c r="D8" s="141" t="inlineStr">
        <is>
          <t>Penny</t>
        </is>
      </c>
      <c r="E8" s="141" t="inlineStr">
        <is>
          <t>Food/Non-Food</t>
        </is>
      </c>
      <c r="F8" s="141" t="inlineStr">
        <is>
          <t>Serviceplan Germany</t>
        </is>
      </c>
      <c r="G8" s="141" t="inlineStr">
        <is>
          <t>Germany</t>
        </is>
      </c>
      <c r="H8" s="80" t="inlineStr">
        <is>
          <t>A09 - Design-Driven Effectiveness</t>
        </is>
      </c>
      <c r="I8" s="128" t="inlineStr">
        <is>
          <t>https://ascentialcdn.filespin.io/api/v1/conversion/67b6df2a0fe64deeb274c91d50040c54</t>
        </is>
      </c>
      <c r="J8" s="141" t="inlineStr">
        <is>
          <t>cnAXR4lk6R0</t>
        </is>
      </c>
      <c r="K8" s="127" t="n"/>
      <c r="L8" s="128" t="inlineStr">
        <is>
          <t>https://www.lovethework.com/work/entries/price-packs-748846</t>
        </is>
      </c>
      <c r="M8"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8" s="113" t="inlineStr">
        <is>
          <t>packaging, retail, ooh, supermarket, grocery, design, price, germany, market-disruption</t>
        </is>
      </c>
    </row>
    <row r="9" ht="34.5" customHeight="1" s="34">
      <c r="A9" s="141" t="n">
        <v>2025</v>
      </c>
      <c r="B9" s="145" t="inlineStr">
        <is>
          <t>Silver</t>
        </is>
      </c>
      <c r="C9" s="143" t="inlineStr">
        <is>
          <t>The Shakespeare BIC</t>
        </is>
      </c>
      <c r="D9" s="141" t="inlineStr">
        <is>
          <t>Bic</t>
        </is>
      </c>
      <c r="E9" s="141" t="inlineStr">
        <is>
          <t>BIC Crystal Pen</t>
        </is>
      </c>
      <c r="F9" s="141" t="inlineStr">
        <is>
          <t>VML</t>
        </is>
      </c>
      <c r="G9" s="141" t="inlineStr">
        <is>
          <t>Brazil</t>
        </is>
      </c>
      <c r="H9" s="80" t="inlineStr">
        <is>
          <t>A11 - Special Editions &amp; Bespoke Items</t>
        </is>
      </c>
      <c r="I9" s="128" t="inlineStr">
        <is>
          <t>https://ascentialcdn.filespin.io/api/v1/conversion/352257f3d008491e95e0ccbdfe8a4469</t>
        </is>
      </c>
      <c r="J9" s="141" t="inlineStr">
        <is>
          <t>5ngNVTeyi4g</t>
        </is>
      </c>
      <c r="K9" s="127" t="n"/>
      <c r="L9" s="128" t="inlineStr">
        <is>
          <t>https://www.lovethework.com/work/entries/the-shakespeare-bic-749146</t>
        </is>
      </c>
      <c r="M9"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9" s="113" t="inlineStr">
        <is>
          <t>ballpoint-pen, special-edition, packaging, print, brazil, writing-instrument, craft, cultural-heritage</t>
        </is>
      </c>
    </row>
    <row r="10" ht="34.5" customHeight="1" s="34">
      <c r="A10" s="141" t="n">
        <v>2025</v>
      </c>
      <c r="B10" s="145" t="inlineStr">
        <is>
          <t>Silver</t>
        </is>
      </c>
      <c r="C10" s="143" t="inlineStr">
        <is>
          <t>Sounds of the Land</t>
        </is>
      </c>
      <c r="D10" s="141" t="inlineStr">
        <is>
          <t>Billboard Arabia</t>
        </is>
      </c>
      <c r="E10" s="141" t="inlineStr">
        <is>
          <t>Billboard Arabia</t>
        </is>
      </c>
      <c r="F10" s="141" t="inlineStr">
        <is>
          <t>SRMG Labs</t>
        </is>
      </c>
      <c r="G10" s="141" t="inlineStr">
        <is>
          <t>Saudi Arabia</t>
        </is>
      </c>
      <c r="H10" s="80" t="inlineStr">
        <is>
          <t>A14 - Promotional Items/Promotional Printed Media</t>
        </is>
      </c>
      <c r="I10" s="128" t="inlineStr">
        <is>
          <t>https://ascentialcdn.filespin.io/api/v1/conversion/19a407ae77ab4664baed61135cc5ae9f</t>
        </is>
      </c>
      <c r="J10" s="141" t="inlineStr">
        <is>
          <t>gD1XqvQaMR0</t>
        </is>
      </c>
      <c r="K10" s="127" t="n"/>
      <c r="L10" s="128" t="inlineStr">
        <is>
          <t>https://www.lovethework.com/work/entries/sounds-of-the-land-758892</t>
        </is>
      </c>
      <c r="M10" s="113" t="inlineStr">
        <is>
          <t>A 10-track album produced by Billboard Arabia and SRMG Labs in which the topography of Arab landscapes — their terrain, geography, and natural features — is translated into sound. Each track is built from acoustic data drawn from a distinct region of the Arab world, turning the physical land itself into the raw material for music. The album was produced in partnership with gamma., the media and technology company founded by Larry Jackson and Ike Youssef, with packaging designed to reflect the initiative's geographic source material.</t>
        </is>
      </c>
      <c r="N10" s="113" t="inlineStr">
        <is>
          <t>music-magazine, packaging, music-marketing, promotional-item, saudi-arabia, united-states, album, nature, design</t>
        </is>
      </c>
    </row>
    <row r="11" ht="34.5" customHeight="1" s="34">
      <c r="A11" s="141" t="n">
        <v>2025</v>
      </c>
      <c r="B11" s="145" t="inlineStr">
        <is>
          <t>Silver</t>
        </is>
      </c>
      <c r="C11" s="143" t="inlineStr">
        <is>
          <t>Code My Crown</t>
        </is>
      </c>
      <c r="D11" s="141" t="inlineStr">
        <is>
          <t>Dove</t>
        </is>
      </c>
      <c r="E11" s="141" t="inlineStr">
        <is>
          <t>Dove</t>
        </is>
      </c>
      <c r="F11" s="141" t="inlineStr">
        <is>
          <t>Edelman</t>
        </is>
      </c>
      <c r="G11" s="141" t="inlineStr">
        <is>
          <t>United Kingdom</t>
        </is>
      </c>
      <c r="H11" s="80" t="inlineStr">
        <is>
          <t>B01 - Inclusive Design</t>
        </is>
      </c>
      <c r="I11" s="128" t="inlineStr">
        <is>
          <t>https://ascentialcdn.filespin.io/api/v1/conversion/dc773a5191b947ea85626af886046a69</t>
        </is>
      </c>
      <c r="J11" s="141" t="inlineStr">
        <is>
          <t>stQ442QJ9pg</t>
        </is>
      </c>
      <c r="K11" s="127" t="n"/>
      <c r="L11" s="128" t="inlineStr">
        <is>
          <t>https://www.lovethework.com/work/entries/code-my-crown-749303</t>
        </is>
      </c>
      <c r="M11" s="113" t="inlineStr">
        <is>
          <t>A guide and training resource built for game developers that shows how to accurately code Black hair styles and textures inside video game character creators — covering curl patterns, locs, braids, and protective styles that are routinely absent or poorly rendered in mainstream titles. Developed by Dove and Edelman London, it addresses the gap between the diversity of Black hair and the limited, often inaccurate options players encounter when building avatars that look like them.</t>
        </is>
      </c>
      <c r="N11" s="113" t="inlineStr">
        <is>
          <t>personal-care, gaming, video-games, entertainment, inclusive-design, developer-tool, united-kingdom, black-hair, digital, representation</t>
        </is>
      </c>
    </row>
    <row r="12" ht="34.5" customHeight="1" s="34">
      <c r="A12" s="141" t="n">
        <v>2025</v>
      </c>
      <c r="B12" s="145" t="inlineStr">
        <is>
          <t>Silver</t>
        </is>
      </c>
      <c r="C12" s="143" t="inlineStr">
        <is>
          <t>1837 Tiffany Blue Conservation</t>
        </is>
      </c>
      <c r="D12" s="141" t="inlineStr">
        <is>
          <t>Tiffany &amp; Co.</t>
        </is>
      </c>
      <c r="E12" s="141" t="inlineStr">
        <is>
          <t>Tiffany &amp; Co.</t>
        </is>
      </c>
      <c r="F12" s="141" t="inlineStr">
        <is>
          <t>L&amp;C</t>
        </is>
      </c>
      <c r="G12" s="141" t="inlineStr">
        <is>
          <t>United States</t>
        </is>
      </c>
      <c r="H12" s="80" t="inlineStr">
        <is>
          <t>B02 - Sustainability-Focused Design</t>
        </is>
      </c>
      <c r="I12" s="128" t="inlineStr">
        <is>
          <t>https://ascentialcdn.filespin.io/api/v1/conversion/a9e8fdb5892d441587b7c4c55eb3d5fb</t>
        </is>
      </c>
      <c r="J12" s="141" t="inlineStr">
        <is>
          <t>npGswWNcZC8</t>
        </is>
      </c>
      <c r="K12" s="127" t="n"/>
      <c r="L12" s="128" t="inlineStr">
        <is>
          <t>https://www.lovethework.com/work/entries/1837-tiffany-blue-conservation-749213</t>
        </is>
      </c>
      <c r="M12" s="113" t="inlineStr">
        <is>
          <t>A photography and awareness campaign built around the natural occurrence of Tiffany Blue® in ocean waters across Africa, Australia, and the Caribbean — documenting those specific bodies of water as living proof that the brand's signature color exists in nature. Created with L&amp;C New York, the work ties the 1837 founding color to ocean conservation by treating the shade itself as the thing worth protecting.</t>
        </is>
      </c>
      <c r="N12" s="113" t="inlineStr">
        <is>
          <t>luxury-jewelry, sustainability, photography, ocean-conservation, united-states, africa, australia, caribbean, brand-identity</t>
        </is>
      </c>
    </row>
    <row r="13" ht="34.5" customHeight="1" s="34">
      <c r="A13" s="141" t="n">
        <v>2025</v>
      </c>
      <c r="B13" s="145" t="inlineStr">
        <is>
          <t>Silver</t>
        </is>
      </c>
      <c r="C13" s="143" t="inlineStr">
        <is>
          <t>Fixables</t>
        </is>
      </c>
      <c r="D13" s="141" t="inlineStr">
        <is>
          <t>Philips</t>
        </is>
      </c>
      <c r="E13" s="141" t="inlineStr">
        <is>
          <t>Philips Personal Care</t>
        </is>
      </c>
      <c r="F13" s="141" t="inlineStr">
        <is>
          <t>LePub</t>
        </is>
      </c>
      <c r="G13" s="141" t="inlineStr">
        <is>
          <t>Netherlands</t>
        </is>
      </c>
      <c r="H13" s="80" t="inlineStr">
        <is>
          <t>B02 - Sustainability-Focused Design</t>
        </is>
      </c>
      <c r="I13" s="128" t="inlineStr">
        <is>
          <t>https://ascentialcdn.filespin.io/api/v1/conversion/9e978f653c5c45cf903985a90708656d</t>
        </is>
      </c>
      <c r="J13" s="141" t="inlineStr">
        <is>
          <t>vimeo:1093399093</t>
        </is>
      </c>
      <c r="K13" s="127" t="n"/>
      <c r="L13" s="128" t="inlineStr">
        <is>
          <t>https://www.lovethework.com/work/entries/fixables-761443</t>
        </is>
      </c>
      <c r="M13" s="113" t="inlineStr">
        <is>
          <t>A library of free, downloadable 3D-printable replacement parts for Philips personal care products — broken clips, covers, and components that would otherwise send a device to landfill — developed with 3D printer manufacturer Prusa Research and LePub Amsterdam and Milan. The parts are designed to spec so consumers can print exact replacements at home or through a local print service, extending the life of products already in circulation.</t>
        </is>
      </c>
      <c r="N13" s="113" t="inlineStr">
        <is>
          <t>personal-care, sustainability, 3d-printing, product-design, netherlands, repair, consumer-electronics, design-for-behaviour-change</t>
        </is>
      </c>
    </row>
    <row r="14" ht="34.5" customHeight="1" s="34">
      <c r="A14" s="141" t="n">
        <v>2025</v>
      </c>
      <c r="B14" s="145" t="inlineStr">
        <is>
          <t>Silver</t>
        </is>
      </c>
      <c r="C14" s="143" t="inlineStr">
        <is>
          <t>Airquity</t>
        </is>
      </c>
      <c r="D14" s="141" t="inlineStr">
        <is>
          <t>Ear Switch</t>
        </is>
      </c>
      <c r="E14" s="141" t="inlineStr">
        <is>
          <t>Health Equity - Diagnostics</t>
        </is>
      </c>
      <c r="F14" s="141" t="inlineStr">
        <is>
          <t>Havas Lynx</t>
        </is>
      </c>
      <c r="G14" s="141" t="inlineStr">
        <is>
          <t>United Kingdom</t>
        </is>
      </c>
      <c r="H14" s="80" t="inlineStr">
        <is>
          <t>B03 - Innovation in Design</t>
        </is>
      </c>
      <c r="I14" s="128" t="inlineStr">
        <is>
          <t>https://ascentialcdn.filespin.io/api/v1/conversion/14dd689fdcf14ce4a777dc6c4aad2522</t>
        </is>
      </c>
      <c r="J14" s="141" t="inlineStr">
        <is>
          <t>Un9NkS9jsws</t>
        </is>
      </c>
      <c r="K14" s="127" t="n"/>
      <c r="L14" s="128" t="inlineStr">
        <is>
          <t>https://www.lovethework.com/work/entries/airquity-749221</t>
        </is>
      </c>
      <c r="M14" s="113" t="inlineStr">
        <is>
          <t>A core pulse oximeter designed to take blood-oxygen readings from inside the ear canal rather than from the fingertip — a site where skin pigmentation does not affect the light-absorption readings that cause standard fingertip oximeters to return less accurate results for darker skin tones. Developed by EarSwitch with Havas Lynx, Manchester, the device delivers medical-grade biometric data from a location where, as the brief puts it, all skin looks the same.</t>
        </is>
      </c>
      <c r="N14" s="113" t="inlineStr">
        <is>
          <t>health-diagnostics, medical-device, product-design, health-equity, wearable, united-kingdom, b2c, racial-inclusion</t>
        </is>
      </c>
    </row>
    <row r="15" ht="34.5" customHeight="1" s="34">
      <c r="A15" s="141" t="n">
        <v>2025</v>
      </c>
      <c r="B15" s="145" t="inlineStr">
        <is>
          <t>Silver</t>
        </is>
      </c>
      <c r="C15" s="143" t="inlineStr">
        <is>
          <t>The 100% Home Compostable Sticker</t>
        </is>
      </c>
      <c r="D15" s="141" t="inlineStr">
        <is>
          <t>Zespri</t>
        </is>
      </c>
      <c r="E15" s="141" t="inlineStr">
        <is>
          <t>Kiwifruit</t>
        </is>
      </c>
      <c r="F15" s="141" t="inlineStr">
        <is>
          <t>Grey</t>
        </is>
      </c>
      <c r="G15" s="141" t="inlineStr">
        <is>
          <t>Brazil</t>
        </is>
      </c>
      <c r="H15" s="80" t="inlineStr">
        <is>
          <t>B03 - Innovation in Design</t>
        </is>
      </c>
      <c r="I15" s="128" t="inlineStr">
        <is>
          <t>https://ascentialcdn.filespin.io/api/v1/conversion/b852cca2fa1a4002b499bc5cf7f064f1</t>
        </is>
      </c>
      <c r="J15" s="141" t="inlineStr">
        <is>
          <t>vimeo:1117425129</t>
        </is>
      </c>
      <c r="K15" s="127" t="n"/>
      <c r="L15" s="128" t="inlineStr">
        <is>
          <t>https://www.lovethework.com/work/entries/the-100-home-compostable-sticker-749240</t>
        </is>
      </c>
      <c r="M15" s="113" t="inlineStr">
        <is>
          <t>A fruit sticker redesigned from scratch to be fully home compostable — replacing the conventional plastic PLU label that typically ends up in landfill after peeling. Developed by Grey São Paulo for Zespri over four years, the sticker is made to break down in a standard home compost bin alongside the kiwifruit's skin and core.</t>
        </is>
      </c>
      <c r="N15" s="113" t="inlineStr">
        <is>
          <t>kiwifruit, packaging, sustainability, design, brazil, compostable, produce, fmcg</t>
        </is>
      </c>
    </row>
    <row r="16" ht="34.5" customHeight="1" s="34">
      <c r="A16" s="141" t="n">
        <v>2025</v>
      </c>
      <c r="B16" s="145" t="inlineStr">
        <is>
          <t>Silver</t>
        </is>
      </c>
      <c r="C16" s="143" t="inlineStr">
        <is>
          <t>Self-Packing Cheese</t>
        </is>
      </c>
      <c r="D16" s="141" t="inlineStr">
        <is>
          <t>Nestlé</t>
        </is>
      </c>
      <c r="E16" s="141" t="inlineStr">
        <is>
          <t>Que Rico Cheese</t>
        </is>
      </c>
      <c r="F16" s="141" t="inlineStr">
        <is>
          <t>Ogilvy Colombia</t>
        </is>
      </c>
      <c r="G16" s="141" t="inlineStr">
        <is>
          <t>Colombia</t>
        </is>
      </c>
      <c r="H16" s="80" t="inlineStr">
        <is>
          <t>B03 - Innovation in Design</t>
        </is>
      </c>
      <c r="I16" s="128" t="inlineStr">
        <is>
          <t>https://ascentialcdn.filespin.io/api/v1/conversion/897a79315f0b4bf2a5afd35d6e3217ac</t>
        </is>
      </c>
      <c r="J16" s="141" t="inlineStr">
        <is>
          <t>vimeo:1172671869</t>
        </is>
      </c>
      <c r="K16" s="127" t="n"/>
      <c r="L16" s="128" t="inlineStr">
        <is>
          <t>https://www.lovethework.com/work/entries/self-packing-cheese-758771</t>
        </is>
      </c>
      <c r="M16" s="113" t="inlineStr">
        <is>
          <t>A biodegradable cheese wrapper for Nestlé's ¡Qué Rico! brand, developed with Ogilvy Colombia, made from whey and other byproducts recovered directly from the cheese production process — meaning the packaging and the product share the same origin. Controlled microorganisms break the bioplastic down after use, replacing the conventional plastic film the product previously shipped in across Central America, currently being piloted in Panama.</t>
        </is>
      </c>
      <c r="N16" s="113" t="inlineStr">
        <is>
          <t>cheese, packaging, biodegradable, sustainability, colombia, panama, central-america, bioplastic, food</t>
        </is>
      </c>
    </row>
    <row r="17" ht="34.5" customHeight="1" s="34">
      <c r="A17" s="141" t="n">
        <v>2025</v>
      </c>
      <c r="B17" s="146" t="inlineStr">
        <is>
          <t>Bronze</t>
        </is>
      </c>
      <c r="C17" s="143" t="inlineStr">
        <is>
          <t>Forest Carbon - In Tune with Nature</t>
        </is>
      </c>
      <c r="D17" s="141" t="inlineStr">
        <is>
          <t>Forest Carbon</t>
        </is>
      </c>
      <c r="E17" s="141" t="inlineStr">
        <is>
          <t>Forest Carbon</t>
        </is>
      </c>
      <c r="F17" s="141" t="inlineStr">
        <is>
          <t>Design Bridge and Partners</t>
        </is>
      </c>
      <c r="G17" s="141" t="inlineStr">
        <is>
          <t>Singapore</t>
        </is>
      </c>
      <c r="H17" s="80" t="inlineStr">
        <is>
          <t>A02 - Rebrand/Refresh of an Existing Brand</t>
        </is>
      </c>
      <c r="I17" s="128" t="inlineStr">
        <is>
          <t>https://ascentialcdn.filespin.io/api/v1/conversion/760f7006f943444ab3c918192eebdfad</t>
        </is>
      </c>
      <c r="J17" s="141" t="inlineStr">
        <is>
          <t>XwYYolWWG-4</t>
        </is>
      </c>
      <c r="K17" s="127" t="n"/>
      <c r="L17" s="128" t="inlineStr">
        <is>
          <t>https://www.lovethework.com/work/entries/forest-carbon-in-tune-with-nature-748684</t>
        </is>
      </c>
      <c r="M17" s="113" t="inlineStr">
        <is>
          <t>A visual identity for Forest Carbon built by Design Bridge and Partners in Singapore that converts returning wildlife sounds — recorded as biodiversity recovers in restored forests — into a dynamic design system. The audio waveforms and ecosystem soundscapes shape the brand's graphic language, shifting its positioning away from carbon credits toward ecosystem restoration, biodiversity, and community impact.</t>
        </is>
      </c>
      <c r="N17" s="113" t="inlineStr">
        <is>
          <t>forest-carbon, branding, visual-identity, sound-design, biodiversity, ecosystem-restoration, singapore, typography, environmental</t>
        </is>
      </c>
    </row>
    <row r="18" ht="34.5" customHeight="1" s="34">
      <c r="A18" s="141" t="n">
        <v>2025</v>
      </c>
      <c r="B18" s="146" t="inlineStr">
        <is>
          <t>Bronze</t>
        </is>
      </c>
      <c r="C18" s="143" t="inlineStr">
        <is>
          <t>Imperia - Genius of Form and Substance</t>
        </is>
      </c>
      <c r="D18" s="141" t="inlineStr">
        <is>
          <t>Imperia</t>
        </is>
      </c>
      <c r="E18" s="141" t="inlineStr">
        <is>
          <t>Pasta Machines</t>
        </is>
      </c>
      <c r="F18" s="141" t="inlineStr">
        <is>
          <t>Imperia &amp; Monferrina</t>
        </is>
      </c>
      <c r="G18" s="141" t="inlineStr">
        <is>
          <t>Italy</t>
        </is>
      </c>
      <c r="H18" s="80" t="inlineStr">
        <is>
          <t>A02 - Rebrand/Refresh of an Existing Brand</t>
        </is>
      </c>
      <c r="I18" s="128" t="inlineStr">
        <is>
          <t>https://ascentialcdn.filespin.io/api/v1/conversion/145b3050646d4642adeb6588b0db97cf</t>
        </is>
      </c>
      <c r="J18" s="141" t="inlineStr">
        <is>
          <t>tS0qNXl9a4U</t>
        </is>
      </c>
      <c r="K18" s="127" t="n"/>
      <c r="L18" s="128" t="inlineStr">
        <is>
          <t>https://www.lovethework.com/work/entries/imperia-genius-of-form-and-substance-748618</t>
        </is>
      </c>
      <c r="M18" s="113" t="inlineStr">
        <is>
          <t>A brand refresh for Imperia, a historic Italian pasta machine manufacturer with a 90-year legacy, centered on the dual meaning of its product: the precision engineering of the machine's form and the craft of the pasta it produces. The campaign repositioned the brand's identity around this tension between industrial design and culinary tradition.</t>
        </is>
      </c>
      <c r="N18" s="113" t="inlineStr">
        <is>
          <t>pasta-machine, rebrand, brand-identity, italy, food-equipment, heritage, print</t>
        </is>
      </c>
    </row>
    <row r="19" ht="34.5" customHeight="1" s="34">
      <c r="A19" s="141" t="n">
        <v>2025</v>
      </c>
      <c r="B19" s="146" t="inlineStr">
        <is>
          <t>Bronze</t>
        </is>
      </c>
      <c r="C19" s="143" t="inlineStr">
        <is>
          <t>Fc25</t>
        </is>
      </c>
      <c r="D19" s="141" t="inlineStr">
        <is>
          <t>EA Sports FC</t>
        </is>
      </c>
      <c r="E19" s="141" t="inlineStr">
        <is>
          <t>Entertainment</t>
        </is>
      </c>
      <c r="F19" s="141" t="inlineStr">
        <is>
          <t>Uncommon Creative Studio</t>
        </is>
      </c>
      <c r="G19" s="141" t="inlineStr">
        <is>
          <t>United Kingdom</t>
        </is>
      </c>
      <c r="H19" s="80" t="inlineStr">
        <is>
          <t>A02 - Rebrand/Refresh of an Existing Brand</t>
        </is>
      </c>
      <c r="I19" s="128" t="inlineStr">
        <is>
          <t>https://ascentialcdn.filespin.io/api/v1/conversion/5d4639fd2bc1430db0604b45d23a8ed6</t>
        </is>
      </c>
      <c r="J19" s="141" t="inlineStr">
        <is>
          <t>vimeo:1015306334</t>
        </is>
      </c>
      <c r="K19" s="127" t="n"/>
      <c r="L19" s="128" t="inlineStr">
        <is>
          <t>https://www.lovethework.com/work/entries/fc25-758851</t>
        </is>
      </c>
      <c r="M19" s="113" t="inlineStr">
        <is>
          <t>A packaging redesign for EA Sports FC 25 that overhauled the visual identity of the football video game's physical and promotional materials. Developed by Uncommon Creative Studio in London, the work refreshed the brand's design language across packaging formats to mark the franchise's evolution from its previous FIFA branding.</t>
        </is>
      </c>
      <c r="N19" s="113" t="inlineStr">
        <is>
          <t>entertainment, video-game, packaging, rebrand, united-kingdom, sports, design</t>
        </is>
      </c>
    </row>
    <row r="20" ht="34.5" customHeight="1" s="34">
      <c r="A20" s="141" t="n">
        <v>2025</v>
      </c>
      <c r="B20" s="146" t="inlineStr">
        <is>
          <t>Bronze</t>
        </is>
      </c>
      <c r="C20" s="143" t="inlineStr">
        <is>
          <t>Price Packs</t>
        </is>
      </c>
      <c r="D20" s="141" t="inlineStr">
        <is>
          <t>Penny</t>
        </is>
      </c>
      <c r="E20" s="141" t="inlineStr">
        <is>
          <t>Food/Non-Food</t>
        </is>
      </c>
      <c r="F20" s="141" t="inlineStr">
        <is>
          <t>Serviceplan Germany</t>
        </is>
      </c>
      <c r="G20" s="141" t="inlineStr">
        <is>
          <t>Germany</t>
        </is>
      </c>
      <c r="H20" s="80" t="inlineStr">
        <is>
          <t>A03 - Packaging Design</t>
        </is>
      </c>
      <c r="I20" s="128" t="inlineStr">
        <is>
          <t>https://ascentialcdn.filespin.io/api/v1/conversion/67b6df2a0fe64deeb274c91d50040c54</t>
        </is>
      </c>
      <c r="J20" s="141" t="inlineStr">
        <is>
          <t>cnAXR4lk6R0</t>
        </is>
      </c>
      <c r="K20" s="127" t="n"/>
      <c r="L20" s="128" t="inlineStr">
        <is>
          <t>https://www.lovethework.com/work/entries/price-packs-748709</t>
        </is>
      </c>
      <c r="M20"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0" s="113" t="inlineStr">
        <is>
          <t>packaging, retail, ooh, supermarket, grocery, design, price, germany, market-disruption</t>
        </is>
      </c>
    </row>
    <row r="21" ht="34.5" customHeight="1" s="34">
      <c r="A21" s="141" t="n">
        <v>2025</v>
      </c>
      <c r="B21" s="146" t="inlineStr">
        <is>
          <t>Bronze</t>
        </is>
      </c>
      <c r="C21" s="143" t="inlineStr">
        <is>
          <t>Mattel Creations Not Wheels</t>
        </is>
      </c>
      <c r="D21" s="141" t="inlineStr">
        <is>
          <t>Mattel Creations</t>
        </is>
      </c>
      <c r="E21" s="141" t="inlineStr">
        <is>
          <t>Hot Wheels x MSCHF</t>
        </is>
      </c>
      <c r="F21" s="141" t="inlineStr">
        <is>
          <t>Mattel</t>
        </is>
      </c>
      <c r="G21" s="141" t="inlineStr">
        <is>
          <t>United States</t>
        </is>
      </c>
      <c r="H21" s="80" t="inlineStr">
        <is>
          <t>A04 - Product Design</t>
        </is>
      </c>
      <c r="I21" s="128" t="inlineStr">
        <is>
          <t>https://ascentialcdn.filespin.io/api/v1/conversion/558c6e807d6740a6a711540be7529132</t>
        </is>
      </c>
      <c r="J21" s="141" t="inlineStr">
        <is>
          <t>2uWOMMH9PLk</t>
        </is>
      </c>
      <c r="K21" s="127" t="n"/>
      <c r="L21" s="128" t="inlineStr">
        <is>
          <t>https://www.lovethework.com/work/entries/mattel-creations-not-wheels-748931</t>
        </is>
      </c>
      <c r="M21" s="113" t="inlineStr">
        <is>
          <t>Mattel Creations launched 'Not Wheels' by turning Hot Wheels' polished fantasy into a broken, wheel-less collectible sold through a deliberately janky, Craigslist-style campaign. From gritty product photos to 'does not roll' copy and collector forum chaos, every touchpoint made the dumbest car in the garage feel like the hottest drop on the internet.</t>
        </is>
      </c>
      <c r="N21" s="113" t="inlineStr">
        <is>
          <t>toys, packaged-goods, cpg, fmcg, product-design, drop, social-media, humor, collectible, united-states</t>
        </is>
      </c>
    </row>
    <row r="22" ht="34.5" customHeight="1" s="34">
      <c r="A22" s="141" t="n">
        <v>2025</v>
      </c>
      <c r="B22" s="146" t="inlineStr">
        <is>
          <t>Bronze</t>
        </is>
      </c>
      <c r="C22" s="143" t="inlineStr">
        <is>
          <t>Winter Takes on Colors</t>
        </is>
      </c>
      <c r="D22" s="141" t="inlineStr">
        <is>
          <t>McDonald's Polska</t>
        </is>
      </c>
      <c r="E22" s="141" t="inlineStr">
        <is>
          <t>Drwala Burger (LTO)</t>
        </is>
      </c>
      <c r="F22" s="141" t="inlineStr">
        <is>
          <t>DDB Warsaw</t>
        </is>
      </c>
      <c r="G22" s="141" t="inlineStr">
        <is>
          <t>Poland</t>
        </is>
      </c>
      <c r="H22" s="80" t="inlineStr">
        <is>
          <t>A08 - Brand Environment &amp; Experience Design</t>
        </is>
      </c>
      <c r="I22" s="128" t="inlineStr">
        <is>
          <t>https://ascentialcdn.filespin.io/api/v1/conversion/0bcb01dc0d92499c8033fe42497178ff</t>
        </is>
      </c>
      <c r="J22" s="141" t="inlineStr">
        <is>
          <t>qcSHtBgAB6o</t>
        </is>
      </c>
      <c r="K22" s="127" t="n"/>
      <c r="L22" s="128" t="inlineStr">
        <is>
          <t>https://www.lovethework.com/work/entries/winter-takes-on-colors-748849</t>
        </is>
      </c>
      <c r="M22"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22" s="113" t="inlineStr">
        <is>
          <t>qsr, fast-food, restaurant, food, retail-experience, branded-merch, craft, fashion, poland, seasonal, ooh</t>
        </is>
      </c>
    </row>
    <row r="23" ht="34.5" customHeight="1" s="34">
      <c r="A23" s="141" t="n">
        <v>2025</v>
      </c>
      <c r="B23" s="146" t="inlineStr">
        <is>
          <t>Bronze</t>
        </is>
      </c>
      <c r="C23" s="143" t="inlineStr">
        <is>
          <t>Justice by Her Type</t>
        </is>
      </c>
      <c r="D23" s="141" t="inlineStr">
        <is>
          <t>Families Surviving Feminicides Collective</t>
        </is>
      </c>
      <c r="E23" s="141" t="inlineStr">
        <is>
          <t>Families Surviving Feminicides Collective</t>
        </is>
      </c>
      <c r="F23" s="141" t="inlineStr">
        <is>
          <t>Garnier BBDO</t>
        </is>
      </c>
      <c r="G23" s="141" t="inlineStr">
        <is>
          <t>Costa Rica</t>
        </is>
      </c>
      <c r="H23" s="80" t="inlineStr">
        <is>
          <t>A09 - Design-Driven Effectiveness</t>
        </is>
      </c>
      <c r="I23" s="128" t="inlineStr">
        <is>
          <t>https://ascentialcdn.filespin.io/api/v1/conversion/09f9e036aeb845c58e96f2c55d8dd7f9</t>
        </is>
      </c>
      <c r="J23" s="141" t="inlineStr">
        <is>
          <t>W_-UgnjJBRc</t>
        </is>
      </c>
      <c r="K23" s="127" t="n"/>
      <c r="L23" s="128" t="inlineStr">
        <is>
          <t>https://www.lovethework.com/work/entries/justice-by-her-type-748777</t>
        </is>
      </c>
      <c r="M23" s="113" t="inlineStr">
        <is>
          <t>A typeface collection drawn from the handwriting of women killed by femicide in Costa Rica, created by Garnier BBDO so that each victim's personal script becomes a usable public font. The typefaces are made freely available, letting anyone who sets text in them carry the women's own letterforms into documents, posters, and legal materials.</t>
        </is>
      </c>
      <c r="N23" s="113" t="inlineStr">
        <is>
          <t>public-service, typography, design, gender-based-violence, costa-rica, print, latin-america, advocacy</t>
        </is>
      </c>
    </row>
    <row r="24" ht="34.5" customHeight="1" s="34">
      <c r="A24" s="141" t="n">
        <v>2025</v>
      </c>
      <c r="B24" s="146" t="inlineStr">
        <is>
          <t>Bronze</t>
        </is>
      </c>
      <c r="C24" s="143" t="inlineStr">
        <is>
          <t>Sad Kama-Chan</t>
        </is>
      </c>
      <c r="D24" s="141" t="inlineStr">
        <is>
          <t>Bar B Q Plaza</t>
        </is>
      </c>
      <c r="E24" s="141" t="inlineStr">
        <is>
          <t>Bar B Q Plaza</t>
        </is>
      </c>
      <c r="F24" s="141" t="inlineStr">
        <is>
          <t>Grey Thailand</t>
        </is>
      </c>
      <c r="G24" s="141" t="inlineStr">
        <is>
          <t>Thailand</t>
        </is>
      </c>
      <c r="H24" s="80" t="inlineStr">
        <is>
          <t>A09 - Design-Driven Effectiveness</t>
        </is>
      </c>
      <c r="I24" s="128" t="inlineStr">
        <is>
          <t>https://ascentialcdn.filespin.io/api/v1/conversion/b1a090f7c816487f8dcee01d4c656df9</t>
        </is>
      </c>
      <c r="J24" s="141" t="inlineStr">
        <is>
          <t>h7MYlQFAKMg</t>
        </is>
      </c>
      <c r="K24" s="127" t="n"/>
      <c r="L24" s="128" t="inlineStr">
        <is>
          <t>https://www.lovethework.com/work/entries/sad-kama-chan-748974</t>
        </is>
      </c>
      <c r="M24" s="113" t="inlineStr">
        <is>
          <t>A mascot redesign for Bar B Q Plaza in Thailand that turned the brand's cheerful fishball character, Kama-Chan, permanently sad — drooping eyes, downturned mouth — and rolled the new look across packaging, in-restaurant materials, and digital touchpoints. The shift was built on the observation that Thai customers associate hot pot and barbecue dining with gathering to process heartbreak and bad days, not just celebration.</t>
        </is>
      </c>
      <c r="N24" s="113" t="inlineStr">
        <is>
          <t>restaurant, food, mascot-design, packaging, experiential, integrated, thailand, character-design, retail-design</t>
        </is>
      </c>
    </row>
    <row r="25" ht="34.5" customHeight="1" s="34">
      <c r="A25" s="141" t="n">
        <v>2025</v>
      </c>
      <c r="B25" s="146" t="inlineStr">
        <is>
          <t>Bronze</t>
        </is>
      </c>
      <c r="C25" s="143" t="inlineStr">
        <is>
          <t>Packed Full of History</t>
        </is>
      </c>
      <c r="D25" s="141" t="inlineStr">
        <is>
          <t>Samsung Australia</t>
        </is>
      </c>
      <c r="E25" s="141" t="inlineStr">
        <is>
          <t>Samsung Galaxy S24 Ultra</t>
        </is>
      </c>
      <c r="F25" s="141" t="inlineStr">
        <is>
          <t>Clemenger BBDO</t>
        </is>
      </c>
      <c r="G25" s="141" t="inlineStr">
        <is>
          <t>Australia</t>
        </is>
      </c>
      <c r="H25" s="80" t="inlineStr">
        <is>
          <t>A11 - Special Editions &amp; Bespoke Items</t>
        </is>
      </c>
      <c r="I25" s="128" t="inlineStr">
        <is>
          <t>https://ascentialcdn.filespin.io/api/v1/conversion/1403dc4c3f49430e95623bac41b290a1</t>
        </is>
      </c>
      <c r="J25" s="141" t="inlineStr">
        <is>
          <t>vimeo:1046618979</t>
        </is>
      </c>
      <c r="K25" s="127" t="n"/>
      <c r="L25" s="128" t="inlineStr">
        <is>
          <t>https://www.lovethework.com/work/entries/packed-full-of-history-749085</t>
        </is>
      </c>
      <c r="M25" s="113" t="inlineStr">
        <is>
          <t>A Galaxy S24 Ultra unboxing experience built around Samsung's origin story: the packaging and its contents traced the company's history back to 1938, when it began as a grocery store in Daegu, South Korea. Clemenger BBDO Australia redesigned the retail box as a historical artifact, filling it with references to Samsung's journey from food trader to consumer electronics manufacturer.</t>
        </is>
      </c>
      <c r="N25" s="113" t="inlineStr">
        <is>
          <t>smartphone, packaging, special-edition, unboxing, retail, australia, south-korea, brand-history, clemenger-bbdo</t>
        </is>
      </c>
    </row>
    <row r="26" ht="34.5" customHeight="1" s="34">
      <c r="A26" s="141" t="n">
        <v>2025</v>
      </c>
      <c r="B26" s="146" t="inlineStr">
        <is>
          <t>Bronze</t>
        </is>
      </c>
      <c r="C26" s="143" t="inlineStr">
        <is>
          <t>Eye Test Menu</t>
        </is>
      </c>
      <c r="D26" s="141" t="inlineStr">
        <is>
          <t>Titan Company Limited</t>
        </is>
      </c>
      <c r="E26" s="141" t="inlineStr">
        <is>
          <t>Eyewear</t>
        </is>
      </c>
      <c r="F26" s="141" t="inlineStr">
        <is>
          <t>Ogilvy</t>
        </is>
      </c>
      <c r="G26" s="141" t="inlineStr">
        <is>
          <t>India</t>
        </is>
      </c>
      <c r="H26" s="80" t="inlineStr">
        <is>
          <t>A13 - Posters</t>
        </is>
      </c>
      <c r="I26" s="128" t="inlineStr">
        <is>
          <t>https://ascentialcdn.filespin.io/api/v1/conversion/e1437e92753d4a789ee8e1f1be1c30ba</t>
        </is>
      </c>
      <c r="J26" s="141" t="inlineStr">
        <is>
          <t>vimeo:1093963149</t>
        </is>
      </c>
      <c r="K26" s="127" t="n"/>
      <c r="L26" s="128" t="inlineStr">
        <is>
          <t>https://www.lovethework.com/work/entries/eye-test-menu-748977</t>
        </is>
      </c>
      <c r="M26"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26" s="113" t="inlineStr">
        <is>
          <t>healthcare, eye-care, optometry, medical, ooh, partnership, road-safety, india, social-good, retail</t>
        </is>
      </c>
    </row>
    <row r="27" ht="34.5" customHeight="1" s="34">
      <c r="A27" s="141" t="n">
        <v>2025</v>
      </c>
      <c r="B27" s="146" t="inlineStr">
        <is>
          <t>Bronze</t>
        </is>
      </c>
      <c r="C27" s="143" t="inlineStr">
        <is>
          <t>Rice of Glory</t>
        </is>
      </c>
      <c r="D27" s="141" t="inlineStr">
        <is>
          <t>Super Extra Rice</t>
        </is>
      </c>
      <c r="E27" s="141" t="inlineStr">
        <is>
          <t>Super Extra Rice</t>
        </is>
      </c>
      <c r="F27" s="141" t="inlineStr">
        <is>
          <t>Maruri</t>
        </is>
      </c>
      <c r="G27" s="141" t="inlineStr">
        <is>
          <t>Ecuador</t>
        </is>
      </c>
      <c r="H27" s="80" t="inlineStr">
        <is>
          <t>A14 - Promotional Items/Promotional Printed Media</t>
        </is>
      </c>
      <c r="I27" s="128" t="inlineStr">
        <is>
          <t>https://ascentialcdn.filespin.io/api/v1/conversion/4023e98735c5497cb6e2d7dea5c76318</t>
        </is>
      </c>
      <c r="J27" s="141" t="inlineStr">
        <is>
          <t>vimeo:1116149596</t>
        </is>
      </c>
      <c r="K27" s="127" t="n"/>
      <c r="L27" s="128" t="inlineStr">
        <is>
          <t>https://www.lovethework.com/work/entries/rice-of-glory-749256</t>
        </is>
      </c>
      <c r="M27" s="113" t="inlineStr">
        <is>
          <t>A set of promotional rice packaging for Super Extra, designed to celebrate Ecuador's national football team, in which the brand's product becomes the medium for patriotic pride during a tournament campaign. Created by Maruri Grey Ecuador with Grey Argentina and Grey Brasil, the packs were designed as collectible printed items that turned an everyday staple into supporter merchandise.</t>
        </is>
      </c>
      <c r="N27" s="113" t="inlineStr">
        <is>
          <t>rice, packaging, promotional-item, promotional-printed-media, football, soccer, sport, ecuador, sports, collectible</t>
        </is>
      </c>
    </row>
    <row r="28" ht="34.5" customHeight="1" s="34">
      <c r="A28" s="141" t="n">
        <v>2025</v>
      </c>
      <c r="B28" s="146" t="inlineStr">
        <is>
          <t>Bronze</t>
        </is>
      </c>
      <c r="C28" s="143" t="inlineStr">
        <is>
          <t>Workwear for Kids</t>
        </is>
      </c>
      <c r="D28" s="141" t="inlineStr">
        <is>
          <t>SOS Children's Villages</t>
        </is>
      </c>
      <c r="E28" s="141" t="inlineStr">
        <is>
          <t>Charity</t>
        </is>
      </c>
      <c r="F28" s="141" t="inlineStr">
        <is>
          <t>Nord DDB</t>
        </is>
      </c>
      <c r="G28" s="141" t="inlineStr">
        <is>
          <t>Sweden</t>
        </is>
      </c>
      <c r="H28" s="80" t="inlineStr">
        <is>
          <t>A14 - Promotional Items/Promotional Printed Media</t>
        </is>
      </c>
      <c r="I28" s="128" t="inlineStr">
        <is>
          <t>https://ascentialcdn.filespin.io/api/v1/conversion/eeb72dfd60ee48fa902e472badb2512e</t>
        </is>
      </c>
      <c r="J28" s="141" t="inlineStr">
        <is>
          <t>mp4:videos/workwear-for-kids.mp4</t>
        </is>
      </c>
      <c r="K28" s="127" t="n"/>
      <c r="L28" s="128" t="inlineStr">
        <is>
          <t>https://www.lovethework.com/work/entries/workwear-for-kids-749238</t>
        </is>
      </c>
      <c r="M28" s="113" t="inlineStr">
        <is>
          <t>A clothing collection designed to look like industry-specific workwear scaled down to children's sizes — garments built for brickmaking, mining, and tobacco work, made for bodies that shouldn't be doing it. Created by Nord DDB Stockholm for SOS Children's Villages, each piece is presented as clothes that shouldn't exist, for conditions that can't be allowed.</t>
        </is>
      </c>
      <c r="N28" s="113" t="inlineStr">
        <is>
          <t>charity, promotional-item, child-labour, apparel, sweden, awareness, print, social-cause</t>
        </is>
      </c>
    </row>
    <row r="29" ht="34.5" customHeight="1" s="34">
      <c r="A29" s="141" t="n">
        <v>2025</v>
      </c>
      <c r="B29" s="146" t="inlineStr">
        <is>
          <t>Bronze</t>
        </is>
      </c>
      <c r="C29" s="143" t="inlineStr">
        <is>
          <t>Project Voice</t>
        </is>
      </c>
      <c r="D29" s="141" t="inlineStr">
        <is>
          <t>Google</t>
        </is>
      </c>
      <c r="E29" s="141" t="inlineStr">
        <is>
          <t>Project Voice</t>
        </is>
      </c>
      <c r="F29" s="141" t="inlineStr">
        <is>
          <t>Google</t>
        </is>
      </c>
      <c r="G29" s="141" t="inlineStr">
        <is>
          <t>Japan</t>
        </is>
      </c>
      <c r="H29" s="80" t="inlineStr">
        <is>
          <t>B01 - Inclusive Design</t>
        </is>
      </c>
      <c r="I29" s="128" t="inlineStr">
        <is>
          <t>https://ascentialcdn.filespin.io/api/v1/conversion/afc236f1ded24f46a0b77a8e8bbb969b</t>
        </is>
      </c>
      <c r="J29" s="141" t="inlineStr">
        <is>
          <t>U-twTRUItjY</t>
        </is>
      </c>
      <c r="K29" s="127" t="n"/>
      <c r="L29" s="128" t="inlineStr">
        <is>
          <t>https://www.lovethework.com/work/entries/project-voice-749358</t>
        </is>
      </c>
      <c r="M29" s="113" t="inlineStr">
        <is>
          <t>A voice-based accessibility project developed by Google in Japan to create and preserve personalized synthetic voices for people who have lost or are losing their ability to speak — allowing individuals to record their natural voice before it deteriorates and use it as their own text-to-speech output. The project addresses the gap between generic, impersonal assistive voices and the identity tied to a person's own speech.</t>
        </is>
      </c>
      <c r="N29" s="113" t="inlineStr">
        <is>
          <t>google-assistant, inclusive-design, accessibility, voice-technology, japan, text-to-speech, assistive-technology</t>
        </is>
      </c>
    </row>
    <row r="30" ht="34.5" customHeight="1" s="34">
      <c r="A30" s="141" t="n">
        <v>2025</v>
      </c>
      <c r="B30" s="146" t="inlineStr">
        <is>
          <t>Bronze</t>
        </is>
      </c>
      <c r="C30" s="143" t="inlineStr">
        <is>
          <t>RooBadge</t>
        </is>
      </c>
      <c r="D30" s="141" t="inlineStr">
        <is>
          <t>Volkswagen</t>
        </is>
      </c>
      <c r="E30" s="141" t="inlineStr">
        <is>
          <t>Automotive Accessory</t>
        </is>
      </c>
      <c r="F30" s="141" t="inlineStr">
        <is>
          <t>DDB Sydney</t>
        </is>
      </c>
      <c r="G30" s="141" t="inlineStr">
        <is>
          <t>Australia</t>
        </is>
      </c>
      <c r="H30" s="80" t="inlineStr">
        <is>
          <t>B03 - Innovation in Design</t>
        </is>
      </c>
      <c r="I30" s="128" t="inlineStr">
        <is>
          <t>https://ascentialcdn.filespin.io/api/v1/conversion/2d6b647363d9454ea677267064f19ea9</t>
        </is>
      </c>
      <c r="J30" s="141" t="inlineStr">
        <is>
          <t>vimeo:1093418498</t>
        </is>
      </c>
      <c r="K30" s="127" t="n"/>
      <c r="L30" s="128" t="inlineStr">
        <is>
          <t>https://www.lovethework.com/work/entries/roobadge-749288</t>
        </is>
      </c>
      <c r="M30"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30" s="113" t="inlineStr">
        <is>
          <t>automotive, cars, transport, product-innovation, wildlife, audio, machine-learning, ai, technology, australia, road-safety, partnership</t>
        </is>
      </c>
    </row>
    <row r="31" ht="34.5" customHeight="1" s="34">
      <c r="A31" s="141" t="n">
        <v>2025</v>
      </c>
      <c r="B31" s="146" t="inlineStr">
        <is>
          <t>Bronze</t>
        </is>
      </c>
      <c r="C31" s="143" t="inlineStr">
        <is>
          <t>Signs from Heaven</t>
        </is>
      </c>
      <c r="D31" s="141" t="inlineStr">
        <is>
          <t>Pangu Cloud</t>
        </is>
      </c>
      <c r="E31" s="141" t="inlineStr">
        <is>
          <t>Pangu Meteorological Model</t>
        </is>
      </c>
      <c r="F31" s="141" t="inlineStr">
        <is>
          <t>Ogilvy</t>
        </is>
      </c>
      <c r="G31" s="141" t="inlineStr">
        <is>
          <t>China</t>
        </is>
      </c>
      <c r="H31" s="80" t="inlineStr">
        <is>
          <t>B05 - Design for Behavioural Change</t>
        </is>
      </c>
      <c r="I31" s="128" t="inlineStr">
        <is>
          <t>https://ascentialcdn.filespin.io/api/v1/conversion/09dbff10bf5e4eaeae2d578fe9cc19b0</t>
        </is>
      </c>
      <c r="J31" s="141" t="inlineStr">
        <is>
          <t>CLTN81ECv6E</t>
        </is>
      </c>
      <c r="K31" s="127" t="n"/>
      <c r="L31" s="128" t="inlineStr">
        <is>
          <t>https://www.lovethework.com/work/entries/signs-from-heaven-749243</t>
        </is>
      </c>
      <c r="M31" s="113" t="inlineStr">
        <is>
          <t>An early-warning system built for remote fishing communities and villages in Madagascar, using Pangu Cloud's AI-powered meteorological model to detect incoming storms and deliver life-saving weather alerts before they strike. Because thousands of fishermen and villagers die each year from storms they had no advance notice of, the alerts were distributed through local channels accessible to communities with no reliable digital infrastructure.</t>
        </is>
      </c>
      <c r="N31" s="113" t="inlineStr">
        <is>
          <t>meteorological-model, ai, technology, public-safety, ooh, madagascar, china, early-warning, weather</t>
        </is>
      </c>
    </row>
    <row r="32" ht="34.5" customHeight="1" s="34">
      <c r="A32" s="141" t="n">
        <v>2025</v>
      </c>
      <c r="B32" s="146" t="inlineStr">
        <is>
          <t>Bronze</t>
        </is>
      </c>
      <c r="C32" s="143" t="inlineStr">
        <is>
          <t>Fixables</t>
        </is>
      </c>
      <c r="D32" s="141" t="inlineStr">
        <is>
          <t>Philips</t>
        </is>
      </c>
      <c r="E32" s="141" t="inlineStr">
        <is>
          <t>Philips Personal Care</t>
        </is>
      </c>
      <c r="F32" s="141" t="inlineStr">
        <is>
          <t>LePub</t>
        </is>
      </c>
      <c r="G32" s="141" t="inlineStr">
        <is>
          <t>Netherlands</t>
        </is>
      </c>
      <c r="H32" s="80" t="inlineStr">
        <is>
          <t>B05 - Design for Behavioural Change</t>
        </is>
      </c>
      <c r="I32" s="128" t="inlineStr">
        <is>
          <t>https://ascentialcdn.filespin.io/api/v1/conversion/9e978f653c5c45cf903985a90708656d</t>
        </is>
      </c>
      <c r="J32" s="141" t="inlineStr">
        <is>
          <t>vimeo:1093399093</t>
        </is>
      </c>
      <c r="K32" s="127" t="n"/>
      <c r="L32" s="128" t="inlineStr">
        <is>
          <t>https://www.lovethework.com/work/entries/fixables-761474</t>
        </is>
      </c>
      <c r="M32" s="113" t="inlineStr">
        <is>
          <t>A library of free, downloadable 3D-printable replacement parts for Philips personal care products — broken clips, covers, and components that would otherwise send a device to landfill — developed with 3D printer manufacturer Prusa Research and LePub Amsterdam and Milan. The parts are designed to spec so consumers can print exact replacements at home or through a local print service, extending the life of products already in circulation.</t>
        </is>
      </c>
      <c r="N32" s="113" t="inlineStr">
        <is>
          <t>personal-care, sustainability, 3d-printing, product-design, netherlands, repair, consumer-electronics, design-for-behaviour-change</t>
        </is>
      </c>
    </row>
  </sheetData>
  <autoFilter ref="A1:N32"/>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I21" r:id="rId39"/>
    <hyperlink xmlns:r="http://schemas.openxmlformats.org/officeDocument/2006/relationships" ref="L21" r:id="rId40"/>
    <hyperlink xmlns:r="http://schemas.openxmlformats.org/officeDocument/2006/relationships" ref="I22" r:id="rId41"/>
    <hyperlink xmlns:r="http://schemas.openxmlformats.org/officeDocument/2006/relationships" ref="L22" r:id="rId42"/>
    <hyperlink xmlns:r="http://schemas.openxmlformats.org/officeDocument/2006/relationships" ref="I23" r:id="rId43"/>
    <hyperlink xmlns:r="http://schemas.openxmlformats.org/officeDocument/2006/relationships" ref="L23" r:id="rId44"/>
    <hyperlink xmlns:r="http://schemas.openxmlformats.org/officeDocument/2006/relationships" ref="I24" r:id="rId45"/>
    <hyperlink xmlns:r="http://schemas.openxmlformats.org/officeDocument/2006/relationships" ref="L24" r:id="rId46"/>
    <hyperlink xmlns:r="http://schemas.openxmlformats.org/officeDocument/2006/relationships" ref="I25" r:id="rId47"/>
    <hyperlink xmlns:r="http://schemas.openxmlformats.org/officeDocument/2006/relationships" ref="L25" r:id="rId48"/>
    <hyperlink xmlns:r="http://schemas.openxmlformats.org/officeDocument/2006/relationships" ref="I26" r:id="rId49"/>
    <hyperlink xmlns:r="http://schemas.openxmlformats.org/officeDocument/2006/relationships" ref="L26" r:id="rId50"/>
    <hyperlink xmlns:r="http://schemas.openxmlformats.org/officeDocument/2006/relationships" ref="I27" r:id="rId51"/>
    <hyperlink xmlns:r="http://schemas.openxmlformats.org/officeDocument/2006/relationships" ref="L27" r:id="rId52"/>
    <hyperlink xmlns:r="http://schemas.openxmlformats.org/officeDocument/2006/relationships" ref="I28" r:id="rId53"/>
    <hyperlink xmlns:r="http://schemas.openxmlformats.org/officeDocument/2006/relationships" ref="L28" r:id="rId54"/>
    <hyperlink xmlns:r="http://schemas.openxmlformats.org/officeDocument/2006/relationships" ref="I29" r:id="rId55"/>
    <hyperlink xmlns:r="http://schemas.openxmlformats.org/officeDocument/2006/relationships" ref="L29" r:id="rId56"/>
    <hyperlink xmlns:r="http://schemas.openxmlformats.org/officeDocument/2006/relationships" ref="I30" r:id="rId57"/>
    <hyperlink xmlns:r="http://schemas.openxmlformats.org/officeDocument/2006/relationships" ref="L30" r:id="rId58"/>
    <hyperlink xmlns:r="http://schemas.openxmlformats.org/officeDocument/2006/relationships" ref="I31" r:id="rId59"/>
    <hyperlink xmlns:r="http://schemas.openxmlformats.org/officeDocument/2006/relationships" ref="L31" r:id="rId60"/>
    <hyperlink xmlns:r="http://schemas.openxmlformats.org/officeDocument/2006/relationships" ref="I32" r:id="rId61"/>
    <hyperlink xmlns:r="http://schemas.openxmlformats.org/officeDocument/2006/relationships" ref="L32" r:id="rId6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Caption with Intention</t>
        </is>
      </c>
      <c r="D2" s="127" t="inlineStr">
        <is>
          <t>Academy of Motion Picture Arts &amp; Sciences - Rakish - Chicago Hearing Society</t>
        </is>
      </c>
      <c r="E2" s="127" t="inlineStr">
        <is>
          <t>Closed Captioning</t>
        </is>
      </c>
      <c r="F2" s="127" t="inlineStr">
        <is>
          <t>FCB Chicago</t>
        </is>
      </c>
      <c r="G2" s="127" t="inlineStr">
        <is>
          <t>United States</t>
        </is>
      </c>
      <c r="H2" s="113" t="inlineStr">
        <is>
          <t>UX &amp; Journey Design</t>
        </is>
      </c>
      <c r="I2" s="128" t="inlineStr">
        <is>
          <t>https://ascentialcdn.filespin.io/api/v1/conversion/3a8020f6426f40968730b5a8c68a0b35</t>
        </is>
      </c>
      <c r="J2" s="127" t="inlineStr">
        <is>
          <t>F48khKZhKHM</t>
        </is>
      </c>
      <c r="K2" s="127" t="n"/>
      <c r="L2" s="128" t="inlineStr">
        <is>
          <t>https://www.lovethework.com/work/entries/caption-with-intention-754389</t>
        </is>
      </c>
      <c r="M2"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2" s="113" t="inlineStr">
        <is>
          <t>closed-captioning, accessibility, typography, film, cinema, entertainment, societal-innovation, united-states, design-system, deaf-hard-of-hearing</t>
        </is>
      </c>
    </row>
    <row r="3">
      <c r="A3" s="127" t="n">
        <v>2025</v>
      </c>
      <c r="B3" s="140" t="inlineStr">
        <is>
          <t>Gold</t>
        </is>
      </c>
      <c r="C3" s="127" t="inlineStr">
        <is>
          <t>Tree Correspondents</t>
        </is>
      </c>
      <c r="D3" s="127" t="inlineStr">
        <is>
          <t>Hyundai</t>
        </is>
      </c>
      <c r="E3" s="127" t="inlineStr">
        <is>
          <t>Hyundai Ioniq Forest</t>
        </is>
      </c>
      <c r="F3" s="127" t="inlineStr">
        <is>
          <t>FCB New York</t>
        </is>
      </c>
      <c r="G3" s="127" t="inlineStr">
        <is>
          <t>United States</t>
        </is>
      </c>
      <c r="H3" s="113" t="inlineStr">
        <is>
          <t>Data Storytelling</t>
        </is>
      </c>
      <c r="I3" s="128" t="inlineStr">
        <is>
          <t>https://ascentialcdn.filespin.io/api/v1/conversion/82542e7381744bb783bb6c60f2929b2c</t>
        </is>
      </c>
      <c r="J3" s="127" t="inlineStr">
        <is>
          <t>vimeo:1109390480</t>
        </is>
      </c>
      <c r="K3" s="127" t="n"/>
      <c r="L3" s="128" t="inlineStr">
        <is>
          <t>https://www.lovethework.com/work/entries/tree-correspondents-762045</t>
        </is>
      </c>
      <c r="M3"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3" s="113" t="inlineStr">
        <is>
          <t>automotive, cars, transport, data-storytelling, audio, reforestation, environmental, united-states, brazil, czechia, branded-content</t>
        </is>
      </c>
    </row>
    <row r="4">
      <c r="A4" s="127" t="n">
        <v>2025</v>
      </c>
      <c r="B4" s="140" t="inlineStr">
        <is>
          <t>Gold</t>
        </is>
      </c>
      <c r="C4" s="127" t="inlineStr">
        <is>
          <t>Caption with Intention</t>
        </is>
      </c>
      <c r="D4" s="127" t="inlineStr">
        <is>
          <t>Academy of Motion Picture Arts &amp; Sciences - Rakish - Chicago Hearing Society</t>
        </is>
      </c>
      <c r="E4" s="127" t="inlineStr">
        <is>
          <t>Closed Captioning</t>
        </is>
      </c>
      <c r="F4" s="127" t="inlineStr">
        <is>
          <t>FCB Chicago</t>
        </is>
      </c>
      <c r="G4" s="127" t="inlineStr">
        <is>
          <t>United States</t>
        </is>
      </c>
      <c r="H4" s="113" t="inlineStr">
        <is>
          <t>Innovative Use of Technology</t>
        </is>
      </c>
      <c r="I4" s="128" t="inlineStr">
        <is>
          <t>https://ascentialcdn.filespin.io/api/v1/conversion/6e437af497a34d6bbc71738a2b9c581b</t>
        </is>
      </c>
      <c r="J4" s="127" t="inlineStr">
        <is>
          <t>F48khKZhKHM</t>
        </is>
      </c>
      <c r="K4" s="127" t="n"/>
      <c r="L4" s="128" t="inlineStr">
        <is>
          <t>https://www.lovethework.com/work/entries/caption-with-intention-754831</t>
        </is>
      </c>
      <c r="M4"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4" s="113" t="inlineStr">
        <is>
          <t>closed-captioning, accessibility, typography, film, cinema, entertainment, societal-innovation, united-states, design-system, deaf-hard-of-hearing</t>
        </is>
      </c>
    </row>
    <row r="5">
      <c r="A5" s="127" t="n">
        <v>2025</v>
      </c>
      <c r="B5" s="140" t="inlineStr">
        <is>
          <t>Gold</t>
        </is>
      </c>
      <c r="C5" s="127" t="inlineStr">
        <is>
          <t>Tree Correspondents</t>
        </is>
      </c>
      <c r="D5" s="127" t="inlineStr">
        <is>
          <t>Hyundai</t>
        </is>
      </c>
      <c r="E5" s="127" t="inlineStr">
        <is>
          <t>Hyundai Ioniq Forest</t>
        </is>
      </c>
      <c r="F5" s="127" t="inlineStr">
        <is>
          <t>FCB New York</t>
        </is>
      </c>
      <c r="G5" s="127" t="inlineStr">
        <is>
          <t>United States</t>
        </is>
      </c>
      <c r="H5" s="113" t="inlineStr">
        <is>
          <t>Curation of Data</t>
        </is>
      </c>
      <c r="I5" s="128" t="inlineStr">
        <is>
          <t>https://ascentialcdn.filespin.io/api/v1/conversion/82542e7381744bb783bb6c60f2929b2c</t>
        </is>
      </c>
      <c r="J5" s="127" t="inlineStr">
        <is>
          <t>vimeo:1109390480</t>
        </is>
      </c>
      <c r="K5" s="127" t="n"/>
      <c r="L5" s="128" t="inlineStr">
        <is>
          <t>https://www.lovethework.com/work/entries/tree-correspondents-762045</t>
        </is>
      </c>
      <c r="M5"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5" s="113" t="inlineStr">
        <is>
          <t>automotive, cars, transport, data-storytelling, audio, reforestation, environmental, united-states, brazil, czechia, branded-content</t>
        </is>
      </c>
    </row>
    <row r="6">
      <c r="A6" s="127" t="n">
        <v>2025</v>
      </c>
      <c r="B6" s="132" t="inlineStr">
        <is>
          <t>Silver</t>
        </is>
      </c>
      <c r="C6" s="127" t="inlineStr">
        <is>
          <t>The Shaded Route</t>
        </is>
      </c>
      <c r="D6" s="127" t="inlineStr">
        <is>
          <t>Hungerstation</t>
        </is>
      </c>
      <c r="E6" s="127" t="inlineStr">
        <is>
          <t>Hungerstation Delivery App</t>
        </is>
      </c>
      <c r="F6" s="127" t="inlineStr">
        <is>
          <t>VML</t>
        </is>
      </c>
      <c r="G6" s="127" t="inlineStr">
        <is>
          <t>Saudi Arabia</t>
        </is>
      </c>
      <c r="H6" s="113" t="inlineStr">
        <is>
          <t>Real-Time Usage &amp; Targeting</t>
        </is>
      </c>
      <c r="I6" s="128" t="inlineStr">
        <is>
          <t>https://ascentialcdn.filespin.io/api/v1/conversion/a5387631458b48648c6dba4b21efb3d0</t>
        </is>
      </c>
      <c r="J6" s="127" t="inlineStr">
        <is>
          <t>5cGxg-wRzsE</t>
        </is>
      </c>
      <c r="K6" s="127" t="n"/>
      <c r="L6" s="128" t="inlineStr">
        <is>
          <t>https://www.lovethework.com/work/entries/the-shaded-route-754725</t>
        </is>
      </c>
      <c r="M6"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6" s="113" t="inlineStr">
        <is>
          <t>delivery-app, mobile-app, technology, data, real-time, rider-welfare, saudi-arabia, navigation, heat</t>
        </is>
      </c>
    </row>
    <row r="7">
      <c r="A7" s="127" t="n">
        <v>2025</v>
      </c>
      <c r="B7" s="132" t="inlineStr">
        <is>
          <t>Silver</t>
        </is>
      </c>
      <c r="C7" s="127" t="inlineStr">
        <is>
          <t>Tree Correspondents</t>
        </is>
      </c>
      <c r="D7" s="127" t="inlineStr">
        <is>
          <t>Hyundai</t>
        </is>
      </c>
      <c r="E7" s="127" t="inlineStr">
        <is>
          <t>Hyundai Ioniq Forest</t>
        </is>
      </c>
      <c r="F7" s="127" t="inlineStr">
        <is>
          <t>FCB New York</t>
        </is>
      </c>
      <c r="G7" s="127" t="inlineStr">
        <is>
          <t>United States</t>
        </is>
      </c>
      <c r="H7" s="113" t="inlineStr">
        <is>
          <t>Technological Achievement in Digital Craft</t>
        </is>
      </c>
      <c r="I7" s="128" t="inlineStr">
        <is>
          <t>https://ascentialcdn.filespin.io/api/v1/conversion/82542e7381744bb783bb6c60f2929b2c</t>
        </is>
      </c>
      <c r="J7" s="127" t="inlineStr">
        <is>
          <t>vimeo:1109390480</t>
        </is>
      </c>
      <c r="K7" s="127" t="n"/>
      <c r="L7" s="128" t="inlineStr">
        <is>
          <t>https://www.lovethework.com/work/entries/tree-correspondents-762150</t>
        </is>
      </c>
      <c r="M7" s="113" t="inlineStr">
        <is>
          <t>A data storytelling campaign in which individual trees — a Silver Fir in Czechia, a Juçara Palm in Brazil, a Tulip Tree in the United States — send first-person audio and written dispatches translated from their real environmental sensor data. Built to mark ten years of Hyundai's IONIQ Forest reforestation initiative, the work was developed with FCB New York and turns ecological monitoring data into voiced field reports narrated by the trees themselves.</t>
        </is>
      </c>
      <c r="N7" s="113" t="inlineStr">
        <is>
          <t>automotive, cars, transport, data-storytelling, audio, reforestation, environmental, united-states, brazil, czechia, branded-content</t>
        </is>
      </c>
    </row>
    <row r="8">
      <c r="A8" s="127" t="n">
        <v>2025</v>
      </c>
      <c r="B8" s="132" t="inlineStr">
        <is>
          <t>Silver</t>
        </is>
      </c>
      <c r="C8" s="127" t="inlineStr">
        <is>
          <t>In Hot Water</t>
        </is>
      </c>
      <c r="D8" s="127" t="inlineStr">
        <is>
          <t>World Wildlife Fund (wwf)</t>
        </is>
      </c>
      <c r="E8" s="127" t="inlineStr">
        <is>
          <t>WWF</t>
        </is>
      </c>
      <c r="F8" s="127" t="inlineStr">
        <is>
          <t>Nomint</t>
        </is>
      </c>
      <c r="G8" s="127" t="inlineStr">
        <is>
          <t>United Kingdom</t>
        </is>
      </c>
      <c r="H8" s="113" t="inlineStr">
        <is>
          <t>Motion Graphics Design &amp; Animation</t>
        </is>
      </c>
      <c r="I8" s="128" t="inlineStr">
        <is>
          <t>https://ascentialcdn.filespin.io/api/v1/conversion/f2ca9488d23e45d5b432ce4a6c2e8f08</t>
        </is>
      </c>
      <c r="J8" s="127" t="inlineStr">
        <is>
          <t>vimeo:1028875237</t>
        </is>
      </c>
      <c r="K8" s="127" t="n"/>
      <c r="L8" s="128" t="inlineStr">
        <is>
          <t>https://www.lovethework.com/work/entries/in-hot-water-754526</t>
        </is>
      </c>
      <c r="M8" s="113" t="inlineStr">
        <is>
          <t>A stop-motion film for WWF, made by NOMINT, shot entirely on a thermal camera — each frame built around 1,000 3D-printed replacement models heated to precise temperatures (accurate to 0.1°C) using ovens, heat guns, and freezing sprays, so that heat itself becomes the visual medium. Because figures began cooling the moment they left the oven, every shot was a race to position and capture each model before its thermal color shifted, with the most complex frames — a boy and a fish overlapping at slightly different temperatures — taking days to complete. The film was scored to a reworked version of Radiohead's "No Surprises," with additional production by Neil Barnes of Leftfield, and launched at COP29.</t>
        </is>
      </c>
      <c r="N8" s="113" t="inlineStr">
        <is>
          <t>non-profit, animation, stop-motion, thermal-camera, 3d-printing, ocean-conservation, climate, sustainability, environment, film, cinema, entertainment, united-kingdom, craft</t>
        </is>
      </c>
    </row>
    <row r="9">
      <c r="A9" s="127" t="n">
        <v>2025</v>
      </c>
      <c r="B9" s="132" t="inlineStr">
        <is>
          <t>Silver</t>
        </is>
      </c>
      <c r="C9" s="127" t="inlineStr">
        <is>
          <t>Saltanat Light</t>
        </is>
      </c>
      <c r="D9" s="127" t="inlineStr">
        <is>
          <t>Citix</t>
        </is>
      </c>
      <c r="E9" s="127" t="inlineStr">
        <is>
          <t>Citix</t>
        </is>
      </c>
      <c r="F9" s="127" t="inlineStr">
        <is>
          <t>GForce</t>
        </is>
      </c>
      <c r="G9" s="127" t="inlineStr">
        <is>
          <t>Kazakhstan</t>
        </is>
      </c>
      <c r="H9" s="113" t="inlineStr">
        <is>
          <t>Real-Time Contextual Content</t>
        </is>
      </c>
      <c r="I9" s="128" t="inlineStr">
        <is>
          <t>https://ascentialcdn.filespin.io/api/v1/conversion/68f2c53ebcea42bd9ab7b58852b5aa95</t>
        </is>
      </c>
      <c r="J9" s="127" t="inlineStr">
        <is>
          <t>POZJDa6y23g</t>
        </is>
      </c>
      <c r="K9" s="127" t="n"/>
      <c r="L9" s="128" t="inlineStr">
        <is>
          <t>https://www.lovethework.com/work/entries/saltanat-light-764174</t>
        </is>
      </c>
      <c r="M9" s="113" t="inlineStr">
        <is>
          <t>A network of digital out-of-home screens across Kazakhstan that dims its brightness in real time whenever a domestic violence call is made nearby — each darkening panel a live signal of an incident in that location. The campaign is named after Saltanat Nukenova, who was killed by her husband, former minister Kuandyk Bishimbayev, who was sentenced to 24 years in prison in May 2024. A companion Telegram bot extends the system, connecting people to available support resources.</t>
        </is>
      </c>
      <c r="N9" s="113" t="inlineStr">
        <is>
          <t>digital-out-of-home, ai, technology, domestic-violence, gender-equality, social-good, telegram, ambient, real-time, kazakhstan, citix</t>
        </is>
      </c>
    </row>
    <row r="10">
      <c r="A10" s="127" t="n">
        <v>2025</v>
      </c>
      <c r="B10" s="132" t="inlineStr">
        <is>
          <t>Silver</t>
        </is>
      </c>
      <c r="C10" s="127" t="inlineStr">
        <is>
          <t>Daisy vs Scammers</t>
        </is>
      </c>
      <c r="D10" s="127" t="inlineStr">
        <is>
          <t>O2</t>
        </is>
      </c>
      <c r="E10" s="127" t="inlineStr">
        <is>
          <t>Daisy vs Scammers</t>
        </is>
      </c>
      <c r="F10" s="127" t="inlineStr">
        <is>
          <t>VCCP</t>
        </is>
      </c>
      <c r="G10" s="127" t="inlineStr">
        <is>
          <t>United Kingdom</t>
        </is>
      </c>
      <c r="H10" s="113" t="inlineStr">
        <is>
          <t>Innovative Use of Technology</t>
        </is>
      </c>
      <c r="I10" s="128" t="inlineStr">
        <is>
          <t>https://ascentialcdn.filespin.io/api/v1/conversion/2d7855910ffa41a78e83fffe11540c7b</t>
        </is>
      </c>
      <c r="J10" s="127" t="inlineStr">
        <is>
          <t>tnfhe_XMg7U</t>
        </is>
      </c>
      <c r="K10" s="127" t="n"/>
      <c r="L10" s="128" t="inlineStr">
        <is>
          <t>https://www.lovethework.com/work/entries/daisy-vs-scammers-754726</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127" t="n">
        <v>2025</v>
      </c>
      <c r="B11" s="133" t="inlineStr">
        <is>
          <t>Bronze</t>
        </is>
      </c>
      <c r="C11" s="127" t="inlineStr">
        <is>
          <t>Allevia Pollen Passport</t>
        </is>
      </c>
      <c r="D11" s="127" t="inlineStr">
        <is>
          <t>Opella-Allegra</t>
        </is>
      </c>
      <c r="E11" s="127" t="inlineStr">
        <is>
          <t>Allegra</t>
        </is>
      </c>
      <c r="F11" s="127" t="inlineStr">
        <is>
          <t>MRM Worldwide</t>
        </is>
      </c>
      <c r="G11" s="127" t="inlineStr">
        <is>
          <t>Spain</t>
        </is>
      </c>
      <c r="H11" s="113" t="inlineStr">
        <is>
          <t>Data Visualisation</t>
        </is>
      </c>
      <c r="I11" s="128" t="inlineStr">
        <is>
          <t>https://ascentialcdn.filespin.io/api/v1/conversion/5bdbab28251f44eda6fdb7d90fe1a6eb</t>
        </is>
      </c>
      <c r="J11" s="127" t="inlineStr">
        <is>
          <t>vimeo:1080313277</t>
        </is>
      </c>
      <c r="K11" s="127" t="n"/>
      <c r="L11" s="128" t="inlineStr">
        <is>
          <t>https://www.lovethework.com/work/entries/allevia-pollen-passport-754613</t>
        </is>
      </c>
      <c r="M11" s="113" t="inlineStr">
        <is>
          <t>A travel-planning tool launched in January — peak holiday-booking season in the UK — that maps real-time and forecast pollen data against travel destinations, letting users see allergy risk levels before they book a trip. Built on the insight that climate change is extending allergy seasons beyond spring, the passport gave Allegra a presence in winter conversations where allergy brands rarely appear.</t>
        </is>
      </c>
      <c r="N11" s="113" t="inlineStr">
        <is>
          <t>allergy-medication, data-visualisation, mobile-app, digital, travel, tourism, spain, united-kingdom, seasonal-health, user-tool</t>
        </is>
      </c>
    </row>
    <row r="12">
      <c r="A12" s="127" t="n">
        <v>2025</v>
      </c>
      <c r="B12" s="133" t="inlineStr">
        <is>
          <t>Bronze</t>
        </is>
      </c>
      <c r="C12" s="127" t="inlineStr">
        <is>
          <t>Apple 100 Best Albums</t>
        </is>
      </c>
      <c r="D12" s="127" t="inlineStr">
        <is>
          <t>Apple</t>
        </is>
      </c>
      <c r="E12" s="127" t="inlineStr">
        <is>
          <t>Apple Music</t>
        </is>
      </c>
      <c r="F12" s="127" t="inlineStr">
        <is>
          <t>TBWA\Media Arts Lab</t>
        </is>
      </c>
      <c r="G12" s="127" t="inlineStr">
        <is>
          <t>United States</t>
        </is>
      </c>
      <c r="H12" s="113" t="inlineStr">
        <is>
          <t>Digital Illustration &amp; Image Design</t>
        </is>
      </c>
      <c r="I12" s="128" t="inlineStr">
        <is>
          <t>https://ascentialcdn.filespin.io/api/v1/conversion/c56cee379a1249b9912bbe50964ff0d2</t>
        </is>
      </c>
      <c r="J12" s="127" t="inlineStr">
        <is>
          <t>vimeo:1039756308</t>
        </is>
      </c>
      <c r="K12" s="127" t="n"/>
      <c r="L12" s="128" t="inlineStr">
        <is>
          <t>https://www.lovethework.com/work/entries/apple-100-best-albums-754412</t>
        </is>
      </c>
      <c r="M12" s="113" t="inlineStr">
        <is>
          <t>A series of digitally illustrated still-life compositions ranking 100 albums in Apple Music's canon, each rendering a physical artifact tied to the record — including a recreation of the minivan from Kendrick Lamar's *good kid, m.A.A.d city* (#7) cast in gold — dramatically lit against black to evoke a museum display case. Each piece pairs the object with its ranking number, treating the artifact as a stand-in for the album's cultural weight. The campaign was produced in partnership with Model Citizen, BeGrizzlee, and MNFST.</t>
        </is>
      </c>
      <c r="N12" s="113" t="inlineStr">
        <is>
          <t>apple-music, digital-illustration, series, music, entertainment, ooh, art-direction, united-states, streaming, tv</t>
        </is>
      </c>
    </row>
    <row r="13">
      <c r="A13" s="127" t="n">
        <v>2025</v>
      </c>
      <c r="B13" s="133" t="inlineStr">
        <is>
          <t>Bronze</t>
        </is>
      </c>
      <c r="C13" s="127" t="inlineStr">
        <is>
          <t>The Odyssey of Wilson</t>
        </is>
      </c>
      <c r="D13" s="127" t="inlineStr">
        <is>
          <t>Vivo</t>
        </is>
      </c>
      <c r="E13" s="127" t="inlineStr">
        <is>
          <t>Telephone Company</t>
        </is>
      </c>
      <c r="F13" s="127" t="inlineStr">
        <is>
          <t>Africa Creative DDB</t>
        </is>
      </c>
      <c r="G13" s="127" t="inlineStr">
        <is>
          <t>Brazil</t>
        </is>
      </c>
      <c r="H13" s="113" t="inlineStr">
        <is>
          <t>Data Storytelling</t>
        </is>
      </c>
      <c r="I13" s="128" t="inlineStr">
        <is>
          <t>https://ascentialcdn.filespin.io/api/v1/conversion/d824fa39d9d94210af54fc45e5e11735</t>
        </is>
      </c>
      <c r="J13" s="127" t="inlineStr">
        <is>
          <t>vimeo:1082349787</t>
        </is>
      </c>
      <c r="K13" s="127" t="n"/>
      <c r="L13" s="128" t="inlineStr">
        <is>
          <t>https://www.lovethework.com/work/entries/the-odissey-of-wilson-754689</t>
        </is>
      </c>
      <c r="M13" s="113" t="inlineStr">
        <is>
          <t>An interactive data-storytelling platform built around Wilson — the volleyball from the film Cast Away — that traces a 450-year simulated ocean drift using real plastic-pollution datasets to show where the ball would travel and what marine damage it would cause along the way. Developed by Africa Creative DDB for Vivo in partnership with the Onda Azul Institute, the experience was timed to coincide with the UN Ocean Conference in Nice and aligned with UN Sustainable Development Goal 14: Life Below Water.</t>
        </is>
      </c>
      <c r="N13" s="113" t="inlineStr">
        <is>
          <t>telephone-company, data-storytelling, digital, interactive, ocean-pollution, film-reference, brazil, environmental, un-partnership</t>
        </is>
      </c>
    </row>
    <row r="14">
      <c r="A14" s="127" t="n">
        <v>2025</v>
      </c>
      <c r="B14" s="133" t="inlineStr">
        <is>
          <t>Bronze</t>
        </is>
      </c>
      <c r="C14" s="127" t="inlineStr">
        <is>
          <t>Body Swap</t>
        </is>
      </c>
      <c r="D14" s="127" t="inlineStr">
        <is>
          <t>Netflix</t>
        </is>
      </c>
      <c r="E14" s="127" t="inlineStr">
        <is>
          <t>Online Game</t>
        </is>
      </c>
      <c r="F14" s="127" t="inlineStr">
        <is>
          <t>AKQA</t>
        </is>
      </c>
      <c r="G14" s="127" t="inlineStr">
        <is>
          <t>New Zealand</t>
        </is>
      </c>
      <c r="H14" s="113" t="inlineStr">
        <is>
          <t>Experience Design: Multi-Platform</t>
        </is>
      </c>
      <c r="I14" s="128" t="inlineStr">
        <is>
          <t>https://ascentialcdn.filespin.io/api/v1/conversion/898d378102884b909c675f8264248952</t>
        </is>
      </c>
      <c r="J14" s="127" t="inlineStr">
        <is>
          <t>vimeo:1088570858</t>
        </is>
      </c>
      <c r="K14" s="127" t="n"/>
      <c r="L14" s="128" t="inlineStr">
        <is>
          <t>https://www.lovethework.com/work/entries/body-swap-758391</t>
        </is>
      </c>
      <c r="M14" s="113" t="inlineStr">
        <is>
          <t>An online multiplayer game built by AKQA New Zealand, Australia, and São Paulo to promote Netflix's film *It's What's Inside* — a sci-fi story centered on friends using a body-swapping machine at a party. Players enter the game and are swapped into each other's bodies, mirroring the film's central mechanic in a playable format they could experience with their own friend groups before or after watching.</t>
        </is>
      </c>
      <c r="N14" s="113" t="inlineStr">
        <is>
          <t>streaming, tv, entertainment, online-game, multi-platform, branded-entertainment, new-zealand, australia, brazil, film-promotion, experience-design</t>
        </is>
      </c>
    </row>
    <row r="15">
      <c r="A15" s="127" t="n">
        <v>2025</v>
      </c>
      <c r="B15" s="133" t="inlineStr">
        <is>
          <t>Bronze</t>
        </is>
      </c>
      <c r="C15" s="127" t="inlineStr">
        <is>
          <t>The Final Exam</t>
        </is>
      </c>
      <c r="D15" s="127" t="inlineStr">
        <is>
          <t>Change the Ref</t>
        </is>
      </c>
      <c r="E15" s="127" t="inlineStr">
        <is>
          <t>Pro Bono</t>
        </is>
      </c>
      <c r="F15" s="127" t="inlineStr">
        <is>
          <t>Energy BBDO</t>
        </is>
      </c>
      <c r="G15" s="127" t="inlineStr">
        <is>
          <t>United States</t>
        </is>
      </c>
      <c r="H15" s="113" t="inlineStr">
        <is>
          <t>Data Storytelling</t>
        </is>
      </c>
      <c r="I15" s="128" t="inlineStr">
        <is>
          <t>https://ascentialcdn.filespin.io/api/v1/conversion/f944731d441e4447a823753bb907d334</t>
        </is>
      </c>
      <c r="J15" s="127" t="inlineStr">
        <is>
          <t>y8LkiSNPJUs</t>
        </is>
      </c>
      <c r="K15" s="127" t="n"/>
      <c r="L15" s="128" t="inlineStr">
        <is>
          <t>https://www.lovethework.com/work/entries/the-final-exam-762133</t>
        </is>
      </c>
      <c r="M15"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15" s="113" t="inlineStr">
        <is>
          <t>gaming, video-games, entertainment, gun-violence, social-good, not-for-profit, charity, ngo, activism, united-states, twitch, advocacy</t>
        </is>
      </c>
    </row>
    <row r="16">
      <c r="A16" s="127" t="n">
        <v>2025</v>
      </c>
      <c r="B16" s="133" t="inlineStr">
        <is>
          <t>Bronze</t>
        </is>
      </c>
      <c r="C16" s="127" t="inlineStr">
        <is>
          <t>Kia Soundscapes</t>
        </is>
      </c>
      <c r="D16" s="127" t="inlineStr">
        <is>
          <t>Kia Europe</t>
        </is>
      </c>
      <c r="E16" s="127" t="inlineStr">
        <is>
          <t>Kia Ev9</t>
        </is>
      </c>
      <c r="F16" s="127" t="inlineStr">
        <is>
          <t>Innocean Berlin</t>
        </is>
      </c>
      <c r="G16" s="127" t="inlineStr">
        <is>
          <t>Germany</t>
        </is>
      </c>
      <c r="H16" s="113" t="inlineStr">
        <is>
          <t>Music/Sound Design</t>
        </is>
      </c>
      <c r="I16" s="128" t="inlineStr">
        <is>
          <t>https://ascentialcdn.filespin.io/api/v1/conversion/4483476cdcdf4250b70cf3ba56e70e55</t>
        </is>
      </c>
      <c r="J16" s="127" t="inlineStr">
        <is>
          <t>vimeo:1078212592</t>
        </is>
      </c>
      <c r="K16" s="127" t="n"/>
      <c r="L16" s="128" t="inlineStr">
        <is>
          <t>https://www.lovethework.com/work/entries/kia-soundscapes-754384</t>
        </is>
      </c>
      <c r="M16" s="113" t="inlineStr">
        <is>
          <t>A feature built into the Kia EV9 that reads the landscape through the car's sensors and cameras as it drives, converting terrain, weather, and natural surroundings into real-time symphonic music — developed with creative coder Harald Schaack and music studio DaHouse. Designed to give visually impaired passengers a way to experience a road trip through sound rather than sight.</t>
        </is>
      </c>
      <c r="N16" s="113" t="inlineStr">
        <is>
          <t>automotive, cars, transport, music-sound-design, accessibility, ev, visually-impaired, germany, generative-audio, in-car-technology</t>
        </is>
      </c>
    </row>
    <row r="17">
      <c r="A17" s="127" t="n">
        <v>2025</v>
      </c>
      <c r="B17" s="133" t="inlineStr">
        <is>
          <t>Bronze</t>
        </is>
      </c>
      <c r="C17" s="127" t="inlineStr">
        <is>
          <t>Read Better</t>
        </is>
      </c>
      <c r="D17" s="127" t="inlineStr">
        <is>
          <t>Waterstones</t>
        </is>
      </c>
      <c r="E17" s="127" t="inlineStr">
        <is>
          <t>Books</t>
        </is>
      </c>
      <c r="F17" s="127" t="inlineStr">
        <is>
          <t>FP7 McCANN</t>
        </is>
      </c>
      <c r="G17" s="127" t="inlineStr">
        <is>
          <t>United Arab Emirates</t>
        </is>
      </c>
      <c r="H17" s="113" t="inlineStr">
        <is>
          <t>Data Storytelling</t>
        </is>
      </c>
      <c r="I17" s="128" t="inlineStr">
        <is>
          <t>https://ascentialcdn.filespin.io/api/v1/conversion/fdf308fea817428794e5b51cfe09d79e</t>
        </is>
      </c>
      <c r="J17" s="127" t="inlineStr">
        <is>
          <t>vimeo:1104424991</t>
        </is>
      </c>
      <c r="K17" s="127" t="n"/>
      <c r="L17" s="128" t="inlineStr">
        <is>
          <t>https://www.lovethework.com/work/entries/read-better-762153</t>
        </is>
      </c>
      <c r="M17" s="113" t="inlineStr">
        <is>
          <t>A film and digital campaign for Waterstones, created with McCann Bristol and UM Central, built around the idea that reading books makes you better at interpreting the world around you. The work delivers a social-behaviour message — that regular reading sharpens comprehension and critical thinking — through demonstration rather than instruction.</t>
        </is>
      </c>
      <c r="N17" s="113" t="inlineStr">
        <is>
          <t>books, film, cinema, entertainment, digital, social-behaviour, united-arab-emirates, united-kingdom, reading, retail</t>
        </is>
      </c>
    </row>
    <row r="18">
      <c r="A18" s="127" t="n">
        <v>2025</v>
      </c>
      <c r="B18" s="133" t="inlineStr">
        <is>
          <t>Bronze</t>
        </is>
      </c>
      <c r="C18" s="127" t="inlineStr">
        <is>
          <t>Interface of Humanity Powered by Ntt</t>
        </is>
      </c>
      <c r="D18" s="127" t="inlineStr">
        <is>
          <t>Ntt Human Informatics Laboratories</t>
        </is>
      </c>
      <c r="E18" s="127" t="inlineStr">
        <is>
          <t>Ntt Human Informatics Laboratories</t>
        </is>
      </c>
      <c r="F18" s="127" t="inlineStr">
        <is>
          <t>Dentsu Inc.</t>
        </is>
      </c>
      <c r="G18" s="127" t="inlineStr">
        <is>
          <t>Japan</t>
        </is>
      </c>
      <c r="H18" s="113" t="inlineStr">
        <is>
          <t>UX &amp; Journey Design</t>
        </is>
      </c>
      <c r="I18" s="128" t="inlineStr">
        <is>
          <t>https://ascentialcdn.filespin.io/api/v1/conversion/15acf37ec83847ee82067e734a40a3de</t>
        </is>
      </c>
      <c r="J18" s="127" t="inlineStr">
        <is>
          <t>9Yv1aq_N-Ss</t>
        </is>
      </c>
      <c r="K18" s="127" t="n"/>
      <c r="L18" s="128" t="inlineStr">
        <is>
          <t>https://www.lovethework.com/work/entries/interface-of-humanity-powered-by-ntt-754473</t>
        </is>
      </c>
      <c r="M18" s="113" t="inlineStr">
        <is>
          <t>An interface system built by NTT Human Informatics Laboratories and Dentsu Inc. that enables bedridden people to operate devices and participate as active players — using new sensing and control technologies to work around the physical limitations of being confined to bed. The system is designed as an ongoing development platform, continuously expanding the tools available to people with severely restricted mobility.</t>
        </is>
      </c>
      <c r="N18" s="113" t="inlineStr">
        <is>
          <t>health-wellness-tech, assistive-technology, interface, gaming, video-games, entertainment, mobile-app, japan, disability, research-and-development</t>
        </is>
      </c>
    </row>
  </sheetData>
  <autoFilter ref="A1:N1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50"/>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Telstra - Better on a Better Network</t>
        </is>
      </c>
      <c r="D2" s="127" t="inlineStr">
        <is>
          <t>Telstra</t>
        </is>
      </c>
      <c r="E2" s="127" t="inlineStr">
        <is>
          <t>Telstra</t>
        </is>
      </c>
      <c r="F2" s="127" t="inlineStr">
        <is>
          <t>Bear Meets Eagle on Fire</t>
        </is>
      </c>
      <c r="G2" s="127" t="inlineStr">
        <is>
          <t>Australia</t>
        </is>
      </c>
      <c r="H2" s="113" t="inlineStr">
        <is>
          <t>Animation</t>
        </is>
      </c>
      <c r="I2" s="127" t="inlineStr">
        <is>
          <t>digital-presentation-images/film-craft-telstra-telstra-better-on-a-better-network.webp</t>
        </is>
      </c>
      <c r="J2" s="127" t="inlineStr">
        <is>
          <t>L8wOtakkr28</t>
        </is>
      </c>
      <c r="K2" s="127" t="inlineStr">
        <is>
          <t>telstra-better-on-a-better-network</t>
        </is>
      </c>
      <c r="L2" s="128" t="inlineStr">
        <is>
          <t>https://www.lovethework.com/work/entries/telstra-better-on-a-better-network-765315</t>
        </is>
      </c>
      <c r="M2"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2" s="113" t="inlineStr">
        <is>
          <t>telecommunications, film, cinema, entertainment, puppets, craft, regional, australia, broadcast, olympics, sport, multi-spot</t>
        </is>
      </c>
    </row>
    <row r="3">
      <c r="A3" s="127" t="n">
        <v>2025</v>
      </c>
      <c r="B3" s="140" t="inlineStr">
        <is>
          <t>Gold</t>
        </is>
      </c>
      <c r="C3" s="127" t="inlineStr">
        <is>
          <t>Telstra - Better on a Better Network</t>
        </is>
      </c>
      <c r="D3" s="127" t="inlineStr">
        <is>
          <t>Telstra</t>
        </is>
      </c>
      <c r="E3" s="127" t="inlineStr">
        <is>
          <t>Telstra</t>
        </is>
      </c>
      <c r="F3" s="127" t="inlineStr">
        <is>
          <t>Bear Meets Eagle on Fire</t>
        </is>
      </c>
      <c r="G3" s="127" t="inlineStr">
        <is>
          <t>Australia</t>
        </is>
      </c>
      <c r="H3" s="113" t="inlineStr">
        <is>
          <t>Production Design/Art Direction</t>
        </is>
      </c>
      <c r="I3" s="127" t="inlineStr">
        <is>
          <t>digital-presentation-images/film-craft-telstra-telstra-better-on-a-better-network.webp</t>
        </is>
      </c>
      <c r="J3" s="127" t="inlineStr">
        <is>
          <t>L8wOtakkr28</t>
        </is>
      </c>
      <c r="K3" s="127" t="inlineStr">
        <is>
          <t>telstra-better-on-a-better-network</t>
        </is>
      </c>
      <c r="L3" s="128" t="inlineStr">
        <is>
          <t>https://www.lovethework.com/work/entries/telstra-better-on-a-better-network-765311</t>
        </is>
      </c>
      <c r="M3" s="113" t="inlineStr">
        <is>
          <t>A suite of 26 short films, each set in a different lesser-known regional town or remote area of Australia, brought to life through 56 puppets voiced by 42 actors — each film representing a local story and community that benefits from Telstra's network coverage. The spots aired across Channel 9's Olympics and Paralympics broadcast, replacing the single repeated sponsor spot with a rotating cast of regional characters and landscapes.</t>
        </is>
      </c>
      <c r="N3" s="113" t="inlineStr">
        <is>
          <t>telecommunications, film, cinema, entertainment, puppets, craft, regional, australia, broadcast, olympics, sport, multi-spot</t>
        </is>
      </c>
    </row>
    <row r="4">
      <c r="A4" s="127" t="n">
        <v>2025</v>
      </c>
      <c r="B4" s="140" t="inlineStr">
        <is>
          <t>Gold</t>
        </is>
      </c>
      <c r="C4" s="127" t="inlineStr">
        <is>
          <t>Considering What?</t>
        </is>
      </c>
      <c r="D4" s="127" t="inlineStr">
        <is>
          <t>Channel 4</t>
        </is>
      </c>
      <c r="E4" s="127" t="inlineStr">
        <is>
          <t>Paralympics 2024</t>
        </is>
      </c>
      <c r="F4" s="127" t="inlineStr">
        <is>
          <t>Work Editorial</t>
        </is>
      </c>
      <c r="G4" s="127" t="inlineStr">
        <is>
          <t>United Kingdom</t>
        </is>
      </c>
      <c r="H4" s="113" t="inlineStr">
        <is>
          <t>Editing</t>
        </is>
      </c>
      <c r="I4" s="127" t="inlineStr">
        <is>
          <t>digital-presentation-images/film-channel-4-paris-paralympic-2024-considering-what.webp</t>
        </is>
      </c>
      <c r="J4" s="127" t="inlineStr">
        <is>
          <t>bUs_mNTNwvE</t>
        </is>
      </c>
      <c r="K4" s="127" t="n"/>
      <c r="L4" s="128" t="inlineStr">
        <is>
          <t>https://www.lovethework.com/work/entries/considering-what-765324</t>
        </is>
      </c>
      <c r="M4" s="113" t="inlineStr">
        <is>
          <t>A broadcast and OOH campaign for Channel 4's Paris 2024 Paralympics coverage that crossed out patronising caveats — "She's incredibly fast for someone in a wheelchair," "He's so strong for someone so small" — with the athletes' actual performances, leaving the qualifying phrase struck through on billboards and in social posts. On social, the same condescending framing was applied to non-disabled Olympic athletes to expose how absurd the language sounds when directed at anyone. The film, made with 4Creative, personified the physical forces — gravity, wind, time — that all elite athletes face equally, regardless of disability.</t>
        </is>
      </c>
      <c r="N4" s="113" t="inlineStr">
        <is>
          <t>broadcaster, paralympics, ooh, film, cinema, entertainment, social, disability, sports, united-kingdom, typography</t>
        </is>
      </c>
    </row>
    <row r="5">
      <c r="A5" s="127" t="n">
        <v>2025</v>
      </c>
      <c r="B5" s="140" t="inlineStr">
        <is>
          <t>Gold</t>
        </is>
      </c>
      <c r="C5" s="127" t="inlineStr">
        <is>
          <t>Guao Guao</t>
        </is>
      </c>
      <c r="D5" s="127" t="inlineStr">
        <is>
          <t>Desperados</t>
        </is>
      </c>
      <c r="E5" s="127" t="inlineStr">
        <is>
          <t>Desperados</t>
        </is>
      </c>
      <c r="F5" s="127" t="inlineStr">
        <is>
          <t>Lepub</t>
        </is>
      </c>
      <c r="G5" s="127" t="inlineStr">
        <is>
          <t>Italy</t>
        </is>
      </c>
      <c r="H5" s="113" t="inlineStr">
        <is>
          <t>Casting</t>
        </is>
      </c>
      <c r="I5" s="127" t="inlineStr">
        <is>
          <t>digital-presentation-images/film-craft-desperados-guao-guao.webp</t>
        </is>
      </c>
      <c r="J5" s="127" t="inlineStr">
        <is>
          <t>N58e8-bziA0</t>
        </is>
      </c>
      <c r="K5" s="127" t="n"/>
      <c r="L5" s="128" t="inlineStr">
        <is>
          <t>https://www.lovethework.com/work/entries/guao-guao-765356</t>
        </is>
      </c>
      <c r="M5" s="113" t="inlineStr">
        <is>
          <t>An original reggaeton track and brand film made in partnership with Colombian Grammy-winning producer Ovy on the Drums and Venezuelan rapper Micro TDH, created for Desperados — a tequila-infused beer positioned around Latin party culture — to respond to declining out-and-about social behavior among Gen Z in Europe. The brand film was cast entirely with non-Latin talent from Europe, China, India, and Africa to show that the energy of reggaeton crosses cultural identities, with casting as the central creative argument.</t>
        </is>
      </c>
      <c r="N5" s="113" t="inlineStr">
        <is>
          <t>beer, alcohol, music, entertainment, film, cinema, casting, reggaeton, europe, branded-content, italy, music-video, latin-culture</t>
        </is>
      </c>
    </row>
    <row r="6">
      <c r="A6" s="127" t="n">
        <v>2025</v>
      </c>
      <c r="B6" s="140" t="inlineStr">
        <is>
          <t>Gold</t>
        </is>
      </c>
      <c r="C6" s="127" t="inlineStr">
        <is>
          <t>Find Your Friends</t>
        </is>
      </c>
      <c r="D6" s="127" t="inlineStr">
        <is>
          <t>Apple</t>
        </is>
      </c>
      <c r="E6" s="127" t="inlineStr">
        <is>
          <t>Precision Finding</t>
        </is>
      </c>
      <c r="F6" s="127" t="inlineStr">
        <is>
          <t>Apple</t>
        </is>
      </c>
      <c r="G6" s="127" t="inlineStr">
        <is>
          <t>United States</t>
        </is>
      </c>
      <c r="H6" s="113" t="inlineStr">
        <is>
          <t>Use of Licensed/Adapted Music</t>
        </is>
      </c>
      <c r="I6" s="127" t="inlineStr">
        <is>
          <t>digital-presentation-images/film-craft-apple-find-your-friends.webp</t>
        </is>
      </c>
      <c r="J6" s="127" t="inlineStr">
        <is>
          <t>vimeo:1068530073</t>
        </is>
      </c>
      <c r="K6" s="127" t="n"/>
      <c r="L6" s="128" t="inlineStr">
        <is>
          <t>https://www.lovethework.com/work/entries/find-your-friends-765322</t>
        </is>
      </c>
      <c r="M6" s="113" t="inlineStr">
        <is>
          <t>A film shot at a Star Wars fan convention in which a lone attendee, dressed in Mandalorian armor, uses the Precision Finding feature on his iPhone 15 to locate his friends in a crowd of identically helmeted cosplayers. Designed and released on May 4th as a love letter to the fan community, the film's sound was built at Skywalker Sound and background signage was seeded with details for fans to decode.</t>
        </is>
      </c>
      <c r="N6" s="113" t="inlineStr">
        <is>
          <t>smartphone, film, cinema, entertainment, precision-finding, fan-culture, star-wars, cosplay, united-states, sound-design, casting</t>
        </is>
      </c>
    </row>
    <row r="7">
      <c r="A7" s="127" t="n">
        <v>2025</v>
      </c>
      <c r="B7" s="140" t="inlineStr">
        <is>
          <t>Gold</t>
        </is>
      </c>
      <c r="C7" s="127" t="inlineStr">
        <is>
          <t>Paris Paralympics 2024: Considering What?</t>
        </is>
      </c>
      <c r="D7" s="127" t="inlineStr">
        <is>
          <t>Channel 4</t>
        </is>
      </c>
      <c r="E7" s="127" t="inlineStr">
        <is>
          <t>Channel 4</t>
        </is>
      </c>
      <c r="F7" s="127" t="inlineStr">
        <is>
          <t>Biscuit Filmworks</t>
        </is>
      </c>
      <c r="G7" s="127" t="inlineStr">
        <is>
          <t>United Kingdom</t>
        </is>
      </c>
      <c r="H7" s="113" t="inlineStr">
        <is>
          <t>Direction</t>
        </is>
      </c>
      <c r="I7" s="127" t="inlineStr">
        <is>
          <t>digital-presentation-images/film-channel-4-paris-paralympic-2024-considering-what.webp</t>
        </is>
      </c>
      <c r="J7" s="127" t="inlineStr">
        <is>
          <t>2np3KfLrA_M</t>
        </is>
      </c>
      <c r="K7" s="127" t="n"/>
      <c r="L7" s="128" t="inlineStr">
        <is>
          <t>https://www.lovethework.com/work/entries/paris-paralympics-2024-considering-what-765981</t>
        </is>
      </c>
      <c r="M7" s="113" t="inlineStr">
        <is>
          <t>A Channel 4 campaign for the Paris 2024 Paralympic Games, made by in-house agency 4Creative and production company Biscuit Filmworks, built around the patronising language real viewers use about Paralympic athletes — phrases like "she's incredibly fast for someone in a wheelchair" and "amazing... considering" — which appeared as OOH billboards with the condescending caveats crossed out by the athletes' actual sporting achievements. On social, the same treatment was flipped: patronising comments typically aimed at Paralympians were redirected at non-disabled Olympians, exposing the double standard. The campaign responded to research showing that 60% of viewers still watch the Paralympics primarily to see athletes "overcome" their disabilities rather than compete as elite sportspeople.</t>
        </is>
      </c>
      <c r="N7" s="113" t="inlineStr">
        <is>
          <t>broadcaster, ooh, social-media, paralympics, disability, sport, film, cinema, entertainment, united-kingdom, 4creative</t>
        </is>
      </c>
    </row>
    <row r="8">
      <c r="A8" s="127" t="n">
        <v>2025</v>
      </c>
      <c r="B8" s="140" t="inlineStr">
        <is>
          <t>Gold</t>
        </is>
      </c>
      <c r="C8" s="127" t="inlineStr">
        <is>
          <t>A Tale as Old as Websites</t>
        </is>
      </c>
      <c r="D8" s="127" t="inlineStr">
        <is>
          <t>Squarespace</t>
        </is>
      </c>
      <c r="E8" s="127" t="inlineStr">
        <is>
          <t>Squarespace</t>
        </is>
      </c>
      <c r="F8" s="127" t="inlineStr">
        <is>
          <t>Squarespace</t>
        </is>
      </c>
      <c r="G8" s="127" t="inlineStr">
        <is>
          <t>United States</t>
        </is>
      </c>
      <c r="H8" s="113" t="inlineStr">
        <is>
          <t>Direction</t>
        </is>
      </c>
      <c r="I8" s="127" t="inlineStr">
        <is>
          <t>digital-presentation-images/film-craft-squarespace-a-tale-as-old-as-websites.webp</t>
        </is>
      </c>
      <c r="J8" s="127" t="inlineStr">
        <is>
          <t>vimeo:1053465598</t>
        </is>
      </c>
      <c r="K8" s="127" t="n"/>
      <c r="L8" s="128" t="inlineStr">
        <is>
          <t>https://www.lovethework.com/work/entries/a-tale-as-old-as-websites-765346</t>
        </is>
      </c>
      <c r="M8"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8" s="113" t="inlineStr">
        <is>
          <t>website-builder, super-bowl, television, film, cinema, entertainment, united-states, ireland, celebrity, consumer-services, period-setting, entrepreneurship</t>
        </is>
      </c>
    </row>
    <row r="9">
      <c r="A9" s="127" t="n">
        <v>2025</v>
      </c>
      <c r="B9" s="140" t="inlineStr">
        <is>
          <t>Gold</t>
        </is>
      </c>
      <c r="C9" s="127" t="inlineStr">
        <is>
          <t>Donkey</t>
        </is>
      </c>
      <c r="D9" s="127" t="inlineStr">
        <is>
          <t>Telstra</t>
        </is>
      </c>
      <c r="E9" s="127" t="inlineStr">
        <is>
          <t>Telstra</t>
        </is>
      </c>
      <c r="F9" s="127" t="inlineStr">
        <is>
          <t>Revolver</t>
        </is>
      </c>
      <c r="G9" s="127" t="inlineStr">
        <is>
          <t>Australia</t>
        </is>
      </c>
      <c r="H9" s="113" t="inlineStr">
        <is>
          <t>Direction</t>
        </is>
      </c>
      <c r="I9" s="127" t="inlineStr">
        <is>
          <t>digital-presentation-images/film-craft-telstra-donkey.webp</t>
        </is>
      </c>
      <c r="J9" s="127" t="inlineStr">
        <is>
          <t>vimeo:1028285893</t>
        </is>
      </c>
      <c r="K9" s="127" t="inlineStr">
        <is>
          <t>telstra-donkey</t>
        </is>
      </c>
      <c r="L9" s="128" t="inlineStr">
        <is>
          <t>https://www.lovethework.com/work/entries/donkey-765344</t>
        </is>
      </c>
      <c r="M9" s="113" t="inlineStr">
        <is>
          <t>A Christmas film following a donkey who accidentally becomes a singing star — touring venues, recording, and performing on stage — before homesickness pulls her back to her family. Directed by Revolver and crafted with Blockhead VFX, Rumble Studios, and The Editors, the spot anchors Telstra's seasonal retail period around the idea that family connection is the point of the holiday.</t>
        </is>
      </c>
      <c r="N9" s="113" t="inlineStr">
        <is>
          <t>telecommunications, film, cinema, entertainment, christmas, seasonal, australia, vfx, direction, animal-led</t>
        </is>
      </c>
    </row>
    <row r="10">
      <c r="A10" s="127" t="n">
        <v>2025</v>
      </c>
      <c r="B10" s="140" t="inlineStr">
        <is>
          <t>Gold</t>
        </is>
      </c>
      <c r="C10" s="127" t="inlineStr">
        <is>
          <t>A$ap Rocky - Tailor Swif</t>
        </is>
      </c>
      <c r="D10" s="127" t="inlineStr">
        <is>
          <t>A$ap Rocky</t>
        </is>
      </c>
      <c r="E10" s="127" t="inlineStr">
        <is>
          <t>A$ap Rocky</t>
        </is>
      </c>
      <c r="F10" s="127" t="inlineStr">
        <is>
          <t>Iconoclast</t>
        </is>
      </c>
      <c r="G10" s="127" t="inlineStr">
        <is>
          <t>United States</t>
        </is>
      </c>
      <c r="H10" s="113" t="inlineStr">
        <is>
          <t>Direction</t>
        </is>
      </c>
      <c r="I10" s="128" t="inlineStr">
        <is>
          <t>https://ascentialcdn.filespin.io/api/v1/storyboard/7819511744634f7a81824e1b2a278ae1/storyboard_000008.jpg</t>
        </is>
      </c>
      <c r="J10" s="127" t="inlineStr">
        <is>
          <t>5URefVYaJrA</t>
        </is>
      </c>
      <c r="K10" s="127" t="n"/>
      <c r="L10" s="128" t="inlineStr">
        <is>
          <t>https://www.lovethework.com/work/entries/aap-rocky-tailor-swif-765317</t>
        </is>
      </c>
      <c r="M10"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10" s="113" t="inlineStr">
        <is>
          <t>music-video, hip-hop, surreal, ukraine, united-states, direction, vfx, entertainment</t>
        </is>
      </c>
    </row>
    <row r="11">
      <c r="A11" s="127" t="n">
        <v>2025</v>
      </c>
      <c r="B11" s="140" t="inlineStr">
        <is>
          <t>Gold</t>
        </is>
      </c>
      <c r="C11" s="127" t="inlineStr">
        <is>
          <t>Renault - Argentina</t>
        </is>
      </c>
      <c r="D11" s="127" t="inlineStr">
        <is>
          <t>Renault</t>
        </is>
      </c>
      <c r="E11" s="127" t="inlineStr">
        <is>
          <t>Renault E-Tech</t>
        </is>
      </c>
      <c r="F11" s="127" t="inlineStr">
        <is>
          <t>Publicis Conseil</t>
        </is>
      </c>
      <c r="G11" s="127" t="inlineStr">
        <is>
          <t>France</t>
        </is>
      </c>
      <c r="H11" s="113" t="inlineStr">
        <is>
          <t>Cinematography</t>
        </is>
      </c>
      <c r="I11" s="127" t="inlineStr">
        <is>
          <t>digital-presentation-images/film-craft-renault-renault-argentina.webp</t>
        </is>
      </c>
      <c r="J11" s="127" t="inlineStr">
        <is>
          <t>_n5ZDERgrdc</t>
        </is>
      </c>
      <c r="K11" s="127" t="n"/>
      <c r="L11" s="128" t="inlineStr">
        <is>
          <t>https://www.lovethework.com/work/entries/renault-argentina-766426</t>
        </is>
      </c>
      <c r="M11" s="113" t="inlineStr">
        <is>
          <t>An audiovisual film shot through the windows of Renault's different models across more than ten locations chosen for their geographic and symbolic spread — from Patagonia's southern landscapes to the picturesque corners of northern Argentina. The campaign draws on official data showing Renaults make up the largest share of cars on Argentina's roads, using that ubiquity to frame the film as a portrait of the country itself.</t>
        </is>
      </c>
      <c r="N11" s="113" t="inlineStr">
        <is>
          <t>automotive, cars, transport, film, cinema, entertainment, cinematography, branded-content, argentina, france, publicis-conseil, road-trip, heritage</t>
        </is>
      </c>
    </row>
    <row r="12">
      <c r="A12" s="127" t="n">
        <v>2025</v>
      </c>
      <c r="B12" s="132" t="inlineStr">
        <is>
          <t>Silver</t>
        </is>
      </c>
      <c r="C12" s="127" t="inlineStr">
        <is>
          <t>Guao Guao</t>
        </is>
      </c>
      <c r="D12" s="127" t="inlineStr">
        <is>
          <t>Desperados</t>
        </is>
      </c>
      <c r="E12" s="127" t="inlineStr">
        <is>
          <t>Desperados</t>
        </is>
      </c>
      <c r="F12" s="127" t="inlineStr">
        <is>
          <t>Lepub</t>
        </is>
      </c>
      <c r="G12" s="127" t="inlineStr">
        <is>
          <t>Italy</t>
        </is>
      </c>
      <c r="H12" s="113" t="inlineStr">
        <is>
          <t>Use of Original Music</t>
        </is>
      </c>
      <c r="I12" s="127" t="inlineStr">
        <is>
          <t>digital-presentation-images/film-craft-desperados-guao-guao.webp</t>
        </is>
      </c>
      <c r="J12" s="127" t="inlineStr">
        <is>
          <t>N58e8-bziA0</t>
        </is>
      </c>
      <c r="K12" s="127" t="n"/>
      <c r="L12" s="128" t="inlineStr">
        <is>
          <t>https://www.lovethework.com/work/entries/guao-guao-765357</t>
        </is>
      </c>
      <c r="M12" s="113" t="inlineStr">
        <is>
          <t>An original reggaeton track and brand film made in partnership with Colombian Grammy-winning producer Ovy on the Drums and Venezuelan rapper Micro TDH, created for Desperados — a tequila-infused beer positioned around Latin party culture — to respond to declining out-and-about social behavior among Gen Z in Europe. The brand film was cast entirely with non-Latin talent from Europe, China, India, and Africa to show that the energy of reggaeton crosses cultural identities, with casting as the central creative argument.</t>
        </is>
      </c>
      <c r="N12" s="113" t="inlineStr">
        <is>
          <t>beer, alcohol, music, entertainment, film, cinema, casting, reggaeton, europe, branded-content, italy, music-video, latin-culture</t>
        </is>
      </c>
    </row>
    <row r="13">
      <c r="A13" s="127" t="n">
        <v>2025</v>
      </c>
      <c r="B13" s="132" t="inlineStr">
        <is>
          <t>Silver</t>
        </is>
      </c>
      <c r="C13" s="127" t="inlineStr">
        <is>
          <t>Moments</t>
        </is>
      </c>
      <c r="D13" s="127" t="inlineStr">
        <is>
          <t>Volvo</t>
        </is>
      </c>
      <c r="E13" s="127" t="inlineStr">
        <is>
          <t>Volvo Ex90</t>
        </is>
      </c>
      <c r="F13" s="127" t="inlineStr">
        <is>
          <t>Stendahls</t>
        </is>
      </c>
      <c r="G13" s="127" t="inlineStr">
        <is>
          <t>Sweden</t>
        </is>
      </c>
      <c r="H13" s="113" t="inlineStr">
        <is>
          <t>Editing</t>
        </is>
      </c>
      <c r="I13" s="128" t="inlineStr">
        <is>
          <t>https://ascentialcdn.filespin.io/api/v1/storyboard/346a403fc27b4b2db49c84361f4c8081/storyboard_000008.jpg</t>
        </is>
      </c>
      <c r="J13" s="127" t="inlineStr">
        <is>
          <t>cQX-QXxwGvA</t>
        </is>
      </c>
      <c r="K13" s="127" t="n"/>
      <c r="L13" s="128" t="inlineStr">
        <is>
          <t>https://www.lovethework.com/work/entries/moments-765347</t>
        </is>
      </c>
      <c r="M13" s="113" t="inlineStr">
        <is>
          <t>A film for the Volvo EX90, shot by cinematographer Hoyte van Hoytema, built around brief sensory moments — light, texture, motion — rather than a conventional product narrative. Created by Stendahls in collaboration with production company New Land in Sweden.</t>
        </is>
      </c>
      <c r="N13" s="113" t="inlineStr">
        <is>
          <t>automotive, cars, transport, film, cinema, entertainment, branded-content, editing, cinematography, sweden</t>
        </is>
      </c>
    </row>
    <row r="14">
      <c r="A14" s="127" t="n">
        <v>2025</v>
      </c>
      <c r="B14" s="132" t="inlineStr">
        <is>
          <t>Silver</t>
        </is>
      </c>
      <c r="C14" s="127" t="inlineStr">
        <is>
          <t>Nike "sunshine"</t>
        </is>
      </c>
      <c r="D14" s="127" t="inlineStr">
        <is>
          <t>Nike</t>
        </is>
      </c>
      <c r="E14" s="127" t="n"/>
      <c r="F14" s="127" t="inlineStr">
        <is>
          <t>Trafik</t>
        </is>
      </c>
      <c r="G14" s="127" t="n"/>
      <c r="H14" s="113" t="inlineStr">
        <is>
          <t>Colour Correction/Grading</t>
        </is>
      </c>
      <c r="I14" s="128" t="inlineStr">
        <is>
          <t>https://ascentialcdn.filespin.io/api/v1/storyboard/b9ed0aae1ae84082882cb4a1ec460780/storyboard_000008.jpg</t>
        </is>
      </c>
      <c r="J14" s="127" t="inlineStr">
        <is>
          <t>vimeo:1010739490</t>
        </is>
      </c>
      <c r="K14" s="127" t="n"/>
      <c r="L14" s="128" t="inlineStr">
        <is>
          <t>https://www.lovethework.com/work/entries/nike-sunshine-765328</t>
        </is>
      </c>
      <c r="M14" s="113" t="inlineStr">
        <is>
          <t>A colour-graded film from a series of three — "Sunshine," "Morning," and "Joy" — each shot to capture a distinct emotional texture of running, from the dread before a dawn alarm to the reluctant satisfaction after. Created by Wieden+Kennedy with colour work by Trafik's Daniel de Vue, the films launched timed to marathon season to reflect runners' complicated relationship with the sport.</t>
        </is>
      </c>
      <c r="N14" s="113" t="inlineStr">
        <is>
          <t>sportswear, film, cinema, entertainment, colour-grading, running, craft, wieden-kennedy</t>
        </is>
      </c>
    </row>
    <row r="15">
      <c r="A15" s="127" t="n">
        <v>2025</v>
      </c>
      <c r="B15" s="132" t="inlineStr">
        <is>
          <t>Silver</t>
        </is>
      </c>
      <c r="C15" s="127" t="inlineStr">
        <is>
          <t>A Tale as Old as Websites</t>
        </is>
      </c>
      <c r="D15" s="127" t="inlineStr">
        <is>
          <t>Squarespace</t>
        </is>
      </c>
      <c r="E15" s="127" t="inlineStr">
        <is>
          <t>Squarespace</t>
        </is>
      </c>
      <c r="F15" s="127" t="inlineStr">
        <is>
          <t>Squarespace</t>
        </is>
      </c>
      <c r="G15" s="127" t="inlineStr">
        <is>
          <t>United States</t>
        </is>
      </c>
      <c r="H15" s="113" t="inlineStr">
        <is>
          <t>Casting</t>
        </is>
      </c>
      <c r="I15" s="127" t="inlineStr">
        <is>
          <t>digital-presentation-images/film-craft-squarespace-a-tale-as-old-as-websites.webp</t>
        </is>
      </c>
      <c r="J15" s="127" t="inlineStr">
        <is>
          <t>vimeo:1053465598</t>
        </is>
      </c>
      <c r="K15" s="127" t="n"/>
      <c r="L15" s="128" t="inlineStr">
        <is>
          <t>https://www.lovethework.com/work/entries/a-tale-as-old-as-websites-765331</t>
        </is>
      </c>
      <c r="M15"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15" s="113" t="inlineStr">
        <is>
          <t>website-builder, super-bowl, television, film, cinema, entertainment, united-states, ireland, celebrity, consumer-services, period-setting, entrepreneurship</t>
        </is>
      </c>
    </row>
    <row r="16">
      <c r="A16" s="127" t="n">
        <v>2025</v>
      </c>
      <c r="B16" s="132" t="inlineStr">
        <is>
          <t>Silver</t>
        </is>
      </c>
      <c r="C16" s="127" t="inlineStr">
        <is>
          <t>Flock</t>
        </is>
      </c>
      <c r="D16" s="127" t="inlineStr">
        <is>
          <t>Apple</t>
        </is>
      </c>
      <c r="E16" s="127" t="inlineStr">
        <is>
          <t>iPhone</t>
        </is>
      </c>
      <c r="F16" s="127" t="inlineStr">
        <is>
          <t>TBWA\Media Arts Lab</t>
        </is>
      </c>
      <c r="G16" s="127" t="inlineStr">
        <is>
          <t>United States</t>
        </is>
      </c>
      <c r="H16" s="113" t="inlineStr">
        <is>
          <t>Animation</t>
        </is>
      </c>
      <c r="I16" s="127" t="inlineStr">
        <is>
          <t>digital-presentation-images/film-craft-apple-flock.webp</t>
        </is>
      </c>
      <c r="J16" s="127" t="inlineStr">
        <is>
          <t>vimeo:1006144786</t>
        </is>
      </c>
      <c r="K16" s="127" t="inlineStr">
        <is>
          <t>apple-flock</t>
        </is>
      </c>
      <c r="L16" s="128" t="inlineStr">
        <is>
          <t>https://www.lovethework.com/work/entries/flock-765354</t>
        </is>
      </c>
      <c r="M16"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16" s="113" t="inlineStr">
        <is>
          <t>iphone, consumer-electronics, film, cinema, entertainment, privacy, vfx, creature-design, united-states, safari, online-tracking</t>
        </is>
      </c>
    </row>
    <row r="17">
      <c r="A17" s="127" t="n">
        <v>2025</v>
      </c>
      <c r="B17" s="132" t="inlineStr">
        <is>
          <t>Silver</t>
        </is>
      </c>
      <c r="C17" s="127" t="inlineStr">
        <is>
          <t>Moments</t>
        </is>
      </c>
      <c r="D17" s="127" t="inlineStr">
        <is>
          <t>Volvo</t>
        </is>
      </c>
      <c r="E17" s="127" t="inlineStr">
        <is>
          <t>Volvo Ex90</t>
        </is>
      </c>
      <c r="F17" s="127" t="inlineStr">
        <is>
          <t>Stendahls</t>
        </is>
      </c>
      <c r="G17" s="127" t="inlineStr">
        <is>
          <t>Sweden</t>
        </is>
      </c>
      <c r="H17" s="113" t="inlineStr">
        <is>
          <t>Cinematography</t>
        </is>
      </c>
      <c r="I17" s="128" t="inlineStr">
        <is>
          <t>https://ascentialcdn.filespin.io/api/v1/storyboard/346a403fc27b4b2db49c84361f4c8081/storyboard_000008.jpg</t>
        </is>
      </c>
      <c r="J17" s="127" t="inlineStr">
        <is>
          <t>cQX-QXxwGvA</t>
        </is>
      </c>
      <c r="K17" s="127" t="n"/>
      <c r="L17" s="128" t="inlineStr">
        <is>
          <t>https://www.lovethework.com/work/entries/moments-765347</t>
        </is>
      </c>
      <c r="M17" s="113" t="inlineStr">
        <is>
          <t>A film for the Volvo EX90, shot by cinematographer Hoyte van Hoytema, built around brief sensory moments — light, texture, motion — rather than a conventional product narrative. Created by Stendahls in collaboration with production company New Land in Sweden.</t>
        </is>
      </c>
      <c r="N17" s="113" t="inlineStr">
        <is>
          <t>automotive, cars, transport, film, cinema, entertainment, branded-content, editing, cinematography, sweden</t>
        </is>
      </c>
    </row>
    <row r="18">
      <c r="A18" s="127" t="n">
        <v>2025</v>
      </c>
      <c r="B18" s="132" t="inlineStr">
        <is>
          <t>Silver</t>
        </is>
      </c>
      <c r="C18" s="127" t="inlineStr">
        <is>
          <t>In Hot Water</t>
        </is>
      </c>
      <c r="D18" s="127" t="inlineStr">
        <is>
          <t>World Wildlife Fund (wwf)</t>
        </is>
      </c>
      <c r="E18" s="127" t="inlineStr">
        <is>
          <t>WWF</t>
        </is>
      </c>
      <c r="F18" s="127" t="inlineStr">
        <is>
          <t>Nomint</t>
        </is>
      </c>
      <c r="G18" s="127" t="inlineStr">
        <is>
          <t>United Kingdom</t>
        </is>
      </c>
      <c r="H18" s="113" t="inlineStr">
        <is>
          <t>Animation</t>
        </is>
      </c>
      <c r="I18" s="127" t="inlineStr">
        <is>
          <t>digital-presentation-images/film-craft-world-wildlife-fund-wwf-in-hot-water.webp</t>
        </is>
      </c>
      <c r="J18" s="127" t="inlineStr">
        <is>
          <t>vimeo:1028875237</t>
        </is>
      </c>
      <c r="K18" s="127" t="n"/>
      <c r="L18" s="128" t="inlineStr">
        <is>
          <t>https://www.lovethework.com/work/entries/in-hot-water-765332</t>
        </is>
      </c>
      <c r="M18" s="113" t="inlineStr">
        <is>
          <t>A stop-motion film for WWF, made by NOMINT, shot entirely on a thermal camera — each frame built around 1,000 3D-printed replacement models heated to precise temperatures (accurate to 0.1°C) using ovens, heat guns, and freezing sprays, so that heat itself becomes the visual medium. Because figures began cooling the moment they left the oven, every shot was a race to position and capture each model before its thermal color shifted, with the most complex frames — a boy and a fish overlapping at slightly different temperatures — taking days to complete. The film was scored to a reworked version of Radiohead's "No Surprises," with additional production by Neil Barnes of Leftfield, and launched at COP29.</t>
        </is>
      </c>
      <c r="N18" s="113" t="inlineStr">
        <is>
          <t>non-profit, animation, stop-motion, thermal-camera, 3d-printing, ocean-conservation, climate, sustainability, environment, film, cinema, entertainment, united-kingdom, craft</t>
        </is>
      </c>
    </row>
    <row r="19">
      <c r="A19" s="127" t="n">
        <v>2025</v>
      </c>
      <c r="B19" s="132" t="inlineStr">
        <is>
          <t>Silver</t>
        </is>
      </c>
      <c r="C19" s="127" t="inlineStr">
        <is>
          <t>Donkey</t>
        </is>
      </c>
      <c r="D19" s="127" t="inlineStr">
        <is>
          <t>Telstra</t>
        </is>
      </c>
      <c r="E19" s="127" t="inlineStr">
        <is>
          <t>Telstra</t>
        </is>
      </c>
      <c r="F19" s="127" t="inlineStr">
        <is>
          <t>Revolver</t>
        </is>
      </c>
      <c r="G19" s="127" t="inlineStr">
        <is>
          <t>Australia</t>
        </is>
      </c>
      <c r="H19" s="113" t="inlineStr">
        <is>
          <t>Production Design/Art Direction</t>
        </is>
      </c>
      <c r="I19" s="127" t="inlineStr">
        <is>
          <t>digital-presentation-images/film-craft-telstra-donkey.webp</t>
        </is>
      </c>
      <c r="J19" s="127" t="inlineStr">
        <is>
          <t>vimeo:1028285893</t>
        </is>
      </c>
      <c r="K19" s="127" t="inlineStr">
        <is>
          <t>telstra-donkey</t>
        </is>
      </c>
      <c r="L19" s="128" t="inlineStr">
        <is>
          <t>https://www.lovethework.com/work/entries/donkey-765336</t>
        </is>
      </c>
      <c r="M19" s="113" t="inlineStr">
        <is>
          <t>A Christmas film following a donkey who accidentally becomes a singing star — touring venues, recording, and performing on stage — before homesickness pulls her back to her family. Directed by Revolver and crafted with Blockhead VFX, Rumble Studios, and The Editors, the spot anchors Telstra's seasonal retail period around the idea that family connection is the point of the holiday.</t>
        </is>
      </c>
      <c r="N19" s="113" t="inlineStr">
        <is>
          <t>telecommunications, film, cinema, entertainment, christmas, seasonal, australia, vfx, direction, animal-led</t>
        </is>
      </c>
    </row>
    <row r="20">
      <c r="A20" s="127" t="n">
        <v>2025</v>
      </c>
      <c r="B20" s="132" t="inlineStr">
        <is>
          <t>Silver</t>
        </is>
      </c>
      <c r="C20" s="127" t="inlineStr">
        <is>
          <t>Coffin</t>
        </is>
      </c>
      <c r="D20" s="127" t="inlineStr">
        <is>
          <t>Life360</t>
        </is>
      </c>
      <c r="E20" s="127" t="inlineStr">
        <is>
          <t>Life360</t>
        </is>
      </c>
      <c r="F20" s="127" t="inlineStr">
        <is>
          <t>Alto</t>
        </is>
      </c>
      <c r="G20" s="127" t="inlineStr">
        <is>
          <t>United States</t>
        </is>
      </c>
      <c r="H20" s="113" t="inlineStr">
        <is>
          <t>Direction</t>
        </is>
      </c>
      <c r="I20" s="128" t="inlineStr">
        <is>
          <t>https://ascentialcdn.filespin.io/api/v1/storyboard/3cd320dd9fcd4445a86f756e25d0402e/storyboard_000008.jpg</t>
        </is>
      </c>
      <c r="J20" s="127" t="inlineStr">
        <is>
          <t>vimeo:1023704952</t>
        </is>
      </c>
      <c r="K20" s="127" t="n"/>
      <c r="L20" s="128" t="inlineStr">
        <is>
          <t>https://www.lovethework.com/work/entries/coffin-765342</t>
        </is>
      </c>
      <c r="M20" s="113" t="inlineStr">
        <is>
          <t>A film spot directed by Steve Ayson of MJZ in which a funeral goes catastrophically wrong when a coffin lid flies open and the body rolls out — played as dark comedy to illustrate what happens when families lose track of each other. The ad is one of three executions (alongside Coat and Curfew) created by Alto New York for Life360's "Family-Proof Your Family" platform, each staging a worst-case scenario rooted in the anxieties of family safety apps.</t>
        </is>
      </c>
      <c r="N20" s="113" t="inlineStr">
        <is>
          <t>family-safety-app, film, cinema, entertainment, dark-comedy, united-states, direction, alto-new-york, mjz</t>
        </is>
      </c>
    </row>
    <row r="21">
      <c r="A21" s="127" t="n">
        <v>2025</v>
      </c>
      <c r="B21" s="132" t="inlineStr">
        <is>
          <t>Silver</t>
        </is>
      </c>
      <c r="C21" s="127" t="inlineStr">
        <is>
          <t>Renault - Argentina</t>
        </is>
      </c>
      <c r="D21" s="127" t="inlineStr">
        <is>
          <t>Renault</t>
        </is>
      </c>
      <c r="E21" s="127" t="inlineStr">
        <is>
          <t>Renault E-Tech</t>
        </is>
      </c>
      <c r="F21" s="127" t="inlineStr">
        <is>
          <t>Publicis Conseil</t>
        </is>
      </c>
      <c r="G21" s="127" t="inlineStr">
        <is>
          <t>France</t>
        </is>
      </c>
      <c r="H21" s="113" t="inlineStr">
        <is>
          <t>Production Design/Art Direction</t>
        </is>
      </c>
      <c r="I21" s="127" t="inlineStr">
        <is>
          <t>digital-presentation-images/film-craft-renault-renault-argentina.webp</t>
        </is>
      </c>
      <c r="J21" s="127" t="inlineStr">
        <is>
          <t>_n5ZDERgrdc</t>
        </is>
      </c>
      <c r="K21" s="127" t="n"/>
      <c r="L21" s="128" t="inlineStr">
        <is>
          <t>https://www.lovethework.com/work/entries/renault-argentina-765345</t>
        </is>
      </c>
      <c r="M21" s="113" t="inlineStr">
        <is>
          <t>An audiovisual film shot through the windows of Renault's different models across more than ten locations chosen for their geographic and symbolic spread — from Patagonia's southern landscapes to the picturesque corners of northern Argentina. The campaign draws on official data showing Renaults make up the largest share of cars on Argentina's roads, using that ubiquity to frame the film as a portrait of the country itself.</t>
        </is>
      </c>
      <c r="N21" s="113" t="inlineStr">
        <is>
          <t>automotive, cars, transport, film, cinema, entertainment, cinematography, branded-content, argentina, france, publicis-conseil, road-trip, heritage</t>
        </is>
      </c>
    </row>
    <row r="22">
      <c r="A22" s="127" t="n">
        <v>2025</v>
      </c>
      <c r="B22" s="132" t="inlineStr">
        <is>
          <t>Silver</t>
        </is>
      </c>
      <c r="C22" s="127" t="inlineStr">
        <is>
          <t>A$ap Rocky - Tailor Swif</t>
        </is>
      </c>
      <c r="D22" s="127" t="inlineStr">
        <is>
          <t>A$ap Rocky</t>
        </is>
      </c>
      <c r="E22" s="127" t="inlineStr">
        <is>
          <t>A$ap Rocky</t>
        </is>
      </c>
      <c r="F22" s="127" t="inlineStr">
        <is>
          <t>Iconoclast</t>
        </is>
      </c>
      <c r="G22" s="127" t="inlineStr">
        <is>
          <t>United States</t>
        </is>
      </c>
      <c r="H22" s="113" t="inlineStr">
        <is>
          <t>Production Design/Art Direction</t>
        </is>
      </c>
      <c r="I22" s="128" t="inlineStr">
        <is>
          <t>https://ascentialcdn.filespin.io/api/v1/storyboard/7819511744634f7a81824e1b2a278ae1/storyboard_000008.jpg</t>
        </is>
      </c>
      <c r="J22" s="127" t="inlineStr">
        <is>
          <t>5URefVYaJrA</t>
        </is>
      </c>
      <c r="K22" s="127" t="n"/>
      <c r="L22" s="128" t="inlineStr">
        <is>
          <t>https://www.lovethework.com/work/entries/aap-rocky-tailor-swif-765343</t>
        </is>
      </c>
      <c r="M22"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22" s="113" t="inlineStr">
        <is>
          <t>music-video, hip-hop, surreal, ukraine, united-states, direction, vfx, entertainment</t>
        </is>
      </c>
    </row>
    <row r="23">
      <c r="A23" s="127" t="n">
        <v>2025</v>
      </c>
      <c r="B23" s="132" t="inlineStr">
        <is>
          <t>Silver</t>
        </is>
      </c>
      <c r="C23" s="127" t="inlineStr">
        <is>
          <t>Believe in Chicken</t>
        </is>
      </c>
      <c r="D23" s="127" t="inlineStr">
        <is>
          <t>KFC</t>
        </is>
      </c>
      <c r="E23" s="127" t="inlineStr">
        <is>
          <t>Food (fried Chicken)</t>
        </is>
      </c>
      <c r="F23" s="127" t="inlineStr">
        <is>
          <t>Mother</t>
        </is>
      </c>
      <c r="G23" s="127" t="inlineStr">
        <is>
          <t>United Kingdom</t>
        </is>
      </c>
      <c r="H23" s="113" t="inlineStr">
        <is>
          <t>Use of Original Music</t>
        </is>
      </c>
      <c r="I23" s="127" t="inlineStr">
        <is>
          <t>digital-presentation-images/film-craft-kfc-believe-in-chicken.webp</t>
        </is>
      </c>
      <c r="J23" s="127" t="inlineStr">
        <is>
          <t>vimeo:958338280</t>
        </is>
      </c>
      <c r="K23" s="127" t="n"/>
      <c r="L23" s="128" t="inlineStr">
        <is>
          <t>https://www.lovethework.com/work/entries/believe-in-chicken-765320</t>
        </is>
      </c>
      <c r="M23" s="113" t="inlineStr">
        <is>
          <t>A film set in a surreal, quasi-religious world where devoted chicken believers gather in crowds before a giant rooster atop a stone plinth, competing to win a golden egg — the ultimate prize for the faithful. Directed by Vedran Rupic in partnership with Mother London, the campaign builds a recurring "cult of fandom" universe around KFC's fried chicken, with original music scored to match the epic, ceremonial tone.</t>
        </is>
      </c>
      <c r="N23" s="113" t="inlineStr">
        <is>
          <t>qsr, fast-food, restaurant, food, film, cinema, entertainment, original-music, united-kingdom, surrealism, branded-entertainment, cult-branding, fried-chicken</t>
        </is>
      </c>
    </row>
    <row r="24">
      <c r="A24" s="127" t="n">
        <v>2025</v>
      </c>
      <c r="B24" s="133" t="inlineStr">
        <is>
          <t>Bronze</t>
        </is>
      </c>
      <c r="C24" s="127" t="inlineStr">
        <is>
          <t>Flock</t>
        </is>
      </c>
      <c r="D24" s="127" t="inlineStr">
        <is>
          <t>Apple</t>
        </is>
      </c>
      <c r="E24" s="127" t="inlineStr">
        <is>
          <t>iPhone</t>
        </is>
      </c>
      <c r="F24" s="127" t="inlineStr">
        <is>
          <t>TBWA\Media Arts Lab</t>
        </is>
      </c>
      <c r="G24" s="127" t="inlineStr">
        <is>
          <t>United States</t>
        </is>
      </c>
      <c r="H24" s="113" t="inlineStr">
        <is>
          <t>Editing</t>
        </is>
      </c>
      <c r="I24" s="127" t="inlineStr">
        <is>
          <t>digital-presentation-images/film-craft-apple-flock.webp</t>
        </is>
      </c>
      <c r="J24" s="127" t="inlineStr">
        <is>
          <t>vimeo:1006144786</t>
        </is>
      </c>
      <c r="K24" s="127" t="inlineStr">
        <is>
          <t>apple-flock</t>
        </is>
      </c>
      <c r="L24" s="128" t="inlineStr">
        <is>
          <t>https://www.lovethework.com/work/entries/flock-765363</t>
        </is>
      </c>
      <c r="M24" s="113" t="inlineStr">
        <is>
          <t>A dystopian short film, made by TBWA\Media Arts Lab, in which surveillance cameras built to look like birds and bats — pigeons, seagulls, ravens, owls, and bats, each crafted as physical models before being composited into live-action footage — hunt people's browsing data across everyday online moments. Safari's privacy protections intervene to scatter the flock, drawing a contrast between iPhone and browsers that monetize every click, swipe, and scroll.</t>
        </is>
      </c>
      <c r="N24" s="113" t="inlineStr">
        <is>
          <t>iphone, consumer-electronics, film, cinema, entertainment, privacy, vfx, creature-design, united-states, safari, online-tracking</t>
        </is>
      </c>
    </row>
    <row r="25">
      <c r="A25" s="127" t="n">
        <v>2025</v>
      </c>
      <c r="B25" s="133" t="inlineStr">
        <is>
          <t>Bronze</t>
        </is>
      </c>
      <c r="C25" s="127" t="inlineStr">
        <is>
          <t>Everything or Nothing</t>
        </is>
      </c>
      <c r="D25" s="127" t="inlineStr">
        <is>
          <t>Riyadh Season</t>
        </is>
      </c>
      <c r="E25" s="127" t="inlineStr">
        <is>
          <t>Boxing Fight</t>
        </is>
      </c>
      <c r="F25" s="127" t="inlineStr">
        <is>
          <t>Bigtime Creative Shop</t>
        </is>
      </c>
      <c r="G25" s="127" t="inlineStr">
        <is>
          <t>Saudi Arabia</t>
        </is>
      </c>
      <c r="H25" s="113" t="inlineStr">
        <is>
          <t>Production Design/Art Direction</t>
        </is>
      </c>
      <c r="I25" s="128" t="inlineStr">
        <is>
          <t>https://ascentialcdn.filespin.io/api/v1/storyboard/99b51143eb5a45779617eee2310c73e0/storyboard_000008.jpg</t>
        </is>
      </c>
      <c r="J25" s="127" t="inlineStr">
        <is>
          <t>vimeo:987240751</t>
        </is>
      </c>
      <c r="K25" s="127" t="n"/>
      <c r="L25" s="128" t="inlineStr">
        <is>
          <t>https://www.lovethework.com/work/entries/everything-or-nothing-765340</t>
        </is>
      </c>
      <c r="M25" s="113" t="inlineStr">
        <is>
          <t>A long-form promotional film for Riyadh Season's boxing event, produced by BigTime Creative Shop in Saudi Arabia and ambitious enough in scope to be described as bordering on short-film length. The production design and art direction drove the piece's awards recognition, with the work earning a Grand Prix at Dubai Lynx.</t>
        </is>
      </c>
      <c r="N25" s="113" t="inlineStr">
        <is>
          <t>boxing, film, cinema, entertainment, production-design, art-direction, long-form, saudi-arabia, sports-event</t>
        </is>
      </c>
    </row>
    <row r="26">
      <c r="A26" s="127" t="n">
        <v>2025</v>
      </c>
      <c r="B26" s="133" t="inlineStr">
        <is>
          <t>Bronze</t>
        </is>
      </c>
      <c r="C26" s="127" t="inlineStr">
        <is>
          <t>Never Just a Period</t>
        </is>
      </c>
      <c r="D26" s="127" t="inlineStr">
        <is>
          <t>Bodyform</t>
        </is>
      </c>
      <c r="E26" s="127" t="inlineStr">
        <is>
          <t>Bodyform</t>
        </is>
      </c>
      <c r="F26" s="127" t="inlineStr">
        <is>
          <t>AMV BBDO</t>
        </is>
      </c>
      <c r="G26" s="127" t="inlineStr">
        <is>
          <t>United Kingdom</t>
        </is>
      </c>
      <c r="H26" s="113" t="inlineStr">
        <is>
          <t>Direction</t>
        </is>
      </c>
      <c r="I26" s="127" t="inlineStr">
        <is>
          <t>digital-presentation-images/film-craft-bodyform-never-just-a-period.webp</t>
        </is>
      </c>
      <c r="J26" s="127" t="inlineStr">
        <is>
          <t>EQW59KR3c4U</t>
        </is>
      </c>
      <c r="K26" s="127" t="n"/>
      <c r="L26" s="128" t="inlineStr">
        <is>
          <t>https://www.lovethework.com/work/entries/never-just-a-period-765319</t>
        </is>
      </c>
      <c r="M26"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26" s="113" t="inlineStr">
        <is>
          <t>femcare, film, cinema, entertainment, integrated-campaign, healthcare, womens-health, social, united-kingdom, menstrual-health, amv-bbdo</t>
        </is>
      </c>
    </row>
    <row r="27">
      <c r="A27" s="127" t="n">
        <v>2025</v>
      </c>
      <c r="B27" s="133" t="inlineStr">
        <is>
          <t>Bronze</t>
        </is>
      </c>
      <c r="C27" s="127" t="inlineStr">
        <is>
          <t>18 Months</t>
        </is>
      </c>
      <c r="D27" s="127" t="inlineStr">
        <is>
          <t>Second Nurture</t>
        </is>
      </c>
      <c r="E27" s="127" t="inlineStr">
        <is>
          <t>Charity</t>
        </is>
      </c>
      <c r="F27" s="127" t="inlineStr">
        <is>
          <t>Klick Health</t>
        </is>
      </c>
      <c r="G27" s="127" t="inlineStr">
        <is>
          <t>Canada</t>
        </is>
      </c>
      <c r="H27" s="113" t="inlineStr">
        <is>
          <t>Animation</t>
        </is>
      </c>
      <c r="I27" s="127" t="inlineStr">
        <is>
          <t>digital-presentation-images/film-craft-second-nurture-18-months.webp</t>
        </is>
      </c>
      <c r="J27" s="127" t="inlineStr">
        <is>
          <t>vimeo:1092249009</t>
        </is>
      </c>
      <c r="K27" s="127" t="n"/>
      <c r="L27" s="128" t="inlineStr">
        <is>
          <t>https://www.lovethework.com/work/entries/18-months-765335</t>
        </is>
      </c>
      <c r="M27" s="113" t="inlineStr">
        <is>
          <t>A stop-motion animated short whose sets were built entirely from the pages of outdated pregnancy books — the illustrated diagrams and text physically cut and constructed into six miniature environments by 180 artists, including Oscar and BAFTA-winning animators. The film, produced by Klick Health in Toronto for Second Nurture, follows a non-traditional family's journey to parenthood, using the medium of the books that exclude their story as the literal material of that story.</t>
        </is>
      </c>
      <c r="N27" s="113" t="inlineStr">
        <is>
          <t>charity, stop-motion, animation, film, cinema, entertainment, canada, non-profit, family-building, craft, klick-health</t>
        </is>
      </c>
    </row>
    <row r="28">
      <c r="A28" s="127" t="n">
        <v>2025</v>
      </c>
      <c r="B28" s="133" t="inlineStr">
        <is>
          <t>Bronze</t>
        </is>
      </c>
      <c r="C28" s="127" t="inlineStr">
        <is>
          <t>The Shooting</t>
        </is>
      </c>
      <c r="D28" s="127" t="inlineStr">
        <is>
          <t>La Unión Newspaper / Articulo 19</t>
        </is>
      </c>
      <c r="E28" s="127" t="inlineStr">
        <is>
          <t>La Uniãn Newspaper / Articulo 19</t>
        </is>
      </c>
      <c r="F28" s="127" t="inlineStr">
        <is>
          <t>Grey</t>
        </is>
      </c>
      <c r="G28" s="127" t="inlineStr">
        <is>
          <t>Mexico</t>
        </is>
      </c>
      <c r="H28" s="113" t="inlineStr">
        <is>
          <t>Direction</t>
        </is>
      </c>
      <c r="I28" s="127" t="inlineStr">
        <is>
          <t>digital-presentation-images/film-craft-la-union-newspaper-the-shooting.webp</t>
        </is>
      </c>
      <c r="J28" s="127" t="inlineStr">
        <is>
          <t>-saAXmItj_U</t>
        </is>
      </c>
      <c r="K28" s="127" t="n"/>
      <c r="L28" s="128" t="inlineStr">
        <is>
          <t>https://www.lovethework.com/work/entries/the-shooting-765350</t>
        </is>
      </c>
      <c r="M28"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28" s="113" t="inlineStr">
        <is>
          <t>newspaper, film, cinema, entertainment, public-service, press-freedom, mexico, short-film, social-issue, grey-mexico</t>
        </is>
      </c>
    </row>
    <row r="29">
      <c r="A29" s="127" t="n">
        <v>2025</v>
      </c>
      <c r="B29" s="133" t="inlineStr">
        <is>
          <t>Bronze</t>
        </is>
      </c>
      <c r="C29" s="127" t="inlineStr">
        <is>
          <t>A Tale as Old as Websites</t>
        </is>
      </c>
      <c r="D29" s="127" t="inlineStr">
        <is>
          <t>Squarespace</t>
        </is>
      </c>
      <c r="E29" s="127" t="inlineStr">
        <is>
          <t>Squarespace</t>
        </is>
      </c>
      <c r="F29" s="127" t="inlineStr">
        <is>
          <t>Squarespace</t>
        </is>
      </c>
      <c r="G29" s="127" t="inlineStr">
        <is>
          <t>United States</t>
        </is>
      </c>
      <c r="H29" s="113" t="inlineStr">
        <is>
          <t>Production Design/Art Direction</t>
        </is>
      </c>
      <c r="I29" s="127" t="inlineStr">
        <is>
          <t>digital-presentation-images/film-craft-squarespace-a-tale-as-old-as-websites.webp</t>
        </is>
      </c>
      <c r="J29" s="127" t="inlineStr">
        <is>
          <t>vimeo:1053465598</t>
        </is>
      </c>
      <c r="K29" s="127" t="n"/>
      <c r="L29" s="128" t="inlineStr">
        <is>
          <t>https://www.lovethework.com/work/entries/a-tale-as-old-as-websites-765338</t>
        </is>
      </c>
      <c r="M29" s="113" t="inlineStr">
        <is>
          <t>A Super Bowl spot set in rural Ireland, where Barry Keoghan plays a door-to-door website deliveryman in a bygone era — riding on horseback and by donkey to bring freshly built Squarespace sites to farmers, pub owners, and wool knitters. The campaign extended beyond the game-day ad into short films, movie-style posters, a storybook, and a dedicated website for Keoghan's donkey co-star, Mosley.</t>
        </is>
      </c>
      <c r="N29" s="113" t="inlineStr">
        <is>
          <t>website-builder, super-bowl, television, film, cinema, entertainment, united-states, ireland, celebrity, consumer-services, period-setting, entrepreneurship</t>
        </is>
      </c>
    </row>
    <row r="30">
      <c r="A30" s="127" t="n">
        <v>2025</v>
      </c>
      <c r="B30" s="133" t="inlineStr">
        <is>
          <t>Bronze</t>
        </is>
      </c>
      <c r="C30" s="127" t="inlineStr">
        <is>
          <t>With Love, Italy</t>
        </is>
      </c>
      <c r="D30" s="127" t="inlineStr">
        <is>
          <t>Nestle</t>
        </is>
      </c>
      <c r="E30" s="127" t="inlineStr">
        <is>
          <t>Sanpellegrino Ciao!</t>
        </is>
      </c>
      <c r="F30" s="127" t="inlineStr">
        <is>
          <t>Ogilvy</t>
        </is>
      </c>
      <c r="G30" s="127" t="inlineStr">
        <is>
          <t>United States</t>
        </is>
      </c>
      <c r="H30" s="113" t="inlineStr">
        <is>
          <t>Script</t>
        </is>
      </c>
      <c r="I30" s="127" t="inlineStr">
        <is>
          <t>digital-presentation-images/film-craft-nestle-with-love-italy.webp</t>
        </is>
      </c>
      <c r="J30" s="127" t="inlineStr">
        <is>
          <t>tO1C8ABnsTo</t>
        </is>
      </c>
      <c r="K30" s="127" t="n"/>
      <c r="L30" s="128" t="inlineStr">
        <is>
          <t>https://www.lovethework.com/work/entries/with-love-italy-765329</t>
        </is>
      </c>
      <c r="M30" s="113" t="inlineStr">
        <is>
          <t>A social episodic series — culminating in a short film — built around the conceit that Michael Imperioli and Steve Schirrpa, both known as Sopranos mobsters, are tasked as brand ambassadors to introduce Sanpellegrino's new sparkling water CIAO! to the 17 million Italian-Americans in the United States. The joke is that no one will accept a gift from them, worried about the repercussions — a running gag that casts their mob-adjacent fame as an obstacle to genuine Italian goodwill. The series was created by Ogilvy Italy.</t>
        </is>
      </c>
      <c r="N30" s="113" t="inlineStr">
        <is>
          <t>sparkling-water, branded-content, episodic-series, short-film, social-media, celebrity, united-states, italian-american, ogilvy</t>
        </is>
      </c>
    </row>
    <row r="31">
      <c r="A31" s="127" t="n">
        <v>2025</v>
      </c>
      <c r="B31" s="133" t="inlineStr">
        <is>
          <t>Bronze</t>
        </is>
      </c>
      <c r="C31" s="127" t="inlineStr">
        <is>
          <t>Obsession</t>
        </is>
      </c>
      <c r="D31" s="127" t="inlineStr">
        <is>
          <t>Riyadh Season</t>
        </is>
      </c>
      <c r="E31" s="127" t="inlineStr">
        <is>
          <t>Boxing Fight</t>
        </is>
      </c>
      <c r="F31" s="127" t="inlineStr">
        <is>
          <t>Bigtime Creative Shop</t>
        </is>
      </c>
      <c r="G31" s="127" t="inlineStr">
        <is>
          <t>Saudi Arabia</t>
        </is>
      </c>
      <c r="H31" s="113" t="inlineStr">
        <is>
          <t>Visual Effects</t>
        </is>
      </c>
      <c r="I31" s="127" t="inlineStr">
        <is>
          <t>digital-presentation-images/film-craft-riyadh-season-obsession.webp</t>
        </is>
      </c>
      <c r="J31" s="127" t="inlineStr">
        <is>
          <t>PdcUQwAtDDs</t>
        </is>
      </c>
      <c r="K31" s="127" t="n"/>
      <c r="L31" s="128" t="inlineStr">
        <is>
          <t>https://www.lovethework.com/work/entries/obsession-765355</t>
        </is>
      </c>
      <c r="M31"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31" s="113" t="inlineStr">
        <is>
          <t>sports-entertainment, film, cinema, entertainment, social-media, boxing, ai, technology, saudi-arabia, meme-marketing, influencer, pre-fight-promotion</t>
        </is>
      </c>
    </row>
    <row r="32">
      <c r="A32" s="127" t="n">
        <v>2025</v>
      </c>
      <c r="B32" s="133" t="inlineStr">
        <is>
          <t>Bronze</t>
        </is>
      </c>
      <c r="C32" s="127" t="inlineStr">
        <is>
          <t>Submerged</t>
        </is>
      </c>
      <c r="D32" s="127" t="inlineStr">
        <is>
          <t>Apple</t>
        </is>
      </c>
      <c r="E32" s="127" t="inlineStr">
        <is>
          <t>Vision Pro</t>
        </is>
      </c>
      <c r="F32" s="127" t="inlineStr">
        <is>
          <t>Apple</t>
        </is>
      </c>
      <c r="G32" s="127" t="inlineStr">
        <is>
          <t>United States</t>
        </is>
      </c>
      <c r="H32" s="113" t="inlineStr">
        <is>
          <t>Achievement in Production</t>
        </is>
      </c>
      <c r="I32" s="127" t="inlineStr">
        <is>
          <t>digital-presentation-images/film-craft-apple-submerged.webp</t>
        </is>
      </c>
      <c r="J32" s="127" t="inlineStr">
        <is>
          <t>lP8LLIjCe6Q</t>
        </is>
      </c>
      <c r="K32" s="127" t="n"/>
      <c r="L32" s="128" t="inlineStr">
        <is>
          <t>https://www.lovethework.com/work/entries/submerged-765360</t>
        </is>
      </c>
      <c r="M32" s="113" t="inlineStr">
        <is>
          <t>A 17-minute scripted short film shot across the United States, Belgium, Czech Republic, and Malta using a 180-degree proprietary immersive camera — the first narrative work captured in Apple Immersive Video, designed exclusively for playback on Apple Vision Pro. Directed by Edward Berger, the submarine thriller was produced with fully immersive sets, custom rigs, and new post-production pipelines built specifically to meet the spatial storytelling demands of the headset's volumetric display.</t>
        </is>
      </c>
      <c r="N32" s="113" t="inlineStr">
        <is>
          <t>consumer-electronics, short-film, immersive-video, spatial-computing, emerging-tech, united-states, belgium, czech-republic, malta, production-design</t>
        </is>
      </c>
    </row>
    <row r="33">
      <c r="A33" s="127" t="n">
        <v>2025</v>
      </c>
      <c r="B33" s="133" t="inlineStr">
        <is>
          <t>Bronze</t>
        </is>
      </c>
      <c r="C33" s="127" t="inlineStr">
        <is>
          <t>Kfc: Believe in Chicken</t>
        </is>
      </c>
      <c r="D33" s="127" t="inlineStr">
        <is>
          <t>KFC</t>
        </is>
      </c>
      <c r="E33" s="127" t="inlineStr">
        <is>
          <t>Food (fried Chicken)</t>
        </is>
      </c>
      <c r="F33" s="127" t="inlineStr">
        <is>
          <t>Lux Artists</t>
        </is>
      </c>
      <c r="G33" s="127" t="inlineStr">
        <is>
          <t>United Kingdom</t>
        </is>
      </c>
      <c r="H33" s="113" t="inlineStr">
        <is>
          <t>Cinematography</t>
        </is>
      </c>
      <c r="I33" s="127" t="inlineStr">
        <is>
          <t>digital-presentation-images/film-craft-kfc-believe-in-chicken.webp</t>
        </is>
      </c>
      <c r="J33" s="127" t="inlineStr">
        <is>
          <t>vimeo:958338280</t>
        </is>
      </c>
      <c r="K33" s="127" t="n"/>
      <c r="L33" s="128" t="inlineStr">
        <is>
          <t>https://www.lovethework.com/work/entries/kfc-believe-in-chicken-765358</t>
        </is>
      </c>
      <c r="M33" s="113" t="inlineStr">
        <is>
          <t>In an age of artificial intelligence, where it's harder than ever to know what's real, KFC gives people something they can still believe in: chicken.</t>
        </is>
      </c>
      <c r="N33" s="113" t="inlineStr">
        <is>
          <t>qsr, fast-food, restaurant, food, film, cinema, entertainment, brand-platform, ai, technology, craft, global</t>
        </is>
      </c>
    </row>
    <row r="34">
      <c r="A34" s="127" t="n">
        <v>2025</v>
      </c>
      <c r="B34" s="133" t="inlineStr">
        <is>
          <t>Bronze</t>
        </is>
      </c>
      <c r="C34" s="127" t="inlineStr">
        <is>
          <t>Name the Bias</t>
        </is>
      </c>
      <c r="D34" s="127" t="inlineStr">
        <is>
          <t>People Like Us</t>
        </is>
      </c>
      <c r="E34" s="127" t="inlineStr">
        <is>
          <t>People Like Us</t>
        </is>
      </c>
      <c r="F34" s="127" t="inlineStr">
        <is>
          <t>New Land</t>
        </is>
      </c>
      <c r="G34" s="127" t="inlineStr">
        <is>
          <t>Denmark</t>
        </is>
      </c>
      <c r="H34" s="113" t="inlineStr">
        <is>
          <t>Cinematography</t>
        </is>
      </c>
      <c r="I34" s="128" t="inlineStr">
        <is>
          <t>https://ascentialcdn.filespin.io/api/v1/storyboard/78d81508b5494a40bba8366f2f62eed1/storyboard_000008.jpg</t>
        </is>
      </c>
      <c r="J34" s="127" t="inlineStr">
        <is>
          <t>3uTwt6FYX98</t>
        </is>
      </c>
      <c r="K34" s="127" t="n"/>
      <c r="L34" s="128" t="inlineStr">
        <is>
          <t>https://www.lovethework.com/work/entries/name-the-bias-765351</t>
        </is>
      </c>
      <c r="M34" s="113" t="inlineStr">
        <is>
          <t>A short film built around an original spoken word performance by poet Yasmin Ali, addressing the workplace discrimination faced by professionals with non-white-sounding names in UK media, marketing, and communications. The film was screened at the Houses of Lords and Commons in January 2025 before an audience of MPs, commissioned by People Like Us, a not-for-profit supporting Black, Asian, mixed heritage, and minoritised ethnic professionals in the industry.</t>
        </is>
      </c>
      <c r="N34" s="113" t="inlineStr">
        <is>
          <t>film, cinema, entertainment, spoken-word, diversity-and-inclusion, not-for-profit, charity, ngo, social-good, united-kingdom, cinematography, public-affairs, marcomms</t>
        </is>
      </c>
    </row>
    <row r="35">
      <c r="A35" s="127" t="n">
        <v>2025</v>
      </c>
      <c r="B35" s="133" t="inlineStr">
        <is>
          <t>Bronze</t>
        </is>
      </c>
      <c r="C35" s="127" t="inlineStr">
        <is>
          <t>Fight for Thais' Gut</t>
        </is>
      </c>
      <c r="D35" s="127" t="inlineStr">
        <is>
          <t>Dutchie</t>
        </is>
      </c>
      <c r="E35" s="127" t="inlineStr">
        <is>
          <t>Dutchie</t>
        </is>
      </c>
      <c r="F35" s="127" t="inlineStr">
        <is>
          <t>Ogilvy</t>
        </is>
      </c>
      <c r="G35" s="127" t="inlineStr">
        <is>
          <t>Thailand</t>
        </is>
      </c>
      <c r="H35" s="113" t="inlineStr">
        <is>
          <t>Casting</t>
        </is>
      </c>
      <c r="I35" s="127" t="inlineStr">
        <is>
          <t>digital-presentation-images/film-craft-dutchie-fight-for-thais-gut.webp</t>
        </is>
      </c>
      <c r="J35" s="127" t="inlineStr">
        <is>
          <t>vimeo:1152947690</t>
        </is>
      </c>
      <c r="K35" s="127" t="n"/>
      <c r="L35" s="128" t="inlineStr">
        <is>
          <t>https://www.lovethework.com/work/entries/fight-for-thais-gut-765333</t>
        </is>
      </c>
      <c r="M35" s="113" t="inlineStr">
        <is>
          <t>A film series cast in the style of Thai soap opera, with a recurring thief character used as a stand-in for the health scammers circulating false gut-health advice daily on Thai social media — conditions linked to a rise in colorectal cancer cases in Thailand. Dutchie, a yoghurt brand marking its 40th anniversary, distributed the films on Facebook and YouTube alongside a partnership with the National Cancer Institute of Thailand, with Ogilvy Bangkok handling the work.</t>
        </is>
      </c>
      <c r="N35" s="113" t="inlineStr">
        <is>
          <t>yoghurt, film, cinema, entertainment, public-health, social-media, thailand, casting, soap-opera, tv, telenovela, health-misinformation, facebook, youtube</t>
        </is>
      </c>
    </row>
    <row r="36">
      <c r="A36" s="127" t="n">
        <v>2025</v>
      </c>
      <c r="B36" s="133" t="inlineStr">
        <is>
          <t>Bronze</t>
        </is>
      </c>
      <c r="C36" s="127" t="inlineStr">
        <is>
          <t>When You've Done Enough - Evil'd Enough</t>
        </is>
      </c>
      <c r="D36" s="127" t="inlineStr">
        <is>
          <t>Uber Eats</t>
        </is>
      </c>
      <c r="E36" s="127" t="inlineStr">
        <is>
          <t>Food Delivery Service</t>
        </is>
      </c>
      <c r="F36" s="127" t="inlineStr">
        <is>
          <t>Mother</t>
        </is>
      </c>
      <c r="G36" s="127" t="inlineStr">
        <is>
          <t>United Kingdom</t>
        </is>
      </c>
      <c r="H36" s="113" t="inlineStr">
        <is>
          <t>Casting</t>
        </is>
      </c>
      <c r="I36" s="128" t="inlineStr">
        <is>
          <t>https://ascentialcdn.filespin.io/api/v1/storyboard/9e327b1cbb6d4295ae6a602857eb395c/storyboard_000008.jpg</t>
        </is>
      </c>
      <c r="J36" s="127" t="inlineStr">
        <is>
          <t>vimeo:1066110069</t>
        </is>
      </c>
      <c r="K36" s="127" t="n"/>
      <c r="L36" s="128" t="inlineStr">
        <is>
          <t>https://www.lovethework.com/work/entries/when-youve-done-enough-evild-enough-765334</t>
        </is>
      </c>
      <c r="M36" s="113" t="inlineStr">
        <is>
          <t>Uber Eats cast Javier Bardem as a world-weary supervillain who's lost interest in evil plots and just wants to enjoy his delivery in peace. The spot's craft comes from the perfect casting: Bardem brings cinematic menace to a character whose biggest master plan is watching Happy Days with Uber Eats.</t>
        </is>
      </c>
      <c r="N36" s="113" t="inlineStr">
        <is>
          <t>food-delivery, food, restaurant, ecommerce, retail, online-shopping, film, cinema, entertainment, celebrity, humor, mobile-app, craft, united-states</t>
        </is>
      </c>
    </row>
    <row r="37">
      <c r="A37" s="127" t="n">
        <v>2025</v>
      </c>
      <c r="B37" s="133" t="inlineStr">
        <is>
          <t>Bronze</t>
        </is>
      </c>
      <c r="C37" s="127" t="inlineStr">
        <is>
          <t>The Final Copy of Ilon Specht</t>
        </is>
      </c>
      <c r="D37" s="127" t="inlineStr">
        <is>
          <t>L'Oréal</t>
        </is>
      </c>
      <c r="E37" s="127" t="inlineStr">
        <is>
          <t>L'Oréal</t>
        </is>
      </c>
      <c r="F37" s="127" t="inlineStr">
        <is>
          <t>Traverse32</t>
        </is>
      </c>
      <c r="G37" s="127" t="inlineStr">
        <is>
          <t>United States</t>
        </is>
      </c>
      <c r="H37" s="113" t="inlineStr">
        <is>
          <t>Editing</t>
        </is>
      </c>
      <c r="I37" s="127" t="inlineStr">
        <is>
          <t>digital-presentation-images/film-craft-loreal-the-final-copy-of-ilon-specht.webp</t>
        </is>
      </c>
      <c r="J37" s="127" t="inlineStr">
        <is>
          <t>vimeo:1094956645</t>
        </is>
      </c>
      <c r="K37" s="127" t="n"/>
      <c r="L37" s="128" t="inlineStr">
        <is>
          <t>https://www.lovethework.com/work/entries/the-final-copy-of-ilon-specht-765362</t>
        </is>
      </c>
      <c r="M37"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37" s="113" t="inlineStr">
        <is>
          <t>cosmetics, personal-care, beauty, documentary, film, entertainment, cinema, branded-content, ooh, interactive-installation, international-womens-day, france, streaming, tv, social</t>
        </is>
      </c>
    </row>
    <row r="38">
      <c r="A38" s="127" t="n">
        <v>2025</v>
      </c>
      <c r="B38" s="133" t="inlineStr">
        <is>
          <t>Bronze</t>
        </is>
      </c>
      <c r="C38" s="127" t="inlineStr">
        <is>
          <t>My Gut Friend</t>
        </is>
      </c>
      <c r="D38" s="127" t="inlineStr">
        <is>
          <t>Gut</t>
        </is>
      </c>
      <c r="E38" s="127" t="inlineStr">
        <is>
          <t>Gut</t>
        </is>
      </c>
      <c r="F38" s="127" t="inlineStr">
        <is>
          <t>Gut</t>
        </is>
      </c>
      <c r="G38" s="127" t="inlineStr">
        <is>
          <t>Mexico</t>
        </is>
      </c>
      <c r="H38" s="113" t="inlineStr">
        <is>
          <t>Animation</t>
        </is>
      </c>
      <c r="I38" s="127" t="inlineStr">
        <is>
          <t>digital-presentation-images/film-craft-gut-my-gut-friend.webp</t>
        </is>
      </c>
      <c r="J38" s="127" t="inlineStr">
        <is>
          <t>vimeo:1130513290</t>
        </is>
      </c>
      <c r="K38" s="127" t="n"/>
      <c r="L38" s="128" t="inlineStr">
        <is>
          <t>https://www.lovethework.com/work/entries/my-gut-friend-765361</t>
        </is>
      </c>
      <c r="M38" s="113" t="inlineStr">
        <is>
          <t>A stop-motion short film, running eight and a half minutes without dialogue, in which a lonely man looks back on childhood and the moment his gut became his best friend — depicted as a tangible creature with a life of its own that guides, encourages, and rescues him. Co-produced by GUT, Primo Content, and Buenos Aires studio Can Can Club, and directed by Becho Lo Bianco and Mariano Bergara, the film was built to position following instinct as a literal strategy rather than a figure of speech.</t>
        </is>
      </c>
      <c r="N38" s="113" t="inlineStr">
        <is>
          <t>advertising-agency, short-film, stop-motion, animation, mexico, argentina, film-craft, branded-content</t>
        </is>
      </c>
    </row>
    <row r="39">
      <c r="A39" s="127" t="n">
        <v>2025</v>
      </c>
      <c r="B39" s="133" t="inlineStr">
        <is>
          <t>Bronze</t>
        </is>
      </c>
      <c r="C39" s="127" t="inlineStr">
        <is>
          <t>The Count</t>
        </is>
      </c>
      <c r="D39" s="127" t="inlineStr">
        <is>
          <t>Sickkids Foundation</t>
        </is>
      </c>
      <c r="E39" s="127" t="inlineStr">
        <is>
          <t>Sickkids Foundation</t>
        </is>
      </c>
      <c r="F39" s="127" t="inlineStr">
        <is>
          <t>FCB Toronto</t>
        </is>
      </c>
      <c r="G39" s="127" t="inlineStr">
        <is>
          <t>Canada</t>
        </is>
      </c>
      <c r="H39" s="113" t="inlineStr">
        <is>
          <t>Editing</t>
        </is>
      </c>
      <c r="I39" s="127" t="inlineStr">
        <is>
          <t>digital-presentation-images/film-craft-sickkids-foundation-the-count.webp</t>
        </is>
      </c>
      <c r="J39" s="127" t="inlineStr">
        <is>
          <t>qNF34ZROR8s</t>
        </is>
      </c>
      <c r="K39" s="127" t="n"/>
      <c r="L39" s="128" t="inlineStr">
        <is>
          <t>https://www.lovethework.com/work/entries/the-count-765359</t>
        </is>
      </c>
      <c r="M39"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9" s="113" t="inlineStr">
        <is>
          <t>charity, film, cinema, entertainment, healthcare, canada, music, fundraising, children, orchestral, sickkids-foundation</t>
        </is>
      </c>
    </row>
    <row r="40">
      <c r="A40" s="127" t="n">
        <v>2025</v>
      </c>
      <c r="B40" s="133" t="inlineStr">
        <is>
          <t>Bronze</t>
        </is>
      </c>
      <c r="C40" s="127" t="inlineStr">
        <is>
          <t>Wake Up</t>
        </is>
      </c>
      <c r="D40" s="127" t="inlineStr">
        <is>
          <t>Xbox, Droga5</t>
        </is>
      </c>
      <c r="E40" s="127" t="inlineStr">
        <is>
          <t>Xbox Devices in Their Ecosystem &amp; Game Pass</t>
        </is>
      </c>
      <c r="F40" s="127" t="inlineStr">
        <is>
          <t>Part of Accenture Song</t>
        </is>
      </c>
      <c r="G40" s="127" t="inlineStr">
        <is>
          <t>United States</t>
        </is>
      </c>
      <c r="H40" s="113" t="inlineStr">
        <is>
          <t>Production Design/Art Direction</t>
        </is>
      </c>
      <c r="I40" s="128" t="inlineStr">
        <is>
          <t>https://ascentialcdn.filespin.io/api/v1/storyboard/2ca4ed7308854564b83b1093ffa844c6/storyboard_000008.jpg</t>
        </is>
      </c>
      <c r="J40" s="127" t="inlineStr">
        <is>
          <t>vimeo:1074524233</t>
        </is>
      </c>
      <c r="K40" s="127" t="n"/>
      <c r="L40" s="128" t="inlineStr">
        <is>
          <t>https://www.lovethework.com/work/entries/wake-up-765330</t>
        </is>
      </c>
      <c r="M40" s="113" t="inlineStr">
        <is>
          <t>A film co-directed by David Fincher and Romain Chassaing for Xbox and Droga5 New York that depicts the pull of gaming as an antidote to the dull repetition of everyday life — commutes, routines, and analog hours — contrasted against the worlds available through Xbox devices and Game Pass. Produced by RESET, the spot ran as a global brand campaign out of the United States.</t>
        </is>
      </c>
      <c r="N40" s="113" t="inlineStr">
        <is>
          <t>gaming, video-games, entertainment, film, cinema, production-design, art-direction, global, united-states, game-pass, live-action</t>
        </is>
      </c>
    </row>
    <row r="41">
      <c r="A41" s="127" t="n">
        <v>2025</v>
      </c>
      <c r="B41" s="133" t="inlineStr">
        <is>
          <t>Bronze</t>
        </is>
      </c>
      <c r="C41" s="127" t="inlineStr">
        <is>
          <t>The Cause of the Accident That Started the Fire</t>
        </is>
      </c>
      <c r="D41" s="127" t="inlineStr">
        <is>
          <t>ICEX</t>
        </is>
      </c>
      <c r="E41" s="127" t="inlineStr">
        <is>
          <t>Audiovisual from Spain</t>
        </is>
      </c>
      <c r="F41" s="127" t="inlineStr">
        <is>
          <t>Canada</t>
        </is>
      </c>
      <c r="G41" s="127" t="inlineStr">
        <is>
          <t>Spain</t>
        </is>
      </c>
      <c r="H41" s="113" t="inlineStr">
        <is>
          <t>Direction</t>
        </is>
      </c>
      <c r="I41" s="127" t="inlineStr">
        <is>
          <t>digital-presentation-images/film-craft-icex-the-cause-of-the-accident-that-started-the-fire.webp</t>
        </is>
      </c>
      <c r="J41" s="127" t="inlineStr">
        <is>
          <t>vimeo:1052229239</t>
        </is>
      </c>
      <c r="K41" s="127" t="n"/>
      <c r="L41" s="128" t="inlineStr">
        <is>
          <t>https://www.lovethework.com/work/entries/the-cause-of-the-accident-that-started-the-fire-765352</t>
        </is>
      </c>
      <c r="M41" s="113" t="inlineStr">
        <is>
          <t>A short film directed by Lope Serrano and produced by CANADA Barcelona for ICEX's Audiovisual from Spain initiative, in which a young director loses her nerve on set when a car-accident scene she's shooting lacks a clear narrative cause. The cast weaves together working Spanish film talent — including Bárbara Lennie, JA Bayona, Albert Serra, Omar Ayuso, Miguel Herranz, and Karla Sofía Gascón — to serve as a promotional vehicle for the Spanish audiovisual industry internationally.</t>
        </is>
      </c>
      <c r="N41" s="113" t="inlineStr">
        <is>
          <t>audiovisual-promotion, film, cinema, entertainment, spain, branded-content, direction, craft, spanish-film-industry, short-film</t>
        </is>
      </c>
    </row>
    <row r="42">
      <c r="A42" s="127" t="n">
        <v>2025</v>
      </c>
      <c r="B42" s="133" t="inlineStr">
        <is>
          <t>Bronze</t>
        </is>
      </c>
      <c r="C42" s="127" t="inlineStr">
        <is>
          <t>Severance S2 - Opening Title</t>
        </is>
      </c>
      <c r="D42" s="127" t="inlineStr">
        <is>
          <t>Apple</t>
        </is>
      </c>
      <c r="E42" s="127" t="inlineStr">
        <is>
          <t>TV Series</t>
        </is>
      </c>
      <c r="F42" s="127" t="inlineStr">
        <is>
          <t>Apple</t>
        </is>
      </c>
      <c r="G42" s="127" t="inlineStr">
        <is>
          <t>United States</t>
        </is>
      </c>
      <c r="H42" s="113" t="inlineStr">
        <is>
          <t>Animation</t>
        </is>
      </c>
      <c r="I42" s="128" t="inlineStr">
        <is>
          <t>https://ascentialcdn.filespin.io/api/v1/storyboard/866619c424b04e07b3de2b867203b5ba/storyboard_000008.jpg</t>
        </is>
      </c>
      <c r="J42" s="127" t="inlineStr">
        <is>
          <t>uKT5bwMkOAw</t>
        </is>
      </c>
      <c r="K42" s="127" t="n"/>
      <c r="L42" s="128" t="inlineStr">
        <is>
          <t>https://www.lovethework.com/work/entries/severance-s2-opening-title-765337</t>
        </is>
      </c>
      <c r="M42" s="113" t="inlineStr">
        <is>
          <t>An animated opening title sequence for Season 2 of Severance that extends the show's visual language of severed identity — office-world imagery, bifurcated bodies, and clinical typography — into a fully choreographed motion piece. The sequence was created in-house at Apple and sets the psychological tone of the series before a single scene plays.</t>
        </is>
      </c>
      <c r="N42" s="113" t="inlineStr">
        <is>
          <t>tv-series, animation, title-sequence, motion-graphics, typography, streaming, tv, entertainment, united-states, in-house</t>
        </is>
      </c>
    </row>
    <row r="43">
      <c r="A43" s="127" t="n">
        <v>2025</v>
      </c>
      <c r="B43" s="133" t="inlineStr">
        <is>
          <t>Bronze</t>
        </is>
      </c>
      <c r="C43" s="127" t="inlineStr">
        <is>
          <t>Considering What?</t>
        </is>
      </c>
      <c r="D43" s="127" t="inlineStr">
        <is>
          <t>Channel 4</t>
        </is>
      </c>
      <c r="E43" s="127" t="inlineStr">
        <is>
          <t>C4 Paralympics 2024</t>
        </is>
      </c>
      <c r="F43" s="127" t="inlineStr">
        <is>
          <t>Factory Studios</t>
        </is>
      </c>
      <c r="G43" s="127" t="inlineStr">
        <is>
          <t>United Kingdom</t>
        </is>
      </c>
      <c r="H43" s="113" t="inlineStr">
        <is>
          <t>Use of Original Music</t>
        </is>
      </c>
      <c r="I43" s="127" t="inlineStr">
        <is>
          <t>digital-presentation-images/film-channel-4-paris-paralympic-2024-considering-what.webp</t>
        </is>
      </c>
      <c r="J43" s="127" t="inlineStr">
        <is>
          <t>bUs_mNTNwvE</t>
        </is>
      </c>
      <c r="K43" s="127" t="n"/>
      <c r="L43" s="128" t="inlineStr">
        <is>
          <t>https://www.lovethework.com/work/entries/considering-what-765318</t>
        </is>
      </c>
      <c r="M43" s="113" t="inlineStr">
        <is>
          <t>A broadcast and OOH campaign for Channel 4's Paris 2024 Paralympics coverage that crossed out patronising caveats — "She's incredibly fast for someone in a wheelchair," "He's so strong for someone so small" — with the athletes' actual performances, leaving the qualifying phrase struck through on billboards and in social posts. On social, the same condescending framing was applied to non-disabled Olympic athletes to expose how absurd the language sounds when directed at anyone. The film, made with 4Creative, personified the physical forces — gravity, wind, time — that all elite athletes face equally, regardless of disability.</t>
        </is>
      </c>
      <c r="N43" s="113" t="inlineStr">
        <is>
          <t>broadcaster, paralympics, ooh, film, cinema, entertainment, social, disability, sports, united-kingdom, typography</t>
        </is>
      </c>
    </row>
    <row r="44">
      <c r="A44" s="127" t="n">
        <v>2025</v>
      </c>
      <c r="B44" s="133" t="inlineStr">
        <is>
          <t>Bronze</t>
        </is>
      </c>
      <c r="C44" s="127" t="inlineStr">
        <is>
          <t>Am I a Bad Person?</t>
        </is>
      </c>
      <c r="D44" s="127" t="inlineStr">
        <is>
          <t>Nike</t>
        </is>
      </c>
      <c r="E44" s="127" t="inlineStr">
        <is>
          <t>Nike</t>
        </is>
      </c>
      <c r="F44" s="127" t="inlineStr">
        <is>
          <t>Somesuch</t>
        </is>
      </c>
      <c r="G44" s="127" t="inlineStr">
        <is>
          <t>United States</t>
        </is>
      </c>
      <c r="H44" s="113" t="inlineStr">
        <is>
          <t>Direction</t>
        </is>
      </c>
      <c r="I44" s="127" t="inlineStr">
        <is>
          <t>digital-presentation-images/film-craft-nike-am-i-a-bad-person.webp</t>
        </is>
      </c>
      <c r="J44" s="127" t="inlineStr">
        <is>
          <t>vimeo:1059963620</t>
        </is>
      </c>
      <c r="K44" s="127" t="n"/>
      <c r="L44" s="128" t="inlineStr">
        <is>
          <t>https://www.lovethework.com/work/entries/am-i-a-bad-person-765348</t>
        </is>
      </c>
      <c r="M44" s="113" t="inlineStr">
        <is>
          <t>A film built around the premise that wanting to win makes you a bad person — narrated by Willem Dafoe over a Beethoven's 9th soundtrack — featuring Olympic, Paralympic, and Refugee athletes including LeBron, Sha'Carri Richardson, and Giannis displaying the extreme, unsentimental lengths they go to in order to win. Directed by Kim Gehrig at Somesuch, with 95% of footage captured in-camera, it anchored Nike's largest global brand campaign in over a decade and ran alongside an OOH rollout carrying lines like "If you don't want to win, you've already lost."</t>
        </is>
      </c>
      <c r="N44" s="113" t="inlineStr">
        <is>
          <t>sportswear, film, cinema, entertainment, ooh, olympics, sport, united-states, athlete, brand-campaign, direction</t>
        </is>
      </c>
    </row>
    <row r="45">
      <c r="A45" s="127" t="n">
        <v>2025</v>
      </c>
      <c r="B45" s="133" t="inlineStr">
        <is>
          <t>Bronze</t>
        </is>
      </c>
      <c r="C45" s="127" t="inlineStr">
        <is>
          <t>Coffin</t>
        </is>
      </c>
      <c r="D45" s="127" t="inlineStr">
        <is>
          <t>Life360</t>
        </is>
      </c>
      <c r="E45" s="127" t="inlineStr">
        <is>
          <t>Life360</t>
        </is>
      </c>
      <c r="F45" s="127" t="inlineStr">
        <is>
          <t>Alto</t>
        </is>
      </c>
      <c r="G45" s="127" t="inlineStr">
        <is>
          <t>United States</t>
        </is>
      </c>
      <c r="H45" s="113" t="inlineStr">
        <is>
          <t>Script</t>
        </is>
      </c>
      <c r="I45" s="128" t="inlineStr">
        <is>
          <t>https://ascentialcdn.filespin.io/api/v1/storyboard/3cd320dd9fcd4445a86f756e25d0402e/storyboard_000008.jpg</t>
        </is>
      </c>
      <c r="J45" s="127" t="inlineStr">
        <is>
          <t>vimeo:1023704952</t>
        </is>
      </c>
      <c r="K45" s="127" t="n"/>
      <c r="L45" s="128" t="inlineStr">
        <is>
          <t>https://www.lovethework.com/work/entries/coffin-765325</t>
        </is>
      </c>
      <c r="M45" s="113" t="inlineStr">
        <is>
          <t>A film spot directed by Steve Ayson of MJZ in which a funeral goes catastrophically wrong when a coffin lid flies open and the body rolls out — played as dark comedy to illustrate what happens when families lose track of each other. The ad is one of three executions (alongside Coat and Curfew) created by Alto New York for Life360's "Family-Proof Your Family" platform, each staging a worst-case scenario rooted in the anxieties of family safety apps.</t>
        </is>
      </c>
      <c r="N45" s="113" t="inlineStr">
        <is>
          <t>family-safety-app, film, cinema, entertainment, dark-comedy, united-states, direction, alto-new-york, mjz</t>
        </is>
      </c>
    </row>
    <row r="46">
      <c r="A46" s="127" t="n">
        <v>2025</v>
      </c>
      <c r="B46" s="133" t="inlineStr">
        <is>
          <t>Bronze</t>
        </is>
      </c>
      <c r="C46" s="127" t="inlineStr">
        <is>
          <t>Wake Up</t>
        </is>
      </c>
      <c r="D46" s="127" t="inlineStr">
        <is>
          <t>Xbox, Droga5</t>
        </is>
      </c>
      <c r="E46" s="127" t="inlineStr">
        <is>
          <t>Xbox Devices in Their Ecosystem &amp; Game Pass</t>
        </is>
      </c>
      <c r="F46" s="127" t="inlineStr">
        <is>
          <t>Part of Accenture Song</t>
        </is>
      </c>
      <c r="G46" s="127" t="inlineStr">
        <is>
          <t>United States</t>
        </is>
      </c>
      <c r="H46" s="113" t="inlineStr">
        <is>
          <t>Colour Correction/Grading</t>
        </is>
      </c>
      <c r="I46" s="128" t="inlineStr">
        <is>
          <t>https://ascentialcdn.filespin.io/api/v1/storyboard/2ca4ed7308854564b83b1093ffa844c6/storyboard_000008.jpg</t>
        </is>
      </c>
      <c r="J46" s="127" t="inlineStr">
        <is>
          <t>vimeo:1074524233</t>
        </is>
      </c>
      <c r="K46" s="127" t="n"/>
      <c r="L46" s="128" t="inlineStr">
        <is>
          <t>https://www.lovethework.com/work/entries/wake-up-765330</t>
        </is>
      </c>
      <c r="M46" s="113" t="inlineStr">
        <is>
          <t>A film co-directed by David Fincher and Romain Chassaing for Xbox and Droga5 New York that depicts the pull of gaming as an antidote to the dull repetition of everyday life — commutes, routines, and analog hours — contrasted against the worlds available through Xbox devices and Game Pass. Produced by RESET, the spot ran as a global brand campaign out of the United States.</t>
        </is>
      </c>
      <c r="N46" s="113" t="inlineStr">
        <is>
          <t>gaming, video-games, entertainment, film, cinema, production-design, art-direction, global, united-states, game-pass, live-action</t>
        </is>
      </c>
    </row>
    <row r="47">
      <c r="A47" s="127" t="n">
        <v>2025</v>
      </c>
      <c r="B47" s="133" t="inlineStr">
        <is>
          <t>Bronze</t>
        </is>
      </c>
      <c r="C47" s="127" t="inlineStr">
        <is>
          <t>The Shoemaker</t>
        </is>
      </c>
      <c r="D47" s="127" t="inlineStr">
        <is>
          <t>Telstra</t>
        </is>
      </c>
      <c r="E47" s="127" t="inlineStr">
        <is>
          <t>Telstra</t>
        </is>
      </c>
      <c r="F47" s="127" t="inlineStr">
        <is>
          <t>Revolver</t>
        </is>
      </c>
      <c r="G47" s="127" t="inlineStr">
        <is>
          <t>Australia</t>
        </is>
      </c>
      <c r="H47" s="113" t="inlineStr">
        <is>
          <t>Production Design/Art Direction</t>
        </is>
      </c>
      <c r="I47" s="128" t="inlineStr">
        <is>
          <t>https://ascentialcdn.filespin.io/api/v1/storyboard/59dfce8e4864466c943faa12518ff439/storyboard_000008.jpg</t>
        </is>
      </c>
      <c r="J47" s="127" t="inlineStr">
        <is>
          <t>vimeo:1072023846</t>
        </is>
      </c>
      <c r="K47" s="127" t="n"/>
      <c r="L47" s="128" t="inlineStr">
        <is>
          <t>https://www.lovethework.com/work/entries/the-shoemaker-765339</t>
        </is>
      </c>
      <c r="M47" s="113" t="inlineStr">
        <is>
          <t>A stop-motion TV commercial, part of Telstra's "Better on a Better Mobile Network" brand platform, in which a shoemaker's craft becomes an extended analogy for network quality. Directed by Steve Rogers at Revolver, it is one of nearly 30 original stop-motion spots produced for the campaign across Australian television.</t>
        </is>
      </c>
      <c r="N47" s="113" t="inlineStr">
        <is>
          <t>telecommunications, stop-motion, tv-commercial, film-craft, production-design, art-direction, australia</t>
        </is>
      </c>
    </row>
    <row r="48">
      <c r="A48" s="127" t="n">
        <v>2025</v>
      </c>
      <c r="B48" s="133" t="inlineStr">
        <is>
          <t>Bronze</t>
        </is>
      </c>
      <c r="C48" s="127" t="inlineStr">
        <is>
          <t>Brian Cox Goes to College</t>
        </is>
      </c>
      <c r="D48" s="127" t="inlineStr">
        <is>
          <t>Uber</t>
        </is>
      </c>
      <c r="E48" s="127" t="inlineStr">
        <is>
          <t>Uber One for Students</t>
        </is>
      </c>
      <c r="F48" s="127" t="inlineStr">
        <is>
          <t>O Positive</t>
        </is>
      </c>
      <c r="G48" s="127" t="inlineStr">
        <is>
          <t>United States</t>
        </is>
      </c>
      <c r="H48" s="113" t="inlineStr">
        <is>
          <t>Direction</t>
        </is>
      </c>
      <c r="I48" s="127" t="inlineStr">
        <is>
          <t>digital-presentation-images/film-craft-uber-brian-cox-goes-to-college.webp</t>
        </is>
      </c>
      <c r="J48" s="127" t="inlineStr">
        <is>
          <t>vimeo:1035756667</t>
        </is>
      </c>
      <c r="K48" s="127" t="n"/>
      <c r="L48" s="128" t="inlineStr">
        <is>
          <t>https://www.lovethework.com/work/entries/brian-cox-goes-to-college-765323</t>
        </is>
      </c>
      <c r="M48" s="113" t="inlineStr">
        <is>
          <t>A film casting 78-year-old Brian Cox as an unlikely college student to advertise Uber One for Students — a $4.99/month membership offering $0 delivery fees, 10% off orders, and 6% cash back on rides. Rather than targeting Gen Z with a peer spokesperson, the spot leans on Cox's curmudgeonly persona to argue the membership is desirable enough that a gruff billionaire would enroll just to access it.</t>
        </is>
      </c>
      <c r="N48" s="113" t="inlineStr">
        <is>
          <t>ride-sharing, film, cinema, entertainment, celebrity-casting, humor, students, united-states, uber-eats, subscription</t>
        </is>
      </c>
    </row>
    <row r="49">
      <c r="A49" s="127" t="n">
        <v>2025</v>
      </c>
      <c r="B49" s="133" t="inlineStr">
        <is>
          <t>Bronze</t>
        </is>
      </c>
      <c r="C49" s="127" t="inlineStr">
        <is>
          <t>The Journey</t>
        </is>
      </c>
      <c r="D49" s="127" t="inlineStr">
        <is>
          <t>AICP</t>
        </is>
      </c>
      <c r="E49" s="127" t="inlineStr">
        <is>
          <t>AICP Show</t>
        </is>
      </c>
      <c r="F49" s="127" t="inlineStr">
        <is>
          <t>O Positive</t>
        </is>
      </c>
      <c r="G49" s="127" t="inlineStr">
        <is>
          <t>United States</t>
        </is>
      </c>
      <c r="H49" s="113" t="inlineStr">
        <is>
          <t>Script</t>
        </is>
      </c>
      <c r="I49" s="128" t="inlineStr">
        <is>
          <t>https://ascentialcdn.filespin.io/api/v1/storyboard/40b05878898a453cab28d1b5cee5db91/storyboard_000008.jpg</t>
        </is>
      </c>
      <c r="J49" s="127" t="inlineStr">
        <is>
          <t>vimeo:946347892</t>
        </is>
      </c>
      <c r="K49" s="127" t="n"/>
      <c r="L49" s="128" t="inlineStr">
        <is>
          <t>https://www.lovethework.com/work/entries/the-journey-765327</t>
        </is>
      </c>
      <c r="M49" s="113" t="inlineStr">
        <is>
          <t>A short comedy film, directed by David Shane of O Positive, that follows an advertising creative's increasingly chaotic attempt to travel to MoMA after learning his work has been selected for the AICP Show — which is exhibited there. The film is both a parody of and an affectionate nod to creatives who aspire to make work that sits at the edge of advertising and art.</t>
        </is>
      </c>
      <c r="N49" s="113" t="inlineStr">
        <is>
          <t>aicp-show, film, cinema, entertainment, scripted-long-form, comedy, united-states, awards-show-promotion, advertising-industry</t>
        </is>
      </c>
    </row>
    <row r="50">
      <c r="A50" s="127" t="n">
        <v>2025</v>
      </c>
      <c r="B50" s="133" t="inlineStr">
        <is>
          <t>Bronze</t>
        </is>
      </c>
      <c r="C50" s="127" t="inlineStr">
        <is>
          <t>Walrus Whizzer</t>
        </is>
      </c>
      <c r="D50" s="127" t="inlineStr">
        <is>
          <t>Virgin</t>
        </is>
      </c>
      <c r="E50" s="127" t="inlineStr">
        <is>
          <t>Virgin Media</t>
        </is>
      </c>
      <c r="F50" s="127" t="inlineStr">
        <is>
          <t>Untold Studios</t>
        </is>
      </c>
      <c r="G50" s="127" t="inlineStr">
        <is>
          <t>United Kingdom</t>
        </is>
      </c>
      <c r="H50" s="113" t="inlineStr">
        <is>
          <t>Visual Effects</t>
        </is>
      </c>
      <c r="I50" s="128" t="inlineStr">
        <is>
          <t>https://ascentialcdn.filespin.io/api/v1/storyboard/a7d2b86e8d154d35bb56d32c7d6f43ca/storyboard_000008.jpg</t>
        </is>
      </c>
      <c r="J50" s="127" t="inlineStr">
        <is>
          <t>VJ2TZs9WJng</t>
        </is>
      </c>
      <c r="K50" s="127" t="n"/>
      <c r="L50" s="128" t="inlineStr">
        <is>
          <t>https://www.lovethework.com/work/entries/walrus-whizzer-765353</t>
        </is>
      </c>
      <c r="M50" s="113" t="inlineStr">
        <is>
          <t>A photo-real CGI walrus piloting a speedboat past bewildered onlooking fishermen, built by Untold Studios using complex 3D models and CG-rendered compositing for a Virgin Media broadband spot shot in Sweden by director Andreas Nilsson of Biscuit Filmworks. The film is the third in VCCP's "To Better and Beyond" trilogy for Virgin Media, following earlier spots built around a cruising cow and a gliding goat.</t>
        </is>
      </c>
      <c r="N50" s="113" t="inlineStr">
        <is>
          <t>broadband, vfx, cgi, film, cinema, entertainment, united-kingdom, animal, compositing, craft</t>
        </is>
      </c>
    </row>
  </sheetData>
  <autoFilter ref="A1:N5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I10" r:id="rId9"/>
    <hyperlink xmlns:r="http://schemas.openxmlformats.org/officeDocument/2006/relationships" ref="L10" r:id="rId10"/>
    <hyperlink xmlns:r="http://schemas.openxmlformats.org/officeDocument/2006/relationships" ref="L11" r:id="rId11"/>
    <hyperlink xmlns:r="http://schemas.openxmlformats.org/officeDocument/2006/relationships" ref="L12" r:id="rId12"/>
    <hyperlink xmlns:r="http://schemas.openxmlformats.org/officeDocument/2006/relationships" ref="I13" r:id="rId13"/>
    <hyperlink xmlns:r="http://schemas.openxmlformats.org/officeDocument/2006/relationships" ref="L13" r:id="rId14"/>
    <hyperlink xmlns:r="http://schemas.openxmlformats.org/officeDocument/2006/relationships" ref="I14" r:id="rId15"/>
    <hyperlink xmlns:r="http://schemas.openxmlformats.org/officeDocument/2006/relationships" ref="L14" r:id="rId16"/>
    <hyperlink xmlns:r="http://schemas.openxmlformats.org/officeDocument/2006/relationships" ref="L15" r:id="rId17"/>
    <hyperlink xmlns:r="http://schemas.openxmlformats.org/officeDocument/2006/relationships" ref="L16" r:id="rId18"/>
    <hyperlink xmlns:r="http://schemas.openxmlformats.org/officeDocument/2006/relationships" ref="I17" r:id="rId19"/>
    <hyperlink xmlns:r="http://schemas.openxmlformats.org/officeDocument/2006/relationships" ref="L17" r:id="rId20"/>
    <hyperlink xmlns:r="http://schemas.openxmlformats.org/officeDocument/2006/relationships" ref="L18" r:id="rId21"/>
    <hyperlink xmlns:r="http://schemas.openxmlformats.org/officeDocument/2006/relationships" ref="L19" r:id="rId22"/>
    <hyperlink xmlns:r="http://schemas.openxmlformats.org/officeDocument/2006/relationships" ref="I20" r:id="rId23"/>
    <hyperlink xmlns:r="http://schemas.openxmlformats.org/officeDocument/2006/relationships" ref="L20" r:id="rId24"/>
    <hyperlink xmlns:r="http://schemas.openxmlformats.org/officeDocument/2006/relationships" ref="L21" r:id="rId25"/>
    <hyperlink xmlns:r="http://schemas.openxmlformats.org/officeDocument/2006/relationships" ref="I22" r:id="rId26"/>
    <hyperlink xmlns:r="http://schemas.openxmlformats.org/officeDocument/2006/relationships" ref="L22" r:id="rId27"/>
    <hyperlink xmlns:r="http://schemas.openxmlformats.org/officeDocument/2006/relationships" ref="L23" r:id="rId28"/>
    <hyperlink xmlns:r="http://schemas.openxmlformats.org/officeDocument/2006/relationships" ref="L24" r:id="rId29"/>
    <hyperlink xmlns:r="http://schemas.openxmlformats.org/officeDocument/2006/relationships" ref="I25" r:id="rId30"/>
    <hyperlink xmlns:r="http://schemas.openxmlformats.org/officeDocument/2006/relationships" ref="L25" r:id="rId31"/>
    <hyperlink xmlns:r="http://schemas.openxmlformats.org/officeDocument/2006/relationships" ref="L26" r:id="rId32"/>
    <hyperlink xmlns:r="http://schemas.openxmlformats.org/officeDocument/2006/relationships" ref="L27" r:id="rId33"/>
    <hyperlink xmlns:r="http://schemas.openxmlformats.org/officeDocument/2006/relationships" ref="L28" r:id="rId34"/>
    <hyperlink xmlns:r="http://schemas.openxmlformats.org/officeDocument/2006/relationships" ref="L29" r:id="rId35"/>
    <hyperlink xmlns:r="http://schemas.openxmlformats.org/officeDocument/2006/relationships" ref="L30" r:id="rId36"/>
    <hyperlink xmlns:r="http://schemas.openxmlformats.org/officeDocument/2006/relationships" ref="L31" r:id="rId37"/>
    <hyperlink xmlns:r="http://schemas.openxmlformats.org/officeDocument/2006/relationships" ref="L32" r:id="rId38"/>
    <hyperlink xmlns:r="http://schemas.openxmlformats.org/officeDocument/2006/relationships" ref="L33" r:id="rId39"/>
    <hyperlink xmlns:r="http://schemas.openxmlformats.org/officeDocument/2006/relationships" ref="I34" r:id="rId40"/>
    <hyperlink xmlns:r="http://schemas.openxmlformats.org/officeDocument/2006/relationships" ref="L34" r:id="rId41"/>
    <hyperlink xmlns:r="http://schemas.openxmlformats.org/officeDocument/2006/relationships" ref="L35" r:id="rId42"/>
    <hyperlink xmlns:r="http://schemas.openxmlformats.org/officeDocument/2006/relationships" ref="I36" r:id="rId43"/>
    <hyperlink xmlns:r="http://schemas.openxmlformats.org/officeDocument/2006/relationships" ref="L36" r:id="rId44"/>
    <hyperlink xmlns:r="http://schemas.openxmlformats.org/officeDocument/2006/relationships" ref="L37" r:id="rId45"/>
    <hyperlink xmlns:r="http://schemas.openxmlformats.org/officeDocument/2006/relationships" ref="L38" r:id="rId46"/>
    <hyperlink xmlns:r="http://schemas.openxmlformats.org/officeDocument/2006/relationships" ref="L39" r:id="rId47"/>
    <hyperlink xmlns:r="http://schemas.openxmlformats.org/officeDocument/2006/relationships" ref="I40" r:id="rId48"/>
    <hyperlink xmlns:r="http://schemas.openxmlformats.org/officeDocument/2006/relationships" ref="L40" r:id="rId49"/>
    <hyperlink xmlns:r="http://schemas.openxmlformats.org/officeDocument/2006/relationships" ref="L41" r:id="rId50"/>
    <hyperlink xmlns:r="http://schemas.openxmlformats.org/officeDocument/2006/relationships" ref="I42" r:id="rId51"/>
    <hyperlink xmlns:r="http://schemas.openxmlformats.org/officeDocument/2006/relationships" ref="L42" r:id="rId52"/>
    <hyperlink xmlns:r="http://schemas.openxmlformats.org/officeDocument/2006/relationships" ref="L43" r:id="rId53"/>
    <hyperlink xmlns:r="http://schemas.openxmlformats.org/officeDocument/2006/relationships" ref="L44" r:id="rId54"/>
    <hyperlink xmlns:r="http://schemas.openxmlformats.org/officeDocument/2006/relationships" ref="I45" r:id="rId55"/>
    <hyperlink xmlns:r="http://schemas.openxmlformats.org/officeDocument/2006/relationships" ref="L45" r:id="rId56"/>
    <hyperlink xmlns:r="http://schemas.openxmlformats.org/officeDocument/2006/relationships" ref="I46" r:id="rId57"/>
    <hyperlink xmlns:r="http://schemas.openxmlformats.org/officeDocument/2006/relationships" ref="L46" r:id="rId58"/>
    <hyperlink xmlns:r="http://schemas.openxmlformats.org/officeDocument/2006/relationships" ref="I47" r:id="rId59"/>
    <hyperlink xmlns:r="http://schemas.openxmlformats.org/officeDocument/2006/relationships" ref="L47" r:id="rId60"/>
    <hyperlink xmlns:r="http://schemas.openxmlformats.org/officeDocument/2006/relationships" ref="L48" r:id="rId61"/>
    <hyperlink xmlns:r="http://schemas.openxmlformats.org/officeDocument/2006/relationships" ref="I49" r:id="rId62"/>
    <hyperlink xmlns:r="http://schemas.openxmlformats.org/officeDocument/2006/relationships" ref="L49" r:id="rId63"/>
    <hyperlink xmlns:r="http://schemas.openxmlformats.org/officeDocument/2006/relationships" ref="I50" r:id="rId64"/>
    <hyperlink xmlns:r="http://schemas.openxmlformats.org/officeDocument/2006/relationships" ref="L50" r:id="rId6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31"/>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Nigrum Corpus</t>
        </is>
      </c>
      <c r="D2" s="127" t="inlineStr">
        <is>
          <t>Idomed</t>
        </is>
      </c>
      <c r="E2" s="127" t="inlineStr">
        <is>
          <t>Nigrum Corpus</t>
        </is>
      </c>
      <c r="F2" s="127" t="inlineStr">
        <is>
          <t>Artplan</t>
        </is>
      </c>
      <c r="G2" s="127" t="inlineStr">
        <is>
          <t>Brazil</t>
        </is>
      </c>
      <c r="H2" s="113" t="inlineStr">
        <is>
          <t>Art Direction: Print &amp; Publishing</t>
        </is>
      </c>
      <c r="I2" s="128" t="inlineStr">
        <is>
          <t>https://ascentialcdn.filespin.io/api/v1/conversion/bf5407e59cfa412f991854f10cadc2f2</t>
        </is>
      </c>
      <c r="J2" s="127" t="inlineStr">
        <is>
          <t>vimeo:1089083708</t>
        </is>
      </c>
      <c r="K2" s="127" t="n"/>
      <c r="L2" s="128" t="inlineStr">
        <is>
          <t>https://www.lovethework.com/work/entries/nigrum-corpus-755517</t>
        </is>
      </c>
      <c r="M2"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2" s="113" t="inlineStr">
        <is>
          <t>medical-education, book, illustration, typography, brazil, health-equity, racial-inclusion, print</t>
        </is>
      </c>
    </row>
    <row r="3">
      <c r="A3" s="127" t="n">
        <v>2025</v>
      </c>
      <c r="B3" s="140" t="inlineStr">
        <is>
          <t>Gold</t>
        </is>
      </c>
      <c r="C3" s="127" t="inlineStr">
        <is>
          <t>Project 4270</t>
        </is>
      </c>
      <c r="D3" s="127" t="inlineStr">
        <is>
          <t>Banco De Chile</t>
        </is>
      </c>
      <c r="E3" s="127" t="inlineStr">
        <is>
          <t>Banco De Chile</t>
        </is>
      </c>
      <c r="F3" s="127" t="inlineStr">
        <is>
          <t>BBDO Chile</t>
        </is>
      </c>
      <c r="G3" s="127" t="inlineStr">
        <is>
          <t>Chile</t>
        </is>
      </c>
      <c r="H3" s="113" t="inlineStr">
        <is>
          <t>Photography: Brand &amp; Communications Design</t>
        </is>
      </c>
      <c r="I3" s="128" t="inlineStr">
        <is>
          <t>https://ascentialcdn.filespin.io/api/v1/conversion/49a6511e16b04d3a992e7af24cead47a</t>
        </is>
      </c>
      <c r="J3" s="127" t="inlineStr">
        <is>
          <t>ge_gHOV-RZc</t>
        </is>
      </c>
      <c r="K3" s="127" t="n"/>
      <c r="L3" s="128" t="inlineStr">
        <is>
          <t>https://www.lovethework.com/work/entries/project-4270-755469</t>
        </is>
      </c>
      <c r="M3" s="113" t="inlineStr">
        <is>
          <t>A drone photography project that documents Chile's 4,270-kilometer coastline for Banco de Chile, produced in partnership with Alaska Films. Each image was captured from the air along the full length of the country's Pacific coast, turning the nation's geographic extreme into a portrait of Chilean territory.</t>
        </is>
      </c>
      <c r="N3" s="113" t="inlineStr">
        <is>
          <t>banking, financial-services, finance, photography, drone, ooh, chile, landscape, brand-communications-design, aerial-photography</t>
        </is>
      </c>
    </row>
    <row r="4">
      <c r="A4" s="127" t="n">
        <v>2025</v>
      </c>
      <c r="B4" s="140" t="inlineStr">
        <is>
          <t>Gold</t>
        </is>
      </c>
      <c r="C4" s="127" t="inlineStr">
        <is>
          <t>Eye Scan</t>
        </is>
      </c>
      <c r="D4" s="127" t="inlineStr">
        <is>
          <t>1001 Optometry</t>
        </is>
      </c>
      <c r="E4" s="127" t="inlineStr">
        <is>
          <t>1001 Optometry</t>
        </is>
      </c>
      <c r="F4" s="127" t="inlineStr">
        <is>
          <t>VML</t>
        </is>
      </c>
      <c r="G4" s="127" t="inlineStr">
        <is>
          <t>Australia</t>
        </is>
      </c>
      <c r="H4" s="113" t="inlineStr">
        <is>
          <t>Art Direction: Outdoor</t>
        </is>
      </c>
      <c r="I4" s="128" t="inlineStr">
        <is>
          <t>https://ascentialcdn.filespin.io/api/v1/conversion/0d649f054bbc45eb8338454f58477357</t>
        </is>
      </c>
      <c r="J4" s="127" t="inlineStr">
        <is>
          <t>e1py_XZAMkk</t>
        </is>
      </c>
      <c r="K4" s="127" t="inlineStr">
        <is>
          <t>1001-optometry-art-direction-outdoor</t>
        </is>
      </c>
      <c r="L4" s="128" t="inlineStr">
        <is>
          <t>https://www.lovethework.com/work/entries/eye-scan-755297</t>
        </is>
      </c>
      <c r="M4" s="113" t="inlineStr">
        <is>
          <t>A series of outdoor billboards designed using AI to calibrate composition, color, contrast, and wardrobe so that viewers with healthy eyesight see a conventional optometry ad, while those with declining vision read the embedded words "eye test," "eye scan," or "eyecare" — a signal to visit a 1001 Optometry store. The boards were placed at controlled distances in high-traffic zones across Australia so the viewing distance itself becomes part of the diagnostic condition.</t>
        </is>
      </c>
      <c r="N4" s="113" t="inlineStr">
        <is>
          <t>optometry, ooh, ai, technology, outdoor, australia, health, art-direction, visual-design</t>
        </is>
      </c>
    </row>
    <row r="5">
      <c r="A5" s="127" t="n">
        <v>2025</v>
      </c>
      <c r="B5" s="140" t="inlineStr">
        <is>
          <t>Gold</t>
        </is>
      </c>
      <c r="C5" s="127" t="inlineStr">
        <is>
          <t>Eye Test</t>
        </is>
      </c>
      <c r="D5" s="127" t="inlineStr">
        <is>
          <t>1001 Optometry</t>
        </is>
      </c>
      <c r="E5" s="127" t="inlineStr">
        <is>
          <t>1001 Optometry</t>
        </is>
      </c>
      <c r="F5" s="127" t="inlineStr">
        <is>
          <t>VML</t>
        </is>
      </c>
      <c r="G5" s="127" t="inlineStr">
        <is>
          <t>Australia</t>
        </is>
      </c>
      <c r="H5" s="113" t="inlineStr">
        <is>
          <t>Art Direction: Outdoor</t>
        </is>
      </c>
      <c r="I5" s="127" t="inlineStr">
        <is>
          <t>digital-presentation-images/industry-craft-1001-optometry-eye-test.webp</t>
        </is>
      </c>
      <c r="J5" s="127" t="inlineStr">
        <is>
          <t>e1py_XZAMkk</t>
        </is>
      </c>
      <c r="K5" s="127" t="inlineStr">
        <is>
          <t>1001-optometry-art-direction-outdoor</t>
        </is>
      </c>
      <c r="L5" s="128" t="inlineStr">
        <is>
          <t>https://www.lovethework.com/work/entries/eye-test-755288</t>
        </is>
      </c>
      <c r="M5" s="113" t="inlineStr">
        <is>
          <t>An outdoor advertising campaign for 1001 Optometry in Australia in which AI-generated visuals embedded within each execution double as functional eye tests — letting passersby detect potential vision issues in real time. The three executions, titled 'Eye Test', 'Eye Scan', and 'Eyecare', were designed so that what a viewer can or cannot see within the image itself signals whether they may need an eye check.</t>
        </is>
      </c>
      <c r="N5" s="113" t="inlineStr">
        <is>
          <t>optometry, ooh, ai, technology, eye-health, public-health, australia, art-direction, print</t>
        </is>
      </c>
    </row>
    <row r="6">
      <c r="A6" s="127" t="n">
        <v>2025</v>
      </c>
      <c r="B6" s="140" t="inlineStr">
        <is>
          <t>Gold</t>
        </is>
      </c>
      <c r="C6" s="127" t="inlineStr">
        <is>
          <t>Eyecare</t>
        </is>
      </c>
      <c r="D6" s="127" t="inlineStr">
        <is>
          <t>1001 Optometry</t>
        </is>
      </c>
      <c r="E6" s="127" t="inlineStr">
        <is>
          <t>1001 Optometry</t>
        </is>
      </c>
      <c r="F6" s="127" t="inlineStr">
        <is>
          <t>VML</t>
        </is>
      </c>
      <c r="G6" s="127" t="inlineStr">
        <is>
          <t>Australia</t>
        </is>
      </c>
      <c r="H6" s="113" t="inlineStr">
        <is>
          <t>Art Direction: Outdoor</t>
        </is>
      </c>
      <c r="I6" s="128" t="inlineStr">
        <is>
          <t>https://ascentialcdn.filespin.io/api/v1/conversion/1414d4463a6843cf997e70a4225294ad</t>
        </is>
      </c>
      <c r="J6" s="127" t="inlineStr">
        <is>
          <t>e1py_XZAMkk</t>
        </is>
      </c>
      <c r="K6" s="127" t="inlineStr">
        <is>
          <t>1001-optometry-art-direction-outdoor</t>
        </is>
      </c>
      <c r="L6" s="128" t="inlineStr">
        <is>
          <t>https://www.lovethework.com/work/entries/eyecare-755309</t>
        </is>
      </c>
      <c r="M6" s="113" t="inlineStr">
        <is>
          <t>A series of three outdoor posters in which hidden words — "Eye Test," "Eye Scan," and "Eyecare" — are embedded within images of 1001 Optometry's frames and sunglasses, visible only to people with impaired vision. Viewers who can read the words are prompted to book an appointment; viewers who can't are simply shown stylish eyewear, making the poster itself the diagnosis.</t>
        </is>
      </c>
      <c r="N6" s="113" t="inlineStr">
        <is>
          <t>optometry, ooh, art-direction, hidden-message, eyecare, australia, print, retail</t>
        </is>
      </c>
    </row>
    <row r="7">
      <c r="A7" s="127" t="n">
        <v>2025</v>
      </c>
      <c r="B7" s="140" t="inlineStr">
        <is>
          <t>Gold</t>
        </is>
      </c>
      <c r="C7" s="127" t="inlineStr">
        <is>
          <t>Winning Isn't Comfortable</t>
        </is>
      </c>
      <c r="D7" s="127" t="inlineStr">
        <is>
          <t>Nike</t>
        </is>
      </c>
      <c r="E7" s="127" t="inlineStr">
        <is>
          <t>Nike</t>
        </is>
      </c>
      <c r="F7" s="127" t="inlineStr">
        <is>
          <t>Wieden+Kennedy</t>
        </is>
      </c>
      <c r="G7" s="127" t="inlineStr">
        <is>
          <t>United States</t>
        </is>
      </c>
      <c r="H7" s="113" t="inlineStr">
        <is>
          <t>Copywriting: Brand &amp; Communications Design</t>
        </is>
      </c>
      <c r="I7" s="128" t="inlineStr">
        <is>
          <t>https://ascentialcdn.filespin.io/api/v1/conversion/3550c1fc27e344ca95537ef31e739800</t>
        </is>
      </c>
      <c r="J7" s="127" t="inlineStr">
        <is>
          <t>FFFmnfdBrm8</t>
        </is>
      </c>
      <c r="K7" s="127" t="n"/>
      <c r="L7" s="128" t="inlineStr">
        <is>
          <t>https://www.lovethework.com/work/entries/winning-isnt-comfortable-755643</t>
        </is>
      </c>
      <c r="M7" s="113" t="inlineStr">
        <is>
          <t>An OOH campaign across 200+ placements at and around five marathons — including Chicago and New York — where billboard copy transitions meaning mid-message, mirroring the way runners hate a run in the moment but love it once it's done. Locations were selected using Strava data to target popular running routes, and executions followed runners from bib pick-up through every mile to the subway ride home. Wieden+Kennedy Portland built the work around the unspoken truth that running is awful and runners know it, countering a category convention of smiling, sweat-free athletes in effortless motion.</t>
        </is>
      </c>
      <c r="N7" s="113" t="inlineStr">
        <is>
          <t>sportswear, ooh, out-of-home, running, marathon, united-states, strava-partnership, copywriting</t>
        </is>
      </c>
    </row>
    <row r="8">
      <c r="A8" s="127" t="n">
        <v>2025</v>
      </c>
      <c r="B8" s="140" t="inlineStr">
        <is>
          <t>Gold</t>
        </is>
      </c>
      <c r="C8" s="127" t="inlineStr">
        <is>
          <t>No Labels</t>
        </is>
      </c>
      <c r="D8" s="127" t="inlineStr">
        <is>
          <t>Nikka Whisky</t>
        </is>
      </c>
      <c r="E8" s="127" t="inlineStr">
        <is>
          <t>Nikka Whisky</t>
        </is>
      </c>
      <c r="F8" s="127" t="inlineStr">
        <is>
          <t>Dentsu Inc.</t>
        </is>
      </c>
      <c r="G8" s="127" t="inlineStr">
        <is>
          <t>Japan</t>
        </is>
      </c>
      <c r="H8" s="113" t="inlineStr">
        <is>
          <t>Photography: Brand &amp; Communications Design</t>
        </is>
      </c>
      <c r="I8" s="128" t="inlineStr">
        <is>
          <t>https://ascentialcdn.filespin.io/api/v1/conversion/298920c22d6d4405bd030b3c48358045</t>
        </is>
      </c>
      <c r="J8" s="127" t="inlineStr">
        <is>
          <t>vimeo:1094008740</t>
        </is>
      </c>
      <c r="K8" s="127" t="n"/>
      <c r="L8" s="128" t="inlineStr">
        <is>
          <t>https://www.lovethework.com/work/entries/no-labels-755428</t>
        </is>
      </c>
      <c r="M8" s="113" t="inlineStr">
        <is>
          <t>A photography campaign for Nikka Whisky in which the bottles carry no labels — the whisky's color, clarity, and character visible through the bare glass as the sole identifier. Created by Dentsu Inc. Tokyo, the work strips the brand's name, heritage text, and product descriptors from the bottle entirely, asking the liquid itself to stand as the communication.</t>
        </is>
      </c>
      <c r="N8" s="113" t="inlineStr">
        <is>
          <t>whisky, photography, packaging, brand-design, japan, craft-photography, minimalism, spirits, alcohol</t>
        </is>
      </c>
    </row>
    <row r="9">
      <c r="A9" s="127" t="n">
        <v>2025</v>
      </c>
      <c r="B9" s="132" t="inlineStr">
        <is>
          <t>Silver</t>
        </is>
      </c>
      <c r="C9" s="127" t="inlineStr">
        <is>
          <t>The Philharmonic Prints – Foyer Windows, 1st Floor</t>
        </is>
      </c>
      <c r="D9" s="127" t="inlineStr">
        <is>
          <t>Berliner Philharmoniker</t>
        </is>
      </c>
      <c r="E9" s="127" t="inlineStr">
        <is>
          <t>Berliner Philharmoniker</t>
        </is>
      </c>
      <c r="F9" s="127" t="inlineStr">
        <is>
          <t>Scholz &amp; Friends</t>
        </is>
      </c>
      <c r="G9" s="127" t="inlineStr">
        <is>
          <t>Germany</t>
        </is>
      </c>
      <c r="H9" s="113" t="inlineStr">
        <is>
          <t>Art Direction: Outdoor</t>
        </is>
      </c>
      <c r="I9" s="128" t="inlineStr">
        <is>
          <t>https://ascentialcdn.filespin.io/api/v1/conversion/45b82704ea3c485b85b739da362c39ed</t>
        </is>
      </c>
      <c r="J9" s="127" t="inlineStr">
        <is>
          <t>vimeo:1093696994</t>
        </is>
      </c>
      <c r="K9" s="127" t="inlineStr">
        <is>
          <t>berliner-philharmoniker-art-direction-outdoor</t>
        </is>
      </c>
      <c r="L9" s="128" t="inlineStr">
        <is>
          <t>https://www.lovethework.com/work/entries/the-philharmonic-prints-foyer-windows-1st-floor-762038</t>
        </is>
      </c>
      <c r="M9" s="113" t="inlineStr">
        <is>
          <t>A series of large-format prints installed across the foyer windows of the first floor of the Berliner Philharmonie, turning the building's own glazed facade into an exhibition surface. The designs were created by Scholz &amp; Friends to promote the Berliner Philharmoniker, using the concert hall's architecture as the medium rather than conventional outdoor advertising.</t>
        </is>
      </c>
      <c r="N9" s="113" t="inlineStr">
        <is>
          <t>classical-music, ooh, print, art-direction, window-installation, germany, ambient, venue-advertising</t>
        </is>
      </c>
    </row>
    <row r="10">
      <c r="A10" s="127" t="n">
        <v>2025</v>
      </c>
      <c r="B10" s="132" t="inlineStr">
        <is>
          <t>Silver</t>
        </is>
      </c>
      <c r="C10" s="127" t="inlineStr">
        <is>
          <t>Moctezuma — Cement Reimagined in Mexico</t>
        </is>
      </c>
      <c r="D10" s="127" t="inlineStr">
        <is>
          <t>Moctezuma</t>
        </is>
      </c>
      <c r="E10" s="127" t="inlineStr">
        <is>
          <t>Moctezuma Cement</t>
        </is>
      </c>
      <c r="F10" s="127" t="inlineStr">
        <is>
          <t>Brands&amp;People</t>
        </is>
      </c>
      <c r="G10" s="127" t="inlineStr">
        <is>
          <t>Mexico</t>
        </is>
      </c>
      <c r="H10" s="113" t="inlineStr">
        <is>
          <t>Art Direction: Packaging Design</t>
        </is>
      </c>
      <c r="I10" s="128" t="inlineStr">
        <is>
          <t>https://ascentialcdn.filespin.io/api/v1/conversion/45acab20ec964b83b71a1ef010683ff4</t>
        </is>
      </c>
      <c r="J10" s="127" t="inlineStr">
        <is>
          <t>DTHrH8UT9Ow</t>
        </is>
      </c>
      <c r="K10" s="127" t="n"/>
      <c r="L10" s="128" t="inlineStr">
        <is>
          <t>https://www.lovethework.com/work/entries/moctezuma-cement-reimagined-in-mexico-762817</t>
        </is>
      </c>
      <c r="M10" s="113" t="inlineStr">
        <is>
          <t>A packaging redesign for Moctezuma cement that turns each bag into a cultural canvas, drawing on pre-Hispanic geometry, stone mosaics, and Aztec symbols built into a modular design system by Brands&amp;People. The visual identity pairs national colors with a brutalist typeface derived from the angular forms of cement blocks.</t>
        </is>
      </c>
      <c r="N10" s="113" t="inlineStr">
        <is>
          <t>cement, packaging, art-direction, modular-design-system, pre-hispanic, typography, mexican-heritage, mexico, rebrand</t>
        </is>
      </c>
    </row>
    <row r="11">
      <c r="A11" s="127" t="n">
        <v>2025</v>
      </c>
      <c r="B11" s="132" t="inlineStr">
        <is>
          <t>Silver</t>
        </is>
      </c>
      <c r="C11" s="127" t="inlineStr">
        <is>
          <t>Designing Paris 2024</t>
        </is>
      </c>
      <c r="D11" s="127" t="inlineStr">
        <is>
          <t>Cojop 2024</t>
        </is>
      </c>
      <c r="E11" s="127" t="inlineStr">
        <is>
          <t>Paris 2024 Olympic Games</t>
        </is>
      </c>
      <c r="F11" s="127" t="inlineStr">
        <is>
          <t>W Conran Design</t>
        </is>
      </c>
      <c r="G11" s="127" t="inlineStr">
        <is>
          <t>France</t>
        </is>
      </c>
      <c r="H11" s="113" t="inlineStr">
        <is>
          <t>Art Direction: Brand &amp; Communications Design</t>
        </is>
      </c>
      <c r="I11" s="128" t="inlineStr">
        <is>
          <t>https://ascentialcdn.filespin.io/api/v1/conversion/d08dfedd3b1440c495f9825ba37be9ee</t>
        </is>
      </c>
      <c r="J11" s="127" t="inlineStr">
        <is>
          <t>b-00yk-YunY</t>
        </is>
      </c>
      <c r="K11" s="127" t="n"/>
      <c r="L11" s="128" t="inlineStr">
        <is>
          <t>https://www.lovethework.com/work/entries/designing-paris-2024-755182</t>
        </is>
      </c>
      <c r="M11" s="113" t="inlineStr">
        <is>
          <t>A modular visual identity system built for the Paris 2024 Olympic and Paralympic Games by W Conran Design and W&amp;Cie, designed to represent the full breadth of the city rather than its most photographed landmarks. The system uses flexible, combinable graphic elements drawn from Parisian architecture, typography, and urban texture to work across venues, wayfinding, broadcast, and merchandise worldwide.</t>
        </is>
      </c>
      <c r="N11" s="113" t="inlineStr">
        <is>
          <t>olympic-games, brand-identity, art-direction, visual-identity, modular-design, france, sports, typography, wayfinding</t>
        </is>
      </c>
    </row>
    <row r="12">
      <c r="A12" s="127" t="n">
        <v>2025</v>
      </c>
      <c r="B12" s="132" t="inlineStr">
        <is>
          <t>Silver</t>
        </is>
      </c>
      <c r="C12" s="127" t="inlineStr">
        <is>
          <t>Made to Share</t>
        </is>
      </c>
      <c r="D12" s="127" t="inlineStr">
        <is>
          <t>Cadbury</t>
        </is>
      </c>
      <c r="E12" s="127" t="inlineStr">
        <is>
          <t>Cadbury Dairy Milk</t>
        </is>
      </c>
      <c r="F12" s="127" t="inlineStr">
        <is>
          <t>VCCP</t>
        </is>
      </c>
      <c r="G12" s="127" t="inlineStr">
        <is>
          <t>United Kingdom</t>
        </is>
      </c>
      <c r="H12" s="113" t="inlineStr">
        <is>
          <t>Copywriting: Packaging Design</t>
        </is>
      </c>
      <c r="I12" s="128" t="inlineStr">
        <is>
          <t>https://ascentialcdn.filespin.io/api/v1/conversion/e8adc13b9108423d81f397fa0733aba6</t>
        </is>
      </c>
      <c r="J12" s="127" t="inlineStr">
        <is>
          <t>4GIFbq2eeFg</t>
        </is>
      </c>
      <c r="K12" s="127" t="n"/>
      <c r="L12" s="128" t="inlineStr">
        <is>
          <t>https://www.lovethework.com/work/entries/made-to-share-764634</t>
        </is>
      </c>
      <c r="M12" s="113" t="inlineStr">
        <is>
          <t>A series of limited-edition Cadbury Dairy Milk bar wrappers, designed by VCCP, where the copy and chunk layout on pack celebrate the small, unspoken acts of kindness that often go unnoticed — the quiet favours, the thankless tasks, the gestures nobody acknowledges. Each bar's packaging reframes the physical act of breaking off a chunk as a prompt to share with someone who deserves recognition for exactly that kind of moment.</t>
        </is>
      </c>
      <c r="N12" s="113" t="inlineStr">
        <is>
          <t>chocolate, packaging, copywriting, limited-edition, ooh, united-kingdom, generosity, fmcg</t>
        </is>
      </c>
    </row>
    <row r="13">
      <c r="A13" s="127" t="n">
        <v>2025</v>
      </c>
      <c r="B13" s="132" t="inlineStr">
        <is>
          <t>Silver</t>
        </is>
      </c>
      <c r="C13" s="127" t="inlineStr">
        <is>
          <t>You Must Be Human</t>
        </is>
      </c>
      <c r="D13" s="127" t="inlineStr">
        <is>
          <t>Worldcoin</t>
        </is>
      </c>
      <c r="E13" s="127" t="inlineStr">
        <is>
          <t>World Id</t>
        </is>
      </c>
      <c r="F13" s="127" t="inlineStr">
        <is>
          <t>adam&amp;eveBerlin</t>
        </is>
      </c>
      <c r="G13" s="127" t="inlineStr">
        <is>
          <t>Germany</t>
        </is>
      </c>
      <c r="H13" s="113" t="inlineStr">
        <is>
          <t>Copywriting: Outdoor</t>
        </is>
      </c>
      <c r="I13" s="128" t="inlineStr">
        <is>
          <t>https://ascentialcdn.filespin.io/api/v1/conversion/afbd21854dee4741933864bfb260b620</t>
        </is>
      </c>
      <c r="J13" s="127" t="inlineStr">
        <is>
          <t>Gw_U4uH5-9g</t>
        </is>
      </c>
      <c r="K13" s="127" t="n"/>
      <c r="L13" s="128" t="inlineStr">
        <is>
          <t>https://www.lovethework.com/work/entries/you-must-be-human-764585</t>
        </is>
      </c>
      <c r="M13" s="113" t="inlineStr">
        <is>
          <t>A Berlin-wide OOH campaign for Worldcoin's World ID product, built around copylines celebrating small, specific human peculiarities — the minor behaviors and quirks that distinguish people from bots. Created by adam&amp;eveBerlin, the campaign positions World ID's human-verification premise as a prompt to notice what makes individuals irreducibly human.</t>
        </is>
      </c>
      <c r="N13" s="113" t="inlineStr">
        <is>
          <t>world-id, ooh, copywriting, identity-verification, germany, berlin, fintech, financial-services, finance</t>
        </is>
      </c>
    </row>
    <row r="14">
      <c r="A14" s="127" t="n">
        <v>2025</v>
      </c>
      <c r="B14" s="132" t="inlineStr">
        <is>
          <t>Silver</t>
        </is>
      </c>
      <c r="C14" s="127" t="inlineStr">
        <is>
          <t>60 Years of Film</t>
        </is>
      </c>
      <c r="D14" s="127" t="inlineStr">
        <is>
          <t>Chicago International Film Festival</t>
        </is>
      </c>
      <c r="E14" s="127" t="inlineStr">
        <is>
          <t>Chicago International Film Festival</t>
        </is>
      </c>
      <c r="F14" s="127" t="inlineStr">
        <is>
          <t>Ogilvy</t>
        </is>
      </c>
      <c r="G14" s="127" t="inlineStr">
        <is>
          <t>United States</t>
        </is>
      </c>
      <c r="H14" s="113" t="inlineStr">
        <is>
          <t>Art Direction: Brand &amp; Communications Design</t>
        </is>
      </c>
      <c r="I14" s="128" t="inlineStr">
        <is>
          <t>https://ascentialcdn.filespin.io/api/v1/conversion/9ae725d9e1774872a4971b3b6e62fbbb</t>
        </is>
      </c>
      <c r="J14" s="127" t="n"/>
      <c r="K14" s="127" t="n"/>
      <c r="L14" s="128" t="inlineStr">
        <is>
          <t>https://www.lovethework.com/work/entries/60-years-of-film-761969</t>
        </is>
      </c>
      <c r="M14" s="113" t="inlineStr">
        <is>
          <t>A custom typeface and brand identity system built for the Chicago International Film Festival's 60th anniversary, drawing visual inspiration from six decades of films screened at the festival. Each letterform references the cinematic archive it celebrates, creating a design system that doubles as a retrospective of the festival's programming history.</t>
        </is>
      </c>
      <c r="N14" s="113" t="inlineStr">
        <is>
          <t>film-festival, typography, brand-identity, design-system, ooh, united-states, print, anniversary</t>
        </is>
      </c>
    </row>
    <row r="15">
      <c r="A15" s="127" t="n">
        <v>2025</v>
      </c>
      <c r="B15" s="132" t="inlineStr">
        <is>
          <t>Silver</t>
        </is>
      </c>
      <c r="C15" s="127" t="inlineStr">
        <is>
          <t>The Philharmonic Prints – Stage Floor, Great Hall</t>
        </is>
      </c>
      <c r="D15" s="127" t="inlineStr">
        <is>
          <t>Berliner Philharmoniker</t>
        </is>
      </c>
      <c r="E15" s="127" t="inlineStr">
        <is>
          <t>Berliner Philharmoniker</t>
        </is>
      </c>
      <c r="F15" s="127" t="inlineStr">
        <is>
          <t>Scholz &amp; Friends</t>
        </is>
      </c>
      <c r="G15" s="127" t="inlineStr">
        <is>
          <t>Germany</t>
        </is>
      </c>
      <c r="H15" s="113" t="inlineStr">
        <is>
          <t>Art Direction: Outdoor</t>
        </is>
      </c>
      <c r="I15" s="128" t="inlineStr">
        <is>
          <t>https://ascentialcdn.filespin.io/api/v1/conversion/f59ad983232a4d4185656043a643b86d</t>
        </is>
      </c>
      <c r="J15" s="127" t="inlineStr">
        <is>
          <t>vimeo:1093696994</t>
        </is>
      </c>
      <c r="K15" s="127" t="inlineStr">
        <is>
          <t>berliner-philharmoniker-art-direction-outdoor</t>
        </is>
      </c>
      <c r="L15" s="128" t="inlineStr">
        <is>
          <t>https://www.lovethework.com/work/entries/the-philharmonic-prints-stage-floor-great-hall-762059</t>
        </is>
      </c>
      <c r="M15" s="113" t="inlineStr">
        <is>
          <t>A series of large-format outdoor prints drawn from the stage floor of the Berliner Philharmoniker's Great Hall — the scuffs, rosin dust, and wear patterns left by generations of musicians repurposed as visual art. Created with Scholz &amp; Friends, the prints ran as ambient outdoor advertising across Germany.</t>
        </is>
      </c>
      <c r="N15" s="113" t="inlineStr">
        <is>
          <t>berliner-philharmoniker, classical-music, ooh, print, ambient, art-direction, germany, scholz-and-friends</t>
        </is>
      </c>
    </row>
    <row r="16">
      <c r="A16" s="127" t="n">
        <v>2025</v>
      </c>
      <c r="B16" s="133" t="inlineStr">
        <is>
          <t>Bronze</t>
        </is>
      </c>
      <c r="C16" s="127" t="inlineStr">
        <is>
          <t>boAt</t>
        </is>
      </c>
      <c r="D16" s="127" t="inlineStr">
        <is>
          <t>Cornetto</t>
        </is>
      </c>
      <c r="E16" s="127" t="inlineStr">
        <is>
          <t>Cornetto Ice Cream</t>
        </is>
      </c>
      <c r="F16" s="127" t="inlineStr">
        <is>
          <t>Lola MullenLowe</t>
        </is>
      </c>
      <c r="G16" s="127" t="inlineStr">
        <is>
          <t>Spain</t>
        </is>
      </c>
      <c r="H16" s="113" t="inlineStr">
        <is>
          <t>Art Direction: Outdoor</t>
        </is>
      </c>
      <c r="I16" s="128" t="inlineStr">
        <is>
          <t>https://ascentialcdn.filespin.io/api/v1/conversion/3a177c8b37754037a19ddf0d99c858db</t>
        </is>
      </c>
      <c r="J16" s="127" t="inlineStr">
        <is>
          <t>hWhvFLwHOlE</t>
        </is>
      </c>
      <c r="K16" s="127" t="inlineStr">
        <is>
          <t>cornetto-art-direction-outdoor</t>
        </is>
      </c>
      <c r="L16" s="128" t="inlineStr">
        <is>
          <t>https://www.lovethework.com/work/entries/boat-764631</t>
        </is>
      </c>
      <c r="M16" s="113" t="inlineStr">
        <is>
          <t>A print series for Cornetto ice cream in which the wrapper of each cone is peeled back to reveal a summer scene — a boat, waves, a surfer, a diver, a windsurfer — illustrated within the negative space of the unwrapped packaging. Each execution uses the act of unwrapping as the visual mechanic, so the cone's foil becomes both the frame and the subject.</t>
        </is>
      </c>
      <c r="N16" s="113" t="inlineStr">
        <is>
          <t>ice-cream, print, outdoor, packaging, illustration, spain, consumer-goods, cpg, fmcg, ooh</t>
        </is>
      </c>
    </row>
    <row r="17">
      <c r="A17" s="127" t="n">
        <v>2025</v>
      </c>
      <c r="B17" s="133" t="inlineStr">
        <is>
          <t>Bronze</t>
        </is>
      </c>
      <c r="C17" s="127" t="inlineStr">
        <is>
          <t>Protector of the Chalice</t>
        </is>
      </c>
      <c r="D17" s="127" t="inlineStr">
        <is>
          <t>Stella Artois</t>
        </is>
      </c>
      <c r="E17" s="127" t="inlineStr">
        <is>
          <t>Stella Artois</t>
        </is>
      </c>
      <c r="F17" s="127" t="inlineStr">
        <is>
          <t>Grey</t>
        </is>
      </c>
      <c r="G17" s="127" t="inlineStr">
        <is>
          <t>United Kingdom</t>
        </is>
      </c>
      <c r="H17" s="113" t="inlineStr">
        <is>
          <t>Art Direction: Print &amp; Publishing</t>
        </is>
      </c>
      <c r="I17" s="128" t="inlineStr">
        <is>
          <t>https://ascentialcdn.filespin.io/api/v1/conversion/a33c9462c05d4330895b056745b6a602</t>
        </is>
      </c>
      <c r="J17" s="127" t="n"/>
      <c r="K17" s="127" t="inlineStr">
        <is>
          <t>stella-artois-art-direction-print-publishing</t>
        </is>
      </c>
      <c r="L17" s="128" t="inlineStr">
        <is>
          <t>https://www.lovethework.com/work/entries/protector-of-the-chalice-755403</t>
        </is>
      </c>
      <c r="M17" s="113" t="inlineStr">
        <is>
          <t>A series of posters by Grey London depicting people drinking a Stella Artois pint in crowded, chaotic surroundings — the chalice held steady and upright as the world presses in around it. Each execution frames the glass as a personal sanctuary, the one still point in a scene of noise and compression.</t>
        </is>
      </c>
      <c r="N17" s="113" t="inlineStr">
        <is>
          <t>beer, alcohol, print, ooh, poster, united-kingdom, illustration, consumer-goods, cpg, fmcg</t>
        </is>
      </c>
    </row>
    <row r="18">
      <c r="A18" s="127" t="n">
        <v>2025</v>
      </c>
      <c r="B18" s="133" t="inlineStr">
        <is>
          <t>Bronze</t>
        </is>
      </c>
      <c r="C18" s="127" t="inlineStr">
        <is>
          <t>Winis Font</t>
        </is>
      </c>
      <c r="D18" s="127" t="inlineStr">
        <is>
          <t>Winis</t>
        </is>
      </c>
      <c r="E18" s="127" t="inlineStr">
        <is>
          <t>Winis Candy</t>
        </is>
      </c>
      <c r="F18" s="127" t="inlineStr">
        <is>
          <t>D14s</t>
        </is>
      </c>
      <c r="G18" s="127" t="inlineStr">
        <is>
          <t>Mexico</t>
        </is>
      </c>
      <c r="H18" s="113" t="inlineStr">
        <is>
          <t>Art Direction: Brand &amp; Communications Design</t>
        </is>
      </c>
      <c r="I18" s="128" t="inlineStr">
        <is>
          <t>https://ascentialcdn.filespin.io/api/v1/conversion/bddc09c58f164186b2e60a6ff81be5d1</t>
        </is>
      </c>
      <c r="J18" s="127" t="inlineStr">
        <is>
          <t>nSdGQxDXGSs</t>
        </is>
      </c>
      <c r="K18" s="127" t="n"/>
      <c r="L18" s="128" t="inlineStr">
        <is>
          <t>https://www.lovethework.com/work/entries/winis-font-763701</t>
        </is>
      </c>
      <c r="M18" s="113" t="inlineStr">
        <is>
          <t>A custom typeface designed by D14S in which each letterform is drawn from the color, shape, and texture of a Winis candy — the 2 cm² sugar-coated sweet itself becoming the canvas for every character. The font was developed for Winis in Mexico as a brand identity and communications design system.</t>
        </is>
      </c>
      <c r="N18" s="113" t="inlineStr">
        <is>
          <t>candy, confectionery, snack, packaged-goods, food, cpg, fmcg, typography, brand-identity, art-direction, mexico, packaging, design-system</t>
        </is>
      </c>
    </row>
    <row r="19">
      <c r="A19" s="127" t="n">
        <v>2025</v>
      </c>
      <c r="B19" s="133" t="inlineStr">
        <is>
          <t>Bronze</t>
        </is>
      </c>
      <c r="C19" s="127" t="inlineStr">
        <is>
          <t>855-How-To-Quit-(opioids)</t>
        </is>
      </c>
      <c r="D19" s="127" t="inlineStr">
        <is>
          <t>Anzen Health</t>
        </is>
      </c>
      <c r="E19" s="127" t="inlineStr">
        <is>
          <t>855-How-To-Quit-Helpline</t>
        </is>
      </c>
      <c r="F19" s="127" t="inlineStr">
        <is>
          <t>Serviceplan Germany</t>
        </is>
      </c>
      <c r="G19" s="127" t="inlineStr">
        <is>
          <t>Germany</t>
        </is>
      </c>
      <c r="H19" s="113" t="inlineStr">
        <is>
          <t>Art Direction: Brand &amp; Communications Design</t>
        </is>
      </c>
      <c r="I19" s="128" t="inlineStr">
        <is>
          <t>https://ascentialcdn.filespin.io/api/v1/conversion/8f5ea045b19848018f457f855087bd79</t>
        </is>
      </c>
      <c r="J19" s="127" t="inlineStr">
        <is>
          <t>I_xvPLZ9DDk</t>
        </is>
      </c>
      <c r="K19" s="127" t="n"/>
      <c r="L19" s="128" t="inlineStr">
        <is>
          <t>https://www.lovethework.com/work/entries/855-how-to-quit-opioids-755234</t>
        </is>
      </c>
      <c r="M19"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19" s="113" t="inlineStr">
        <is>
          <t>beverage, drinks, print, branded-content, craft, literature, partnership, global</t>
        </is>
      </c>
    </row>
    <row r="20">
      <c r="A20" s="127" t="n">
        <v>2025</v>
      </c>
      <c r="B20" s="133" t="inlineStr">
        <is>
          <t>Bronze</t>
        </is>
      </c>
      <c r="C20" s="127" t="inlineStr">
        <is>
          <t>Make Love Last - Living Room</t>
        </is>
      </c>
      <c r="D20" s="127" t="inlineStr">
        <is>
          <t>Viatris</t>
        </is>
      </c>
      <c r="E20" s="127" t="inlineStr">
        <is>
          <t>Viagra</t>
        </is>
      </c>
      <c r="F20" s="127" t="inlineStr">
        <is>
          <t>Ogilvy</t>
        </is>
      </c>
      <c r="G20" s="127" t="inlineStr">
        <is>
          <t>China</t>
        </is>
      </c>
      <c r="H20" s="113" t="inlineStr">
        <is>
          <t>Photography: Outdoor</t>
        </is>
      </c>
      <c r="I20" s="127" t="inlineStr">
        <is>
          <t>digital-presentation-images/industry-craft-viatris-make-love-last-living-room.webp</t>
        </is>
      </c>
      <c r="J20" s="127" t="inlineStr">
        <is>
          <t>vimeo:1086963204</t>
        </is>
      </c>
      <c r="K20" s="127" t="inlineStr">
        <is>
          <t>viatris-photography-outdoor</t>
        </is>
      </c>
      <c r="L20" s="128" t="inlineStr">
        <is>
          <t>https://www.lovethework.com/work/entries/make-love-last-living-room-755540</t>
        </is>
      </c>
      <c r="M20" s="113" t="inlineStr">
        <is>
          <t>A series of time-lapse photographs of real couples shot in domestic spaces — living rooms and bedrooms — commissioned by Viagra in China, where direct-to-consumer pharmaceutical advertising is tightly regulated and open discussion of sex remains culturally sensitive. Viagra partnered with a renowned artist to document three couples sharing their stories of intimacy, capturing unscripted closeness through long-exposure and time-lapse techniques, then released the images online on Chinese Valentine's Day alongside medical experts and relationship KOLs to prompt public conversation.</t>
        </is>
      </c>
      <c r="N20" s="113" t="inlineStr">
        <is>
          <t>pharmaceutical, photography, ooh, china, couples, valentines-day, content-series, influencer, intimate-health</t>
        </is>
      </c>
    </row>
    <row r="21">
      <c r="A21" s="127" t="n">
        <v>2025</v>
      </c>
      <c r="B21" s="133" t="inlineStr">
        <is>
          <t>Bronze</t>
        </is>
      </c>
      <c r="C21" s="127" t="inlineStr">
        <is>
          <t>'the Shining'</t>
        </is>
      </c>
      <c r="D21" s="127" t="inlineStr">
        <is>
          <t>Coca-Cola</t>
        </is>
      </c>
      <c r="E21" s="127" t="inlineStr">
        <is>
          <t>Coca-Cola</t>
        </is>
      </c>
      <c r="F21" s="127" t="inlineStr">
        <is>
          <t>VML</t>
        </is>
      </c>
      <c r="G21" s="127" t="inlineStr">
        <is>
          <t>United States</t>
        </is>
      </c>
      <c r="H21" s="113" t="inlineStr">
        <is>
          <t>Art Direction: Print &amp; Publishing</t>
        </is>
      </c>
      <c r="I21" s="128" t="inlineStr">
        <is>
          <t>https://ascentialcdn.filespin.io/api/v1/conversion/5e0c4fda3f3d4bc2ad2e0d8b2247d936</t>
        </is>
      </c>
      <c r="J21" s="127" t="inlineStr">
        <is>
          <t>vimeo:1124237531</t>
        </is>
      </c>
      <c r="K21" s="127" t="inlineStr">
        <is>
          <t>coca-cola-art-direction-print-publishing</t>
        </is>
      </c>
      <c r="L21" s="128" t="inlineStr">
        <is>
          <t>https://www.lovethework.com/work/entries/the-shining-755543</t>
        </is>
      </c>
      <c r="M21" s="113" t="inlineStr">
        <is>
          <t>A consumer campaign by VML for Coca-Cola in the United States built around the concept of "The Shining." The work uses the Coca-Cola brand's visual or product identity as the central mechanic to deliver its message to consumers.</t>
        </is>
      </c>
      <c r="N21" s="113" t="inlineStr">
        <is>
          <t>coca-cola, soft-drink, consumer-goods, cpg, fmcg, united-states, vml</t>
        </is>
      </c>
    </row>
    <row r="22">
      <c r="A22" s="127" t="n">
        <v>2025</v>
      </c>
      <c r="B22" s="133" t="inlineStr">
        <is>
          <t>Bronze</t>
        </is>
      </c>
      <c r="C22" s="127" t="inlineStr">
        <is>
          <t>Make Love Last - Bedroom</t>
        </is>
      </c>
      <c r="D22" s="127" t="inlineStr">
        <is>
          <t>Viatris</t>
        </is>
      </c>
      <c r="E22" s="127" t="inlineStr">
        <is>
          <t>Viagra</t>
        </is>
      </c>
      <c r="F22" s="127" t="inlineStr">
        <is>
          <t>Ogilvy</t>
        </is>
      </c>
      <c r="G22" s="127" t="inlineStr">
        <is>
          <t>China</t>
        </is>
      </c>
      <c r="H22" s="113" t="inlineStr">
        <is>
          <t>Photography: Outdoor</t>
        </is>
      </c>
      <c r="I22" s="128" t="inlineStr">
        <is>
          <t>https://ascentialcdn.filespin.io/api/v1/conversion/c1c1d7e736414c30b0c7dd8125ee00de</t>
        </is>
      </c>
      <c r="J22" s="127" t="inlineStr">
        <is>
          <t>vimeo:1086963204</t>
        </is>
      </c>
      <c r="K22" s="127" t="inlineStr">
        <is>
          <t>viatris-photography-outdoor</t>
        </is>
      </c>
      <c r="L22" s="128" t="inlineStr">
        <is>
          <t>https://www.lovethework.com/work/entries/make-love-last-bedroom-755520</t>
        </is>
      </c>
      <c r="M22" s="113" t="inlineStr">
        <is>
          <t>A time-lapse film series made for China, where direct-to-consumer pharmaceutical advertising is prohibited and sex remains a heavily regulated topic, in which three real couples shared their stories about intimacy and were then left alone with a camera — their unscripted closeness captured in long, compressed takes by a renowned artist collaborating with Ogilvy Shanghai. The films were released on Chinese Valentine's Day and amplified through medical experts and relationship KOLs to open conversations about intimacy without making explicit product claims.</t>
        </is>
      </c>
      <c r="N22" s="113" t="inlineStr">
        <is>
          <t>pharmaceutical, film, cinema, entertainment, cinematography, time-lapse, china, sexual-health, healthcare, medical, branded-content, social, couples</t>
        </is>
      </c>
    </row>
    <row r="23">
      <c r="A23" s="127" t="n">
        <v>2025</v>
      </c>
      <c r="B23" s="133" t="inlineStr">
        <is>
          <t>Bronze</t>
        </is>
      </c>
      <c r="C23" s="127" t="inlineStr">
        <is>
          <t>Tennessee Sound Sites</t>
        </is>
      </c>
      <c r="D23" s="127" t="inlineStr">
        <is>
          <t>Tennessee Department of Tourist Development</t>
        </is>
      </c>
      <c r="E23" s="127" t="inlineStr">
        <is>
          <t>Tennessee Department of Tourist Development</t>
        </is>
      </c>
      <c r="F23" s="127" t="inlineStr">
        <is>
          <t>VML</t>
        </is>
      </c>
      <c r="G23" s="127" t="inlineStr">
        <is>
          <t>United States</t>
        </is>
      </c>
      <c r="H23" s="113" t="inlineStr">
        <is>
          <t>Copywriting: Excellence in Image Description</t>
        </is>
      </c>
      <c r="I23" s="128" t="inlineStr">
        <is>
          <t>https://ascentialcdn.filespin.io/api/v1/conversion/eb513fac29984db2811524e932026062</t>
        </is>
      </c>
      <c r="J23" s="127" t="inlineStr">
        <is>
          <t>cE9pTxrtkjk</t>
        </is>
      </c>
      <c r="K23" s="127" t="n"/>
      <c r="L23" s="128" t="inlineStr">
        <is>
          <t>https://www.lovethework.com/work/entries/tennessee-sound-sites-755571</t>
        </is>
      </c>
      <c r="M23" s="113" t="inlineStr">
        <is>
          <t>A travel accessibility program from the Tennessee Department of Tourist Development, developed with VML Kansas City, that commissioned songwriters — including Curb | Word Music Publishing's Billy Montana and David Tolliver — to write lyrical audio descriptions of Tennessee landmarks and destinations for blind and visually impaired travelers. The descriptions replace standard visual alt-text with original song-style writing, embedded across the state's tourism content.</t>
        </is>
      </c>
      <c r="N23" s="113" t="inlineStr">
        <is>
          <t>tourism, travel, accessibility, music, entertainment, blind-and-visually-impaired, united-states, audio, content, diversity-and-inclusion</t>
        </is>
      </c>
    </row>
    <row r="24">
      <c r="A24" s="127" t="n">
        <v>2025</v>
      </c>
      <c r="B24" s="133" t="inlineStr">
        <is>
          <t>Bronze</t>
        </is>
      </c>
      <c r="C24" s="127" t="inlineStr">
        <is>
          <t>Surfer</t>
        </is>
      </c>
      <c r="D24" s="127" t="inlineStr">
        <is>
          <t>Cornetto</t>
        </is>
      </c>
      <c r="E24" s="127" t="inlineStr">
        <is>
          <t>Cornetto Ice Cream</t>
        </is>
      </c>
      <c r="F24" s="127" t="inlineStr">
        <is>
          <t>Lola MullenLowe</t>
        </is>
      </c>
      <c r="G24" s="127" t="inlineStr">
        <is>
          <t>Spain</t>
        </is>
      </c>
      <c r="H24" s="113" t="inlineStr">
        <is>
          <t>Art Direction: Outdoor</t>
        </is>
      </c>
      <c r="I24" s="128" t="inlineStr">
        <is>
          <t>https://ascentialcdn.filespin.io/api/v1/conversion/9ceaf650a007496f90b6d5670786b4df</t>
        </is>
      </c>
      <c r="J24" s="127" t="inlineStr">
        <is>
          <t>hWhvFLwHOlE</t>
        </is>
      </c>
      <c r="K24" s="127" t="inlineStr">
        <is>
          <t>cornetto-art-direction-outdoor</t>
        </is>
      </c>
      <c r="L24" s="128" t="inlineStr">
        <is>
          <t>https://www.lovethework.com/work/entries/surfer-764652</t>
        </is>
      </c>
      <c r="M24" s="113" t="inlineStr">
        <is>
          <t>A graphic print series for Cornetto ice cream in which the wrapper of a half-unwrapped cone doubles as a visual element of a summer scene — a sail, a wave, a surfer's board, a diver's arc. Each execution uses only the product and its packaging to complete the image, with no additional illustration.</t>
        </is>
      </c>
      <c r="N24" s="113" t="inlineStr">
        <is>
          <t>ice-cream, print, ooh, packaging, outdoor, graphic-design, spain, consumer-goods, cpg, fmcg</t>
        </is>
      </c>
    </row>
    <row r="25">
      <c r="A25" s="127" t="n">
        <v>2025</v>
      </c>
      <c r="B25" s="133" t="inlineStr">
        <is>
          <t>Bronze</t>
        </is>
      </c>
      <c r="C25" s="127" t="inlineStr">
        <is>
          <t>'extreme Metaphors'</t>
        </is>
      </c>
      <c r="D25" s="127" t="inlineStr">
        <is>
          <t>Coca-Cola</t>
        </is>
      </c>
      <c r="E25" s="127" t="inlineStr">
        <is>
          <t>Coca-Cola</t>
        </is>
      </c>
      <c r="F25" s="127" t="inlineStr">
        <is>
          <t>VML</t>
        </is>
      </c>
      <c r="G25" s="127" t="inlineStr">
        <is>
          <t>United States</t>
        </is>
      </c>
      <c r="H25" s="113" t="inlineStr">
        <is>
          <t>Art Direction: Print &amp; Publishing</t>
        </is>
      </c>
      <c r="I25" s="128" t="inlineStr">
        <is>
          <t>https://ascentialcdn.filespin.io/api/v1/conversion/e7e539cb5808438292eda4ab47fb950f</t>
        </is>
      </c>
      <c r="J25" s="127" t="inlineStr">
        <is>
          <t>vimeo:1124237531</t>
        </is>
      </c>
      <c r="K25" s="127" t="inlineStr">
        <is>
          <t>coca-cola-art-direction-print-publishing</t>
        </is>
      </c>
      <c r="L25" s="128" t="inlineStr">
        <is>
          <t>https://www.lovethework.com/work/entries/extreme-metaphors-755369</t>
        </is>
      </c>
      <c r="M25"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25" s="113" t="inlineStr">
        <is>
          <t>beverage, drinks, print, branded-content, craft, literature, partnership, global</t>
        </is>
      </c>
    </row>
    <row r="26">
      <c r="A26" s="127" t="n">
        <v>2025</v>
      </c>
      <c r="B26" s="133" t="inlineStr">
        <is>
          <t>Bronze</t>
        </is>
      </c>
      <c r="C26" s="127" t="inlineStr">
        <is>
          <t>'a House for Mr. Biswas'</t>
        </is>
      </c>
      <c r="D26" s="127" t="inlineStr">
        <is>
          <t>Coca-Cola</t>
        </is>
      </c>
      <c r="E26" s="127" t="inlineStr">
        <is>
          <t>Coca-Cola</t>
        </is>
      </c>
      <c r="F26" s="127" t="inlineStr">
        <is>
          <t>VML</t>
        </is>
      </c>
      <c r="G26" s="127" t="inlineStr">
        <is>
          <t>United States</t>
        </is>
      </c>
      <c r="H26" s="113" t="inlineStr">
        <is>
          <t>Art Direction: Print &amp; Publishing</t>
        </is>
      </c>
      <c r="I26" s="128" t="inlineStr">
        <is>
          <t>https://ascentialcdn.filespin.io/api/v1/conversion/9c2384ef085943848ac188cd6d5d9a43</t>
        </is>
      </c>
      <c r="J26" s="127" t="inlineStr">
        <is>
          <t>vimeo:1124237531</t>
        </is>
      </c>
      <c r="K26" s="127" t="inlineStr">
        <is>
          <t>coca-cola-art-direction-print-publishing</t>
        </is>
      </c>
      <c r="L26" s="128" t="inlineStr">
        <is>
          <t>https://www.lovethework.com/work/entries/a-house-for-mr-biswas-755553</t>
        </is>
      </c>
      <c r="M26" s="113" t="inlineStr">
        <is>
          <t>Coca-Cola Classic celebrates the brand's quiet presence in culture by finding real mentions of Coke inside beloved novels from around the world. The campaign recreated those pages with obsessive literary craft—from authors' typewriters and first-edition layouts to letterpress printing and audio readings—turning each mention into proof that Coca-Cola has been part of classic stories all along.</t>
        </is>
      </c>
      <c r="N26" s="113" t="inlineStr">
        <is>
          <t>beverage, drinks, print, branded-content, craft, literature, partnership, global</t>
        </is>
      </c>
    </row>
    <row r="27">
      <c r="A27" s="127" t="n">
        <v>2025</v>
      </c>
      <c r="B27" s="133" t="inlineStr">
        <is>
          <t>Bronze</t>
        </is>
      </c>
      <c r="C27" s="127" t="inlineStr">
        <is>
          <t>Waves</t>
        </is>
      </c>
      <c r="D27" s="127" t="inlineStr">
        <is>
          <t>Cornetto</t>
        </is>
      </c>
      <c r="E27" s="127" t="inlineStr">
        <is>
          <t>Cornetto Ice Cream</t>
        </is>
      </c>
      <c r="F27" s="127" t="inlineStr">
        <is>
          <t>Lola MullenLowe</t>
        </is>
      </c>
      <c r="G27" s="127" t="inlineStr">
        <is>
          <t>Spain</t>
        </is>
      </c>
      <c r="H27" s="113" t="inlineStr">
        <is>
          <t>Art Direction: Outdoor</t>
        </is>
      </c>
      <c r="I27" s="128" t="inlineStr">
        <is>
          <t>https://ascentialcdn.filespin.io/api/v1/conversion/35c567148f6e40e1a267849bde62ba92</t>
        </is>
      </c>
      <c r="J27" s="127" t="inlineStr">
        <is>
          <t>hWhvFLwHOlE</t>
        </is>
      </c>
      <c r="K27" s="127" t="inlineStr">
        <is>
          <t>cornetto-art-direction-outdoor</t>
        </is>
      </c>
      <c r="L27" s="128" t="inlineStr">
        <is>
          <t>https://www.lovethework.com/work/entries/waves-764642</t>
        </is>
      </c>
      <c r="M27" s="113" t="inlineStr">
        <is>
          <t>A series of outdoor and print posters built entirely from Cornetto ice cream wrappers, cut and assembled into collages depicting summer scenes — waves, surfers, boats, divers, and windsurfers — using only the packaging's own printed surface as raw material. Each scene is constructed from magazine-style clippings of the wrapper's existing imagery, so the product itself becomes the medium.</t>
        </is>
      </c>
      <c r="N27" s="113" t="inlineStr">
        <is>
          <t>ice-cream, print, ooh, packaging, collage, summer, spain, consumer-goods, cpg, fmcg</t>
        </is>
      </c>
    </row>
    <row r="28">
      <c r="A28" s="127" t="n">
        <v>2025</v>
      </c>
      <c r="B28" s="133" t="inlineStr">
        <is>
          <t>Bronze</t>
        </is>
      </c>
      <c r="C28" s="127" t="inlineStr">
        <is>
          <t>Flags of Unity</t>
        </is>
      </c>
      <c r="D28" s="127" t="inlineStr">
        <is>
          <t>Amref</t>
        </is>
      </c>
      <c r="E28" s="127" t="inlineStr">
        <is>
          <t>Amref</t>
        </is>
      </c>
      <c r="F28" s="127" t="inlineStr">
        <is>
          <t>Edelman</t>
        </is>
      </c>
      <c r="G28" s="127" t="inlineStr">
        <is>
          <t>United Kingdom</t>
        </is>
      </c>
      <c r="H28" s="113" t="inlineStr">
        <is>
          <t>Art Direction: Brand &amp; Communications Design</t>
        </is>
      </c>
      <c r="I28" s="128" t="inlineStr">
        <is>
          <t>https://ascentialcdn.filespin.io/api/v1/conversion/9614d02c7bc4416ba1536c73770f5d8e</t>
        </is>
      </c>
      <c r="J28" s="127" t="inlineStr">
        <is>
          <t>Vddqdo02OOQ</t>
        </is>
      </c>
      <c r="K28" s="127" t="n"/>
      <c r="L28" s="128" t="inlineStr">
        <is>
          <t>https://www.lovethework.com/work/entries/flags-of-unity-755285</t>
        </is>
      </c>
      <c r="M28" s="113" t="inlineStr">
        <is>
          <t>A set of flags created for AHAIC 2025 (the Africa Health Agenda International Conference), designed by Edelman London for Amref Health Africa, that combine the national flags of African nations into unified composite symbols representing cross-border solidarity on health equity. The flags were used as physical conference branding and visual identity across the event.</t>
        </is>
      </c>
      <c r="N28" s="113" t="inlineStr">
        <is>
          <t>health, brand-identity, flag-design, art-direction, conference, africa, united-kingdom, print, event-branding</t>
        </is>
      </c>
    </row>
    <row r="29">
      <c r="A29" s="127" t="n">
        <v>2025</v>
      </c>
      <c r="B29" s="133" t="inlineStr">
        <is>
          <t>Bronze</t>
        </is>
      </c>
      <c r="C29" s="127" t="inlineStr">
        <is>
          <t>The Shakespeare Bic</t>
        </is>
      </c>
      <c r="D29" s="127" t="inlineStr">
        <is>
          <t>Bic</t>
        </is>
      </c>
      <c r="E29" s="127" t="inlineStr">
        <is>
          <t>Bic Crystal Pen</t>
        </is>
      </c>
      <c r="F29" s="127" t="inlineStr">
        <is>
          <t>VML</t>
        </is>
      </c>
      <c r="G29" s="127" t="inlineStr">
        <is>
          <t>Brazil</t>
        </is>
      </c>
      <c r="H29" s="113" t="inlineStr">
        <is>
          <t>Art Direction: Print &amp; Publishing</t>
        </is>
      </c>
      <c r="I29" s="127" t="inlineStr">
        <is>
          <t>digital-presentation-images/industry-craft-bic-the-shakespeare-bic.webp</t>
        </is>
      </c>
      <c r="J29" s="127" t="inlineStr">
        <is>
          <t>5ngNVTeyi4g</t>
        </is>
      </c>
      <c r="K29" s="127" t="n"/>
      <c r="L29" s="128" t="inlineStr">
        <is>
          <t>https://www.lovethework.com/work/entries/the-shakespeare-bic-755424</t>
        </is>
      </c>
      <c r="M29" s="113" t="inlineStr">
        <is>
          <t>A limited-edition BIC Crystal pen produced to mark the fact that Shakespeare's original manuscripts — including Romeo and Juliet — are lost, making the world's most famous plays exist only in later copies. BIC, whose Crystal is one of the most widely used writing instruments ever made, positioned the pen as the physical counterpart to that absence: the kind of object that keeps handwritten words from disappearing.</t>
        </is>
      </c>
      <c r="N29" s="113" t="inlineStr">
        <is>
          <t>ballpoint-pen, special-edition, packaging, print, brazil, writing-instrument, craft, cultural-heritage</t>
        </is>
      </c>
    </row>
    <row r="30">
      <c r="A30" s="127" t="n">
        <v>2025</v>
      </c>
      <c r="B30" s="133" t="inlineStr">
        <is>
          <t>Bronze</t>
        </is>
      </c>
      <c r="C30" s="127" t="inlineStr">
        <is>
          <t>Winter Takes on Colors</t>
        </is>
      </c>
      <c r="D30" s="127" t="inlineStr">
        <is>
          <t>McDonald's Polska</t>
        </is>
      </c>
      <c r="E30" s="127" t="inlineStr">
        <is>
          <t>Drwala Burger (limited Timed Offer)</t>
        </is>
      </c>
      <c r="F30" s="127" t="inlineStr">
        <is>
          <t>DDB Warsaw</t>
        </is>
      </c>
      <c r="G30" s="127" t="inlineStr">
        <is>
          <t>Poland</t>
        </is>
      </c>
      <c r="H30" s="113" t="inlineStr">
        <is>
          <t>Art Direction: Outdoor</t>
        </is>
      </c>
      <c r="I30" s="127" t="inlineStr">
        <is>
          <t>digital-presentation-images/industry-craft-mcdonalds-polska-winter-takes-on-colors.webp</t>
        </is>
      </c>
      <c r="J30" s="127" t="inlineStr">
        <is>
          <t>qcSHtBgAB6o</t>
        </is>
      </c>
      <c r="K30" s="127" t="n"/>
      <c r="L30" s="128" t="inlineStr">
        <is>
          <t>https://www.lovethework.com/work/entries/winter-takes-on-colors-755528</t>
        </is>
      </c>
      <c r="M30"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30" s="113" t="inlineStr">
        <is>
          <t>qsr, fast-food, restaurant, food, retail-experience, branded-merch, craft, fashion, poland, seasonal, ooh</t>
        </is>
      </c>
    </row>
    <row r="31">
      <c r="A31" s="127" t="n">
        <v>2025</v>
      </c>
      <c r="B31" s="133" t="inlineStr">
        <is>
          <t>Bronze</t>
        </is>
      </c>
      <c r="C31" s="127" t="inlineStr">
        <is>
          <t>Happiness Within Chaos</t>
        </is>
      </c>
      <c r="D31" s="127" t="inlineStr">
        <is>
          <t>Stella Artois</t>
        </is>
      </c>
      <c r="E31" s="127" t="inlineStr">
        <is>
          <t>Stella Artois</t>
        </is>
      </c>
      <c r="F31" s="127" t="inlineStr">
        <is>
          <t>Grey</t>
        </is>
      </c>
      <c r="G31" s="127" t="inlineStr">
        <is>
          <t>United Kingdom</t>
        </is>
      </c>
      <c r="H31" s="113" t="inlineStr">
        <is>
          <t>Art Direction: Print &amp; Publishing</t>
        </is>
      </c>
      <c r="I31" s="128" t="inlineStr">
        <is>
          <t>https://ascentialcdn.filespin.io/api/v1/conversion/882ea591b6fa40b29a529180b71afa65</t>
        </is>
      </c>
      <c r="J31" s="127" t="n"/>
      <c r="K31" s="127" t="inlineStr">
        <is>
          <t>stella-artois-art-direction-print-publishing</t>
        </is>
      </c>
      <c r="L31" s="128" t="inlineStr">
        <is>
          <t>https://www.lovethework.com/work/entries/happiness-within-chaos-755413</t>
        </is>
      </c>
      <c r="M31" s="113" t="inlineStr">
        <is>
          <t>A print campaign by Grey London that places a Stella Artois chalice — and the calm of drinking from it — inside visually hectic scenes, contrasting the stillness of the glass against surrounding disorder. Each execution in the series isolates the moment of a sip as a pocket of quiet amid crowds, noise, and clutter.</t>
        </is>
      </c>
      <c r="N31" s="113" t="inlineStr">
        <is>
          <t>beer, alcohol, print, ooh, united-kingdom, campaign-series, illustration, consumer-goods, cpg, fmcg</t>
        </is>
      </c>
    </row>
  </sheetData>
  <autoFilter ref="A1:N31"/>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I7"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I9" r:id="rId14"/>
    <hyperlink xmlns:r="http://schemas.openxmlformats.org/officeDocument/2006/relationships" ref="L9" r:id="rId15"/>
    <hyperlink xmlns:r="http://schemas.openxmlformats.org/officeDocument/2006/relationships" ref="I10" r:id="rId16"/>
    <hyperlink xmlns:r="http://schemas.openxmlformats.org/officeDocument/2006/relationships" ref="L10" r:id="rId17"/>
    <hyperlink xmlns:r="http://schemas.openxmlformats.org/officeDocument/2006/relationships" ref="I11" r:id="rId18"/>
    <hyperlink xmlns:r="http://schemas.openxmlformats.org/officeDocument/2006/relationships" ref="L11" r:id="rId19"/>
    <hyperlink xmlns:r="http://schemas.openxmlformats.org/officeDocument/2006/relationships" ref="I12" r:id="rId20"/>
    <hyperlink xmlns:r="http://schemas.openxmlformats.org/officeDocument/2006/relationships" ref="L12" r:id="rId21"/>
    <hyperlink xmlns:r="http://schemas.openxmlformats.org/officeDocument/2006/relationships" ref="I13" r:id="rId22"/>
    <hyperlink xmlns:r="http://schemas.openxmlformats.org/officeDocument/2006/relationships" ref="L13" r:id="rId23"/>
    <hyperlink xmlns:r="http://schemas.openxmlformats.org/officeDocument/2006/relationships" ref="I14" r:id="rId24"/>
    <hyperlink xmlns:r="http://schemas.openxmlformats.org/officeDocument/2006/relationships" ref="L14" r:id="rId25"/>
    <hyperlink xmlns:r="http://schemas.openxmlformats.org/officeDocument/2006/relationships" ref="I15" r:id="rId26"/>
    <hyperlink xmlns:r="http://schemas.openxmlformats.org/officeDocument/2006/relationships" ref="L15" r:id="rId27"/>
    <hyperlink xmlns:r="http://schemas.openxmlformats.org/officeDocument/2006/relationships" ref="I16" r:id="rId28"/>
    <hyperlink xmlns:r="http://schemas.openxmlformats.org/officeDocument/2006/relationships" ref="L16" r:id="rId29"/>
    <hyperlink xmlns:r="http://schemas.openxmlformats.org/officeDocument/2006/relationships" ref="I17" r:id="rId30"/>
    <hyperlink xmlns:r="http://schemas.openxmlformats.org/officeDocument/2006/relationships" ref="L17" r:id="rId31"/>
    <hyperlink xmlns:r="http://schemas.openxmlformats.org/officeDocument/2006/relationships" ref="I18" r:id="rId32"/>
    <hyperlink xmlns:r="http://schemas.openxmlformats.org/officeDocument/2006/relationships" ref="L18" r:id="rId33"/>
    <hyperlink xmlns:r="http://schemas.openxmlformats.org/officeDocument/2006/relationships" ref="I19" r:id="rId34"/>
    <hyperlink xmlns:r="http://schemas.openxmlformats.org/officeDocument/2006/relationships" ref="L19" r:id="rId35"/>
    <hyperlink xmlns:r="http://schemas.openxmlformats.org/officeDocument/2006/relationships" ref="L20" r:id="rId36"/>
    <hyperlink xmlns:r="http://schemas.openxmlformats.org/officeDocument/2006/relationships" ref="I21" r:id="rId37"/>
    <hyperlink xmlns:r="http://schemas.openxmlformats.org/officeDocument/2006/relationships" ref="L21" r:id="rId38"/>
    <hyperlink xmlns:r="http://schemas.openxmlformats.org/officeDocument/2006/relationships" ref="I22" r:id="rId39"/>
    <hyperlink xmlns:r="http://schemas.openxmlformats.org/officeDocument/2006/relationships" ref="L22" r:id="rId40"/>
    <hyperlink xmlns:r="http://schemas.openxmlformats.org/officeDocument/2006/relationships" ref="I23" r:id="rId41"/>
    <hyperlink xmlns:r="http://schemas.openxmlformats.org/officeDocument/2006/relationships" ref="L23" r:id="rId42"/>
    <hyperlink xmlns:r="http://schemas.openxmlformats.org/officeDocument/2006/relationships" ref="I24" r:id="rId43"/>
    <hyperlink xmlns:r="http://schemas.openxmlformats.org/officeDocument/2006/relationships" ref="L24" r:id="rId44"/>
    <hyperlink xmlns:r="http://schemas.openxmlformats.org/officeDocument/2006/relationships" ref="I25" r:id="rId45"/>
    <hyperlink xmlns:r="http://schemas.openxmlformats.org/officeDocument/2006/relationships" ref="L25" r:id="rId46"/>
    <hyperlink xmlns:r="http://schemas.openxmlformats.org/officeDocument/2006/relationships" ref="I26" r:id="rId47"/>
    <hyperlink xmlns:r="http://schemas.openxmlformats.org/officeDocument/2006/relationships" ref="L26" r:id="rId48"/>
    <hyperlink xmlns:r="http://schemas.openxmlformats.org/officeDocument/2006/relationships" ref="I27" r:id="rId49"/>
    <hyperlink xmlns:r="http://schemas.openxmlformats.org/officeDocument/2006/relationships" ref="L27" r:id="rId50"/>
    <hyperlink xmlns:r="http://schemas.openxmlformats.org/officeDocument/2006/relationships" ref="I28" r:id="rId51"/>
    <hyperlink xmlns:r="http://schemas.openxmlformats.org/officeDocument/2006/relationships" ref="L28" r:id="rId52"/>
    <hyperlink xmlns:r="http://schemas.openxmlformats.org/officeDocument/2006/relationships" ref="L29" r:id="rId53"/>
    <hyperlink xmlns:r="http://schemas.openxmlformats.org/officeDocument/2006/relationships" ref="L30" r:id="rId54"/>
    <hyperlink xmlns:r="http://schemas.openxmlformats.org/officeDocument/2006/relationships" ref="I31" r:id="rId55"/>
    <hyperlink xmlns:r="http://schemas.openxmlformats.org/officeDocument/2006/relationships" ref="L31" r:id="rId56"/>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B2b: Act Like You Know</t>
        </is>
      </c>
      <c r="D2" s="127" t="inlineStr">
        <is>
          <t>GoDaddy</t>
        </is>
      </c>
      <c r="E2" s="127" t="inlineStr">
        <is>
          <t>GoDaddy Airo</t>
        </is>
      </c>
      <c r="F2" s="127" t="inlineStr">
        <is>
          <t>GoDaddy</t>
        </is>
      </c>
      <c r="G2" s="127" t="inlineStr">
        <is>
          <t>United States</t>
        </is>
      </c>
      <c r="H2" s="113" t="inlineStr">
        <is>
          <t>Integrated Campaigns</t>
        </is>
      </c>
      <c r="I2" s="128" t="inlineStr">
        <is>
          <t>https://ascentialcdn.filespin.io/api/v1/conversion/f0ac3195ac904c3daf13ae2ee67cc31a</t>
        </is>
      </c>
      <c r="J2" s="127" t="inlineStr">
        <is>
          <t>w9oF8Uu80Dg</t>
        </is>
      </c>
      <c r="K2" s="127" t="n"/>
      <c r="L2" s="128" t="inlineStr">
        <is>
          <t>https://www.lovethework.com/work/entries/b2b-act-like-you-know-758347</t>
        </is>
      </c>
      <c r="M2" s="113" t="inlineStr">
        <is>
          <t>An integrated B2B campaign in which actor Walton Goggins fronts a fictional small business — built using GoDaddy Airo, GoDaddy's AI-powered toolset — to demonstrate to other small business owners what the product can generate: a brand name, logo, website, and marketing materials, end to end. The fictional company functions as a live product demo, letting prospective customers see the output before hearing the pitch.</t>
        </is>
      </c>
      <c r="N2" s="113" t="inlineStr">
        <is>
          <t>godaddy-airo, ai, technology, integrated-campaign, b2b, business, small-business, united-states, celebrity, web-services</t>
        </is>
      </c>
    </row>
    <row r="3">
      <c r="A3" s="127" t="n">
        <v>2025</v>
      </c>
      <c r="B3" s="140" t="inlineStr">
        <is>
          <t>Gold</t>
        </is>
      </c>
      <c r="C3" s="127" t="inlineStr">
        <is>
          <t>Still Open</t>
        </is>
      </c>
      <c r="D3" s="127" t="inlineStr">
        <is>
          <t>Jc Decaux</t>
        </is>
      </c>
      <c r="E3" s="127" t="inlineStr">
        <is>
          <t>Ooh Media</t>
        </is>
      </c>
      <c r="F3" s="127" t="inlineStr">
        <is>
          <t>David</t>
        </is>
      </c>
      <c r="G3" s="127" t="inlineStr">
        <is>
          <t>Spain</t>
        </is>
      </c>
      <c r="H3" s="113" t="inlineStr">
        <is>
          <t>Market Disruption</t>
        </is>
      </c>
      <c r="I3" s="128" t="inlineStr">
        <is>
          <t>https://ascentialcdn.filespin.io/api/v1/conversion/bccb982c43f84748a1973b909b5863d3</t>
        </is>
      </c>
      <c r="J3" s="127" t="inlineStr">
        <is>
          <t>uIR17EmDu7g</t>
        </is>
      </c>
      <c r="K3" s="127" t="n"/>
      <c r="L3" s="128" t="inlineStr">
        <is>
          <t>https://www.lovethework.com/work/entries/still-open-758077</t>
        </is>
      </c>
      <c r="M3" s="113" t="inlineStr">
        <is>
          <t>A series of JCDecaux outdoor advertising panels in Valencia given free of charge to small street-level businesses damaged by the severe October 2024 flooding — letting shops, restaurants, and local services publicly signal that they had survived and were trading again. Developed by DAVID Madrid, the initiative used the existing billboard infrastructure already embedded in the neighborhoods most affected by the floods.</t>
        </is>
      </c>
      <c r="N3" s="113" t="inlineStr">
        <is>
          <t>ooh, ooh-media, b2b, business, pro-bono, disaster-relief, spain, small-business, street-furniture, outdoor</t>
        </is>
      </c>
    </row>
    <row r="4">
      <c r="A4" s="127" t="n">
        <v>2025</v>
      </c>
      <c r="B4" s="140" t="inlineStr">
        <is>
          <t>Gold</t>
        </is>
      </c>
      <c r="C4" s="127" t="inlineStr">
        <is>
          <t>Renault - Un.patent</t>
        </is>
      </c>
      <c r="D4" s="127" t="inlineStr">
        <is>
          <t>Renault</t>
        </is>
      </c>
      <c r="E4" s="127" t="inlineStr">
        <is>
          <t>Innovating Tools</t>
        </is>
      </c>
      <c r="F4" s="127" t="inlineStr">
        <is>
          <t>Publicis Conseil</t>
        </is>
      </c>
      <c r="G4" s="127" t="inlineStr">
        <is>
          <t>France</t>
        </is>
      </c>
      <c r="H4" s="113" t="inlineStr">
        <is>
          <t>Corporate Purpose &amp; Social Responsibility</t>
        </is>
      </c>
      <c r="I4" s="128" t="inlineStr">
        <is>
          <t>https://ascentialcdn.filespin.io/api/v1/conversion/f8592ba04ed4495d8a51757d790e8679</t>
        </is>
      </c>
      <c r="J4" s="127" t="inlineStr">
        <is>
          <t>yuaAtV_VnC0</t>
        </is>
      </c>
      <c r="K4" s="127" t="n"/>
      <c r="L4" s="128" t="inlineStr">
        <is>
          <t>https://www.lovethework.com/work/entries/renault-unpatent-757993</t>
        </is>
      </c>
      <c r="M4" s="113" t="inlineStr">
        <is>
          <t>A decision by Renault to file patents under the name "UN.Patent" — attributing inventions to the United Nations rather than to Renault — so that the intellectual property enters the public domain and can be freely used by any automaker worldwide. The move targets safety and sustainability technologies, removing the competitive lock-in that typically slows the industry-wide adoption of life-saving innovations.</t>
        </is>
      </c>
      <c r="N4" s="113" t="inlineStr">
        <is>
          <t>automotive, cars, transport, brand-voice, public-domain, intellectual-property, france, b2b, business, sustainability, strategic-storytelling</t>
        </is>
      </c>
    </row>
    <row r="5">
      <c r="A5" s="127" t="n">
        <v>2025</v>
      </c>
      <c r="B5" s="132" t="inlineStr">
        <is>
          <t>Silver</t>
        </is>
      </c>
      <c r="C5" s="127" t="inlineStr">
        <is>
          <t>Recipe for Growth</t>
        </is>
      </c>
      <c r="D5" s="127" t="inlineStr">
        <is>
          <t>Ifood</t>
        </is>
      </c>
      <c r="E5" s="127" t="inlineStr">
        <is>
          <t>Ifood B2b</t>
        </is>
      </c>
      <c r="F5" s="127" t="inlineStr">
        <is>
          <t>DM9</t>
        </is>
      </c>
      <c r="G5" s="127" t="inlineStr">
        <is>
          <t>Brazil</t>
        </is>
      </c>
      <c r="H5" s="113" t="inlineStr">
        <is>
          <t>Effectiveness &amp; Measurement</t>
        </is>
      </c>
      <c r="I5" s="128" t="inlineStr">
        <is>
          <t>https://ascentialcdn.filespin.io/api/v1/conversion/06ac79ad1b9840bdb3df3269a42d0933</t>
        </is>
      </c>
      <c r="J5" s="127" t="inlineStr">
        <is>
          <t>vimeo:1080197730</t>
        </is>
      </c>
      <c r="K5" s="127" t="n"/>
      <c r="L5" s="128" t="inlineStr">
        <is>
          <t>https://www.lovethework.com/work/entries/recipe-for-growth-757969</t>
        </is>
      </c>
      <c r="M5"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5" s="113" t="inlineStr">
        <is>
          <t>food-delivery, food, restaurant, ecommerce, retail, online-shopping, b2b, business, mobile-app, data-driven, small-business, brazil, product-design</t>
        </is>
      </c>
    </row>
    <row r="6">
      <c r="A6" s="127" t="n">
        <v>2025</v>
      </c>
      <c r="B6" s="132" t="inlineStr">
        <is>
          <t>Silver</t>
        </is>
      </c>
      <c r="C6" s="127" t="inlineStr">
        <is>
          <t>Estibadores</t>
        </is>
      </c>
      <c r="D6" s="127" t="inlineStr">
        <is>
          <t>Mibanco</t>
        </is>
      </c>
      <c r="E6" s="127" t="inlineStr">
        <is>
          <t>Financial Inclusion Program</t>
        </is>
      </c>
      <c r="F6" s="127" t="inlineStr">
        <is>
          <t>Circus Grey</t>
        </is>
      </c>
      <c r="G6" s="127" t="inlineStr">
        <is>
          <t>Peru</t>
        </is>
      </c>
      <c r="H6" s="113" t="inlineStr">
        <is>
          <t>Targeting &amp; Engagement</t>
        </is>
      </c>
      <c r="I6" s="128" t="inlineStr">
        <is>
          <t>https://ascentialcdn.filespin.io/api/v1/conversion/5de4650ab9f34ebb8ad0ea4f4bc6b8b5</t>
        </is>
      </c>
      <c r="J6" s="127" t="inlineStr">
        <is>
          <t>ZUXcFSbQ8LA</t>
        </is>
      </c>
      <c r="K6" s="127" t="n"/>
      <c r="L6" s="128" t="inlineStr">
        <is>
          <t>https://www.lovethework.com/work/entries/estibadores-759626</t>
        </is>
      </c>
      <c r="M6" s="113" t="inlineStr">
        <is>
          <t>An out-of-home format built around the cargo dollies used by estibadores — the informal load carriers who work the Gamarra textile market in Lima — converting each trolley into a branded mobile advertising panel. The work responds to a Peruvian regulation that capped the weight estibadores are legally allowed to carry, cutting their earnings, by giving them a new income stream from the ad space on their equipment.</t>
        </is>
      </c>
      <c r="N6" s="113" t="inlineStr">
        <is>
          <t>financial-inclusion, ooh, informal-economy, peru, mibanco, labor-rights, mobile-advertising, corporate-purpose</t>
        </is>
      </c>
    </row>
    <row r="7">
      <c r="A7" s="127" t="n">
        <v>2025</v>
      </c>
      <c r="B7" s="132" t="inlineStr">
        <is>
          <t>Silver</t>
        </is>
      </c>
      <c r="C7" s="127" t="inlineStr">
        <is>
          <t>The Desk Break Clause</t>
        </is>
      </c>
      <c r="D7" s="127" t="inlineStr">
        <is>
          <t>ASICS</t>
        </is>
      </c>
      <c r="E7" s="127" t="inlineStr">
        <is>
          <t>ASICS</t>
        </is>
      </c>
      <c r="F7" s="127" t="inlineStr">
        <is>
          <t>Golin</t>
        </is>
      </c>
      <c r="G7" s="127" t="inlineStr">
        <is>
          <t>United Kingdom</t>
        </is>
      </c>
      <c r="H7" s="113" t="inlineStr">
        <is>
          <t>B2B Influencer Marketing</t>
        </is>
      </c>
      <c r="I7" s="128" t="inlineStr">
        <is>
          <t>https://ascentialcdn.filespin.io/api/v1/conversion/859a375f4fc94040a6d0deeea1586fae</t>
        </is>
      </c>
      <c r="J7" s="127" t="inlineStr">
        <is>
          <t>vimeo:1086029094</t>
        </is>
      </c>
      <c r="K7" s="127" t="n"/>
      <c r="L7" s="128" t="inlineStr">
        <is>
          <t>https://www.lovethework.com/work/entries/the-desk-break-clause-758238</t>
        </is>
      </c>
      <c r="M7" s="113" t="inlineStr">
        <is>
          <t>A contractual clause ASICS drafted and lobbied UK employers to adopt into their standard employment contracts, formally entitling office workers to a daily movement break away from their desk. The campaign enlisted actor Brian Cox to front the push, targeting HR decision-makers and business leaders as the primary audience rather than consumers.</t>
        </is>
      </c>
      <c r="N7" s="113" t="inlineStr">
        <is>
          <t>sportswear, b2b-influencer-marketing, content, digital, experiential, workplace-wellness, united-kingdom, celebrity-talent</t>
        </is>
      </c>
    </row>
    <row r="8">
      <c r="A8" s="127" t="n">
        <v>2025</v>
      </c>
      <c r="B8" s="132" t="inlineStr">
        <is>
          <t>Silver</t>
        </is>
      </c>
      <c r="C8" s="127" t="inlineStr">
        <is>
          <t>Animal Alerts</t>
        </is>
      </c>
      <c r="D8" s="127" t="inlineStr">
        <is>
          <t>Petpace</t>
        </is>
      </c>
      <c r="E8" s="127" t="inlineStr">
        <is>
          <t>Animal Alerts</t>
        </is>
      </c>
      <c r="F8" s="127" t="inlineStr">
        <is>
          <t>Serviceplan Germany</t>
        </is>
      </c>
      <c r="G8" s="127" t="inlineStr">
        <is>
          <t>Germany</t>
        </is>
      </c>
      <c r="H8" s="113" t="inlineStr">
        <is>
          <t>Corporate Purpose &amp; Social Responsibility</t>
        </is>
      </c>
      <c r="I8" s="128" t="inlineStr">
        <is>
          <t>https://ascentialcdn.filespin.io/api/v1/conversion/4c7f3fc5e9e844a883cf1d4bc94c9d58</t>
        </is>
      </c>
      <c r="J8" s="127" t="inlineStr">
        <is>
          <t>vimeo:1094309286</t>
        </is>
      </c>
      <c r="K8" s="127" t="n"/>
      <c r="L8" s="128" t="inlineStr">
        <is>
          <t>https://www.lovethework.com/work/entries/animal-alerts-757967</t>
        </is>
      </c>
      <c r="M8" s="113" t="inlineStr">
        <is>
          <t>A system that repurposes the biometric health sensors PetPace fits to domestic pets — tracking heart rate, temperature, and activity — to generate real-time wildlife distress alerts for animals in surrounding areas. When a pet's sensor detects unusual physiological stress patterns consistent with nearby environmental threats (wildfires, floods, or toxic events), the data is aggregated and broadcast as public alerts, extending the monitoring network into ecosystems beyond the household. The campaign was developed with Serviceplan Innovation, Creative Board, Mediaplus, and L&amp;C New York.</t>
        </is>
      </c>
      <c r="N8" s="113" t="inlineStr">
        <is>
          <t>pet-tech, data, wearable, corporate-purpose, animal-welfare, environmental, integrated, germany</t>
        </is>
      </c>
    </row>
    <row r="9">
      <c r="A9" s="127" t="n">
        <v>2025</v>
      </c>
      <c r="B9" s="133" t="inlineStr">
        <is>
          <t>Bronze</t>
        </is>
      </c>
      <c r="C9" s="127" t="inlineStr">
        <is>
          <t>Nescafé - Plantlets for Future</t>
        </is>
      </c>
      <c r="D9" s="127" t="inlineStr">
        <is>
          <t>Nescafe</t>
        </is>
      </c>
      <c r="E9" s="127" t="inlineStr">
        <is>
          <t>Coffee</t>
        </is>
      </c>
      <c r="F9" s="127" t="inlineStr">
        <is>
          <t>Publicis Conseil</t>
        </is>
      </c>
      <c r="G9" s="127" t="inlineStr">
        <is>
          <t>France</t>
        </is>
      </c>
      <c r="H9" s="113" t="inlineStr">
        <is>
          <t>Market Disruption</t>
        </is>
      </c>
      <c r="I9" s="128" t="inlineStr">
        <is>
          <t>https://ascentialcdn.filespin.io/api/v1/conversion/84fdb68c2d894cd581682c863718054b</t>
        </is>
      </c>
      <c r="J9" s="127" t="inlineStr">
        <is>
          <t>vimeo:1097814176</t>
        </is>
      </c>
      <c r="K9" s="127" t="n"/>
      <c r="L9" s="128" t="inlineStr">
        <is>
          <t>https://www.lovethework.com/work/entries/nescaf-plantlets-for-future-758004</t>
        </is>
      </c>
      <c r="M9" s="113" t="inlineStr">
        <is>
          <t>A B2B program in which Nescafé, working with Publicis Conseil in Paris, supplied coffee plantlets — lab-grown seedlings from disease-resistant arabica and robusta varieties — directly to coffee farmers as a way to future-proof supply chains against climate-driven crop loss. The offer was positioned at agricultural buyers and cooperative partners rather than end consumers, turning Nescafé's upstream sourcing dependency into a tradeable asset for growers.</t>
        </is>
      </c>
      <c r="N9" s="113" t="inlineStr">
        <is>
          <t>coffee, b2b, business, agriculture, supply-chain, france, sustainability, market-disruption</t>
        </is>
      </c>
    </row>
    <row r="10">
      <c r="A10" s="127" t="n">
        <v>2025</v>
      </c>
      <c r="B10" s="133" t="inlineStr">
        <is>
          <t>Bronze</t>
        </is>
      </c>
      <c r="C10" s="127" t="inlineStr">
        <is>
          <t>Caption with Intention</t>
        </is>
      </c>
      <c r="D10" s="127" t="inlineStr">
        <is>
          <t>Academy of Motion Picture Arts &amp; Sciences - Rakish - Chicago Hearing Society</t>
        </is>
      </c>
      <c r="E10" s="127" t="inlineStr">
        <is>
          <t>Closed Captioning</t>
        </is>
      </c>
      <c r="F10" s="127" t="inlineStr">
        <is>
          <t>FCB Chicago</t>
        </is>
      </c>
      <c r="G10" s="127" t="inlineStr">
        <is>
          <t>United States</t>
        </is>
      </c>
      <c r="H10" s="113" t="inlineStr">
        <is>
          <t>Innovative use of Content</t>
        </is>
      </c>
      <c r="I10" s="128" t="inlineStr">
        <is>
          <t>https://ascentialcdn.filespin.io/api/v1/conversion/8cee05632e994496abdaa28c9c780583</t>
        </is>
      </c>
      <c r="J10" s="127" t="inlineStr">
        <is>
          <t>F48khKZhKHM</t>
        </is>
      </c>
      <c r="K10" s="127" t="n"/>
      <c r="L10" s="128" t="inlineStr">
        <is>
          <t>https://www.lovethework.com/work/entries/caption-with-intention-757997</t>
        </is>
      </c>
      <c r="M10"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10" s="113" t="inlineStr">
        <is>
          <t>closed-captioning, accessibility, typography, film, cinema, entertainment, societal-innovation, united-states, design-system, deaf-hard-of-hearing</t>
        </is>
      </c>
    </row>
    <row r="11">
      <c r="A11" s="127" t="n">
        <v>2025</v>
      </c>
      <c r="B11" s="133" t="inlineStr">
        <is>
          <t>Bronze</t>
        </is>
      </c>
      <c r="C11" s="127" t="inlineStr">
        <is>
          <t>Everybody's Business</t>
        </is>
      </c>
      <c r="D11" s="127" t="inlineStr">
        <is>
          <t>LinkedIn</t>
        </is>
      </c>
      <c r="E11" s="127" t="inlineStr">
        <is>
          <t>Everybody's Business</t>
        </is>
      </c>
      <c r="F11" s="127" t="inlineStr">
        <is>
          <t>LinkedIn</t>
        </is>
      </c>
      <c r="G11" s="127" t="inlineStr">
        <is>
          <t>Ireland</t>
        </is>
      </c>
      <c r="H11" s="113" t="inlineStr">
        <is>
          <t>Craft in B2B</t>
        </is>
      </c>
      <c r="I11" s="128" t="inlineStr">
        <is>
          <t>https://ascentialcdn.filespin.io/api/v1/conversion/31d78640c4d74a57a9568f3c2153d239</t>
        </is>
      </c>
      <c r="J11" s="127" t="inlineStr">
        <is>
          <t>vimeo:1094885255/793d3aa7b3</t>
        </is>
      </c>
      <c r="K11" s="127" t="n"/>
      <c r="L11" s="128" t="inlineStr">
        <is>
          <t>https://www.lovethework.com/work/entries/everybodys-business-760029</t>
        </is>
      </c>
      <c r="M11" s="113" t="inlineStr">
        <is>
          <t>A feature-length documentary produced by LinkedIn exploring the craft and culture of B2B marketing, launched alongside a companion industry report at Cannes Lions 2024. Both pieces were created in-house by LinkedIn's Dublin team and positioned B2B as a creative discipline worthy of the same attention given to consumer work.</t>
        </is>
      </c>
      <c r="N11" s="113" t="inlineStr">
        <is>
          <t>b2b, business, documentary, film, entertainment, cinema, professional-network, ireland, branded-content, marketing-industry</t>
        </is>
      </c>
    </row>
    <row r="12">
      <c r="A12" s="127" t="n">
        <v>2025</v>
      </c>
      <c r="B12" s="133" t="inlineStr">
        <is>
          <t>Bronze</t>
        </is>
      </c>
      <c r="C12" s="127" t="inlineStr">
        <is>
          <t>Preserved Promos</t>
        </is>
      </c>
      <c r="D12" s="127" t="inlineStr">
        <is>
          <t>Ziploc</t>
        </is>
      </c>
      <c r="E12" s="127" t="inlineStr">
        <is>
          <t>Ziploc</t>
        </is>
      </c>
      <c r="F12" s="127" t="inlineStr">
        <is>
          <t>VML</t>
        </is>
      </c>
      <c r="G12" s="127" t="inlineStr">
        <is>
          <t>United States</t>
        </is>
      </c>
      <c r="H12" s="113" t="inlineStr">
        <is>
          <t>Market Disruption</t>
        </is>
      </c>
      <c r="I12" s="128" t="inlineStr">
        <is>
          <t>https://ascentialcdn.filespin.io/api/v1/conversion/8223f25b769b40e3b665c4ec19e2e12c</t>
        </is>
      </c>
      <c r="J12" s="127" t="inlineStr">
        <is>
          <t>F9CTRsV3N7k</t>
        </is>
      </c>
      <c r="K12" s="127" t="n"/>
      <c r="L12" s="128" t="inlineStr">
        <is>
          <t>https://www.lovethework.com/work/entries/preserved-promos-758130</t>
        </is>
      </c>
      <c r="M1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12" s="113" t="inlineStr">
        <is>
          <t>food-storage, retail-media, coupon, commerce, mobile, united-states, sc-johnson, promotion</t>
        </is>
      </c>
    </row>
    <row r="13">
      <c r="A13" s="127" t="n">
        <v>2025</v>
      </c>
      <c r="B13" s="133" t="inlineStr">
        <is>
          <t>Bronze</t>
        </is>
      </c>
      <c r="C13" s="127" t="inlineStr">
        <is>
          <t>Starring Bars</t>
        </is>
      </c>
      <c r="D13" s="127" t="inlineStr">
        <is>
          <t>Heineken</t>
        </is>
      </c>
      <c r="E13" s="127" t="inlineStr">
        <is>
          <t>Heineken</t>
        </is>
      </c>
      <c r="F13" s="127" t="inlineStr">
        <is>
          <t>Lepub</t>
        </is>
      </c>
      <c r="G13" s="127" t="inlineStr">
        <is>
          <t>Italy</t>
        </is>
      </c>
      <c r="H13" s="113" t="inlineStr">
        <is>
          <t>Cross-Channel Storytelling</t>
        </is>
      </c>
      <c r="I13" s="128" t="inlineStr">
        <is>
          <t>https://ascentialcdn.filespin.io/api/v1/conversion/6544f095e71a47a39d27334e2404e951</t>
        </is>
      </c>
      <c r="J13" s="127" t="inlineStr">
        <is>
          <t>VNq1oogkrYk</t>
        </is>
      </c>
      <c r="K13" s="127" t="n"/>
      <c r="L13" s="128" t="inlineStr">
        <is>
          <t>https://www.lovethework.com/work/entries/starring-bars-757826</t>
        </is>
      </c>
      <c r="M13" s="113" t="inlineStr">
        <is>
          <t>A global production policy Heineken adopted to film all of its commercials inside real partner bars that need financial support — turning the bars into paid sets and giving them rental income, a production makeover, and international visibility. When not serving customers, the venues serve as locations, with Heineken's ad spend flowing directly to struggling hospitality businesses.</t>
        </is>
      </c>
      <c r="N13" s="113" t="inlineStr">
        <is>
          <t>beer, alcohol, cross-channel, branded-content, hospitality, b2b, business, global, production, lepub</t>
        </is>
      </c>
    </row>
    <row r="14">
      <c r="A14" s="127" t="n">
        <v>2025</v>
      </c>
      <c r="B14" s="133" t="inlineStr">
        <is>
          <t>Bronze</t>
        </is>
      </c>
      <c r="C14" s="127" t="inlineStr">
        <is>
          <t>Recipe for Change</t>
        </is>
      </c>
      <c r="D14" s="127" t="inlineStr">
        <is>
          <t>Arla</t>
        </is>
      </c>
      <c r="E14" s="127" t="inlineStr">
        <is>
          <t>Puck</t>
        </is>
      </c>
      <c r="F14" s="127" t="inlineStr">
        <is>
          <t>FP7 McCANN</t>
        </is>
      </c>
      <c r="G14" s="127" t="inlineStr">
        <is>
          <t>United Arab Emirates</t>
        </is>
      </c>
      <c r="H14" s="113" t="inlineStr">
        <is>
          <t>Targeting &amp; Engagement</t>
        </is>
      </c>
      <c r="I14" s="128" t="inlineStr">
        <is>
          <t>https://ascentialcdn.filespin.io/api/v1/conversion/47493919a45c464ca5a8228f83685d83</t>
        </is>
      </c>
      <c r="J14" s="127" t="inlineStr">
        <is>
          <t>vimeo:1078926878</t>
        </is>
      </c>
      <c r="K14" s="127" t="n"/>
      <c r="L14" s="128" t="inlineStr">
        <is>
          <t>https://www.lovethework.com/work/entries/recipe-for-change-758056</t>
        </is>
      </c>
      <c r="M14"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14" s="113" t="inlineStr">
        <is>
          <t>food, sdg, partnership, restaurant, social-good, middle-east, lebanon, licensing</t>
        </is>
      </c>
    </row>
  </sheetData>
  <autoFilter ref="A1:N14"/>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40" t="inlineStr">
        <is>
          <t>Gold</t>
        </is>
      </c>
      <c r="C2" s="127" t="inlineStr">
        <is>
          <t>IKEA Hidden Tags</t>
        </is>
      </c>
      <c r="D2" s="127" t="inlineStr">
        <is>
          <t>IKEA</t>
        </is>
      </c>
      <c r="E2" s="127" t="inlineStr">
        <is>
          <t>IKEA</t>
        </is>
      </c>
      <c r="F2" s="127" t="inlineStr">
        <is>
          <t>Uzina</t>
        </is>
      </c>
      <c r="G2" s="127" t="inlineStr">
        <is>
          <t>Portugal</t>
        </is>
      </c>
      <c r="H2" s="113" t="inlineStr">
        <is>
          <t>Data Storytelling</t>
        </is>
      </c>
      <c r="I2" s="128" t="inlineStr">
        <is>
          <t>https://ascentialcdn.filespin.io/api/v1/conversion/237ade5924eb407898bf58d19f58a52a</t>
        </is>
      </c>
      <c r="J2" s="127" t="inlineStr">
        <is>
          <t>oKWkHqlt7yA</t>
        </is>
      </c>
      <c r="K2" s="127" t="n"/>
      <c r="L2" s="128" t="inlineStr">
        <is>
          <t>https://www.lovethework.com/work/entries/ikea-hidden-tags-753885</t>
        </is>
      </c>
      <c r="M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 s="113" t="inlineStr">
        <is>
          <t>retail, ugc, gamification, anniversary, furniture, home, portugal, product-design, direct</t>
        </is>
      </c>
    </row>
    <row r="3">
      <c r="A3" s="127" t="n">
        <v>2025</v>
      </c>
      <c r="B3" s="140" t="inlineStr">
        <is>
          <t>Gold</t>
        </is>
      </c>
      <c r="C3" s="127" t="inlineStr">
        <is>
          <t>Sato 2531</t>
        </is>
      </c>
      <c r="D3" s="127" t="inlineStr">
        <is>
          <t>Asuniwa</t>
        </is>
      </c>
      <c r="E3" s="127" t="inlineStr">
        <is>
          <t>Think Name Project</t>
        </is>
      </c>
      <c r="F3" s="127" t="inlineStr">
        <is>
          <t>Dentsu Digital</t>
        </is>
      </c>
      <c r="G3" s="127" t="inlineStr">
        <is>
          <t>Japan</t>
        </is>
      </c>
      <c r="H3" s="113" t="inlineStr">
        <is>
          <t>Cultural Engagement</t>
        </is>
      </c>
      <c r="I3" s="128" t="inlineStr">
        <is>
          <t>https://ascentialcdn.filespin.io/api/v1/conversion/e23ba1fc24004021856268a0ee6b44d9</t>
        </is>
      </c>
      <c r="J3" s="127" t="inlineStr">
        <is>
          <t>BW5T0gC6o3o</t>
        </is>
      </c>
      <c r="K3" s="127" t="n"/>
      <c r="L3" s="128" t="inlineStr">
        <is>
          <t>https://www.lovethework.com/work/entries/sato-2531-754250</t>
        </is>
      </c>
      <c r="M3"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3" s="113" t="inlineStr">
        <is>
          <t>gender-equality, social-good, data-visualization, public-awareness, research, nonprofit, japan, social-issue, naming, activation</t>
        </is>
      </c>
    </row>
    <row r="4">
      <c r="A4" s="127" t="n">
        <v>2025</v>
      </c>
      <c r="B4" s="140" t="inlineStr">
        <is>
          <t>Gold</t>
        </is>
      </c>
      <c r="C4" s="127" t="inlineStr">
        <is>
          <t>Acko Tailor Test</t>
        </is>
      </c>
      <c r="D4" s="127" t="inlineStr">
        <is>
          <t>Acko</t>
        </is>
      </c>
      <c r="E4" s="127" t="inlineStr">
        <is>
          <t>Health Insurance</t>
        </is>
      </c>
      <c r="F4" s="127" t="inlineStr">
        <is>
          <t>Leo</t>
        </is>
      </c>
      <c r="G4" s="127" t="inlineStr">
        <is>
          <t>India</t>
        </is>
      </c>
      <c r="H4" s="113" t="inlineStr">
        <is>
          <t>Creative Data Collection &amp; Research</t>
        </is>
      </c>
      <c r="I4" s="128" t="inlineStr">
        <is>
          <t>https://ascentialcdn.filespin.io/api/v1/conversion/a8a20a31dcb844ebad5ef04afca8370b</t>
        </is>
      </c>
      <c r="J4" s="127" t="inlineStr">
        <is>
          <t>alezIXsk0So</t>
        </is>
      </c>
      <c r="K4" s="127" t="n"/>
      <c r="L4" s="128" t="inlineStr">
        <is>
          <t>https://www.lovethework.com/work/entries/acko-tailor-test-754081</t>
        </is>
      </c>
      <c r="M4" s="113" t="inlineStr">
        <is>
          <t>A training program for Indian tailors that turns the routine fitting into an early-warning heart screen. When a customer's waist or hip measurement crosses a clinical threshold, the tailor gently suggests a check-up — using a moment of trusted physical contact to reach under-insured customers who'd otherwise never get screened.</t>
        </is>
      </c>
      <c r="N4" s="113" t="inlineStr">
        <is>
          <t>healthcare, insurance, financial-services, finance, partnership, preventive-care, medical, social-good, india, behavioral, retail</t>
        </is>
      </c>
    </row>
    <row r="5">
      <c r="A5" s="127" t="n">
        <v>2025</v>
      </c>
      <c r="B5" s="132" t="inlineStr">
        <is>
          <t>Silver</t>
        </is>
      </c>
      <c r="C5" s="127" t="inlineStr">
        <is>
          <t>e.l.f. Beauty "so Many Dicks"</t>
        </is>
      </c>
      <c r="D5" s="127" t="inlineStr">
        <is>
          <t>e.l.f. Beauty</t>
        </is>
      </c>
      <c r="E5" s="127" t="n"/>
      <c r="F5" s="127" t="inlineStr">
        <is>
          <t>e.l.f. Beauty</t>
        </is>
      </c>
      <c r="G5" s="127" t="n"/>
      <c r="H5" s="113" t="inlineStr">
        <is>
          <t>Use of Humour</t>
        </is>
      </c>
      <c r="I5" s="128" t="inlineStr">
        <is>
          <t>https://ascentialcdn.filespin.io/api/v1/conversion/64d76bdbc8f54be7a59e700d5332b2a6</t>
        </is>
      </c>
      <c r="J5" s="127" t="inlineStr">
        <is>
          <t>-koo15C3nYI</t>
        </is>
      </c>
      <c r="K5" s="127" t="n"/>
      <c r="L5" s="128" t="inlineStr">
        <is>
          <t>https://www.lovethework.com/work/entries/elf-beauty-so-many-dicks-753999</t>
        </is>
      </c>
      <c r="M5" s="113" t="inlineStr">
        <is>
          <t>A data-backed campaign built on the finding that more men named Dick — Richard, Rich, and Rick — sit on U.S. corporate boards than all women combined. E.l.f. Beauty used that statistic to draw attention to gender disparity in corporate leadership, framing the brand's own diverse board as a counterpoint.</t>
        </is>
      </c>
      <c r="N5" s="113" t="inlineStr">
        <is>
          <t>cosmetics, personal-care, beauty, united-states, social-issue, gender-diversity, use-of-humour, corporate-advocacy, data-driven</t>
        </is>
      </c>
    </row>
    <row r="6">
      <c r="A6" s="127" t="n">
        <v>2025</v>
      </c>
      <c r="B6" s="132" t="inlineStr">
        <is>
          <t>Silver</t>
        </is>
      </c>
      <c r="C6" s="127" t="inlineStr">
        <is>
          <t>Drops of Hope</t>
        </is>
      </c>
      <c r="D6" s="127" t="inlineStr">
        <is>
          <t>Kimberly-Clark</t>
        </is>
      </c>
      <c r="E6" s="127" t="inlineStr">
        <is>
          <t>Poise</t>
        </is>
      </c>
      <c r="F6" s="127" t="inlineStr">
        <is>
          <t>FCB New York</t>
        </is>
      </c>
      <c r="G6" s="127" t="inlineStr">
        <is>
          <t>United States</t>
        </is>
      </c>
      <c r="H6" s="113" t="inlineStr">
        <is>
          <t>Data-Driven Consumer Product</t>
        </is>
      </c>
      <c r="I6" s="128" t="inlineStr">
        <is>
          <t>https://ascentialcdn.filespin.io/api/v1/conversion/d3b1ef914a9640f7b0b0389b64d37fd2</t>
        </is>
      </c>
      <c r="J6" s="127" t="inlineStr">
        <is>
          <t>MnF0kip489Y</t>
        </is>
      </c>
      <c r="K6" s="127" t="n"/>
      <c r="L6" s="128" t="inlineStr">
        <is>
          <t>https://www.lovethework.com/work/entries/drops-of-hope-753816</t>
        </is>
      </c>
      <c r="M6"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6" s="113" t="inlineStr">
        <is>
          <t>healthcare, diagnostics, medical, womens-health, mail-back, product-innovation, social-good, rural, united-states</t>
        </is>
      </c>
    </row>
    <row r="7">
      <c r="A7" s="127" t="n">
        <v>2025</v>
      </c>
      <c r="B7" s="132" t="inlineStr">
        <is>
          <t>Silver</t>
        </is>
      </c>
      <c r="C7" s="127" t="inlineStr">
        <is>
          <t>Health Tracker</t>
        </is>
      </c>
      <c r="D7" s="127" t="inlineStr">
        <is>
          <t>Elea Laboratory</t>
        </is>
      </c>
      <c r="E7" s="127" t="inlineStr">
        <is>
          <t>Elea Laboratory</t>
        </is>
      </c>
      <c r="F7" s="127" t="inlineStr">
        <is>
          <t>VML</t>
        </is>
      </c>
      <c r="G7" s="127" t="inlineStr">
        <is>
          <t>Argentina</t>
        </is>
      </c>
      <c r="H7" s="113" t="inlineStr">
        <is>
          <t>Cultural Engagement</t>
        </is>
      </c>
      <c r="I7" s="128" t="inlineStr">
        <is>
          <t>https://ascentialcdn.filespin.io/api/v1/conversion/dc840a1ede4e49ceba65f229ae4ced69</t>
        </is>
      </c>
      <c r="J7" s="127" t="inlineStr">
        <is>
          <t>uMCZkFghs_w</t>
        </is>
      </c>
      <c r="K7" s="127" t="n"/>
      <c r="L7" s="128" t="inlineStr">
        <is>
          <t>https://www.lovethework.com/work/entries/health-tracker-754213</t>
        </is>
      </c>
      <c r="M7" s="113" t="inlineStr">
        <is>
          <t>A cross-border digital health tool built for pregnant women moving across the tri-border region shared by Argentina, Bolivia, and Paraguay — three countries whose healthcare systems don't communicate with each other. Developed by VML Buenos Aires with ELEA, Insufarma, and Fundación Mundo Sano, it lets patients carry and share their prenatal records across borders via mobile, maintaining continuity of care regardless of which country they're in.</t>
        </is>
      </c>
      <c r="N7" s="113" t="inlineStr">
        <is>
          <t>pharmaceutical, mobile-app, health, maternal-health, cross-border, argentina, bolivia, paraguay, creative-data</t>
        </is>
      </c>
    </row>
    <row r="8">
      <c r="A8" s="127" t="n">
        <v>2025</v>
      </c>
      <c r="B8" s="132" t="inlineStr">
        <is>
          <t>Silver</t>
        </is>
      </c>
      <c r="C8" s="127" t="inlineStr">
        <is>
          <t>Streetnav</t>
        </is>
      </c>
      <c r="D8" s="127" t="inlineStr">
        <is>
          <t>Streetco</t>
        </is>
      </c>
      <c r="E8" s="127" t="inlineStr">
        <is>
          <t>Streetnav</t>
        </is>
      </c>
      <c r="F8" s="127" t="inlineStr">
        <is>
          <t>Havas Paris</t>
        </is>
      </c>
      <c r="G8" s="127" t="inlineStr">
        <is>
          <t>France</t>
        </is>
      </c>
      <c r="H8" s="113" t="inlineStr">
        <is>
          <t>Use of Real-Time Data</t>
        </is>
      </c>
      <c r="I8" s="128" t="inlineStr">
        <is>
          <t>https://ascentialcdn.filespin.io/api/v1/conversion/e94bf22aa9464e848abb53d498481dc1</t>
        </is>
      </c>
      <c r="J8" s="127" t="inlineStr">
        <is>
          <t>vimeo:1093372618</t>
        </is>
      </c>
      <c r="K8" s="127" t="n"/>
      <c r="L8" s="128" t="inlineStr">
        <is>
          <t>https://www.lovethework.com/work/entries/streetnav-754079</t>
        </is>
      </c>
      <c r="M8" s="113" t="inlineStr">
        <is>
          <t>A navigation app for people with reduced mobility and visual impairments that uses real-time crowdsourced obstacle reporting and audio guidance to route users safely through city streets. Developed by French startup StreetCo and deployed in Cannes in partnership with the city's municipal authority, the app also maps accessible infrastructure — including adapted sports areas like Handiplage — updated continuously as conditions on the ground change.</t>
        </is>
      </c>
      <c r="N8" s="113" t="inlineStr">
        <is>
          <t>mobile-app, accessibility, real-time-data, urban-navigation, reduced-mobility, visual-impairment, france, public-service, crowdsourcing</t>
        </is>
      </c>
    </row>
    <row r="9">
      <c r="A9" s="127" t="n">
        <v>2025</v>
      </c>
      <c r="B9" s="132" t="inlineStr">
        <is>
          <t>Silver</t>
        </is>
      </c>
      <c r="C9" s="127" t="inlineStr">
        <is>
          <t>Pixvertising</t>
        </is>
      </c>
      <c r="D9" s="127" t="inlineStr">
        <is>
          <t>Burger King</t>
        </is>
      </c>
      <c r="E9" s="127" t="inlineStr">
        <is>
          <t>Bk Franguinhos</t>
        </is>
      </c>
      <c r="F9" s="127" t="inlineStr">
        <is>
          <t>AlmapBBDO</t>
        </is>
      </c>
      <c r="G9" s="127" t="inlineStr">
        <is>
          <t>Brazil</t>
        </is>
      </c>
      <c r="H9" s="113" t="inlineStr">
        <is>
          <t>Data-Driven Targeting</t>
        </is>
      </c>
      <c r="I9" s="128" t="inlineStr">
        <is>
          <t>https://ascentialcdn.filespin.io/api/v1/conversion/cfd7900b28e941bc9f0945581daf896f</t>
        </is>
      </c>
      <c r="J9" s="127" t="inlineStr">
        <is>
          <t>vimeo:1081470031</t>
        </is>
      </c>
      <c r="K9" s="127" t="n"/>
      <c r="L9" s="128" t="inlineStr">
        <is>
          <t>https://www.lovethework.com/work/entries/pixvertising-761869</t>
        </is>
      </c>
      <c r="M9" s="113" t="inlineStr">
        <is>
          <t>A campaign that sent R$0.01 transfers via Pix — Brazil's instant payment system — to Burger King customers, embedding promotional messages directly in the transaction description field visible in their banking apps. By routing micro-payments through Pix, AlmapBBDO turned the country's ubiquitous banking infrastructure into an ad placement for BK Franguinhos.</t>
        </is>
      </c>
      <c r="N9" s="113" t="inlineStr">
        <is>
          <t>fast-food, data-driven-targeting, mobile-banking, fintech, financial-services, finance, brazil, direct-messaging, micro-payments, personalization</t>
        </is>
      </c>
    </row>
    <row r="10">
      <c r="A10" s="127" t="n">
        <v>2025</v>
      </c>
      <c r="B10" s="132" t="inlineStr">
        <is>
          <t>Silver</t>
        </is>
      </c>
      <c r="C10" s="127" t="inlineStr">
        <is>
          <t>The Amazon Greenventory</t>
        </is>
      </c>
      <c r="D10" s="127" t="inlineStr">
        <is>
          <t>Natura</t>
        </is>
      </c>
      <c r="E10" s="127" t="inlineStr">
        <is>
          <t>Instituto Nattura</t>
        </is>
      </c>
      <c r="F10" s="127" t="inlineStr">
        <is>
          <t>Africa Creative DDB</t>
        </is>
      </c>
      <c r="G10" s="127" t="inlineStr">
        <is>
          <t>Brazil</t>
        </is>
      </c>
      <c r="H10" s="113" t="inlineStr">
        <is>
          <t>Data Technology</t>
        </is>
      </c>
      <c r="I10" s="128" t="inlineStr">
        <is>
          <t>https://ascentialcdn.filespin.io/api/v1/conversion/8f27d4982c9f44a0ae99fa41531bda8e</t>
        </is>
      </c>
      <c r="J10" s="127" t="inlineStr">
        <is>
          <t>vimeo:1096001831</t>
        </is>
      </c>
      <c r="K10" s="127" t="n"/>
      <c r="L10" s="128" t="inlineStr">
        <is>
          <t>https://www.lovethework.com/work/entries/the-amazon-greenventory-754084</t>
        </is>
      </c>
      <c r="M10" s="113" t="inlineStr">
        <is>
          <t>An inventory system built inside the Amazon rainforest that catalogues biodiversity data — species, ecosystems, and environmental assets — as a structured, browsable resource for conservation and research. Developed by Africa Creative DDB, São Paulo for Instituto Natura, the project treats the Amazon's biological wealth as accountable stock, assigning documented value to what is typically left unmeasured.</t>
        </is>
      </c>
      <c r="N10" s="113" t="inlineStr">
        <is>
          <t>nonprofit, environmental, data-visualization, biodiversity, amazon, brazil, conservation, sustainability, life-on-land</t>
        </is>
      </c>
    </row>
    <row r="11">
      <c r="A11" s="127" t="n">
        <v>2025</v>
      </c>
      <c r="B11" s="132" t="inlineStr">
        <is>
          <t>Silver</t>
        </is>
      </c>
      <c r="C11" s="127" t="inlineStr">
        <is>
          <t>Breastmilk Money</t>
        </is>
      </c>
      <c r="D11" s="127" t="inlineStr">
        <is>
          <t>Herconomy</t>
        </is>
      </c>
      <c r="E11" s="127" t="inlineStr">
        <is>
          <t>Herconomy</t>
        </is>
      </c>
      <c r="F11" s="127" t="inlineStr">
        <is>
          <t>Serviceplan Germany</t>
        </is>
      </c>
      <c r="G11" s="127" t="inlineStr">
        <is>
          <t>Germany</t>
        </is>
      </c>
      <c r="H11" s="113" t="inlineStr">
        <is>
          <t>Single-Market Campaign</t>
        </is>
      </c>
      <c r="I11" s="128" t="inlineStr">
        <is>
          <t>https://ascentialcdn.filespin.io/api/v1/conversion/73ea0e639f6747c68cf8460abe2f02bb</t>
        </is>
      </c>
      <c r="J11" s="127" t="inlineStr">
        <is>
          <t>vimeo:1094309200</t>
        </is>
      </c>
      <c r="K11" s="127" t="n"/>
      <c r="L11" s="128" t="inlineStr">
        <is>
          <t>https://www.lovethework.com/work/entries/breastmilk-money-754148</t>
        </is>
      </c>
      <c r="M11"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1" s="113" t="inlineStr">
        <is>
          <t>fintech, financial-services, finance, womens-finance, breastfeeding, nigeria, single-market-campaign, mobile-app, health-and-wellness, creative-data, unpaid-labor</t>
        </is>
      </c>
    </row>
    <row r="12">
      <c r="A12" s="127" t="n">
        <v>2025</v>
      </c>
      <c r="B12" s="133" t="inlineStr">
        <is>
          <t>Bronze</t>
        </is>
      </c>
      <c r="C12" s="127" t="inlineStr">
        <is>
          <t>Recipe for Growth</t>
        </is>
      </c>
      <c r="D12" s="127" t="inlineStr">
        <is>
          <t>Ifood</t>
        </is>
      </c>
      <c r="E12" s="127" t="inlineStr">
        <is>
          <t>Ifood B2b</t>
        </is>
      </c>
      <c r="F12" s="127" t="inlineStr">
        <is>
          <t>DM9</t>
        </is>
      </c>
      <c r="G12" s="127" t="inlineStr">
        <is>
          <t>Brazil</t>
        </is>
      </c>
      <c r="H12" s="113" t="inlineStr">
        <is>
          <t>Data Integration</t>
        </is>
      </c>
      <c r="I12" s="128" t="inlineStr">
        <is>
          <t>https://ascentialcdn.filespin.io/api/v1/conversion/06ac79ad1b9840bdb3df3269a42d0933</t>
        </is>
      </c>
      <c r="J12" s="127" t="inlineStr">
        <is>
          <t>vimeo:1080197730</t>
        </is>
      </c>
      <c r="K12" s="127" t="n"/>
      <c r="L12" s="128" t="inlineStr">
        <is>
          <t>https://www.lovethework.com/work/entries/recipe-for-growth-754115</t>
        </is>
      </c>
      <c r="M12"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12" s="113" t="inlineStr">
        <is>
          <t>food-delivery, food, restaurant, ecommerce, retail, online-shopping, b2b, business, mobile-app, data-driven, small-business, brazil, product-design</t>
        </is>
      </c>
    </row>
    <row r="13">
      <c r="A13" s="127" t="n">
        <v>2025</v>
      </c>
      <c r="B13" s="133" t="inlineStr">
        <is>
          <t>Bronze</t>
        </is>
      </c>
      <c r="C13" s="127" t="inlineStr">
        <is>
          <t>Disconnect</t>
        </is>
      </c>
      <c r="D13" s="127" t="inlineStr">
        <is>
          <t>Air France</t>
        </is>
      </c>
      <c r="E13" s="127" t="inlineStr">
        <is>
          <t>Air France Holidays</t>
        </is>
      </c>
      <c r="F13" s="127" t="inlineStr">
        <is>
          <t>TBWA\Paris</t>
        </is>
      </c>
      <c r="G13" s="127" t="inlineStr">
        <is>
          <t>France</t>
        </is>
      </c>
      <c r="H13" s="113" t="inlineStr">
        <is>
          <t>Data Visualisation</t>
        </is>
      </c>
      <c r="I13" s="128" t="inlineStr">
        <is>
          <t>https://ascentialcdn.filespin.io/api/v1/conversion/6fbd1db8f0384e92b6c363cfc1ba9bec</t>
        </is>
      </c>
      <c r="J13" s="127" t="inlineStr">
        <is>
          <t>htsdJ3-K3N4</t>
        </is>
      </c>
      <c r="K13" s="127" t="n"/>
      <c r="L13" s="128" t="inlineStr">
        <is>
          <t>https://www.lovethework.com/work/entries/disconnect-753762</t>
        </is>
      </c>
      <c r="M13" s="113" t="inlineStr">
        <is>
          <t>A poster series for Air France Holidays in which data visualizing the digital habits of French travelers — screen time, notifications, app usage — is arranged into four destination landscapes: a bustling city, a sun-drenched beach, a cabin in nature, and a sunset rooftop. Each visual uses the raw data itself as the graphic material, so the act of disconnecting from devices becomes the image of the place you're escaping to. The work was designed to give Air France Holidays a distinct visual identity separate from the Air France parent brand, responding to an OpinionWay finding that 72% of French people feel a need to disconnect.</t>
        </is>
      </c>
      <c r="N13" s="113" t="inlineStr">
        <is>
          <t>air-france-holidays, poster, data-visualisation, travel, tourism, france, typography, ooh, print</t>
        </is>
      </c>
    </row>
    <row r="14">
      <c r="A14" s="127" t="n">
        <v>2025</v>
      </c>
      <c r="B14" s="133" t="inlineStr">
        <is>
          <t>Bronze</t>
        </is>
      </c>
      <c r="C14" s="127" t="inlineStr">
        <is>
          <t>IKEA Hidden Tags</t>
        </is>
      </c>
      <c r="D14" s="127" t="inlineStr">
        <is>
          <t>IKEA</t>
        </is>
      </c>
      <c r="E14" s="127" t="inlineStr">
        <is>
          <t>IKEA</t>
        </is>
      </c>
      <c r="F14" s="127" t="inlineStr">
        <is>
          <t>Uzina</t>
        </is>
      </c>
      <c r="G14" s="127" t="inlineStr">
        <is>
          <t>Portugal</t>
        </is>
      </c>
      <c r="H14" s="113" t="inlineStr">
        <is>
          <t>Market Disruption</t>
        </is>
      </c>
      <c r="I14" s="128" t="inlineStr">
        <is>
          <t>https://ascentialcdn.filespin.io/api/v1/conversion/237ade5924eb407898bf58d19f58a52a</t>
        </is>
      </c>
      <c r="J14" s="127" t="inlineStr">
        <is>
          <t>oKWkHqlt7yA</t>
        </is>
      </c>
      <c r="K14" s="127" t="n"/>
      <c r="L14" s="128" t="inlineStr">
        <is>
          <t>https://www.lovethework.com/work/entries/ikea-hidden-tags-754342</t>
        </is>
      </c>
      <c r="M14"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14" s="113" t="inlineStr">
        <is>
          <t>retail, ugc, gamification, anniversary, furniture, home, portugal, product-design, direct</t>
        </is>
      </c>
    </row>
    <row r="15">
      <c r="A15" s="127" t="n">
        <v>2025</v>
      </c>
      <c r="B15" s="133" t="inlineStr">
        <is>
          <t>Bronze</t>
        </is>
      </c>
      <c r="C15" s="127" t="inlineStr">
        <is>
          <t>The Missing Portraits</t>
        </is>
      </c>
      <c r="D15" s="127" t="inlineStr">
        <is>
          <t>Piracanjuba</t>
        </is>
      </c>
      <c r="E15" s="127" t="inlineStr">
        <is>
          <t>Milk</t>
        </is>
      </c>
      <c r="F15" s="127" t="inlineStr">
        <is>
          <t>Ampfy</t>
        </is>
      </c>
      <c r="G15" s="127" t="inlineStr">
        <is>
          <t>Brazil</t>
        </is>
      </c>
      <c r="H15" s="113" t="inlineStr">
        <is>
          <t>Corporate Purpose &amp; Social Responsibility</t>
        </is>
      </c>
      <c r="I15" s="128" t="inlineStr">
        <is>
          <t>https://ascentialcdn.filespin.io/api/v1/conversion/32d357cad3624b9489965e9886948447</t>
        </is>
      </c>
      <c r="J15" s="127" t="inlineStr">
        <is>
          <t>vimeo:1077737553</t>
        </is>
      </c>
      <c r="K15" s="127" t="n"/>
      <c r="L15" s="128" t="inlineStr">
        <is>
          <t>https://www.lovethework.com/work/entries/the-missing-portraits-754176</t>
        </is>
      </c>
      <c r="M15" s="113" t="inlineStr">
        <is>
          <t>A campaign that revived the 1980s practice of printing missing persons' faces on milk cartons, using AI to reconstruct aged portraits of eight individuals who disappeared decades ago and placing them on Piracanjuba milk packaging distributed across Brazil. The updated portraits — generated to show what each person might look like today — were paired with identifying information to aid in locating them, and the effort led to the founding of the Piracanjuba Institute to continue the work in subsequent waves.</t>
        </is>
      </c>
      <c r="N15" s="113" t="inlineStr">
        <is>
          <t>milk, packaging, ai, technology, public-interest, missing-persons, brazil, data-visualization, integrated, corporate-purpose</t>
        </is>
      </c>
    </row>
    <row r="16">
      <c r="A16" s="127" t="n">
        <v>2025</v>
      </c>
      <c r="B16" s="133" t="inlineStr">
        <is>
          <t>Bronze</t>
        </is>
      </c>
      <c r="C16" s="127" t="inlineStr">
        <is>
          <t>Life Donor Card</t>
        </is>
      </c>
      <c r="D16" s="127" t="inlineStr">
        <is>
          <t>Mastercard</t>
        </is>
      </c>
      <c r="E16" s="127" t="inlineStr">
        <is>
          <t>Life Donor Feature</t>
        </is>
      </c>
      <c r="F16" s="127" t="inlineStr">
        <is>
          <t>MRM Germany</t>
        </is>
      </c>
      <c r="G16" s="127" t="inlineStr">
        <is>
          <t>Germany</t>
        </is>
      </c>
      <c r="H16" s="113" t="inlineStr">
        <is>
          <t>Data-Driven Consumer Product</t>
        </is>
      </c>
      <c r="I16" s="128" t="inlineStr">
        <is>
          <t>https://ascentialcdn.filespin.io/api/v1/conversion/d4f1b0f66c5e4ae7ad17037a6aa198f7</t>
        </is>
      </c>
      <c r="J16" s="127" t="inlineStr">
        <is>
          <t>pe-7cdkH2dA</t>
        </is>
      </c>
      <c r="K16" s="127" t="n"/>
      <c r="L16" s="128" t="inlineStr">
        <is>
          <t>https://www.lovethework.com/work/entries/life-donor-card-759724</t>
        </is>
      </c>
      <c r="M16"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16" s="113" t="inlineStr">
        <is>
          <t>credit-card, credit, payments, fintech, financial-services, finance, healthcare, social-good, product-innovation, organ-donation, medical, germany, partnership</t>
        </is>
      </c>
    </row>
    <row r="17">
      <c r="A17" s="127" t="n">
        <v>2025</v>
      </c>
      <c r="B17" s="133" t="inlineStr">
        <is>
          <t>Bronze</t>
        </is>
      </c>
      <c r="C17" s="127" t="inlineStr">
        <is>
          <t>Humanimal Tourism</t>
        </is>
      </c>
      <c r="D17" s="127" t="inlineStr">
        <is>
          <t>Procolombia</t>
        </is>
      </c>
      <c r="E17" s="127" t="inlineStr">
        <is>
          <t>Colombia, the Country of Beauty</t>
        </is>
      </c>
      <c r="F17" s="127" t="inlineStr">
        <is>
          <t>DDB Colombia</t>
        </is>
      </c>
      <c r="G17" s="127" t="inlineStr">
        <is>
          <t>Colombia</t>
        </is>
      </c>
      <c r="H17" s="113" t="inlineStr">
        <is>
          <t>Data-Enhanced Creativity</t>
        </is>
      </c>
      <c r="I17" s="128" t="inlineStr">
        <is>
          <t>https://ascentialcdn.filespin.io/api/v1/conversion/baf91a99fe954d17a2d2b48558a76a34</t>
        </is>
      </c>
      <c r="J17" s="127" t="inlineStr">
        <is>
          <t>1r6DMx0FOYk</t>
        </is>
      </c>
      <c r="K17" s="127" t="n"/>
      <c r="L17" s="128" t="inlineStr">
        <is>
          <t>https://www.lovethework.com/work/entries/humanimal-tourism-753838</t>
        </is>
      </c>
      <c r="M17" s="113" t="inlineStr">
        <is>
          <t>A tourism model built on matching the migratory patterns, habitats, and behavioral data of Colombia's endemic animal species to travel itineraries — so visitors follow the same routes as humpback whales, spectacled bears, or poison dart frogs through the country's ecosystems. DDB Colombia developed the system for ProColombia as a data-driven alternative to conventional destination marketing, using biodiversity as the navigation layer for human travel.</t>
        </is>
      </c>
      <c r="N17" s="113" t="inlineStr">
        <is>
          <t>tourism, travel, data, colombia, wildlife, mobile-app, travel-marketing, biodiversity, creative-data</t>
        </is>
      </c>
    </row>
    <row r="18">
      <c r="A18" s="127" t="n">
        <v>2025</v>
      </c>
      <c r="B18" s="133" t="inlineStr">
        <is>
          <t>Bronze</t>
        </is>
      </c>
      <c r="C18" s="127" t="inlineStr">
        <is>
          <t>The Social Feed</t>
        </is>
      </c>
      <c r="D18" s="127" t="inlineStr">
        <is>
          <t>Hungerstation</t>
        </is>
      </c>
      <c r="E18" s="127" t="inlineStr">
        <is>
          <t>Food Delivery App</t>
        </is>
      </c>
      <c r="F18" s="127" t="inlineStr">
        <is>
          <t>VML</t>
        </is>
      </c>
      <c r="G18" s="127" t="inlineStr">
        <is>
          <t>United Arab Emirates</t>
        </is>
      </c>
      <c r="H18" s="113" t="inlineStr">
        <is>
          <t>Data-Driven Targeting</t>
        </is>
      </c>
      <c r="I18" s="128" t="inlineStr">
        <is>
          <t>https://ascentialcdn.filespin.io/api/v1/conversion/f79ebb4926094729b16cf44d9e9f7d4f</t>
        </is>
      </c>
      <c r="J18" s="127" t="inlineStr">
        <is>
          <t>vimeo:1075735593</t>
        </is>
      </c>
      <c r="K18" s="127" t="n"/>
      <c r="L18" s="128" t="inlineStr">
        <is>
          <t>https://www.lovethework.com/work/entries/the-social-feed-753950</t>
        </is>
      </c>
      <c r="M18"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18" s="113" t="inlineStr">
        <is>
          <t>food-delivery, food, restaurant, ecommerce, retail, online-shopping, ai, technology, social-media, mobile-app, saudi-arabia, partnership, mena</t>
        </is>
      </c>
    </row>
  </sheetData>
  <autoFilter ref="A1:N1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0"/>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AXA - Three Words</t>
        </is>
      </c>
      <c r="D2" s="127" t="inlineStr">
        <is>
          <t>AXA</t>
        </is>
      </c>
      <c r="E2" s="127" t="inlineStr">
        <is>
          <t>Insurance</t>
        </is>
      </c>
      <c r="F2" s="127" t="inlineStr">
        <is>
          <t>Publicis Conseil</t>
        </is>
      </c>
      <c r="G2" s="127" t="inlineStr">
        <is>
          <t>France</t>
        </is>
      </c>
      <c r="H2" s="113" t="inlineStr">
        <is>
          <t>Market Disruption</t>
        </is>
      </c>
      <c r="I2" s="128" t="inlineStr">
        <is>
          <t>https://ascentialcdn.filespin.io/api/v1/conversion/e1a85ff134e545c7b049791151432028</t>
        </is>
      </c>
      <c r="J2" s="127" t="inlineStr">
        <is>
          <t>pY-03zuV7mE</t>
        </is>
      </c>
      <c r="K2" s="127" t="n"/>
      <c r="L2" s="128" t="inlineStr">
        <is>
          <t>https://www.lovethework.com/work/entries/axa-three-words-744768</t>
        </is>
      </c>
      <c r="M2"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2" s="113" t="inlineStr">
        <is>
          <t>insurance, financial-services, finance, france, domestic-violence, public-service, digital-platform, consumer-services, housing, publicis-conseil</t>
        </is>
      </c>
    </row>
    <row r="3">
      <c r="A3" s="127" t="n">
        <v>2025</v>
      </c>
      <c r="B3" s="140" t="inlineStr">
        <is>
          <t>Gold</t>
        </is>
      </c>
      <c r="C3" s="127" t="inlineStr">
        <is>
          <t>Coupon Rain</t>
        </is>
      </c>
      <c r="D3" s="127" t="inlineStr">
        <is>
          <t>Mercado Livre</t>
        </is>
      </c>
      <c r="E3" s="127" t="inlineStr">
        <is>
          <t>Mercado Livre</t>
        </is>
      </c>
      <c r="F3" s="127" t="inlineStr">
        <is>
          <t>Gut</t>
        </is>
      </c>
      <c r="G3" s="127" t="inlineStr">
        <is>
          <t>Brazil</t>
        </is>
      </c>
      <c r="H3" s="113" t="inlineStr">
        <is>
          <t>Travel, Leisure, Retail, Restaurants &amp; Fast-Food Chains</t>
        </is>
      </c>
      <c r="I3" s="128" t="inlineStr">
        <is>
          <t>https://ascentialcdn.filespin.io/api/v1/conversion/b99de0a05bc54707b1426d24706b518b</t>
        </is>
      </c>
      <c r="J3" s="127" t="inlineStr">
        <is>
          <t>vimeo:1093414319</t>
        </is>
      </c>
      <c r="K3" s="127" t="n"/>
      <c r="L3" s="128" t="inlineStr">
        <is>
          <t>https://www.lovethework.com/work/entries/coupon-rain-758980</t>
        </is>
      </c>
      <c r="M3"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3" s="113" t="inlineStr">
        <is>
          <t>ecommerce, retail, online-shopping, sponsorship, football, soccer, sport, retail-promo, stunt, brazil, partnership</t>
        </is>
      </c>
    </row>
    <row r="4">
      <c r="A4" s="127" t="n">
        <v>2025</v>
      </c>
      <c r="B4" s="140" t="inlineStr">
        <is>
          <t>Gold</t>
        </is>
      </c>
      <c r="C4" s="127" t="inlineStr">
        <is>
          <t>U Up?</t>
        </is>
      </c>
      <c r="D4" s="127" t="inlineStr">
        <is>
          <t>IKEA</t>
        </is>
      </c>
      <c r="E4" s="127" t="inlineStr">
        <is>
          <t>IKEA</t>
        </is>
      </c>
      <c r="F4" s="127" t="inlineStr">
        <is>
          <t>Rethink</t>
        </is>
      </c>
      <c r="G4" s="127" t="inlineStr">
        <is>
          <t>Canada</t>
        </is>
      </c>
      <c r="H4" s="113" t="inlineStr">
        <is>
          <t>Breakthrough on a Budget</t>
        </is>
      </c>
      <c r="I4" s="128" t="inlineStr">
        <is>
          <t>https://ascentialcdn.filespin.io/api/v1/conversion/1d6f8cfcad1b47c9beaa5f403844ec8a</t>
        </is>
      </c>
      <c r="J4" s="127" t="inlineStr">
        <is>
          <t>VT02JDQuMxM</t>
        </is>
      </c>
      <c r="K4" s="127" t="n"/>
      <c r="L4" s="128" t="inlineStr">
        <is>
          <t>https://www.lovethework.com/work/entries/u-up-744634</t>
        </is>
      </c>
      <c r="M4"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4" s="113" t="inlineStr">
        <is>
          <t>ikea, home-furnishings, social-media, instagram, direct-message, ooh, canada, use-of-humour, late-night</t>
        </is>
      </c>
    </row>
    <row r="5">
      <c r="A5" s="127" t="n">
        <v>2025</v>
      </c>
      <c r="B5" s="140" t="inlineStr">
        <is>
          <t>Gold</t>
        </is>
      </c>
      <c r="C5" s="127" t="inlineStr">
        <is>
          <t>Price Packs</t>
        </is>
      </c>
      <c r="D5" s="127" t="inlineStr">
        <is>
          <t>Penny</t>
        </is>
      </c>
      <c r="E5" s="127" t="inlineStr">
        <is>
          <t>Food/non-Food</t>
        </is>
      </c>
      <c r="F5" s="127" t="inlineStr">
        <is>
          <t>Serviceplan Germany</t>
        </is>
      </c>
      <c r="G5" s="127" t="inlineStr">
        <is>
          <t>Germany</t>
        </is>
      </c>
      <c r="H5" s="113" t="inlineStr">
        <is>
          <t>Experience Design</t>
        </is>
      </c>
      <c r="I5" s="128" t="inlineStr">
        <is>
          <t>https://ascentialcdn.filespin.io/api/v1/conversion/67b6df2a0fe64deeb274c91d50040c54</t>
        </is>
      </c>
      <c r="J5" s="127" t="inlineStr">
        <is>
          <t>wXx6z3mDnVc</t>
        </is>
      </c>
      <c r="K5" s="127" t="n"/>
      <c r="L5" s="128" t="inlineStr">
        <is>
          <t>https://www.lovethework.com/work/entries/price-packs-744245</t>
        </is>
      </c>
      <c r="M5"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5" s="113" t="inlineStr">
        <is>
          <t>packaging, retail, ooh, supermarket, grocery, design, price, germany, market-disruption</t>
        </is>
      </c>
    </row>
    <row r="6">
      <c r="A6" s="127" t="n">
        <v>2025</v>
      </c>
      <c r="B6" s="140" t="inlineStr">
        <is>
          <t>Gold</t>
        </is>
      </c>
      <c r="C6" s="127" t="inlineStr">
        <is>
          <t>Football Is for Food</t>
        </is>
      </c>
      <c r="D6" s="127" t="inlineStr">
        <is>
          <t>Uber Eats</t>
        </is>
      </c>
      <c r="E6" s="127" t="inlineStr">
        <is>
          <t>Uber Eats</t>
        </is>
      </c>
      <c r="F6" s="127" t="inlineStr">
        <is>
          <t>Special</t>
        </is>
      </c>
      <c r="G6" s="127" t="inlineStr">
        <is>
          <t>United States</t>
        </is>
      </c>
      <c r="H6" s="113" t="inlineStr">
        <is>
          <t>Use of Humour</t>
        </is>
      </c>
      <c r="I6" s="128" t="inlineStr">
        <is>
          <t>https://ascentialcdn.filespin.io/api/v1/conversion/bdc3e17665e54318a6a9b4e6705f40a7</t>
        </is>
      </c>
      <c r="J6" s="127" t="inlineStr">
        <is>
          <t>Mi_cxUyqH4Q</t>
        </is>
      </c>
      <c r="K6" s="127" t="n"/>
      <c r="L6" s="128" t="inlineStr">
        <is>
          <t>https://www.lovethework.com/work/entries/football-is-for-food-744614</t>
        </is>
      </c>
      <c r="M6"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6" s="113" t="inlineStr">
        <is>
          <t>food-delivery, food, restaurant, ecommerce, retail, online-shopping, television, brand-integration, nfl, united-states, conspiracy, humor, sports-sponsorship</t>
        </is>
      </c>
    </row>
    <row r="7">
      <c r="A7" s="127" t="n">
        <v>2025</v>
      </c>
      <c r="B7" s="140" t="inlineStr">
        <is>
          <t>Gold</t>
        </is>
      </c>
      <c r="C7" s="127" t="inlineStr">
        <is>
          <t>Lidlize</t>
        </is>
      </c>
      <c r="D7" s="127" t="inlineStr">
        <is>
          <t>Lidl</t>
        </is>
      </c>
      <c r="E7" s="127" t="inlineStr">
        <is>
          <t>Retail</t>
        </is>
      </c>
      <c r="F7" s="127" t="inlineStr">
        <is>
          <t>Marcel</t>
        </is>
      </c>
      <c r="G7" s="127" t="inlineStr">
        <is>
          <t>France</t>
        </is>
      </c>
      <c r="H7" s="113" t="inlineStr">
        <is>
          <t>Travel, Leisure, Retail, Restaurants &amp; Fast-Food Chains</t>
        </is>
      </c>
      <c r="I7" s="128" t="inlineStr">
        <is>
          <t>https://ascentialcdn.filespin.io/api/v1/conversion/f979928ea0a14ad7a4df5b301de95a0e</t>
        </is>
      </c>
      <c r="J7" s="127" t="inlineStr">
        <is>
          <t>mba6sPCSX_8</t>
        </is>
      </c>
      <c r="K7" s="127" t="n"/>
      <c r="L7" s="128" t="inlineStr">
        <is>
          <t>https://www.lovethework.com/work/entries/lidlize-760060</t>
        </is>
      </c>
      <c r="M7"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7" s="113" t="inlineStr">
        <is>
          <t>retail, influencer-co-creation, ai, technology, mobile-app, user-generated-content, france, community-voting, product-design</t>
        </is>
      </c>
    </row>
    <row r="8">
      <c r="A8" s="127" t="n">
        <v>2025</v>
      </c>
      <c r="B8" s="140" t="inlineStr">
        <is>
          <t>Gold</t>
        </is>
      </c>
      <c r="C8" s="127" t="inlineStr">
        <is>
          <t>Prize on the Bone</t>
        </is>
      </c>
      <c r="D8" s="127" t="inlineStr">
        <is>
          <t>KFC</t>
        </is>
      </c>
      <c r="E8" s="127" t="inlineStr">
        <is>
          <t>KFC Ice-Cream</t>
        </is>
      </c>
      <c r="F8" s="127" t="inlineStr">
        <is>
          <t>DM9</t>
        </is>
      </c>
      <c r="G8" s="127" t="inlineStr">
        <is>
          <t>Brazil</t>
        </is>
      </c>
      <c r="H8" s="113" t="inlineStr">
        <is>
          <t>Launch/Relaunch</t>
        </is>
      </c>
      <c r="I8" s="128" t="inlineStr">
        <is>
          <t>https://ascentialcdn.filespin.io/api/v1/conversion/32ef7021bdbd4c4392fa51fb240d45e6</t>
        </is>
      </c>
      <c r="J8" s="127" t="inlineStr">
        <is>
          <t>h4Kl5THlsYw</t>
        </is>
      </c>
      <c r="K8" s="127" t="n"/>
      <c r="L8" s="128" t="inlineStr">
        <is>
          <t>https://www.lovethework.com/work/entries/prize-on-the-bone-744551</t>
        </is>
      </c>
      <c r="M8"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8" s="113" t="inlineStr">
        <is>
          <t>qsr, fast-food, restaurant, food, product-launch, retail-promo, packaging, integrated, brazil, partnership</t>
        </is>
      </c>
    </row>
    <row r="9">
      <c r="A9" s="127" t="n">
        <v>2025</v>
      </c>
      <c r="B9" s="140" t="inlineStr">
        <is>
          <t>Gold</t>
        </is>
      </c>
      <c r="C9" s="127" t="inlineStr">
        <is>
          <t>Lucky Yatra</t>
        </is>
      </c>
      <c r="D9" s="127" t="inlineStr">
        <is>
          <t>Indian Railways</t>
        </is>
      </c>
      <c r="E9" s="127" t="inlineStr">
        <is>
          <t>Railway Service</t>
        </is>
      </c>
      <c r="F9" s="127" t="inlineStr">
        <is>
          <t>FCB India</t>
        </is>
      </c>
      <c r="G9" s="127" t="inlineStr">
        <is>
          <t>India</t>
        </is>
      </c>
      <c r="H9" s="113" t="inlineStr">
        <is>
          <t>Local Brand</t>
        </is>
      </c>
      <c r="I9" s="128" t="inlineStr">
        <is>
          <t>https://ascentialcdn.filespin.io/api/v1/conversion/baed08eef7b94a6cabcd62dedb653704</t>
        </is>
      </c>
      <c r="J9" s="127" t="inlineStr">
        <is>
          <t>19fzAvuFq0I</t>
        </is>
      </c>
      <c r="K9" s="127" t="n"/>
      <c r="L9" s="128" t="inlineStr">
        <is>
          <t>https://www.lovethework.com/work/entries/lucky-yatra-744460</t>
        </is>
      </c>
      <c r="M9"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9" s="113" t="inlineStr">
        <is>
          <t>railway-service, loyalty-program, public-service, mobile-app, india, gamification, ticketing</t>
        </is>
      </c>
    </row>
    <row r="10">
      <c r="A10" s="127" t="n">
        <v>2025</v>
      </c>
      <c r="B10" s="140" t="inlineStr">
        <is>
          <t>Gold</t>
        </is>
      </c>
      <c r="C10" s="127" t="inlineStr">
        <is>
          <t>IKEA Hidden Tags</t>
        </is>
      </c>
      <c r="D10" s="127" t="inlineStr">
        <is>
          <t>IKEA</t>
        </is>
      </c>
      <c r="E10" s="127" t="inlineStr">
        <is>
          <t>IKEA</t>
        </is>
      </c>
      <c r="F10" s="127" t="inlineStr">
        <is>
          <t>Uzina</t>
        </is>
      </c>
      <c r="G10" s="127" t="inlineStr">
        <is>
          <t>Portugal</t>
        </is>
      </c>
      <c r="H10" s="113" t="inlineStr">
        <is>
          <t>Small-Scale Media</t>
        </is>
      </c>
      <c r="I10" s="128" t="inlineStr">
        <is>
          <t>https://ascentialcdn.filespin.io/api/v1/conversion/237ade5924eb407898bf58d19f58a52a</t>
        </is>
      </c>
      <c r="J10" s="127" t="inlineStr">
        <is>
          <t>oKWkHqlt7yA</t>
        </is>
      </c>
      <c r="K10" s="127" t="n"/>
      <c r="L10" s="128" t="inlineStr">
        <is>
          <t>https://www.lovethework.com/work/entries/ikea-hidden-tags-743744</t>
        </is>
      </c>
      <c r="M10"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10" s="113" t="inlineStr">
        <is>
          <t>retail, ugc, gamification, anniversary, furniture, home, portugal, product-design, direct</t>
        </is>
      </c>
    </row>
    <row r="11">
      <c r="A11" s="127" t="n">
        <v>2025</v>
      </c>
      <c r="B11" s="140" t="inlineStr">
        <is>
          <t>Gold</t>
        </is>
      </c>
      <c r="C11" s="127" t="inlineStr">
        <is>
          <t>Potty-Tunities</t>
        </is>
      </c>
      <c r="D11" s="127" t="inlineStr">
        <is>
          <t>Angel Soft</t>
        </is>
      </c>
      <c r="E11" s="127" t="inlineStr">
        <is>
          <t>Angel Soft Toilet Paper</t>
        </is>
      </c>
      <c r="F11" s="127" t="inlineStr">
        <is>
          <t>Grey</t>
        </is>
      </c>
      <c r="G11" s="127" t="inlineStr">
        <is>
          <t>United States</t>
        </is>
      </c>
      <c r="H11" s="113" t="inlineStr">
        <is>
          <t>Use of Broadcast</t>
        </is>
      </c>
      <c r="I11" s="128" t="inlineStr">
        <is>
          <t>https://ascentialcdn.filespin.io/api/v1/conversion/d1fbeead5aeb4909a43f4920061be696</t>
        </is>
      </c>
      <c r="J11" s="127" t="inlineStr">
        <is>
          <t>eAh8JA18QJA</t>
        </is>
      </c>
      <c r="K11" s="127" t="n"/>
      <c r="L11" s="128" t="inlineStr">
        <is>
          <t>https://www.lovethework.com/work/entries/potty-tunities-743937</t>
        </is>
      </c>
      <c r="M11" s="113" t="inlineStr">
        <is>
          <t>A Super Bowl TV spot designed to be skipped — Angel Soft's first-ever Big Game commercial was intentionally placed and timed to air during a non-critical game moment, signaling to viewers that it was the ideal time for a bathroom break. Rather than competing for attention, the ad functioned as a live cue, with the Angel Soft brand character "Angel" narrating the permission to step away without missing anything important.</t>
        </is>
      </c>
      <c r="N11" s="113" t="inlineStr">
        <is>
          <t>toilet-paper, broadcast, entertainment, super-bowl, television, media-strategy, united-states, live-event</t>
        </is>
      </c>
    </row>
    <row r="12">
      <c r="A12" s="127" t="n">
        <v>2025</v>
      </c>
      <c r="B12" s="140" t="inlineStr">
        <is>
          <t>Gold</t>
        </is>
      </c>
      <c r="C12" s="127" t="inlineStr">
        <is>
          <t>Preserved Promos</t>
        </is>
      </c>
      <c r="D12" s="127" t="inlineStr">
        <is>
          <t>Ziploc</t>
        </is>
      </c>
      <c r="E12" s="127" t="inlineStr">
        <is>
          <t>Ziploc</t>
        </is>
      </c>
      <c r="F12" s="127" t="inlineStr">
        <is>
          <t>VML</t>
        </is>
      </c>
      <c r="G12" s="127" t="inlineStr">
        <is>
          <t>United States</t>
        </is>
      </c>
      <c r="H12" s="113" t="inlineStr">
        <is>
          <t>Use of Real-Time Data</t>
        </is>
      </c>
      <c r="I12" s="128" t="inlineStr">
        <is>
          <t>https://ascentialcdn.filespin.io/api/v1/conversion/8223f25b769b40e3b665c4ec19e2e12c</t>
        </is>
      </c>
      <c r="J12" s="127" t="inlineStr">
        <is>
          <t>F9CTRsV3N7k</t>
        </is>
      </c>
      <c r="K12" s="127" t="n"/>
      <c r="L12" s="128" t="inlineStr">
        <is>
          <t>https://www.lovethework.com/work/entries/preserved-promos-744127</t>
        </is>
      </c>
      <c r="M1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12" s="113" t="inlineStr">
        <is>
          <t>food-storage, retail-media, coupon, commerce, mobile, united-states, sc-johnson, promotion</t>
        </is>
      </c>
    </row>
    <row r="13">
      <c r="A13" s="127" t="n">
        <v>2025</v>
      </c>
      <c r="B13" s="132" t="inlineStr">
        <is>
          <t>Silver</t>
        </is>
      </c>
      <c r="C13" s="127" t="inlineStr">
        <is>
          <t>Breastmilk Money</t>
        </is>
      </c>
      <c r="D13" s="127" t="inlineStr">
        <is>
          <t>Herconomy</t>
        </is>
      </c>
      <c r="E13" s="127" t="inlineStr">
        <is>
          <t>Herconomy</t>
        </is>
      </c>
      <c r="F13" s="127" t="inlineStr">
        <is>
          <t>Serviceplan Germany</t>
        </is>
      </c>
      <c r="G13" s="127" t="inlineStr">
        <is>
          <t>Germany</t>
        </is>
      </c>
      <c r="H13" s="113" t="inlineStr">
        <is>
          <t>Cultural Engagement</t>
        </is>
      </c>
      <c r="I13" s="128" t="inlineStr">
        <is>
          <t>https://ascentialcdn.filespin.io/api/v1/conversion/73ea0e639f6747c68cf8460abe2f02bb</t>
        </is>
      </c>
      <c r="J13" s="127" t="inlineStr">
        <is>
          <t>vimeo:1094309200</t>
        </is>
      </c>
      <c r="K13" s="127" t="n"/>
      <c r="L13" s="128" t="inlineStr">
        <is>
          <t>https://www.lovethework.com/work/entries/breastmilk-money-744959</t>
        </is>
      </c>
      <c r="M13"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3" s="113" t="inlineStr">
        <is>
          <t>fintech, financial-services, finance, womens-finance, breastfeeding, nigeria, single-market-campaign, mobile-app, health-and-wellness, creative-data, unpaid-labor</t>
        </is>
      </c>
    </row>
    <row r="14">
      <c r="A14" s="127" t="n">
        <v>2025</v>
      </c>
      <c r="B14" s="132" t="inlineStr">
        <is>
          <t>Silver</t>
        </is>
      </c>
      <c r="C14" s="127" t="inlineStr">
        <is>
          <t>Night Signals</t>
        </is>
      </c>
      <c r="D14" s="127" t="inlineStr">
        <is>
          <t>Chevrolet Dominican Republic</t>
        </is>
      </c>
      <c r="E14" s="127" t="inlineStr">
        <is>
          <t>Chevrolet</t>
        </is>
      </c>
      <c r="F14" s="127" t="inlineStr">
        <is>
          <t>Ogilvy Dominican Republic</t>
        </is>
      </c>
      <c r="G14" s="127" t="inlineStr">
        <is>
          <t>Dominican Republic</t>
        </is>
      </c>
      <c r="H14" s="113" t="inlineStr">
        <is>
          <t>Use of Print/Outdoor</t>
        </is>
      </c>
      <c r="I14" s="128" t="inlineStr">
        <is>
          <t>https://ascentialcdn.filespin.io/api/v1/conversion/08a2258d5d1348b1bc8f6014ff0c6655</t>
        </is>
      </c>
      <c r="J14" s="127" t="inlineStr">
        <is>
          <t>XVCXMuUU9s8</t>
        </is>
      </c>
      <c r="K14" s="127" t="n"/>
      <c r="L14" s="128" t="inlineStr">
        <is>
          <t>https://www.lovethework.com/work/entries/night-signals-743947</t>
        </is>
      </c>
      <c r="M14" s="113" t="inlineStr">
        <is>
          <t>Chevrolet dealership billboards placed along unlit road stretches in the Dominican Republic that doubled as reflective traffic signs after dark — the same printed canvas that carried daytime advertising became retroreflective road guidance for drivers at night. The campaign was built in partnership with Santo Domingo Motors, the National Institute of Transit and Land Transportation, and the Ministry of Public Works (MOPC).</t>
        </is>
      </c>
      <c r="N14" s="113" t="inlineStr">
        <is>
          <t>automotive, cars, transport, ooh, road-safety, dominican-republic, reflective, transit, public-service, out-of-home, public-private-partnership</t>
        </is>
      </c>
    </row>
    <row r="15">
      <c r="A15" s="127" t="n">
        <v>2025</v>
      </c>
      <c r="B15" s="132" t="inlineStr">
        <is>
          <t>Silver</t>
        </is>
      </c>
      <c r="C15" s="127" t="inlineStr">
        <is>
          <t>Followers Store</t>
        </is>
      </c>
      <c r="D15" s="127" t="inlineStr">
        <is>
          <t>New Balance</t>
        </is>
      </c>
      <c r="E15" s="127" t="inlineStr">
        <is>
          <t>New Balance</t>
        </is>
      </c>
      <c r="F15" s="127" t="inlineStr">
        <is>
          <t>Lepub</t>
        </is>
      </c>
      <c r="G15" s="127" t="inlineStr">
        <is>
          <t>Brazil</t>
        </is>
      </c>
      <c r="H15" s="113" t="inlineStr">
        <is>
          <t>Data-Driven Targeting</t>
        </is>
      </c>
      <c r="I15" s="128" t="inlineStr">
        <is>
          <t>https://ascentialcdn.filespin.io/api/v1/conversion/3d0a357fb9de4393918aaa93dcff4033</t>
        </is>
      </c>
      <c r="J15" s="127" t="inlineStr">
        <is>
          <t>vimeo:1090614137</t>
        </is>
      </c>
      <c r="K15" s="127" t="n"/>
      <c r="L15" s="128" t="inlineStr">
        <is>
          <t>https://www.lovethework.com/work/entries/followers-store-744039</t>
        </is>
      </c>
      <c r="M15"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15" s="113" t="inlineStr">
        <is>
          <t>ecommerce, retail, online-shopping, geolocation, football, soccer, sport, brazil, app, partnership</t>
        </is>
      </c>
    </row>
    <row r="16">
      <c r="A16" s="127" t="n">
        <v>2025</v>
      </c>
      <c r="B16" s="132" t="inlineStr">
        <is>
          <t>Silver</t>
        </is>
      </c>
      <c r="C16" s="127" t="inlineStr">
        <is>
          <t>Gulf of Mexico (bar)</t>
        </is>
      </c>
      <c r="D16" s="127" t="inlineStr">
        <is>
          <t>Tecate</t>
        </is>
      </c>
      <c r="E16" s="127" t="inlineStr">
        <is>
          <t>Tecate Light</t>
        </is>
      </c>
      <c r="F16" s="127" t="inlineStr">
        <is>
          <t>Lepub</t>
        </is>
      </c>
      <c r="G16" s="127" t="inlineStr">
        <is>
          <t>Mexico</t>
        </is>
      </c>
      <c r="H16" s="113" t="inlineStr">
        <is>
          <t>Local Brand</t>
        </is>
      </c>
      <c r="I16" s="128" t="inlineStr">
        <is>
          <t>https://ascentialcdn.filespin.io/api/v1/conversion/afa88aa8421b41a18c68b9863bb6926c</t>
        </is>
      </c>
      <c r="J16" s="127" t="inlineStr">
        <is>
          <t>vimeo:1092263623</t>
        </is>
      </c>
      <c r="K16" s="127" t="n"/>
      <c r="L16" s="128" t="inlineStr">
        <is>
          <t>https://www.lovethework.com/work/entries/gulf-of-mexico-bar-744515</t>
        </is>
      </c>
      <c r="M16"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6" s="113" t="inlineStr">
        <is>
          <t>ooh, brand-stunt, political-commentary, beer, alcohol, packaging, mexico, branded-venue, special-edition</t>
        </is>
      </c>
    </row>
    <row r="17">
      <c r="A17" s="127" t="n">
        <v>2025</v>
      </c>
      <c r="B17" s="132" t="inlineStr">
        <is>
          <t>Silver</t>
        </is>
      </c>
      <c r="C17" s="127" t="inlineStr">
        <is>
          <t>Certified Toasters</t>
        </is>
      </c>
      <c r="D17" s="127" t="inlineStr">
        <is>
          <t>Goodman Fielder Baking</t>
        </is>
      </c>
      <c r="E17" s="127" t="inlineStr">
        <is>
          <t>Vogel's</t>
        </is>
      </c>
      <c r="F17" s="127" t="inlineStr">
        <is>
          <t>DDB New Zealand</t>
        </is>
      </c>
      <c r="G17" s="127" t="inlineStr">
        <is>
          <t>New Zealand</t>
        </is>
      </c>
      <c r="H17" s="113" t="inlineStr">
        <is>
          <t>Small-Scale Media</t>
        </is>
      </c>
      <c r="I17" s="128" t="inlineStr">
        <is>
          <t>https://ascentialcdn.filespin.io/api/v1/conversion/c87256cd1a8e4e888796294b8fb32d99</t>
        </is>
      </c>
      <c r="J17" s="127" t="inlineStr">
        <is>
          <t>S_gE7H2X8zw</t>
        </is>
      </c>
      <c r="K17" s="127" t="n"/>
      <c r="L17" s="128" t="inlineStr">
        <is>
          <t>https://www.lovethework.com/work/entries/certified-toasters-743878</t>
        </is>
      </c>
      <c r="M17" s="113" t="inlineStr">
        <is>
          <t>A product certification program Vogel's ran with The Warehouse, New Zealand's largest retailer, testing every Living &amp; Co and Kensington toaster model sold in-store and online to determine the optimal toasting setting for Vogel's bread on each specific unit. Each certified toaster was labeled with its verified Vogel's toasting method, giving shoppers a bread-specific guide at the point of purchase.</t>
        </is>
      </c>
      <c r="N17" s="113" t="inlineStr">
        <is>
          <t>bread, food, packaged-goods, cpg, fmcg, retail, in-store, new-zealand, product-certification, social-behaviour, partnership, packaging-adjacent</t>
        </is>
      </c>
    </row>
    <row r="18">
      <c r="A18" s="127" t="n">
        <v>2025</v>
      </c>
      <c r="B18" s="132" t="inlineStr">
        <is>
          <t>Silver</t>
        </is>
      </c>
      <c r="C18" s="127" t="inlineStr">
        <is>
          <t>Vaseline Verified</t>
        </is>
      </c>
      <c r="D18" s="127" t="inlineStr">
        <is>
          <t>Unilever</t>
        </is>
      </c>
      <c r="E18" s="127" t="inlineStr">
        <is>
          <t>Vaseline</t>
        </is>
      </c>
      <c r="F18" s="127" t="inlineStr">
        <is>
          <t>Ogilvy</t>
        </is>
      </c>
      <c r="G18" s="127" t="inlineStr">
        <is>
          <t>Singapore</t>
        </is>
      </c>
      <c r="H18" s="113" t="inlineStr">
        <is>
          <t>Co-Creation &amp; User-Generated Content</t>
        </is>
      </c>
      <c r="I18" s="128" t="inlineStr">
        <is>
          <t>https://ascentialcdn.filespin.io/api/v1/conversion/faf0755b0d4e4594ad93cb75d6288e3d</t>
        </is>
      </c>
      <c r="J18" s="127" t="inlineStr">
        <is>
          <t>vimeo:1082798104</t>
        </is>
      </c>
      <c r="K18" s="127" t="n"/>
      <c r="L18" s="128" t="inlineStr">
        <is>
          <t>https://www.lovethework.com/work/entries/vaseline-verified-744266</t>
        </is>
      </c>
      <c r="M18"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18" s="113" t="inlineStr">
        <is>
          <t>skincare, personal-care, beauty, community-management, social-media, user-generated-content, ooh, singapore, health-wellness, dermatology</t>
        </is>
      </c>
    </row>
    <row r="19">
      <c r="A19" s="127" t="n">
        <v>2025</v>
      </c>
      <c r="B19" s="132" t="inlineStr">
        <is>
          <t>Silver</t>
        </is>
      </c>
      <c r="C19" s="127" t="inlineStr">
        <is>
          <t>Resale</t>
        </is>
      </c>
      <c r="D19" s="127" t="inlineStr">
        <is>
          <t>Budweiser</t>
        </is>
      </c>
      <c r="E19" s="127" t="inlineStr">
        <is>
          <t>Beer</t>
        </is>
      </c>
      <c r="F19" s="127" t="inlineStr">
        <is>
          <t>Africa Creative DDB</t>
        </is>
      </c>
      <c r="G19" s="127" t="inlineStr">
        <is>
          <t>Brazil</t>
        </is>
      </c>
      <c r="H19" s="113" t="inlineStr">
        <is>
          <t>Data-Driven Targeting</t>
        </is>
      </c>
      <c r="I19" s="128" t="inlineStr">
        <is>
          <t>https://ascentialcdn.filespin.io/api/v1/conversion/abd9a65dba9c44ab8abe0ea46a3db71c</t>
        </is>
      </c>
      <c r="J19" s="127" t="inlineStr">
        <is>
          <t>vimeo:1079571158</t>
        </is>
      </c>
      <c r="K19" s="127" t="n"/>
      <c r="L19" s="128" t="inlineStr">
        <is>
          <t>https://www.lovethework.com/work/entries/resale-743971</t>
        </is>
      </c>
      <c r="M19" s="113" t="inlineStr">
        <is>
          <t>A resale platform built around Budweiser's archive of historical music memorabilia — items tied to concerts, artists, and cultural moments the brand sponsored over its history in Brazil. Fans could browse and purchase pieces of that shared history directly through the platform, with Budweiser framing its own back catalog as a record of music's past.</t>
        </is>
      </c>
      <c r="N19" s="113" t="inlineStr">
        <is>
          <t>beer, alcohol, e-commerce, music, entertainment, community-engagement, social, brazil, branded-platform, resale</t>
        </is>
      </c>
    </row>
    <row r="20">
      <c r="A20" s="127" t="n">
        <v>2025</v>
      </c>
      <c r="B20" s="132" t="inlineStr">
        <is>
          <t>Silver</t>
        </is>
      </c>
      <c r="C20" s="127" t="inlineStr">
        <is>
          <t>U Up?</t>
        </is>
      </c>
      <c r="D20" s="127" t="inlineStr">
        <is>
          <t>IKEA</t>
        </is>
      </c>
      <c r="E20" s="127" t="inlineStr">
        <is>
          <t>IKEA</t>
        </is>
      </c>
      <c r="F20" s="127" t="inlineStr">
        <is>
          <t>Rethink</t>
        </is>
      </c>
      <c r="G20" s="127" t="inlineStr">
        <is>
          <t>Canada</t>
        </is>
      </c>
      <c r="H20" s="113" t="inlineStr">
        <is>
          <t>Use of Social Platforms</t>
        </is>
      </c>
      <c r="I20" s="128" t="inlineStr">
        <is>
          <t>https://ascentialcdn.filespin.io/api/v1/conversion/1d6f8cfcad1b47c9beaa5f403844ec8a</t>
        </is>
      </c>
      <c r="J20" s="127" t="inlineStr">
        <is>
          <t>VT02JDQuMxM</t>
        </is>
      </c>
      <c r="K20" s="127" t="n"/>
      <c r="L20" s="128" t="inlineStr">
        <is>
          <t>https://www.lovethework.com/work/entries/u-up-744249</t>
        </is>
      </c>
      <c r="M20"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20" s="113" t="inlineStr">
        <is>
          <t>ikea, home-furnishings, social-media, instagram, direct-message, ooh, canada, use-of-humour, late-night</t>
        </is>
      </c>
    </row>
    <row r="21">
      <c r="A21" s="127" t="n">
        <v>2025</v>
      </c>
      <c r="B21" s="132" t="inlineStr">
        <is>
          <t>Silver</t>
        </is>
      </c>
      <c r="C21" s="127" t="inlineStr">
        <is>
          <t>Sad Kama-Chan</t>
        </is>
      </c>
      <c r="D21" s="127" t="inlineStr">
        <is>
          <t>B&amp;Q</t>
        </is>
      </c>
      <c r="E21" s="127" t="inlineStr">
        <is>
          <t>Bar B Q Plaza</t>
        </is>
      </c>
      <c r="F21" s="127" t="inlineStr">
        <is>
          <t>Grey Thailand</t>
        </is>
      </c>
      <c r="G21" s="127" t="inlineStr">
        <is>
          <t>Thailand</t>
        </is>
      </c>
      <c r="H21" s="113" t="inlineStr">
        <is>
          <t>Small-Scale Media</t>
        </is>
      </c>
      <c r="I21" s="128" t="inlineStr">
        <is>
          <t>https://ascentialcdn.filespin.io/api/v1/conversion/b1a090f7c816487f8dcee01d4c656df9</t>
        </is>
      </c>
      <c r="J21" s="127" t="inlineStr">
        <is>
          <t>h7MYlQFAKMg</t>
        </is>
      </c>
      <c r="K21" s="127" t="n"/>
      <c r="L21" s="128" t="inlineStr">
        <is>
          <t>https://www.lovethework.com/work/entries/sad-kama-chan-743836</t>
        </is>
      </c>
      <c r="M21" s="113" t="inlineStr">
        <is>
          <t>A loyalty mechanic built around heartbreak: Bar B Q Plaza, a Thai barbecue restaurant chain, let customers who had just been through a breakup unlock exclusive discounts and offers by proving their sad status — turning post-breakup wallowing into a reason to visit the restaurant. "Kama-Chan" (กามะจัน) is a Thai term of endearment used by couples, so the campaign reframed the saddest moment of losing a partner as Bar B Q Plaza's prime acquisition window.</t>
        </is>
      </c>
      <c r="N21" s="113" t="inlineStr">
        <is>
          <t>restaurant, food, customer-acquisition, loyalty, thailand, creative-commerce, social, brand-design, emotional-targeting</t>
        </is>
      </c>
    </row>
    <row r="22">
      <c r="A22" s="127" t="n">
        <v>2025</v>
      </c>
      <c r="B22" s="132" t="inlineStr">
        <is>
          <t>Silver</t>
        </is>
      </c>
      <c r="C22" s="127" t="inlineStr">
        <is>
          <t>IKEA Hidden Tags</t>
        </is>
      </c>
      <c r="D22" s="127" t="inlineStr">
        <is>
          <t>IKEA</t>
        </is>
      </c>
      <c r="E22" s="127" t="inlineStr">
        <is>
          <t>IKEA</t>
        </is>
      </c>
      <c r="F22" s="127" t="inlineStr">
        <is>
          <t>Uzina</t>
        </is>
      </c>
      <c r="G22" s="127" t="inlineStr">
        <is>
          <t>Portugal</t>
        </is>
      </c>
      <c r="H22" s="113" t="inlineStr">
        <is>
          <t>Consumer Goods</t>
        </is>
      </c>
      <c r="I22" s="128" t="inlineStr">
        <is>
          <t>https://ascentialcdn.filespin.io/api/v1/conversion/237ade5924eb407898bf58d19f58a52a</t>
        </is>
      </c>
      <c r="J22" s="127" t="inlineStr">
        <is>
          <t>oKWkHqlt7yA</t>
        </is>
      </c>
      <c r="K22" s="127" t="n"/>
      <c r="L22" s="128" t="inlineStr">
        <is>
          <t>https://www.lovethework.com/work/entries/ikea-hidden-tags-743546</t>
        </is>
      </c>
      <c r="M2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2" s="113" t="inlineStr">
        <is>
          <t>retail, ugc, gamification, anniversary, furniture, home, portugal, product-design, direct</t>
        </is>
      </c>
    </row>
    <row r="23">
      <c r="A23" s="127" t="n">
        <v>2025</v>
      </c>
      <c r="B23" s="132" t="inlineStr">
        <is>
          <t>Silver</t>
        </is>
      </c>
      <c r="C23" s="127" t="inlineStr">
        <is>
          <t>Burger to King</t>
        </is>
      </c>
      <c r="D23" s="127" t="inlineStr">
        <is>
          <t>Burger King, Happiness</t>
        </is>
      </c>
      <c r="E23" s="127" t="inlineStr">
        <is>
          <t>Burger King</t>
        </is>
      </c>
      <c r="F23" s="127" t="inlineStr">
        <is>
          <t>An FCB Alliance</t>
        </is>
      </c>
      <c r="G23" s="127" t="inlineStr">
        <is>
          <t>Belgium</t>
        </is>
      </c>
      <c r="H23" s="113" t="inlineStr">
        <is>
          <t>Gaming</t>
        </is>
      </c>
      <c r="I23" s="128" t="inlineStr">
        <is>
          <t>https://ascentialcdn.filespin.io/api/v1/conversion/5edeb9f0501f4dc799bf63efd749c2e3</t>
        </is>
      </c>
      <c r="J23" s="127" t="inlineStr">
        <is>
          <t>RQVaoU4CGRk</t>
        </is>
      </c>
      <c r="K23" s="127" t="n"/>
      <c r="L23" s="128" t="inlineStr">
        <is>
          <t>https://www.lovethework.com/work/entries/burger-to-king-760824</t>
        </is>
      </c>
      <c r="M23"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23" s="113" t="inlineStr">
        <is>
          <t>burger-king, gaming, video-games, entertainment, qsr, fast-food, restaurant, food, in-game-audio, belgium, challenger-brand, ambient-media, sports-game</t>
        </is>
      </c>
    </row>
    <row r="24">
      <c r="A24" s="127" t="n">
        <v>2025</v>
      </c>
      <c r="B24" s="132" t="inlineStr">
        <is>
          <t>Silver</t>
        </is>
      </c>
      <c r="C24" s="127" t="inlineStr">
        <is>
          <t>Pedigree Caramelo</t>
        </is>
      </c>
      <c r="D24" s="127" t="inlineStr">
        <is>
          <t>Pedigree</t>
        </is>
      </c>
      <c r="E24" s="127" t="inlineStr">
        <is>
          <t>Pedigree</t>
        </is>
      </c>
      <c r="F24" s="127" t="inlineStr">
        <is>
          <t>AlmapBBDO</t>
        </is>
      </c>
      <c r="G24" s="127" t="inlineStr">
        <is>
          <t>Brazil</t>
        </is>
      </c>
      <c r="H24" s="113" t="inlineStr">
        <is>
          <t>Corporate Purpose &amp; Social Responsibility</t>
        </is>
      </c>
      <c r="I24" s="128" t="inlineStr">
        <is>
          <t>https://ascentialcdn.filespin.io/api/v1/conversion/d6016650d2a74669ae91f981af5a00f2</t>
        </is>
      </c>
      <c r="J24" s="127" t="inlineStr">
        <is>
          <t>prMM0H9psRs</t>
        </is>
      </c>
      <c r="K24" s="127" t="n"/>
      <c r="L24" s="128" t="inlineStr">
        <is>
          <t>https://www.lovethework.com/work/entries/pedigree-caramelo-760080</t>
        </is>
      </c>
      <c r="M24"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24" s="113" t="inlineStr">
        <is>
          <t>dog-food, brazil, shelter-adoption, branded-experience, packaging, public-service, mixed-breed, brand-strategy, pet-care</t>
        </is>
      </c>
    </row>
    <row r="25">
      <c r="A25" s="127" t="n">
        <v>2025</v>
      </c>
      <c r="B25" s="132" t="inlineStr">
        <is>
          <t>Silver</t>
        </is>
      </c>
      <c r="C25" s="127" t="inlineStr">
        <is>
          <t>Oreo Square Cookie</t>
        </is>
      </c>
      <c r="D25" s="127" t="inlineStr">
        <is>
          <t>Mondelez International</t>
        </is>
      </c>
      <c r="E25" s="127" t="inlineStr">
        <is>
          <t>Oreo</t>
        </is>
      </c>
      <c r="F25" s="127" t="inlineStr">
        <is>
          <t>Saatchi &amp; Saatchi</t>
        </is>
      </c>
      <c r="G25" s="127" t="inlineStr">
        <is>
          <t>Germany</t>
        </is>
      </c>
      <c r="H25" s="113" t="inlineStr">
        <is>
          <t>Launch/Relaunch</t>
        </is>
      </c>
      <c r="I25" s="128" t="inlineStr">
        <is>
          <t>https://ascentialcdn.filespin.io/api/v1/conversion/76013060c8dd4eaab1a92bf04d89af79</t>
        </is>
      </c>
      <c r="J25" s="127" t="inlineStr">
        <is>
          <t>vimeo:1068186645</t>
        </is>
      </c>
      <c r="K25" s="127" t="n"/>
      <c r="L25" s="128" t="inlineStr">
        <is>
          <t>https://www.lovethework.com/work/entries/oreo-square-cookie-744485</t>
        </is>
      </c>
      <c r="M25" s="113" t="inlineStr">
        <is>
          <t>A limited-edition square Oreo cookie produced in collaboration with A Minecraft Movie, reshaping the brand's signature round format to match the block-based geometry of the Minecraft world. The tie-in was designed to get German consumers to sample Oreo's reformulated recipe — more cocoa, less sugar — by attaching a trial reason to one of the year's biggest cinema releases.</t>
        </is>
      </c>
      <c r="N25" s="113" t="inlineStr">
        <is>
          <t>snack, food, packaged-goods, cpg, fmcg, packaging, limited-edition, brand-collaboration, entertainment, germany, product-design, audience-engagement</t>
        </is>
      </c>
    </row>
    <row r="26">
      <c r="A26" s="127" t="n">
        <v>2025</v>
      </c>
      <c r="B26" s="132" t="inlineStr">
        <is>
          <t>Silver</t>
        </is>
      </c>
      <c r="C26" s="127" t="inlineStr">
        <is>
          <t>AXA - Three Words</t>
        </is>
      </c>
      <c r="D26" s="127" t="inlineStr">
        <is>
          <t>AXA</t>
        </is>
      </c>
      <c r="E26" s="127" t="inlineStr">
        <is>
          <t>Insurance</t>
        </is>
      </c>
      <c r="F26" s="127" t="inlineStr">
        <is>
          <t>Publicis Conseil</t>
        </is>
      </c>
      <c r="G26" s="127" t="inlineStr">
        <is>
          <t>France</t>
        </is>
      </c>
      <c r="H26" s="113" t="inlineStr">
        <is>
          <t>Corporate Purpose &amp; Social Responsibility</t>
        </is>
      </c>
      <c r="I26" s="128" t="inlineStr">
        <is>
          <t>https://ascentialcdn.filespin.io/api/v1/conversion/e1a85ff134e545c7b049791151432028</t>
        </is>
      </c>
      <c r="J26" s="127" t="inlineStr">
        <is>
          <t>pY-03zuV7mE</t>
        </is>
      </c>
      <c r="K26" s="127" t="n"/>
      <c r="L26" s="128" t="inlineStr">
        <is>
          <t>https://www.lovethework.com/work/entries/axa-three-words-744864</t>
        </is>
      </c>
      <c r="M26"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26" s="113" t="inlineStr">
        <is>
          <t>insurance, financial-services, finance, france, domestic-violence, public-service, digital-platform, consumer-services, housing, publicis-conseil</t>
        </is>
      </c>
    </row>
    <row r="27">
      <c r="A27" s="127" t="n">
        <v>2025</v>
      </c>
      <c r="B27" s="132" t="inlineStr">
        <is>
          <t>Silver</t>
        </is>
      </c>
      <c r="C27" s="127" t="inlineStr">
        <is>
          <t>Potty-Tunities</t>
        </is>
      </c>
      <c r="D27" s="127" t="inlineStr">
        <is>
          <t>Angel Soft</t>
        </is>
      </c>
      <c r="E27" s="127" t="inlineStr">
        <is>
          <t>Angel Soft Toilet Paper</t>
        </is>
      </c>
      <c r="F27" s="127" t="inlineStr">
        <is>
          <t>Grey</t>
        </is>
      </c>
      <c r="G27" s="127" t="inlineStr">
        <is>
          <t>United States</t>
        </is>
      </c>
      <c r="H27" s="113" t="inlineStr">
        <is>
          <t>Consumer Goods</t>
        </is>
      </c>
      <c r="I27" s="128" t="inlineStr">
        <is>
          <t>https://ascentialcdn.filespin.io/api/v1/conversion/d1fbeead5aeb4909a43f4920061be696</t>
        </is>
      </c>
      <c r="J27" s="127" t="inlineStr">
        <is>
          <t>eAh8JA18QJA</t>
        </is>
      </c>
      <c r="K27" s="127" t="n"/>
      <c r="L27" s="128" t="inlineStr">
        <is>
          <t>https://www.lovethework.com/work/entries/potty-tunities-743534</t>
        </is>
      </c>
      <c r="M27" s="113" t="inlineStr">
        <is>
          <t>A Super Bowl TV spot designed to be skipped — Angel Soft's first-ever Big Game commercial was intentionally placed and timed to air during a non-critical game moment, signaling to viewers that it was the ideal time for a bathroom break. Rather than competing for attention, the ad functioned as a live cue, with the Angel Soft brand character "Angel" narrating the permission to step away without missing anything important.</t>
        </is>
      </c>
      <c r="N27" s="113" t="inlineStr">
        <is>
          <t>toilet-paper, broadcast, entertainment, super-bowl, television, media-strategy, united-states, live-event</t>
        </is>
      </c>
    </row>
    <row r="28">
      <c r="A28" s="127" t="n">
        <v>2025</v>
      </c>
      <c r="B28" s="132" t="inlineStr">
        <is>
          <t>Silver</t>
        </is>
      </c>
      <c r="C28" s="127" t="inlineStr">
        <is>
          <t>One Second Ads</t>
        </is>
      </c>
      <c r="D28" s="127" t="inlineStr">
        <is>
          <t>Budweiser</t>
        </is>
      </c>
      <c r="E28" s="127" t="inlineStr">
        <is>
          <t>Beer</t>
        </is>
      </c>
      <c r="F28" s="127" t="inlineStr">
        <is>
          <t>Africa Creative DDB</t>
        </is>
      </c>
      <c r="G28" s="127" t="inlineStr">
        <is>
          <t>Brazil</t>
        </is>
      </c>
      <c r="H28" s="113" t="inlineStr">
        <is>
          <t>Use of Social Platforms</t>
        </is>
      </c>
      <c r="I28" s="127" t="inlineStr">
        <is>
          <t>digital-presentation-images/direct-budweiser-one-second-ads.webp</t>
        </is>
      </c>
      <c r="J28" s="127" t="inlineStr">
        <is>
          <t>RpvlshoKIrE</t>
        </is>
      </c>
      <c r="K28" s="127" t="n"/>
      <c r="L28" s="128" t="inlineStr">
        <is>
          <t>https://www.lovethework.com/work/entries/one-second-ads-744331</t>
        </is>
      </c>
      <c r="M28"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28" s="113" t="inlineStr">
        <is>
          <t>beer, alcohol, social-media, audio, music, entertainment, short-form-video, brazil, user-participation, mobile</t>
        </is>
      </c>
    </row>
    <row r="29">
      <c r="A29" s="127" t="n">
        <v>2025</v>
      </c>
      <c r="B29" s="132" t="inlineStr">
        <is>
          <t>Silver</t>
        </is>
      </c>
      <c r="C29" s="127" t="inlineStr">
        <is>
          <t>Public Money Atm</t>
        </is>
      </c>
      <c r="D29" s="127" t="inlineStr">
        <is>
          <t>Mastercard</t>
        </is>
      </c>
      <c r="E29" s="127" t="inlineStr">
        <is>
          <t>Mastercard</t>
        </is>
      </c>
      <c r="F29" s="127" t="inlineStr">
        <is>
          <t>McCANN POLAND</t>
        </is>
      </c>
      <c r="G29" s="127" t="inlineStr">
        <is>
          <t>Poland</t>
        </is>
      </c>
      <c r="H29" s="113" t="inlineStr">
        <is>
          <t>Large-Scale Media</t>
        </is>
      </c>
      <c r="I29" s="128" t="inlineStr">
        <is>
          <t>https://ascentialcdn.filespin.io/api/v1/conversion/faa00cc4c0b94e1ea53f6e9be2461987</t>
        </is>
      </c>
      <c r="J29" s="127" t="inlineStr">
        <is>
          <t>vimeo:1083554049</t>
        </is>
      </c>
      <c r="K29" s="127" t="n"/>
      <c r="L29" s="128" t="inlineStr">
        <is>
          <t>https://www.lovethework.com/work/entries/public-money-atm-760086</t>
        </is>
      </c>
      <c r="M29" s="113" t="inlineStr">
        <is>
          <t>A pilot in Ełk, Poland that turned everyday Mastercard ATMs into voting terminals for the city's participatory-budget program. Residents inserted the card they use to withdraw cash and picked which neighborhood projects got funded, with the bank network handling identity and one-vote-per-citizen enforcement.</t>
        </is>
      </c>
      <c r="N29" s="113" t="inlineStr">
        <is>
          <t>credit-card, credit, payments, fintech, financial-services, finance, civic-tech, participatory-democracy, atm, banking, poland, public-service, digital-installation</t>
        </is>
      </c>
    </row>
    <row r="30">
      <c r="A30" s="127" t="n">
        <v>2025</v>
      </c>
      <c r="B30" s="132" t="inlineStr">
        <is>
          <t>Silver</t>
        </is>
      </c>
      <c r="C30" s="127" t="inlineStr">
        <is>
          <t>Wendy's Frosty Fix</t>
        </is>
      </c>
      <c r="D30" s="127" t="inlineStr">
        <is>
          <t>Wendy's</t>
        </is>
      </c>
      <c r="E30" s="127" t="inlineStr">
        <is>
          <t>Fast Food Restaurant / Qsr</t>
        </is>
      </c>
      <c r="F30" s="127" t="inlineStr">
        <is>
          <t>VML</t>
        </is>
      </c>
      <c r="G30" s="127" t="inlineStr">
        <is>
          <t>United States</t>
        </is>
      </c>
      <c r="H30" s="113" t="inlineStr">
        <is>
          <t>Data-Driven Targeting</t>
        </is>
      </c>
      <c r="I30" s="128" t="inlineStr">
        <is>
          <t>https://ascentialcdn.filespin.io/api/v1/conversion/06391abc3c3345f286721abc9e8d250a</t>
        </is>
      </c>
      <c r="J30" s="127" t="inlineStr">
        <is>
          <t>OuOHjLcXtvA</t>
        </is>
      </c>
      <c r="K30" s="127" t="n"/>
      <c r="L30" s="128" t="inlineStr">
        <is>
          <t>https://www.lovethework.com/work/entries/wendys-frosty-fix-744137</t>
        </is>
      </c>
      <c r="M30" s="113" t="inlineStr">
        <is>
          <t>Custom "Frosty Fix" trucks deployed to Chicago neighborhoods near broken McDonald's ice cream machines, offering free Wendy's Frosty treats to customers experiencing the outage in real time. The targeting used live machine-status data to route trucks to the locations of McDonald's — a competitor with three times as many U.S. locations — where the soft-serve was down.</t>
        </is>
      </c>
      <c r="N30" s="113" t="inlineStr">
        <is>
          <t>qsr, fast-food, restaurant, food, data-driven-targeting, experiential, direct, competitor-targeting, united-states, mobile-activation, real-time-data</t>
        </is>
      </c>
    </row>
    <row r="31">
      <c r="A31" s="127" t="n">
        <v>2025</v>
      </c>
      <c r="B31" s="132" t="inlineStr">
        <is>
          <t>Silver</t>
        </is>
      </c>
      <c r="C31" s="127" t="inlineStr">
        <is>
          <t>Preserved Promos</t>
        </is>
      </c>
      <c r="D31" s="127" t="inlineStr">
        <is>
          <t>Ziploc</t>
        </is>
      </c>
      <c r="E31" s="127" t="inlineStr">
        <is>
          <t>Ziploc</t>
        </is>
      </c>
      <c r="F31" s="127" t="inlineStr">
        <is>
          <t>VML</t>
        </is>
      </c>
      <c r="G31" s="127" t="inlineStr">
        <is>
          <t>United States</t>
        </is>
      </c>
      <c r="H31" s="113" t="inlineStr">
        <is>
          <t>Market Disruption</t>
        </is>
      </c>
      <c r="I31" s="128" t="inlineStr">
        <is>
          <t>https://ascentialcdn.filespin.io/api/v1/conversion/8223f25b769b40e3b665c4ec19e2e12c</t>
        </is>
      </c>
      <c r="J31" s="127" t="inlineStr">
        <is>
          <t>F9CTRsV3N7k</t>
        </is>
      </c>
      <c r="K31" s="127" t="n"/>
      <c r="L31" s="128" t="inlineStr">
        <is>
          <t>https://www.lovethework.com/work/entries/preserved-promos-744907</t>
        </is>
      </c>
      <c r="M31"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31" s="113" t="inlineStr">
        <is>
          <t>food-storage, retail-media, coupon, commerce, mobile, united-states, sc-johnson, promotion</t>
        </is>
      </c>
    </row>
    <row r="32">
      <c r="A32" s="127" t="n">
        <v>2025</v>
      </c>
      <c r="B32" s="132" t="inlineStr">
        <is>
          <t>Silver</t>
        </is>
      </c>
      <c r="C32" s="127" t="inlineStr">
        <is>
          <t>Prize on the Bone</t>
        </is>
      </c>
      <c r="D32" s="127" t="inlineStr">
        <is>
          <t>KFC</t>
        </is>
      </c>
      <c r="E32" s="127" t="inlineStr">
        <is>
          <t>KFC Ice-Cream</t>
        </is>
      </c>
      <c r="F32" s="127" t="inlineStr">
        <is>
          <t>DM9</t>
        </is>
      </c>
      <c r="G32" s="127" t="inlineStr">
        <is>
          <t>Brazil</t>
        </is>
      </c>
      <c r="H32" s="113" t="inlineStr">
        <is>
          <t>Small-Scale Media</t>
        </is>
      </c>
      <c r="I32" s="128" t="inlineStr">
        <is>
          <t>https://ascentialcdn.filespin.io/api/v1/conversion/32ef7021bdbd4c4392fa51fb240d45e6</t>
        </is>
      </c>
      <c r="J32" s="127" t="inlineStr">
        <is>
          <t>h4Kl5THlsYw</t>
        </is>
      </c>
      <c r="K32" s="127" t="n"/>
      <c r="L32" s="128" t="inlineStr">
        <is>
          <t>https://www.lovethework.com/work/entries/prize-on-the-bone-743661</t>
        </is>
      </c>
      <c r="M32"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32" s="113" t="inlineStr">
        <is>
          <t>qsr, fast-food, restaurant, food, product-launch, retail-promo, packaging, integrated, brazil, partnership</t>
        </is>
      </c>
    </row>
    <row r="33">
      <c r="A33" s="127" t="n">
        <v>2025</v>
      </c>
      <c r="B33" s="133" t="inlineStr">
        <is>
          <t>Bronze</t>
        </is>
      </c>
      <c r="C33" s="127" t="inlineStr">
        <is>
          <t>Coupon Rain</t>
        </is>
      </c>
      <c r="D33" s="127" t="inlineStr">
        <is>
          <t>Mercado Livre</t>
        </is>
      </c>
      <c r="E33" s="127" t="inlineStr">
        <is>
          <t>Mercado Livre</t>
        </is>
      </c>
      <c r="F33" s="127" t="inlineStr">
        <is>
          <t>Gut</t>
        </is>
      </c>
      <c r="G33" s="127" t="inlineStr">
        <is>
          <t>Brazil</t>
        </is>
      </c>
      <c r="H33" s="113" t="inlineStr">
        <is>
          <t>Use of Print/Outdoor</t>
        </is>
      </c>
      <c r="I33" s="128" t="inlineStr">
        <is>
          <t>https://ascentialcdn.filespin.io/api/v1/conversion/a490647b563240a68a61883a7362c54b</t>
        </is>
      </c>
      <c r="J33" s="127" t="inlineStr">
        <is>
          <t>vimeo:1093414319</t>
        </is>
      </c>
      <c r="K33" s="127" t="n"/>
      <c r="L33" s="128" t="inlineStr">
        <is>
          <t>https://www.lovethework.com/work/entries/coupon-rain-759033</t>
        </is>
      </c>
      <c r="M33"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33" s="113" t="inlineStr">
        <is>
          <t>ecommerce, retail, online-shopping, sponsorship, football, soccer, sport, retail-promo, stunt, brazil, partnership</t>
        </is>
      </c>
    </row>
    <row r="34">
      <c r="A34" s="127" t="n">
        <v>2025</v>
      </c>
      <c r="B34" s="133" t="inlineStr">
        <is>
          <t>Bronze</t>
        </is>
      </c>
      <c r="C34" s="127" t="inlineStr">
        <is>
          <t>Life Donor Card</t>
        </is>
      </c>
      <c r="D34" s="127" t="inlineStr">
        <is>
          <t>Mastercard</t>
        </is>
      </c>
      <c r="E34" s="127" t="inlineStr">
        <is>
          <t>Life Donor Feature</t>
        </is>
      </c>
      <c r="F34" s="127" t="inlineStr">
        <is>
          <t>MRM Germany</t>
        </is>
      </c>
      <c r="G34" s="127" t="inlineStr">
        <is>
          <t>Germany</t>
        </is>
      </c>
      <c r="H34" s="113" t="inlineStr">
        <is>
          <t>Consumer Services/Business to Business</t>
        </is>
      </c>
      <c r="I34" s="128" t="inlineStr">
        <is>
          <t>https://ascentialcdn.filespin.io/api/v1/conversion/5801ee4249af49b0aa23167f0d131de4</t>
        </is>
      </c>
      <c r="J34" s="127" t="inlineStr">
        <is>
          <t>pe-7cdkH2dA</t>
        </is>
      </c>
      <c r="K34" s="127" t="n"/>
      <c r="L34" s="128" t="inlineStr">
        <is>
          <t>https://www.lovethework.com/work/entries/life-donor-card-759052</t>
        </is>
      </c>
      <c r="M34"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34" s="113" t="inlineStr">
        <is>
          <t>credit-card, credit, payments, fintech, financial-services, finance, healthcare, social-good, product-innovation, organ-donation, medical, germany, partnership</t>
        </is>
      </c>
    </row>
    <row r="35">
      <c r="A35" s="127" t="n">
        <v>2025</v>
      </c>
      <c r="B35" s="133" t="inlineStr">
        <is>
          <t>Bronze</t>
        </is>
      </c>
      <c r="C35" s="127" t="inlineStr">
        <is>
          <t>AXA - Three Words</t>
        </is>
      </c>
      <c r="D35" s="127" t="inlineStr">
        <is>
          <t>AXA</t>
        </is>
      </c>
      <c r="E35" s="127" t="inlineStr">
        <is>
          <t>Insurance</t>
        </is>
      </c>
      <c r="F35" s="127" t="inlineStr">
        <is>
          <t>Publicis Conseil</t>
        </is>
      </c>
      <c r="G35" s="127" t="inlineStr">
        <is>
          <t>France</t>
        </is>
      </c>
      <c r="H35" s="113" t="inlineStr">
        <is>
          <t>Consumer Services/Business to Business</t>
        </is>
      </c>
      <c r="I35" s="128" t="inlineStr">
        <is>
          <t>https://ascentialcdn.filespin.io/api/v1/conversion/e1a85ff134e545c7b049791151432028</t>
        </is>
      </c>
      <c r="J35" s="127" t="inlineStr">
        <is>
          <t>pY-03zuV7mE</t>
        </is>
      </c>
      <c r="K35" s="127" t="n"/>
      <c r="L35" s="128" t="inlineStr">
        <is>
          <t>https://www.lovethework.com/work/entries/axa-three-words-743592</t>
        </is>
      </c>
      <c r="M35"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35" s="113" t="inlineStr">
        <is>
          <t>insurance, financial-services, finance, france, domestic-violence, public-service, digital-platform, consumer-services, housing, publicis-conseil</t>
        </is>
      </c>
    </row>
    <row r="36">
      <c r="A36" s="127" t="n">
        <v>2025</v>
      </c>
      <c r="B36" s="133" t="inlineStr">
        <is>
          <t>Bronze</t>
        </is>
      </c>
      <c r="C36" s="127" t="inlineStr">
        <is>
          <t>Preserved Promos</t>
        </is>
      </c>
      <c r="D36" s="127" t="inlineStr">
        <is>
          <t>Ziploc</t>
        </is>
      </c>
      <c r="E36" s="127" t="inlineStr">
        <is>
          <t>Ziploc</t>
        </is>
      </c>
      <c r="F36" s="127" t="inlineStr">
        <is>
          <t>VML</t>
        </is>
      </c>
      <c r="G36" s="127" t="inlineStr">
        <is>
          <t>United States</t>
        </is>
      </c>
      <c r="H36" s="113" t="inlineStr">
        <is>
          <t>Use of Mobile</t>
        </is>
      </c>
      <c r="I36" s="128" t="inlineStr">
        <is>
          <t>https://ascentialcdn.filespin.io/api/v1/conversion/8223f25b769b40e3b665c4ec19e2e12c</t>
        </is>
      </c>
      <c r="J36" s="127" t="inlineStr">
        <is>
          <t>F9CTRsV3N7k</t>
        </is>
      </c>
      <c r="K36" s="127" t="n"/>
      <c r="L36" s="128" t="inlineStr">
        <is>
          <t>https://www.lovethework.com/work/entries/preserved-promos-744111</t>
        </is>
      </c>
      <c r="M36"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36" s="113" t="inlineStr">
        <is>
          <t>food-storage, retail-media, coupon, commerce, mobile, united-states, sc-johnson, promotion</t>
        </is>
      </c>
    </row>
    <row r="37">
      <c r="A37" s="127" t="n">
        <v>2025</v>
      </c>
      <c r="B37" s="133" t="inlineStr">
        <is>
          <t>Bronze</t>
        </is>
      </c>
      <c r="C37" s="127" t="inlineStr">
        <is>
          <t>Pub Succession</t>
        </is>
      </c>
      <c r="D37" s="127" t="inlineStr">
        <is>
          <t>Heineken</t>
        </is>
      </c>
      <c r="E37" s="127" t="inlineStr">
        <is>
          <t>Heineken</t>
        </is>
      </c>
      <c r="F37" s="127" t="inlineStr">
        <is>
          <t>Lepub</t>
        </is>
      </c>
      <c r="G37" s="127" t="inlineStr">
        <is>
          <t>Italy</t>
        </is>
      </c>
      <c r="H37" s="113" t="inlineStr">
        <is>
          <t>Personalised Campaigns</t>
        </is>
      </c>
      <c r="I37" s="128" t="inlineStr">
        <is>
          <t>https://ascentialcdn.filespin.io/api/v1/conversion/a8d4e72bb1ce47508dcea8db73d16b01</t>
        </is>
      </c>
      <c r="J37" s="127" t="inlineStr">
        <is>
          <t>vimeo:1082873947</t>
        </is>
      </c>
      <c r="K37" s="127" t="n"/>
      <c r="L37" s="128" t="inlineStr">
        <is>
          <t>https://www.lovethework.com/work/entries/pub-succession-744903</t>
        </is>
      </c>
      <c r="M37"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37" s="113" t="inlineStr">
        <is>
          <t>pr, integrated, ooh, beer, alcohol, ireland, recruitment, cultural-engagement, partnership</t>
        </is>
      </c>
    </row>
    <row r="38">
      <c r="A38" s="127" t="n">
        <v>2025</v>
      </c>
      <c r="B38" s="133" t="inlineStr">
        <is>
          <t>Bronze</t>
        </is>
      </c>
      <c r="C38" s="127" t="inlineStr">
        <is>
          <t>The Final Exam</t>
        </is>
      </c>
      <c r="D38" s="127" t="inlineStr">
        <is>
          <t>Change the Ref</t>
        </is>
      </c>
      <c r="E38" s="127" t="inlineStr">
        <is>
          <t>Pro Bono</t>
        </is>
      </c>
      <c r="F38" s="127" t="inlineStr">
        <is>
          <t>Energy BBDO</t>
        </is>
      </c>
      <c r="G38" s="127" t="inlineStr">
        <is>
          <t>United States</t>
        </is>
      </c>
      <c r="H38" s="113" t="inlineStr">
        <is>
          <t>Gaming</t>
        </is>
      </c>
      <c r="I38" s="128" t="inlineStr">
        <is>
          <t>https://ascentialcdn.filespin.io/api/v1/conversion/615e3a15eabf457d91d317468a12d825</t>
        </is>
      </c>
      <c r="J38" s="127" t="inlineStr">
        <is>
          <t>y8LkiSNPJUs</t>
        </is>
      </c>
      <c r="K38" s="127" t="n"/>
      <c r="L38" s="128" t="inlineStr">
        <is>
          <t>https://www.lovethework.com/work/entries/the-final-exam-759400</t>
        </is>
      </c>
      <c r="M38"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38" s="113" t="inlineStr">
        <is>
          <t>gaming, video-games, entertainment, gun-violence, social-good, not-for-profit, charity, ngo, activism, united-states, twitch, advocacy</t>
        </is>
      </c>
    </row>
    <row r="39">
      <c r="A39" s="127" t="n">
        <v>2025</v>
      </c>
      <c r="B39" s="133" t="inlineStr">
        <is>
          <t>Bronze</t>
        </is>
      </c>
      <c r="C39" s="127" t="inlineStr">
        <is>
          <t>Choose Uber</t>
        </is>
      </c>
      <c r="D39" s="127" t="inlineStr">
        <is>
          <t>Heetch</t>
        </is>
      </c>
      <c r="E39" s="127" t="inlineStr">
        <is>
          <t>Heetch</t>
        </is>
      </c>
      <c r="F39" s="127" t="inlineStr">
        <is>
          <t>BETC</t>
        </is>
      </c>
      <c r="G39" s="127" t="inlineStr">
        <is>
          <t>France</t>
        </is>
      </c>
      <c r="H39" s="113" t="inlineStr">
        <is>
          <t>Challenger Brand</t>
        </is>
      </c>
      <c r="I39" s="128" t="inlineStr">
        <is>
          <t>https://ascentialcdn.filespin.io/api/v1/conversion/fd2b448479ca41b7aa08b7d8a4bd8749</t>
        </is>
      </c>
      <c r="J39" s="127" t="inlineStr">
        <is>
          <t>l9rO0yGTLEM</t>
        </is>
      </c>
      <c r="K39" s="127" t="n"/>
      <c r="L39" s="128" t="inlineStr">
        <is>
          <t>https://www.lovethework.com/work/entries/choose-uber-759506</t>
        </is>
      </c>
      <c r="M39"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39" s="113" t="inlineStr">
        <is>
          <t>ride-share, mobility, transport, ooh, multilingual, paris, olympics, sport, customer-retention, france</t>
        </is>
      </c>
    </row>
    <row r="40">
      <c r="A40" s="127" t="n">
        <v>2025</v>
      </c>
      <c r="B40" s="133" t="inlineStr">
        <is>
          <t>Bronze</t>
        </is>
      </c>
      <c r="C40" s="127" t="inlineStr">
        <is>
          <t>Safe at 3am</t>
        </is>
      </c>
      <c r="D40" s="127" t="inlineStr">
        <is>
          <t>Dubai Tourism</t>
        </is>
      </c>
      <c r="E40" s="127" t="inlineStr">
        <is>
          <t>Dubai</t>
        </is>
      </c>
      <c r="F40" s="127" t="inlineStr">
        <is>
          <t>VML</t>
        </is>
      </c>
      <c r="G40" s="127" t="inlineStr">
        <is>
          <t>United Arab Emirates</t>
        </is>
      </c>
      <c r="H40" s="113" t="inlineStr">
        <is>
          <t>Use of Mobile</t>
        </is>
      </c>
      <c r="I40" s="128" t="inlineStr">
        <is>
          <t>https://ascentialcdn.filespin.io/api/v1/conversion/f9376c25bb2b48bca81ace4fc05d635c</t>
        </is>
      </c>
      <c r="J40" s="127" t="inlineStr">
        <is>
          <t>ZJV0Hf5gD54</t>
        </is>
      </c>
      <c r="K40" s="127" t="n"/>
      <c r="L40" s="128" t="inlineStr">
        <is>
          <t>https://www.lovethework.com/work/entries/safe-at-3am-759119</t>
        </is>
      </c>
      <c r="M40" s="113" t="inlineStr">
        <is>
          <t>A solo 42-kilometer marathon run at 3AM through Dubai's unmodified streets — no closed roads, no security escorts — documented by Lily Collyer, a Dubai-based personal trainer and running influencer. The challenge was designed to demonstrate the city's safety at its least-supervised hour, using a real, unscripted physical feat as the proof point.</t>
        </is>
      </c>
      <c r="N40" s="113" t="inlineStr">
        <is>
          <t>tourism, travel, mobile, influencer, user-generated-content, united-arab-emirates, outdoor, social-media, dubai</t>
        </is>
      </c>
    </row>
    <row r="41">
      <c r="A41" s="127" t="n">
        <v>2025</v>
      </c>
      <c r="B41" s="133" t="inlineStr">
        <is>
          <t>Bronze</t>
        </is>
      </c>
      <c r="C41" s="127" t="inlineStr">
        <is>
          <t>Football Is for Food</t>
        </is>
      </c>
      <c r="D41" s="127" t="inlineStr">
        <is>
          <t>Uber Eats</t>
        </is>
      </c>
      <c r="E41" s="127" t="inlineStr">
        <is>
          <t>Uber Eats</t>
        </is>
      </c>
      <c r="F41" s="127" t="inlineStr">
        <is>
          <t>Special</t>
        </is>
      </c>
      <c r="G41" s="127" t="inlineStr">
        <is>
          <t>United States</t>
        </is>
      </c>
      <c r="H41" s="113" t="inlineStr">
        <is>
          <t>Use of Broadcast</t>
        </is>
      </c>
      <c r="I41" s="128" t="inlineStr">
        <is>
          <t>https://ascentialcdn.filespin.io/api/v1/conversion/bdc3e17665e54318a6a9b4e6705f40a7</t>
        </is>
      </c>
      <c r="J41" s="127" t="inlineStr">
        <is>
          <t>Mi_cxUyqH4Q</t>
        </is>
      </c>
      <c r="K41" s="127" t="n"/>
      <c r="L41" s="128" t="inlineStr">
        <is>
          <t>https://www.lovethework.com/work/entries/football-is-for-food-743865</t>
        </is>
      </c>
      <c r="M41"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41" s="113" t="inlineStr">
        <is>
          <t>food-delivery, food, restaurant, ecommerce, retail, online-shopping, television, brand-integration, nfl, united-states, conspiracy, humor, sports-sponsorship</t>
        </is>
      </c>
    </row>
    <row r="42">
      <c r="A42" s="127" t="n">
        <v>2025</v>
      </c>
      <c r="B42" s="133" t="inlineStr">
        <is>
          <t>Bronze</t>
        </is>
      </c>
      <c r="C42" s="127" t="inlineStr">
        <is>
          <t>Drinkable Anthem</t>
        </is>
      </c>
      <c r="D42" s="127" t="inlineStr">
        <is>
          <t>Super Bock</t>
        </is>
      </c>
      <c r="E42" s="127" t="inlineStr">
        <is>
          <t>Super Bock Beer</t>
        </is>
      </c>
      <c r="F42" s="127" t="inlineStr">
        <is>
          <t>Judas</t>
        </is>
      </c>
      <c r="G42" s="127" t="inlineStr">
        <is>
          <t>Portugal</t>
        </is>
      </c>
      <c r="H42" s="113" t="inlineStr">
        <is>
          <t>Use of Broadcast</t>
        </is>
      </c>
      <c r="I42" s="128" t="inlineStr">
        <is>
          <t>https://ascentialcdn.filespin.io/api/v1/conversion/f2e0559daeee4ccda58f909ec08f9fbf</t>
        </is>
      </c>
      <c r="J42" s="127" t="inlineStr">
        <is>
          <t>vimeo:1085986719</t>
        </is>
      </c>
      <c r="K42" s="127" t="n"/>
      <c r="L42" s="128" t="inlineStr">
        <is>
          <t>https://www.lovethework.com/work/entries/drinkable-anthem-743946</t>
        </is>
      </c>
      <c r="M42" s="113" t="inlineStr">
        <is>
          <t>A broadcast mechanic built around Portugal's national anthem: Super Bock aired its TV spot precisely during the seconds of the anthem's performance when the melody is traditionally sung without words — filling that familiar silence with the sound of a beer being poured and drunk. The timing turned a cultural blank that every Portuguese viewer already knew by heart into an ad placement.</t>
        </is>
      </c>
      <c r="N42" s="113" t="inlineStr">
        <is>
          <t>beer, alcohol, broadcast, entertainment, tv, portugal, real-time, cultural-moment, audio, timing</t>
        </is>
      </c>
    </row>
    <row r="43">
      <c r="A43" s="127" t="n">
        <v>2025</v>
      </c>
      <c r="B43" s="133" t="inlineStr">
        <is>
          <t>Bronze</t>
        </is>
      </c>
      <c r="C43" s="127" t="inlineStr">
        <is>
          <t>Most Likely To</t>
        </is>
      </c>
      <c r="D43" s="127" t="inlineStr">
        <is>
          <t>Dove</t>
        </is>
      </c>
      <c r="E43" s="127" t="inlineStr">
        <is>
          <t>Dove Brand</t>
        </is>
      </c>
      <c r="F43" s="127" t="inlineStr">
        <is>
          <t>Ogilvy</t>
        </is>
      </c>
      <c r="G43" s="127" t="inlineStr">
        <is>
          <t>Canada</t>
        </is>
      </c>
      <c r="H43" s="113" t="inlineStr">
        <is>
          <t>Single-Market Campaign</t>
        </is>
      </c>
      <c r="I43" s="128" t="inlineStr">
        <is>
          <t>https://ascentialcdn.filespin.io/api/v1/conversion/7b86925f1349408ea7adba9c5a0176eb</t>
        </is>
      </c>
      <c r="J43" s="127" t="inlineStr">
        <is>
          <t>z68efvxyj3M</t>
        </is>
      </c>
      <c r="K43" s="127" t="n"/>
      <c r="L43" s="128" t="inlineStr">
        <is>
          <t>https://www.lovethework.com/work/entries/most-likely-to-759537</t>
        </is>
      </c>
      <c r="M43" s="113" t="inlineStr">
        <is>
          <t>A long tracking shot through a school hallway that pauses on individual girls to display "Most Likely To" superlatives — not achievements, but appearance-based insecurities: "Most Likely To Get Made Fun Of For Her Hair," "Most Likely To Feel Ugly." The film, made with Ogilvy Toronto and PHD Toronto, surfaces the specific language young girls absorb about their looks to argue for early self-esteem intervention.</t>
        </is>
      </c>
      <c r="N43" s="113" t="inlineStr">
        <is>
          <t>dove, personal-care, film, cinema, entertainment, social-impact, canada, youth, body-image, ogilvy</t>
        </is>
      </c>
    </row>
    <row r="44">
      <c r="A44" s="127" t="n">
        <v>2025</v>
      </c>
      <c r="B44" s="133" t="inlineStr">
        <is>
          <t>Bronze</t>
        </is>
      </c>
      <c r="C44" s="127" t="inlineStr">
        <is>
          <t>Re-Commerce Atacama</t>
        </is>
      </c>
      <c r="D44" s="127" t="inlineStr">
        <is>
          <t>VTEX</t>
        </is>
      </c>
      <c r="E44" s="127" t="inlineStr">
        <is>
          <t>Re-Commerce Atacama</t>
        </is>
      </c>
      <c r="F44" s="127" t="inlineStr">
        <is>
          <t>Artplan</t>
        </is>
      </c>
      <c r="G44" s="127" t="inlineStr">
        <is>
          <t>Brazil</t>
        </is>
      </c>
      <c r="H44" s="113" t="inlineStr">
        <is>
          <t>Corporate Purpose &amp; Social Responsibility</t>
        </is>
      </c>
      <c r="I44" s="128" t="inlineStr">
        <is>
          <t>https://ascentialcdn.filespin.io/api/v1/conversion/4d03b091591e429f9ada2339d908dc54</t>
        </is>
      </c>
      <c r="J44" s="127" t="inlineStr">
        <is>
          <t>vimeo:1090194004</t>
        </is>
      </c>
      <c r="K44" s="127" t="n"/>
      <c r="L44" s="128" t="inlineStr">
        <is>
          <t>https://www.lovethework.com/work/entries/re-commerce-atacama-744934</t>
        </is>
      </c>
      <c r="M44" s="113" t="inlineStr">
        <is>
          <t>An e-commerce platform built by VTEX and Artplan to sell discarded fast-fashion garments dumped in Chile's Atacama Desert — one of the world's largest textile waste sites — directly to global buyers. By routing unsold and abandoned clothing through a re-commerce storefront, the project turned a landfill into a live digital inventory.</t>
        </is>
      </c>
      <c r="N44" s="113" t="inlineStr">
        <is>
          <t>e-commerce, digital-platform, circular-economy, fast-fashion-waste, retail, brazil, chile, sustainability, b2b-platform</t>
        </is>
      </c>
    </row>
    <row r="45">
      <c r="A45" s="127" t="n">
        <v>2025</v>
      </c>
      <c r="B45" s="133" t="inlineStr">
        <is>
          <t>Bronze</t>
        </is>
      </c>
      <c r="C45" s="127" t="inlineStr">
        <is>
          <t>Six Back</t>
        </is>
      </c>
      <c r="D45" s="127" t="inlineStr">
        <is>
          <t>Victoria</t>
        </is>
      </c>
      <c r="E45" s="127" t="inlineStr">
        <is>
          <t>Victoria</t>
        </is>
      </c>
      <c r="F45" s="127" t="inlineStr">
        <is>
          <t>Gut</t>
        </is>
      </c>
      <c r="G45" s="127" t="inlineStr">
        <is>
          <t>Mexico</t>
        </is>
      </c>
      <c r="H45" s="113" t="inlineStr">
        <is>
          <t>Small-Scale Media</t>
        </is>
      </c>
      <c r="I45" s="128" t="inlineStr">
        <is>
          <t>https://ascentialcdn.filespin.io/api/v1/conversion/b2fe6fe084884aab927d3e0312b40622</t>
        </is>
      </c>
      <c r="J45" s="127" t="inlineStr">
        <is>
          <t>xbkAvvh64IA</t>
        </is>
      </c>
      <c r="K45" s="127" t="n"/>
      <c r="L45" s="128" t="inlineStr">
        <is>
          <t>https://www.lovethework.com/work/entries/six-back-760070</t>
        </is>
      </c>
      <c r="M45" s="113" t="inlineStr">
        <is>
          <t>A packaging initiative by Cerveza Victoria and GUT Mexico City that collects used glass bottles from competing beer brands, fills them with Victoria beer, and sells them as mixed six-packs. Timed to Día de los Muertos, the campaign frames the returned bottles as coming back to life — a nod to the holiday's belief that the dead rejoin the living.</t>
        </is>
      </c>
      <c r="N45" s="113" t="inlineStr">
        <is>
          <t>beer, alcohol, packaging, recycling, dia-de-los-muertos, mexico, small-scale-media, gut</t>
        </is>
      </c>
    </row>
    <row r="46">
      <c r="A46" s="127" t="n">
        <v>2025</v>
      </c>
      <c r="B46" s="133" t="inlineStr">
        <is>
          <t>Bronze</t>
        </is>
      </c>
      <c r="C46" s="127" t="inlineStr">
        <is>
          <t>01. the Interrupted Goal</t>
        </is>
      </c>
      <c r="D46" s="127" t="inlineStr">
        <is>
          <t>Fiat Group</t>
        </is>
      </c>
      <c r="E46" s="127" t="inlineStr">
        <is>
          <t>Fiat Hybrid</t>
        </is>
      </c>
      <c r="F46" s="127" t="inlineStr">
        <is>
          <t>Leo Brazil</t>
        </is>
      </c>
      <c r="G46" s="127" t="inlineStr">
        <is>
          <t>Brazil</t>
        </is>
      </c>
      <c r="H46" s="113" t="inlineStr">
        <is>
          <t>Use of Broadcast</t>
        </is>
      </c>
      <c r="I46" s="128" t="inlineStr">
        <is>
          <t>https://ascentialcdn.filespin.io/api/v1/conversion/dfca319f7ffa4d2c80fe786b30e35c40</t>
        </is>
      </c>
      <c r="J46" s="127" t="inlineStr">
        <is>
          <t>vimeo:1082274260</t>
        </is>
      </c>
      <c r="K46" s="127" t="n"/>
      <c r="L46" s="128" t="inlineStr">
        <is>
          <t>https://www.lovethework.com/work/entries/01-the-interrupted-goal-743899</t>
        </is>
      </c>
      <c r="M46" s="113" t="inlineStr">
        <is>
          <t>Fiat turned a media mistake into a fan-first apology after one of its in-game ads accidentally interrupted a crucial Botafogo goal during the Brazilian title race. Within 24 hours, the brand interrupted its own commercial during a major news broadcast to replay the missed goal, giving fans back the moment Fiat had taken from them.</t>
        </is>
      </c>
      <c r="N46" s="113" t="inlineStr">
        <is>
          <t>automotive, cars, transport, sport, football, soccer, brazil, broadcast, entertainment, partnership, ooh, real-time</t>
        </is>
      </c>
    </row>
    <row r="47">
      <c r="A47" s="127" t="n">
        <v>2025</v>
      </c>
      <c r="B47" s="133" t="inlineStr">
        <is>
          <t>Bronze</t>
        </is>
      </c>
      <c r="C47" s="127" t="inlineStr">
        <is>
          <t>Ink of Democracy</t>
        </is>
      </c>
      <c r="D47" s="127" t="inlineStr">
        <is>
          <t>Times of India Group</t>
        </is>
      </c>
      <c r="E47" s="127" t="inlineStr">
        <is>
          <t>Election Appeal</t>
        </is>
      </c>
      <c r="F47" s="127" t="inlineStr">
        <is>
          <t>Havas</t>
        </is>
      </c>
      <c r="G47" s="127" t="inlineStr">
        <is>
          <t>India</t>
        </is>
      </c>
      <c r="H47" s="113" t="inlineStr">
        <is>
          <t>Social Behaviour</t>
        </is>
      </c>
      <c r="I47" s="127" t="inlineStr">
        <is>
          <t>digital-presentation-images/direct-times-of-india-group-ink-of-democracy.webp</t>
        </is>
      </c>
      <c r="J47" s="127" t="inlineStr">
        <is>
          <t>Y04IsSy9fCI</t>
        </is>
      </c>
      <c r="K47" s="127" t="n"/>
      <c r="L47" s="128" t="inlineStr">
        <is>
          <t>https://www.lovethework.com/work/entries/ink-of-democracy-744669</t>
        </is>
      </c>
      <c r="M47" s="113" t="inlineStr">
        <is>
          <t>Pages of The Times of India and The Economic Times — India's highest-circulation English-language newspapers — were printed in purple ink instead of black during the 2024 Indian General Elections, mirroring the electoral ink applied to every voter's finger as proof of voting. For every 132 registered voters who had not cast a ballot in the previous election, one purple-ink page was produced, resulting in 2.28 million prints, each functioning as a direct appeal to a specific share of the absent electorate. The campaign was created by Havas Creative India in partnership with The Times of India Group, drawing on the fact that 7,500 litres of electoral ink went unused in 2019 due to low turnout.</t>
        </is>
      </c>
      <c r="N47" s="113" t="inlineStr">
        <is>
          <t>newspaper, print, public-service, voter-turnout, india, corporate-purpose, packaging-craft, elections, media-brand</t>
        </is>
      </c>
    </row>
    <row r="48">
      <c r="A48" s="127" t="n">
        <v>2025</v>
      </c>
      <c r="B48" s="133" t="inlineStr">
        <is>
          <t>Bronze</t>
        </is>
      </c>
      <c r="C48" s="127" t="inlineStr">
        <is>
          <t>W1ng Cod3s</t>
        </is>
      </c>
      <c r="D48" s="127" t="inlineStr">
        <is>
          <t>Volaris Airlines</t>
        </is>
      </c>
      <c r="E48" s="127" t="inlineStr">
        <is>
          <t>Volaris Airlines</t>
        </is>
      </c>
      <c r="F48" s="127" t="inlineStr">
        <is>
          <t>Havas Hoy</t>
        </is>
      </c>
      <c r="G48" s="127" t="inlineStr">
        <is>
          <t>Mexico</t>
        </is>
      </c>
      <c r="H48" s="113" t="inlineStr">
        <is>
          <t>Breakthrough on a Budget</t>
        </is>
      </c>
      <c r="I48" s="128" t="inlineStr">
        <is>
          <t>https://ascentialcdn.filespin.io/api/v1/conversion/1294d1380c13485bb6bc73f942b57f75</t>
        </is>
      </c>
      <c r="J48" s="127" t="inlineStr">
        <is>
          <t>qsxzsAbHowQ</t>
        </is>
      </c>
      <c r="K48" s="127" t="n"/>
      <c r="L48" s="128" t="inlineStr">
        <is>
          <t>https://www.lovethework.com/work/entries/w1ng-cod3s-744593</t>
        </is>
      </c>
      <c r="M48" s="113" t="inlineStr">
        <is>
          <t>A discount mechanic built around the aircraft registration codes printed on airplane wings — codes that appear in 83% of in-flight window-seat photos but had previously gone unnoticed. Volaris invited passengers to photograph the wing code on their flight and redeem it for a discount on their next booking, turning an overlooked piece of livery into a loyalty trigger shared across social media.</t>
        </is>
      </c>
      <c r="N48" s="113" t="inlineStr">
        <is>
          <t>airline, social-media, user-generated-content, promotion, mexico, mobile, influencer, ooh</t>
        </is>
      </c>
    </row>
    <row r="49">
      <c r="A49" s="127" t="n">
        <v>2025</v>
      </c>
      <c r="B49" s="133" t="inlineStr">
        <is>
          <t>Bronze</t>
        </is>
      </c>
      <c r="C49" s="127" t="inlineStr">
        <is>
          <t>Lidlize</t>
        </is>
      </c>
      <c r="D49" s="127" t="inlineStr">
        <is>
          <t>Lidl</t>
        </is>
      </c>
      <c r="E49" s="127" t="inlineStr">
        <is>
          <t>Retail</t>
        </is>
      </c>
      <c r="F49" s="127" t="inlineStr">
        <is>
          <t>Marcel</t>
        </is>
      </c>
      <c r="G49" s="127" t="inlineStr">
        <is>
          <t>France</t>
        </is>
      </c>
      <c r="H49" s="113" t="inlineStr">
        <is>
          <t>New Realities &amp; Emerging Tech</t>
        </is>
      </c>
      <c r="I49" s="128" t="inlineStr">
        <is>
          <t>https://ascentialcdn.filespin.io/api/v1/conversion/f979928ea0a14ad7a4df5b301de95a0e</t>
        </is>
      </c>
      <c r="J49" s="127" t="inlineStr">
        <is>
          <t>mba6sPCSX_8</t>
        </is>
      </c>
      <c r="K49" s="127" t="n"/>
      <c r="L49" s="128" t="inlineStr">
        <is>
          <t>https://www.lovethework.com/work/entries/lidlize-760120</t>
        </is>
      </c>
      <c r="M49"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49" s="113" t="inlineStr">
        <is>
          <t>retail, influencer-co-creation, ai, technology, mobile-app, user-generated-content, france, community-voting, product-design</t>
        </is>
      </c>
    </row>
    <row r="50">
      <c r="A50" s="127" t="n">
        <v>2025</v>
      </c>
      <c r="B50" s="133" t="inlineStr">
        <is>
          <t>Bronze</t>
        </is>
      </c>
      <c r="C50" s="127" t="inlineStr">
        <is>
          <t>Supportbelt</t>
        </is>
      </c>
      <c r="D50" s="127" t="inlineStr">
        <is>
          <t>Ford</t>
        </is>
      </c>
      <c r="E50" s="127" t="inlineStr">
        <is>
          <t>Ford Supportbelt</t>
        </is>
      </c>
      <c r="F50" s="127" t="inlineStr">
        <is>
          <t>VML</t>
        </is>
      </c>
      <c r="G50" s="127" t="inlineStr">
        <is>
          <t>United States</t>
        </is>
      </c>
      <c r="H50" s="113" t="inlineStr">
        <is>
          <t>Automotive</t>
        </is>
      </c>
      <c r="I50" s="128" t="inlineStr">
        <is>
          <t>https://ascentialcdn.filespin.io/api/v1/conversion/325a5a7b867c43a7a400829c3a94a862</t>
        </is>
      </c>
      <c r="J50" s="127" t="inlineStr">
        <is>
          <t>BU0WI3A9bKQ</t>
        </is>
      </c>
      <c r="K50" s="127" t="n"/>
      <c r="L50" s="128" t="inlineStr">
        <is>
          <t>https://www.lovethework.com/work/entries/supportbelt-743599</t>
        </is>
      </c>
      <c r="M50" s="113" t="inlineStr">
        <is>
          <t>A free seat-belt accessory engineered to relieve the pressure of a standard shoulder belt across a mastectomy surgical site. Designed by VML creative director Lynn Simoncini after her own double mastectomy, and distributed at no cost through Ford's 3,200 U.S. dealerships and partner hospital networks.</t>
        </is>
      </c>
      <c r="N50" s="113" t="inlineStr">
        <is>
          <t>automotive, cars, transport, healthcare, product-innovation, breast-cancer, cancer, medical, corporate-purpose, united-states, social-good, partnership</t>
        </is>
      </c>
    </row>
    <row r="51">
      <c r="A51" s="127" t="n">
        <v>2025</v>
      </c>
      <c r="B51" s="133" t="inlineStr">
        <is>
          <t>Bronze</t>
        </is>
      </c>
      <c r="C51" s="127" t="inlineStr">
        <is>
          <t>Olympic Curry</t>
        </is>
      </c>
      <c r="D51" s="127" t="inlineStr">
        <is>
          <t>McDonald's</t>
        </is>
      </c>
      <c r="E51" s="127" t="inlineStr">
        <is>
          <t>Curry Sauce</t>
        </is>
      </c>
      <c r="F51" s="127" t="inlineStr">
        <is>
          <t>DDB Paris</t>
        </is>
      </c>
      <c r="G51" s="127" t="inlineStr">
        <is>
          <t>France</t>
        </is>
      </c>
      <c r="H51" s="113" t="inlineStr">
        <is>
          <t>Real-Time Response</t>
        </is>
      </c>
      <c r="I51" s="128" t="inlineStr">
        <is>
          <t>https://ascentialcdn.filespin.io/api/v1/conversion/b8993a8a561d47fe9b9f126b8fbb45ce</t>
        </is>
      </c>
      <c r="J51" s="127" t="inlineStr">
        <is>
          <t>tOs7DlcDX0U</t>
        </is>
      </c>
      <c r="K51" s="127" t="n"/>
      <c r="L51" s="128" t="inlineStr">
        <is>
          <t>https://www.lovethework.com/work/entries/olympic-curry-744223</t>
        </is>
      </c>
      <c r="M51"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51" s="113" t="inlineStr">
        <is>
          <t>quick-service-restaurant, social-media, social-engagement, france, united-states, paris-olympics, condiment, real-time-marketing</t>
        </is>
      </c>
    </row>
    <row r="52">
      <c r="A52" s="127" t="n">
        <v>2025</v>
      </c>
      <c r="B52" s="133" t="inlineStr">
        <is>
          <t>Bronze</t>
        </is>
      </c>
      <c r="C52" s="127" t="inlineStr">
        <is>
          <t>Dancing Washers</t>
        </is>
      </c>
      <c r="D52" s="127" t="inlineStr">
        <is>
          <t>Whirlpool</t>
        </is>
      </c>
      <c r="E52" s="127" t="inlineStr">
        <is>
          <t>Whirlpool</t>
        </is>
      </c>
      <c r="F52" s="127" t="inlineStr">
        <is>
          <t>VML</t>
        </is>
      </c>
      <c r="G52" s="127" t="inlineStr">
        <is>
          <t>Mexico</t>
        </is>
      </c>
      <c r="H52" s="113" t="inlineStr">
        <is>
          <t>Consumer Goods</t>
        </is>
      </c>
      <c r="I52" s="128" t="inlineStr">
        <is>
          <t>https://ascentialcdn.filespin.io/api/v1/conversion/84f374748a0c44bbb252faac921d51a3</t>
        </is>
      </c>
      <c r="J52" s="127" t="inlineStr">
        <is>
          <t>y1x9FxIUVMs</t>
        </is>
      </c>
      <c r="K52" s="127" t="n"/>
      <c r="L52" s="128" t="inlineStr">
        <is>
          <t>https://www.lovethework.com/work/entries/dancing-washers-760796</t>
        </is>
      </c>
      <c r="M52" s="113" t="inlineStr">
        <is>
          <t>A direct-response mechanic built around the social media trend of "dancing" washing machines — videos of unbalanced washers vibrating and spinning across laundry room floors. Whirlpool and VML Mexico turned user encounters with that content into a trigger: viewers who engaged with the dancing washer behavior could unlock exclusive discounts and benefits on Whirlpool products.</t>
        </is>
      </c>
      <c r="N52" s="113" t="inlineStr">
        <is>
          <t>consumer-goods, cpg, fmcg, washing-machine, social-media, direct-response, mobile, mexico, branded-experience, user-generated-content</t>
        </is>
      </c>
    </row>
    <row r="53">
      <c r="A53" s="127" t="n">
        <v>2025</v>
      </c>
      <c r="B53" s="133" t="inlineStr">
        <is>
          <t>Bronze</t>
        </is>
      </c>
      <c r="C53" s="127" t="inlineStr">
        <is>
          <t>Name This Oreo</t>
        </is>
      </c>
      <c r="D53" s="127" t="inlineStr">
        <is>
          <t>Oreo</t>
        </is>
      </c>
      <c r="E53" s="127" t="inlineStr">
        <is>
          <t>Oreo</t>
        </is>
      </c>
      <c r="F53" s="127" t="inlineStr">
        <is>
          <t>VML</t>
        </is>
      </c>
      <c r="G53" s="127" t="inlineStr">
        <is>
          <t>United States</t>
        </is>
      </c>
      <c r="H53" s="113" t="inlineStr">
        <is>
          <t>Use of Mobile</t>
        </is>
      </c>
      <c r="I53" s="127" t="inlineStr">
        <is>
          <t>digital-presentation-images/direct-oreo-name-this-oreo.webp</t>
        </is>
      </c>
      <c r="J53" s="127" t="inlineStr">
        <is>
          <t>vimeo:1078732737</t>
        </is>
      </c>
      <c r="K53" s="127" t="n"/>
      <c r="L53" s="128" t="inlineStr">
        <is>
          <t>https://www.lovethework.com/work/entries/name-this-oreo-765252</t>
        </is>
      </c>
      <c r="M53"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53" s="113" t="inlineStr">
        <is>
          <t>snack, food, packaged-goods, cpg, fmcg, voice-activation, mobile-app, social-influencer, gamification, united-states, tiktok, audio</t>
        </is>
      </c>
    </row>
    <row r="54">
      <c r="A54" s="127" t="n">
        <v>2025</v>
      </c>
      <c r="B54" s="133" t="inlineStr">
        <is>
          <t>Bronze</t>
        </is>
      </c>
      <c r="C54" s="127" t="inlineStr">
        <is>
          <t>Antenaguila</t>
        </is>
      </c>
      <c r="D54" s="127" t="inlineStr">
        <is>
          <t>Aguila</t>
        </is>
      </c>
      <c r="E54" s="127" t="inlineStr">
        <is>
          <t>Aguila</t>
        </is>
      </c>
      <c r="F54" s="127" t="inlineStr">
        <is>
          <t>David</t>
        </is>
      </c>
      <c r="G54" s="127" t="inlineStr">
        <is>
          <t>Argentina</t>
        </is>
      </c>
      <c r="H54" s="113" t="inlineStr">
        <is>
          <t>Single-Market Campaign</t>
        </is>
      </c>
      <c r="I54" s="128" t="inlineStr">
        <is>
          <t>https://ascentialcdn.filespin.io/api/v1/conversion/2fe29fade1f74fc5a8b09a7cd9bc4b80</t>
        </is>
      </c>
      <c r="J54" s="127" t="inlineStr">
        <is>
          <t>ydC7JlDo0z8</t>
        </is>
      </c>
      <c r="K54" s="127" t="n"/>
      <c r="L54" s="128" t="inlineStr">
        <is>
          <t>https://www.lovethework.com/work/entries/antenaguila-744463</t>
        </is>
      </c>
      <c r="M54" s="113" t="inlineStr">
        <is>
          <t>A physical antenna branded as "Antenaguila" — Águila's take on the Argentine habit of improvising TV antennas from whatever's available — distributed to fans so they could pick up free-to-air broadcast signals and watch football matches that had moved behind paywalls. The campaign addressed a specific local tension: working-class supporters losing access to live games as broadcast rights migrated to subscription platforms.</t>
        </is>
      </c>
      <c r="N54" s="113" t="inlineStr">
        <is>
          <t>beer, alcohol, direct, argentina, broadcast, entertainment, football, soccer, sport, free-to-air, physical-product, single-market-campaign</t>
        </is>
      </c>
    </row>
    <row r="55">
      <c r="A55" s="127" t="n">
        <v>2025</v>
      </c>
      <c r="B55" s="133" t="inlineStr">
        <is>
          <t>Bronze</t>
        </is>
      </c>
      <c r="C55" s="127" t="inlineStr">
        <is>
          <t>Pub Succession</t>
        </is>
      </c>
      <c r="D55" s="127" t="inlineStr">
        <is>
          <t>Heineken</t>
        </is>
      </c>
      <c r="E55" s="127" t="inlineStr">
        <is>
          <t>Heineken</t>
        </is>
      </c>
      <c r="F55" s="127" t="inlineStr">
        <is>
          <t>Lepub</t>
        </is>
      </c>
      <c r="G55" s="127" t="inlineStr">
        <is>
          <t>Italy</t>
        </is>
      </c>
      <c r="H55" s="113" t="inlineStr">
        <is>
          <t>Cultural Engagement</t>
        </is>
      </c>
      <c r="I55" s="128" t="inlineStr">
        <is>
          <t>https://ascentialcdn.filespin.io/api/v1/conversion/a8d4e72bb1ce47508dcea8db73d16b01</t>
        </is>
      </c>
      <c r="J55" s="127" t="inlineStr">
        <is>
          <t>vimeo:1082873947</t>
        </is>
      </c>
      <c r="K55" s="127" t="n"/>
      <c r="L55" s="128" t="inlineStr">
        <is>
          <t>https://www.lovethework.com/work/entries/pub-succession-744903</t>
        </is>
      </c>
      <c r="M55"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55" s="113" t="inlineStr">
        <is>
          <t>pr, integrated, ooh, beer, alcohol, ireland, recruitment, cultural-engagement, partnership</t>
        </is>
      </c>
    </row>
    <row r="56">
      <c r="A56" s="127" t="n">
        <v>2025</v>
      </c>
      <c r="B56" s="133" t="inlineStr">
        <is>
          <t>Bronze</t>
        </is>
      </c>
      <c r="C56" s="127" t="inlineStr">
        <is>
          <t>Price Packs</t>
        </is>
      </c>
      <c r="D56" s="127" t="inlineStr">
        <is>
          <t>Penny</t>
        </is>
      </c>
      <c r="E56" s="127" t="inlineStr">
        <is>
          <t>Food/non-Food</t>
        </is>
      </c>
      <c r="F56" s="127" t="inlineStr">
        <is>
          <t>Serviceplan Germany</t>
        </is>
      </c>
      <c r="G56" s="127" t="inlineStr">
        <is>
          <t>Germany</t>
        </is>
      </c>
      <c r="H56" s="113" t="inlineStr">
        <is>
          <t>Launch/Relaunch</t>
        </is>
      </c>
      <c r="I56" s="128" t="inlineStr">
        <is>
          <t>https://ascentialcdn.filespin.io/api/v1/conversion/67b6df2a0fe64deeb274c91d50040c54</t>
        </is>
      </c>
      <c r="J56" s="127" t="inlineStr">
        <is>
          <t>wXx6z3mDnVc</t>
        </is>
      </c>
      <c r="K56" s="127" t="n"/>
      <c r="L56" s="128" t="inlineStr">
        <is>
          <t>https://www.lovethework.com/work/entries/price-packs-744455</t>
        </is>
      </c>
      <c r="M56"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56" s="113" t="inlineStr">
        <is>
          <t>packaging, retail, ooh, supermarket, grocery, design, price, germany, market-disruption</t>
        </is>
      </c>
    </row>
    <row r="57">
      <c r="A57" s="127" t="n">
        <v>2025</v>
      </c>
      <c r="B57" s="133" t="inlineStr">
        <is>
          <t>Bronze</t>
        </is>
      </c>
      <c r="C57" s="127" t="inlineStr">
        <is>
          <t>Omnilivery</t>
        </is>
      </c>
      <c r="D57" s="127" t="inlineStr">
        <is>
          <t>Omni</t>
        </is>
      </c>
      <c r="E57" s="127" t="inlineStr">
        <is>
          <t>Mobility System for Wheelchair</t>
        </is>
      </c>
      <c r="F57" s="127" t="inlineStr">
        <is>
          <t>Saatchi &amp; Saatchi France</t>
        </is>
      </c>
      <c r="G57" s="127" t="inlineStr">
        <is>
          <t>France</t>
        </is>
      </c>
      <c r="H57" s="113" t="inlineStr">
        <is>
          <t>Large-Scale Media</t>
        </is>
      </c>
      <c r="I57" s="128" t="inlineStr">
        <is>
          <t>https://ascentialcdn.filespin.io/api/v1/conversion/38cbe1a6ee444db186b748c9da630bdc</t>
        </is>
      </c>
      <c r="J57" s="127" t="inlineStr">
        <is>
          <t>vimeo:1158377325</t>
        </is>
      </c>
      <c r="K57" s="127" t="n"/>
      <c r="L57" s="128" t="inlineStr">
        <is>
          <t>https://www.lovethework.com/work/entries/omnilivery-743884</t>
        </is>
      </c>
      <c r="M57"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57" s="113" t="inlineStr">
        <is>
          <t>mobility-system, wheelchair, experiential, public-relations, disability, france, reduced-inequalities, health-wellness</t>
        </is>
      </c>
    </row>
    <row r="58">
      <c r="A58" s="127" t="n">
        <v>2025</v>
      </c>
      <c r="B58" s="133" t="inlineStr">
        <is>
          <t>Bronze</t>
        </is>
      </c>
      <c r="C58" s="127" t="inlineStr">
        <is>
          <t>Returning Creativity</t>
        </is>
      </c>
      <c r="D58" s="127" t="inlineStr">
        <is>
          <t>Crayola</t>
        </is>
      </c>
      <c r="E58" s="127" t="inlineStr">
        <is>
          <t>Crayola Crayons</t>
        </is>
      </c>
      <c r="F58" s="127" t="inlineStr">
        <is>
          <t>Dentsu Creative</t>
        </is>
      </c>
      <c r="G58" s="127" t="inlineStr">
        <is>
          <t>United States</t>
        </is>
      </c>
      <c r="H58" s="113" t="inlineStr">
        <is>
          <t>Use of Print/Outdoor</t>
        </is>
      </c>
      <c r="I58" s="128" t="inlineStr">
        <is>
          <t>https://ascentialcdn.filespin.io/api/v1/conversion/13424edec35d460b97b34cd5a9346311</t>
        </is>
      </c>
      <c r="J58" s="127" t="inlineStr">
        <is>
          <t>p8IHkizfvVE</t>
        </is>
      </c>
      <c r="K58" s="127" t="n"/>
      <c r="L58" s="128" t="inlineStr">
        <is>
          <t>https://www.lovethework.com/work/entries/returning-creativity-743883</t>
        </is>
      </c>
      <c r="M58"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58" s="113" t="inlineStr">
        <is>
          <t>consumer-goods, cpg, fmcg, art, integrated, documentary, film, entertainment, cinema, ooh, united-states, partnership, social-engagement</t>
        </is>
      </c>
    </row>
    <row r="59">
      <c r="A59" s="127" t="n">
        <v>2025</v>
      </c>
      <c r="B59" s="133" t="inlineStr">
        <is>
          <t>Bronze</t>
        </is>
      </c>
      <c r="C59" s="127" t="inlineStr">
        <is>
          <t>Haaland Payback Time</t>
        </is>
      </c>
      <c r="D59" s="127" t="inlineStr">
        <is>
          <t>Clash of Clans</t>
        </is>
      </c>
      <c r="E59" s="127" t="inlineStr">
        <is>
          <t>Clash of Clans</t>
        </is>
      </c>
      <c r="F59" s="127" t="inlineStr">
        <is>
          <t>David</t>
        </is>
      </c>
      <c r="G59" s="127" t="inlineStr">
        <is>
          <t>United States</t>
        </is>
      </c>
      <c r="H59" s="113" t="inlineStr">
        <is>
          <t>Gaming</t>
        </is>
      </c>
      <c r="I59" s="128" t="inlineStr">
        <is>
          <t>https://ascentialcdn.filespin.io/api/v1/conversion/e56e744cd3594eceb82733246e9035b2</t>
        </is>
      </c>
      <c r="J59" s="127" t="inlineStr">
        <is>
          <t>TcQ--NtSQ9s</t>
        </is>
      </c>
      <c r="K59" s="127" t="n"/>
      <c r="L59" s="128" t="inlineStr">
        <is>
          <t>https://www.lovethework.com/work/entries/haaland-payback-time-744101</t>
        </is>
      </c>
      <c r="M59"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59" s="113" t="inlineStr">
        <is>
          <t>mobile-game, gaming, video-games, entertainment, influencer, sport, in-game-activation, football, soccer, celebrity, united-states</t>
        </is>
      </c>
    </row>
    <row r="60">
      <c r="A60" s="127" t="n">
        <v>2025</v>
      </c>
      <c r="B60" s="133" t="inlineStr">
        <is>
          <t>Bronze</t>
        </is>
      </c>
      <c r="C60" s="127" t="inlineStr">
        <is>
          <t>Daisy vs Scammers</t>
        </is>
      </c>
      <c r="D60" s="127" t="inlineStr">
        <is>
          <t>O2</t>
        </is>
      </c>
      <c r="E60" s="127" t="inlineStr">
        <is>
          <t>Daisy vs Scammers</t>
        </is>
      </c>
      <c r="F60" s="127" t="inlineStr">
        <is>
          <t>VCCP</t>
        </is>
      </c>
      <c r="G60" s="127" t="inlineStr">
        <is>
          <t>United Kingdom</t>
        </is>
      </c>
      <c r="H60" s="113" t="inlineStr">
        <is>
          <t>New Realities &amp; Emerging Tech</t>
        </is>
      </c>
      <c r="I60" s="128" t="inlineStr">
        <is>
          <t>https://ascentialcdn.filespin.io/api/v1/conversion/1e451eb4b5bc4d44a6946bac225c6e96</t>
        </is>
      </c>
      <c r="J60" s="127" t="inlineStr">
        <is>
          <t>tnfhe_XMg7U</t>
        </is>
      </c>
      <c r="K60" s="127" t="n"/>
      <c r="L60" s="128" t="inlineStr">
        <is>
          <t>https://www.lovethework.com/work/entries/daisy-vs-scammers-744081</t>
        </is>
      </c>
      <c r="M6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60" s="113" t="inlineStr">
        <is>
          <t>telecommunications, ai, technology, public-safety, conversational-ai, united-kingdom, use-of-technology, consumer-protection, voice</t>
        </is>
      </c>
    </row>
  </sheetData>
  <autoFilter ref="A1:N60"/>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I21" r:id="rId39"/>
    <hyperlink xmlns:r="http://schemas.openxmlformats.org/officeDocument/2006/relationships" ref="L21" r:id="rId40"/>
    <hyperlink xmlns:r="http://schemas.openxmlformats.org/officeDocument/2006/relationships" ref="I22" r:id="rId41"/>
    <hyperlink xmlns:r="http://schemas.openxmlformats.org/officeDocument/2006/relationships" ref="L22" r:id="rId42"/>
    <hyperlink xmlns:r="http://schemas.openxmlformats.org/officeDocument/2006/relationships" ref="I23" r:id="rId43"/>
    <hyperlink xmlns:r="http://schemas.openxmlformats.org/officeDocument/2006/relationships" ref="L23" r:id="rId44"/>
    <hyperlink xmlns:r="http://schemas.openxmlformats.org/officeDocument/2006/relationships" ref="I24" r:id="rId45"/>
    <hyperlink xmlns:r="http://schemas.openxmlformats.org/officeDocument/2006/relationships" ref="L24" r:id="rId46"/>
    <hyperlink xmlns:r="http://schemas.openxmlformats.org/officeDocument/2006/relationships" ref="I25" r:id="rId47"/>
    <hyperlink xmlns:r="http://schemas.openxmlformats.org/officeDocument/2006/relationships" ref="L25" r:id="rId48"/>
    <hyperlink xmlns:r="http://schemas.openxmlformats.org/officeDocument/2006/relationships" ref="I26" r:id="rId49"/>
    <hyperlink xmlns:r="http://schemas.openxmlformats.org/officeDocument/2006/relationships" ref="L26" r:id="rId50"/>
    <hyperlink xmlns:r="http://schemas.openxmlformats.org/officeDocument/2006/relationships" ref="I27" r:id="rId51"/>
    <hyperlink xmlns:r="http://schemas.openxmlformats.org/officeDocument/2006/relationships" ref="L27" r:id="rId52"/>
    <hyperlink xmlns:r="http://schemas.openxmlformats.org/officeDocument/2006/relationships" ref="L28" r:id="rId53"/>
    <hyperlink xmlns:r="http://schemas.openxmlformats.org/officeDocument/2006/relationships" ref="I29" r:id="rId54"/>
    <hyperlink xmlns:r="http://schemas.openxmlformats.org/officeDocument/2006/relationships" ref="L29" r:id="rId55"/>
    <hyperlink xmlns:r="http://schemas.openxmlformats.org/officeDocument/2006/relationships" ref="I30" r:id="rId56"/>
    <hyperlink xmlns:r="http://schemas.openxmlformats.org/officeDocument/2006/relationships" ref="L30" r:id="rId57"/>
    <hyperlink xmlns:r="http://schemas.openxmlformats.org/officeDocument/2006/relationships" ref="I31" r:id="rId58"/>
    <hyperlink xmlns:r="http://schemas.openxmlformats.org/officeDocument/2006/relationships" ref="L31" r:id="rId59"/>
    <hyperlink xmlns:r="http://schemas.openxmlformats.org/officeDocument/2006/relationships" ref="I32" r:id="rId60"/>
    <hyperlink xmlns:r="http://schemas.openxmlformats.org/officeDocument/2006/relationships" ref="L32" r:id="rId61"/>
    <hyperlink xmlns:r="http://schemas.openxmlformats.org/officeDocument/2006/relationships" ref="I33" r:id="rId62"/>
    <hyperlink xmlns:r="http://schemas.openxmlformats.org/officeDocument/2006/relationships" ref="L33" r:id="rId63"/>
    <hyperlink xmlns:r="http://schemas.openxmlformats.org/officeDocument/2006/relationships" ref="I34" r:id="rId64"/>
    <hyperlink xmlns:r="http://schemas.openxmlformats.org/officeDocument/2006/relationships" ref="L34" r:id="rId65"/>
    <hyperlink xmlns:r="http://schemas.openxmlformats.org/officeDocument/2006/relationships" ref="I35" r:id="rId66"/>
    <hyperlink xmlns:r="http://schemas.openxmlformats.org/officeDocument/2006/relationships" ref="L35" r:id="rId67"/>
    <hyperlink xmlns:r="http://schemas.openxmlformats.org/officeDocument/2006/relationships" ref="I36" r:id="rId68"/>
    <hyperlink xmlns:r="http://schemas.openxmlformats.org/officeDocument/2006/relationships" ref="L36" r:id="rId69"/>
    <hyperlink xmlns:r="http://schemas.openxmlformats.org/officeDocument/2006/relationships" ref="I37" r:id="rId70"/>
    <hyperlink xmlns:r="http://schemas.openxmlformats.org/officeDocument/2006/relationships" ref="L37" r:id="rId71"/>
    <hyperlink xmlns:r="http://schemas.openxmlformats.org/officeDocument/2006/relationships" ref="I38" r:id="rId72"/>
    <hyperlink xmlns:r="http://schemas.openxmlformats.org/officeDocument/2006/relationships" ref="L38" r:id="rId73"/>
    <hyperlink xmlns:r="http://schemas.openxmlformats.org/officeDocument/2006/relationships" ref="I39" r:id="rId74"/>
    <hyperlink xmlns:r="http://schemas.openxmlformats.org/officeDocument/2006/relationships" ref="L39" r:id="rId75"/>
    <hyperlink xmlns:r="http://schemas.openxmlformats.org/officeDocument/2006/relationships" ref="I40" r:id="rId76"/>
    <hyperlink xmlns:r="http://schemas.openxmlformats.org/officeDocument/2006/relationships" ref="L40" r:id="rId77"/>
    <hyperlink xmlns:r="http://schemas.openxmlformats.org/officeDocument/2006/relationships" ref="I41" r:id="rId78"/>
    <hyperlink xmlns:r="http://schemas.openxmlformats.org/officeDocument/2006/relationships" ref="L41" r:id="rId79"/>
    <hyperlink xmlns:r="http://schemas.openxmlformats.org/officeDocument/2006/relationships" ref="I42" r:id="rId80"/>
    <hyperlink xmlns:r="http://schemas.openxmlformats.org/officeDocument/2006/relationships" ref="L42" r:id="rId81"/>
    <hyperlink xmlns:r="http://schemas.openxmlformats.org/officeDocument/2006/relationships" ref="I43" r:id="rId82"/>
    <hyperlink xmlns:r="http://schemas.openxmlformats.org/officeDocument/2006/relationships" ref="L43" r:id="rId83"/>
    <hyperlink xmlns:r="http://schemas.openxmlformats.org/officeDocument/2006/relationships" ref="I44" r:id="rId84"/>
    <hyperlink xmlns:r="http://schemas.openxmlformats.org/officeDocument/2006/relationships" ref="L44" r:id="rId85"/>
    <hyperlink xmlns:r="http://schemas.openxmlformats.org/officeDocument/2006/relationships" ref="I45" r:id="rId86"/>
    <hyperlink xmlns:r="http://schemas.openxmlformats.org/officeDocument/2006/relationships" ref="L45" r:id="rId87"/>
    <hyperlink xmlns:r="http://schemas.openxmlformats.org/officeDocument/2006/relationships" ref="I46" r:id="rId88"/>
    <hyperlink xmlns:r="http://schemas.openxmlformats.org/officeDocument/2006/relationships" ref="L46" r:id="rId89"/>
    <hyperlink xmlns:r="http://schemas.openxmlformats.org/officeDocument/2006/relationships" ref="L47" r:id="rId90"/>
    <hyperlink xmlns:r="http://schemas.openxmlformats.org/officeDocument/2006/relationships" ref="I48" r:id="rId91"/>
    <hyperlink xmlns:r="http://schemas.openxmlformats.org/officeDocument/2006/relationships" ref="L48" r:id="rId92"/>
    <hyperlink xmlns:r="http://schemas.openxmlformats.org/officeDocument/2006/relationships" ref="I49" r:id="rId93"/>
    <hyperlink xmlns:r="http://schemas.openxmlformats.org/officeDocument/2006/relationships" ref="L49" r:id="rId94"/>
    <hyperlink xmlns:r="http://schemas.openxmlformats.org/officeDocument/2006/relationships" ref="I50" r:id="rId95"/>
    <hyperlink xmlns:r="http://schemas.openxmlformats.org/officeDocument/2006/relationships" ref="L50" r:id="rId96"/>
    <hyperlink xmlns:r="http://schemas.openxmlformats.org/officeDocument/2006/relationships" ref="I51" r:id="rId97"/>
    <hyperlink xmlns:r="http://schemas.openxmlformats.org/officeDocument/2006/relationships" ref="L51" r:id="rId98"/>
    <hyperlink xmlns:r="http://schemas.openxmlformats.org/officeDocument/2006/relationships" ref="I52" r:id="rId99"/>
    <hyperlink xmlns:r="http://schemas.openxmlformats.org/officeDocument/2006/relationships" ref="L52" r:id="rId100"/>
    <hyperlink xmlns:r="http://schemas.openxmlformats.org/officeDocument/2006/relationships" ref="L53" r:id="rId101"/>
    <hyperlink xmlns:r="http://schemas.openxmlformats.org/officeDocument/2006/relationships" ref="I54" r:id="rId102"/>
    <hyperlink xmlns:r="http://schemas.openxmlformats.org/officeDocument/2006/relationships" ref="L54" r:id="rId103"/>
    <hyperlink xmlns:r="http://schemas.openxmlformats.org/officeDocument/2006/relationships" ref="I55" r:id="rId104"/>
    <hyperlink xmlns:r="http://schemas.openxmlformats.org/officeDocument/2006/relationships" ref="L55" r:id="rId105"/>
    <hyperlink xmlns:r="http://schemas.openxmlformats.org/officeDocument/2006/relationships" ref="I56" r:id="rId106"/>
    <hyperlink xmlns:r="http://schemas.openxmlformats.org/officeDocument/2006/relationships" ref="L56" r:id="rId107"/>
    <hyperlink xmlns:r="http://schemas.openxmlformats.org/officeDocument/2006/relationships" ref="I57" r:id="rId108"/>
    <hyperlink xmlns:r="http://schemas.openxmlformats.org/officeDocument/2006/relationships" ref="L57" r:id="rId109"/>
    <hyperlink xmlns:r="http://schemas.openxmlformats.org/officeDocument/2006/relationships" ref="I58" r:id="rId110"/>
    <hyperlink xmlns:r="http://schemas.openxmlformats.org/officeDocument/2006/relationships" ref="L58" r:id="rId111"/>
    <hyperlink xmlns:r="http://schemas.openxmlformats.org/officeDocument/2006/relationships" ref="I59" r:id="rId112"/>
    <hyperlink xmlns:r="http://schemas.openxmlformats.org/officeDocument/2006/relationships" ref="L59" r:id="rId113"/>
    <hyperlink xmlns:r="http://schemas.openxmlformats.org/officeDocument/2006/relationships" ref="I60" r:id="rId114"/>
    <hyperlink xmlns:r="http://schemas.openxmlformats.org/officeDocument/2006/relationships" ref="L60" r:id="rId11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7"/>
  <sheetViews>
    <sheetView workbookViewId="0">
      <pane ySplit="1" topLeftCell="A2" activePane="bottomLeft" state="frozen"/>
      <selection pane="bottomLeft" activeCell="A1" sqref="A1"/>
      <selection pane="bottomLeft" activeCell="A1" sqref="A1"/>
      <selection pane="bottomRigh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ht="34.5" customHeight="1" s="34">
      <c r="A2" s="141" t="n">
        <v>2025</v>
      </c>
      <c r="B2" s="142" t="inlineStr">
        <is>
          <t>Grand Prix</t>
        </is>
      </c>
      <c r="C2" s="143" t="inlineStr">
        <is>
          <t>Dove Real Beauty Redefined for the AI Era</t>
        </is>
      </c>
      <c r="D2" s="141" t="inlineStr">
        <is>
          <t>Dove</t>
        </is>
      </c>
      <c r="E2" s="141" t="inlineStr">
        <is>
          <t>Dove</t>
        </is>
      </c>
      <c r="F2" s="141" t="inlineStr">
        <is>
          <t>Mindshare</t>
        </is>
      </c>
      <c r="G2" s="141" t="inlineStr">
        <is>
          <t>United States</t>
        </is>
      </c>
      <c r="H2" s="80" t="inlineStr">
        <is>
          <t>E01 - Media Insights &amp; Strategy</t>
        </is>
      </c>
      <c r="I2" s="128" t="inlineStr">
        <is>
          <t>https://ascentialcdn.filespin.io/api/v1/conversion/da693fd61fc74ddfbb3525f638cd77c6</t>
        </is>
      </c>
      <c r="J2" s="141" t="inlineStr">
        <is>
          <t>8vYoL8nga-A</t>
        </is>
      </c>
      <c r="K2" s="127" t="n"/>
      <c r="L2" s="128" t="inlineStr">
        <is>
          <t>https://www.lovethework.com/work/entries/dove-real-beauty-redefined-for-the-ai-era-746537</t>
        </is>
      </c>
      <c r="M2" s="113" t="inlineStr">
        <is>
          <t>A media strategy built around the finding that AI image generators, trained on internet archives, disproportionately reproduce narrow beauty ideals — reinforcing the same distortions Dove's Real Beauty platform has spent two decades pushing against. Mindshare New York redirected Dove's media investment to actively counter AI-generated beauty imagery, placing real, unretouched depictions of women in the contexts and channels where AI-produced content was displacing them.</t>
        </is>
      </c>
      <c r="N2" s="113" t="inlineStr">
        <is>
          <t>personal-care, media-strategy, ai, technology, beauty-standards, united-states, social-media, ooh</t>
        </is>
      </c>
    </row>
    <row r="3" ht="34.5" customHeight="1" s="34">
      <c r="A3" s="141" t="n">
        <v>2025</v>
      </c>
      <c r="B3" s="144" t="inlineStr">
        <is>
          <t>Gold</t>
        </is>
      </c>
      <c r="C3" s="143" t="inlineStr">
        <is>
          <t>Can't Unsee It</t>
        </is>
      </c>
      <c r="D3" s="141" t="inlineStr">
        <is>
          <t>Heinz Ketchup &amp; Mustard</t>
        </is>
      </c>
      <c r="E3" s="141" t="inlineStr">
        <is>
          <t>Kraft Heinz</t>
        </is>
      </c>
      <c r="F3" s="141" t="inlineStr">
        <is>
          <t>Rethink</t>
        </is>
      </c>
      <c r="G3" s="141" t="inlineStr">
        <is>
          <t>Canada</t>
        </is>
      </c>
      <c r="H3" s="80" t="inlineStr">
        <is>
          <t>A01 - Consumer Goods</t>
        </is>
      </c>
      <c r="I3" s="128" t="inlineStr">
        <is>
          <t>https://ascentialcdn.filespin.io/api/v1/conversion/3db7ec7e31b7459bafa082009489d40e</t>
        </is>
      </c>
      <c r="J3" s="141" t="inlineStr">
        <is>
          <t>itiHi3WYcSs</t>
        </is>
      </c>
      <c r="K3" s="127" t="n"/>
      <c r="L3" s="128" t="inlineStr">
        <is>
          <t>https://www.lovethework.com/work/entries/cant-unsee-it-745091</t>
        </is>
      </c>
      <c r="M3" s="113" t="inlineStr">
        <is>
          <t>Out-of-home placements in New York, Los Angeles, Toronto, and Vancouver that targeted Marvel's existing Deadpool &amp; Wolverine outdoor campaign — replacing the film's characters with Heinz Ketchup and Mustard bottles under the line "You Can't Unsee It." The ads leaned on the visual match between Deadpool's red suit and Wolverine's yellow suit and the two condiment bottles, a parallel that moviegoers had already started noting online ahead of the film's summer 2024 release.</t>
        </is>
      </c>
      <c r="N3" s="113" t="inlineStr">
        <is>
          <t>condiment, ooh, cultural-hijack, media-placement, canada, united-states, superhero-film, ambient</t>
        </is>
      </c>
    </row>
    <row r="4" ht="34.5" customHeight="1" s="34">
      <c r="A4" s="141" t="n">
        <v>2025</v>
      </c>
      <c r="B4" s="144" t="inlineStr">
        <is>
          <t>Gold</t>
        </is>
      </c>
      <c r="C4" s="143" t="inlineStr">
        <is>
          <t>Vaseline Verified</t>
        </is>
      </c>
      <c r="D4" s="141" t="inlineStr">
        <is>
          <t>Unilever</t>
        </is>
      </c>
      <c r="E4" s="141" t="inlineStr">
        <is>
          <t>Vaseline</t>
        </is>
      </c>
      <c r="F4" s="141" t="inlineStr">
        <is>
          <t>Ogilvy</t>
        </is>
      </c>
      <c r="G4" s="141" t="inlineStr">
        <is>
          <t>Singapore</t>
        </is>
      </c>
      <c r="H4" s="80" t="inlineStr">
        <is>
          <t>A02 - Healthcare</t>
        </is>
      </c>
      <c r="I4" s="128" t="inlineStr">
        <is>
          <t>https://ascentialcdn.filespin.io/api/v1/conversion/faf0755b0d4e4594ad93cb75d6288e3d</t>
        </is>
      </c>
      <c r="J4" s="141" t="inlineStr">
        <is>
          <t>ApwxlBruV90</t>
        </is>
      </c>
      <c r="K4" s="127" t="n"/>
      <c r="L4" s="128" t="inlineStr">
        <is>
          <t>https://www.lovethework.com/work/entries/vaseline-verified-745075</t>
        </is>
      </c>
      <c r="M4"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4" s="113" t="inlineStr">
        <is>
          <t>skincare, personal-care, beauty, community-management, social-media, user-generated-content, ooh, singapore, health-wellness, dermatology</t>
        </is>
      </c>
    </row>
    <row r="5" ht="34.5" customHeight="1" s="34">
      <c r="A5" s="141" t="n">
        <v>2025</v>
      </c>
      <c r="B5" s="144" t="inlineStr">
        <is>
          <t>Gold</t>
        </is>
      </c>
      <c r="C5" s="143" t="inlineStr">
        <is>
          <t>Redditor Edit</t>
        </is>
      </c>
      <c r="D5" s="141" t="inlineStr">
        <is>
          <t>Skoda</t>
        </is>
      </c>
      <c r="E5" s="141" t="inlineStr">
        <is>
          <t>Automotive</t>
        </is>
      </c>
      <c r="F5" s="141" t="inlineStr">
        <is>
          <t>PHD</t>
        </is>
      </c>
      <c r="G5" s="141" t="inlineStr">
        <is>
          <t>United Kingdom</t>
        </is>
      </c>
      <c r="H5" s="80" t="inlineStr">
        <is>
          <t>A03 - Automotive</t>
        </is>
      </c>
      <c r="I5" s="128" t="inlineStr">
        <is>
          <t>https://ascentialcdn.filespin.io/api/v1/conversion/fa18cc31eca84cf2a41f8d9f4a3e8e89</t>
        </is>
      </c>
      <c r="J5" s="141" t="inlineStr">
        <is>
          <t>KmLMtKsmwqA</t>
        </is>
      </c>
      <c r="K5" s="127" t="n"/>
      <c r="L5" s="128" t="inlineStr">
        <is>
          <t>https://www.lovethework.com/work/entries/redditor-edit-744990</t>
        </is>
      </c>
      <c r="M5"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5" s="113" t="inlineStr">
        <is>
          <t>automotive, cars, transport, social-media, reddit, community, user-generated-content, united-kingdom, launch, skoda-octavia</t>
        </is>
      </c>
    </row>
    <row r="6" ht="34.5" customHeight="1" s="34">
      <c r="A6" s="141" t="n">
        <v>2025</v>
      </c>
      <c r="B6" s="144" t="inlineStr">
        <is>
          <t>Gold</t>
        </is>
      </c>
      <c r="C6" s="143" t="inlineStr">
        <is>
          <t>Coupon Rain</t>
        </is>
      </c>
      <c r="D6" s="141" t="inlineStr">
        <is>
          <t>Mercado Livre</t>
        </is>
      </c>
      <c r="E6" s="141" t="inlineStr">
        <is>
          <t>Mercado Livre</t>
        </is>
      </c>
      <c r="F6" s="141" t="inlineStr">
        <is>
          <t>Gut</t>
        </is>
      </c>
      <c r="G6" s="141" t="inlineStr">
        <is>
          <t>Brazil</t>
        </is>
      </c>
      <c r="H6" s="80" t="inlineStr">
        <is>
          <t>A04 - Travel, Leisure, Retail, Restaurants &amp; Fast-Food Chains</t>
        </is>
      </c>
      <c r="I6" s="128" t="inlineStr">
        <is>
          <t>https://ascentialcdn.filespin.io/api/v1/conversion/5418c22c9d864f579ce966a3f138628e</t>
        </is>
      </c>
      <c r="J6" s="141" t="inlineStr">
        <is>
          <t>RXw_xdHILoU</t>
        </is>
      </c>
      <c r="K6" s="127" t="n"/>
      <c r="L6" s="128" t="inlineStr">
        <is>
          <t>https://www.lovethework.com/work/entries/coupon-rain-745092</t>
        </is>
      </c>
      <c r="M6"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6" s="113" t="inlineStr">
        <is>
          <t>ecommerce, retail, online-shopping, sponsorship, football, soccer, sport, retail-promo, stunt, brazil, partnership</t>
        </is>
      </c>
    </row>
    <row r="7" ht="34.5" customHeight="1" s="34">
      <c r="A7" s="141" t="n">
        <v>2025</v>
      </c>
      <c r="B7" s="144" t="inlineStr">
        <is>
          <t>Gold</t>
        </is>
      </c>
      <c r="C7" s="143" t="inlineStr">
        <is>
          <t>The Final Exam</t>
        </is>
      </c>
      <c r="D7" s="141" t="inlineStr">
        <is>
          <t>Change the Ref</t>
        </is>
      </c>
      <c r="E7" s="141" t="inlineStr">
        <is>
          <t>Pro Bono</t>
        </is>
      </c>
      <c r="F7" s="141" t="inlineStr">
        <is>
          <t>Energy BBDO</t>
        </is>
      </c>
      <c r="G7" s="141" t="inlineStr">
        <is>
          <t>United States</t>
        </is>
      </c>
      <c r="H7" s="80" t="inlineStr">
        <is>
          <t>A07 - Not-for-Profit / Charity / Government</t>
        </is>
      </c>
      <c r="I7" s="128" t="inlineStr">
        <is>
          <t>https://ascentialcdn.filespin.io/api/v1/conversion/615e3a15eabf457d91d317468a12d825</t>
        </is>
      </c>
      <c r="J7" s="141" t="inlineStr">
        <is>
          <t>Ljsstj4eiko</t>
        </is>
      </c>
      <c r="K7" s="127" t="n"/>
      <c r="L7" s="128" t="inlineStr">
        <is>
          <t>https://www.lovethework.com/work/entries/the-final-exam-761015</t>
        </is>
      </c>
      <c r="M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7" s="113" t="inlineStr">
        <is>
          <t>gaming, video-games, entertainment, gun-violence, social-good, not-for-profit, charity, ngo, activism, united-states, twitch, advocacy</t>
        </is>
      </c>
    </row>
    <row r="8" ht="34.5" customHeight="1" s="34">
      <c r="A8" s="141" t="n">
        <v>2025</v>
      </c>
      <c r="B8" s="144" t="inlineStr">
        <is>
          <t>Gold</t>
        </is>
      </c>
      <c r="C8" s="143" t="inlineStr">
        <is>
          <t>Streaming Bars</t>
        </is>
      </c>
      <c r="D8" s="141" t="inlineStr">
        <is>
          <t>Heineken</t>
        </is>
      </c>
      <c r="E8" s="141" t="inlineStr">
        <is>
          <t>Heineken</t>
        </is>
      </c>
      <c r="F8" s="141" t="inlineStr">
        <is>
          <t>LePub</t>
        </is>
      </c>
      <c r="G8" s="141" t="inlineStr">
        <is>
          <t>Brazil</t>
        </is>
      </c>
      <c r="H8" s="80" t="inlineStr">
        <is>
          <t>B01 - Use of Screens &amp; Audio Visual Platforms</t>
        </is>
      </c>
      <c r="I8" s="128" t="inlineStr">
        <is>
          <t>https://ascentialcdn.filespin.io/api/v1/conversion/d0be42343a2e4aaea76238ca95dfcbab</t>
        </is>
      </c>
      <c r="J8" s="141" t="inlineStr">
        <is>
          <t>0izbOb7N73g</t>
        </is>
      </c>
      <c r="K8" s="127" t="n"/>
      <c r="L8" s="128" t="inlineStr">
        <is>
          <t>https://www.lovethework.com/work/entries/streaming-bars-745041</t>
        </is>
      </c>
      <c r="M8" s="113" t="inlineStr">
        <is>
          <t>A media placement that inserted Heineken ads inside the streaming bars — the progress/scrubbing bars — of video content on digital platforms in Brazil, so the brand appeared in the one UI element viewers interact with rather than skip. The placement turned a functional interface strip into ad inventory, surfacing Heineken at the exact moment a viewer reaches for the controls.</t>
        </is>
      </c>
      <c r="N8" s="113" t="inlineStr">
        <is>
          <t>beer, alcohol, streaming, tv, entertainment, digital-video, media-placement, ui, brazil, screens, lepub</t>
        </is>
      </c>
    </row>
    <row r="9" ht="34.5" customHeight="1" s="34">
      <c r="A9" s="141" t="n">
        <v>2025</v>
      </c>
      <c r="B9" s="144" t="inlineStr">
        <is>
          <t>Gold</t>
        </is>
      </c>
      <c r="C9" s="143" t="inlineStr">
        <is>
          <t>"Raise Your Banners"</t>
        </is>
      </c>
      <c r="D9" s="141" t="inlineStr">
        <is>
          <t>HBO</t>
        </is>
      </c>
      <c r="E9" s="141" t="inlineStr">
        <is>
          <t>House of the Dragon Season 2</t>
        </is>
      </c>
      <c r="F9" s="141" t="inlineStr">
        <is>
          <t>Giant Spoon</t>
        </is>
      </c>
      <c r="G9" s="141" t="inlineStr">
        <is>
          <t>United States</t>
        </is>
      </c>
      <c r="H9" s="80" t="inlineStr">
        <is>
          <t>B06 - Large-Scale Media</t>
        </is>
      </c>
      <c r="I9" s="128" t="inlineStr">
        <is>
          <t>https://ascentialcdn.filespin.io/api/v1/conversion/8568fb79e86c4ae994a024b682498651</t>
        </is>
      </c>
      <c r="J9" s="141" t="inlineStr">
        <is>
          <t>S-r_T-LZBR0</t>
        </is>
      </c>
      <c r="K9" s="127" t="n"/>
      <c r="L9" s="128" t="inlineStr">
        <is>
          <t>https://www.lovethework.com/work/entries/raise-your-banners-745396</t>
        </is>
      </c>
      <c r="M9" s="113" t="inlineStr">
        <is>
          <t>A sequenced out-of-home and experiential campaign in which global landmarks and local institutions unfurled giant digital banners declaring loyalty to either Team Green or Team Black — the two warring factions in House of the Dragon Season 2 — in the days leading up to the premiere. Giant Spoon staged the rollout to build incrementally, with each new banner drop stoking fan debate about which side each location had chosen.</t>
        </is>
      </c>
      <c r="N9" s="113" t="inlineStr">
        <is>
          <t>hbo, streaming, tv, entertainment, ooh, experiential, large-scale-media, united-states, fantasy, integrated-campaign, out-of-home</t>
        </is>
      </c>
    </row>
    <row r="10" ht="34.5" customHeight="1" s="34">
      <c r="A10" s="141" t="n">
        <v>2025</v>
      </c>
      <c r="B10" s="144" t="inlineStr">
        <is>
          <t>Gold</t>
        </is>
      </c>
      <c r="C10" s="143" t="inlineStr">
        <is>
          <t>Retro Influencers</t>
        </is>
      </c>
      <c r="D10" s="141" t="inlineStr">
        <is>
          <t>Skol</t>
        </is>
      </c>
      <c r="E10" s="141" t="inlineStr">
        <is>
          <t>Skol</t>
        </is>
      </c>
      <c r="F10" s="141" t="inlineStr">
        <is>
          <t>Gut</t>
        </is>
      </c>
      <c r="G10" s="141" t="inlineStr">
        <is>
          <t>Brazil</t>
        </is>
      </c>
      <c r="H10" s="80" t="inlineStr">
        <is>
          <t>B10 - Use of Social Platforms</t>
        </is>
      </c>
      <c r="I10" s="128" t="inlineStr">
        <is>
          <t>https://ascentialcdn.filespin.io/api/v1/conversion/8d30857fd8bf46f3ab1b9c9b3d0a50fa</t>
        </is>
      </c>
      <c r="J10" s="141" t="inlineStr">
        <is>
          <t>FKLnmbWukt0</t>
        </is>
      </c>
      <c r="K10" s="127" t="n"/>
      <c r="L10" s="128" t="inlineStr">
        <is>
          <t>https://www.lovethework.com/work/entries/retro-influencers-745595</t>
        </is>
      </c>
      <c r="M10" s="113" t="inlineStr">
        <is>
          <t>A social media mechanic built around Skol's dormant archive of tagged content — years of organic posts in which consumers had already photographed themselves with the beer. Skol asked those original posters to retag the old content, and in exchange paid them in beer, effectively converting an untapped back-catalogue of authentic user content into a compensated influencer network.</t>
        </is>
      </c>
      <c r="N10" s="113" t="inlineStr">
        <is>
          <t>beer, alcohol, social-media, user-generated-content, influencer-marketing, brazil, organic-content, community</t>
        </is>
      </c>
    </row>
    <row r="11" ht="34.5" customHeight="1" s="34">
      <c r="A11" s="141" t="n">
        <v>2025</v>
      </c>
      <c r="B11" s="144" t="inlineStr">
        <is>
          <t>Gold</t>
        </is>
      </c>
      <c r="C11" s="143" t="inlineStr">
        <is>
          <t>The Rewards Bag</t>
        </is>
      </c>
      <c r="D11" s="141" t="inlineStr">
        <is>
          <t>Tata</t>
        </is>
      </c>
      <c r="E11" s="141" t="inlineStr">
        <is>
          <t>Tata</t>
        </is>
      </c>
      <c r="F11" s="141" t="inlineStr">
        <is>
          <t>VML</t>
        </is>
      </c>
      <c r="G11" s="141" t="inlineStr">
        <is>
          <t>Uruguay</t>
        </is>
      </c>
      <c r="H11" s="80" t="inlineStr">
        <is>
          <t>B13 - Retail Media</t>
        </is>
      </c>
      <c r="I11" s="128" t="inlineStr">
        <is>
          <t>https://ascentialcdn.filespin.io/api/v1/conversion/9d355715dd4d4857a2f82df5c502290b</t>
        </is>
      </c>
      <c r="J11" s="141" t="inlineStr">
        <is>
          <t>RzJQ1TVItHI</t>
        </is>
      </c>
      <c r="K11" s="127" t="n"/>
      <c r="L11" s="128" t="inlineStr">
        <is>
          <t>https://www.lovethework.com/work/entries/the-rewards-bag-745869</t>
        </is>
      </c>
      <c r="M11" s="113" t="inlineStr">
        <is>
          <t>A reusable shopping bag embedded with technology that identifies the shopper and surfaces personalized discounts at the point of purchase, built for Uruguayan supermarket chain Tata. The bag itself acts as the loyalty mechanic — carrying it into the store triggers the rewards rather than requiring a separate card, app, or code.</t>
        </is>
      </c>
      <c r="N11" s="113" t="inlineStr">
        <is>
          <t>retail, supermarket, grocery, reusable-bag, loyalty, personalization, retail-media, uruguay, in-store</t>
        </is>
      </c>
    </row>
    <row r="12" ht="34.5" customHeight="1" s="34">
      <c r="A12" s="141" t="n">
        <v>2025</v>
      </c>
      <c r="B12" s="144" t="inlineStr">
        <is>
          <t>Gold</t>
        </is>
      </c>
      <c r="C12" s="143" t="inlineStr">
        <is>
          <t>Fictional Insurance</t>
        </is>
      </c>
      <c r="D12" s="141" t="inlineStr">
        <is>
          <t>RCN/Prime</t>
        </is>
      </c>
      <c r="E12" s="141" t="inlineStr">
        <is>
          <t>Insurance</t>
        </is>
      </c>
      <c r="F12" s="141" t="inlineStr">
        <is>
          <t>DDB Colombia</t>
        </is>
      </c>
      <c r="G12" s="141" t="inlineStr">
        <is>
          <t>Colombia</t>
        </is>
      </c>
      <c r="H12" s="80" t="inlineStr">
        <is>
          <t>C02 - Use of Brand or Product Integration into a Programme or Platform</t>
        </is>
      </c>
      <c r="I12" s="128" t="inlineStr">
        <is>
          <t>https://ascentialcdn.filespin.io/api/v1/conversion/9f879201572d4cb9aa1e14e89b6a4f2f</t>
        </is>
      </c>
      <c r="J12" s="141" t="inlineStr">
        <is>
          <t>OctiVcwaiXI</t>
        </is>
      </c>
      <c r="K12" s="127" t="n"/>
      <c r="L12" s="128" t="inlineStr">
        <is>
          <t>https://www.lovethework.com/work/entries/fictional-insurance-745946</t>
        </is>
      </c>
      <c r="M12"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12" s="113" t="inlineStr">
        <is>
          <t>streaming, tv, entertainment, gamification, soap-opera, telenovela, partnership, insurance, financial-services, finance, latin-america, colombia, integrated</t>
        </is>
      </c>
    </row>
    <row r="13" ht="34.5" customHeight="1" s="34">
      <c r="A13" s="141" t="n">
        <v>2025</v>
      </c>
      <c r="B13" s="144" t="inlineStr">
        <is>
          <t>Gold</t>
        </is>
      </c>
      <c r="C13" s="143" t="inlineStr">
        <is>
          <t>First Ever Live Commercial Crossover</t>
        </is>
      </c>
      <c r="D13" s="141" t="inlineStr">
        <is>
          <t>Rocket</t>
        </is>
      </c>
      <c r="E13" s="141" t="inlineStr">
        <is>
          <t>Rocket</t>
        </is>
      </c>
      <c r="F13" s="141" t="inlineStr">
        <is>
          <t>Zenith</t>
        </is>
      </c>
      <c r="G13" s="141" t="inlineStr">
        <is>
          <t>United States</t>
        </is>
      </c>
      <c r="H13" s="80" t="inlineStr">
        <is>
          <t>E03 - Media Execution</t>
        </is>
      </c>
      <c r="I13" s="128" t="inlineStr">
        <is>
          <t>https://ascentialcdn.filespin.io/api/v1/conversion/c8c6d973823e408c926f4de68327d5df</t>
        </is>
      </c>
      <c r="J13" s="141" t="inlineStr">
        <is>
          <t>oF6A79XVZsc</t>
        </is>
      </c>
      <c r="K13" s="127" t="n"/>
      <c r="L13" s="128" t="inlineStr">
        <is>
          <t>https://www.lovethework.com/work/entries/first-ever-live-commercial-crossover-759386</t>
        </is>
      </c>
      <c r="M13" s="113" t="inlineStr">
        <is>
          <t>A live 60-second commercial aired during Super Bowl LIX in which Rocket coordinated a real-time crossover between its own ad break and the broadcast itself, with real people on screen and John Denver's "Take Me Home, Country Roads" used as a unifying brand anthem. Produced with Miramar, Los Angeles alongside Zenith, New York, the spot was designed to blur the line between paid spot and live event programming at the year's largest U.S. television audience.</t>
        </is>
      </c>
      <c r="N13" s="113" t="inlineStr">
        <is>
          <t>mortgage, financial-services, finance, banking, television, live-broadcast, super-bowl, united-states, media-execution, music-licensing, real-time</t>
        </is>
      </c>
    </row>
    <row r="14" ht="34.5" customHeight="1" s="34">
      <c r="A14" s="141" t="n">
        <v>2025</v>
      </c>
      <c r="B14" s="144" t="inlineStr">
        <is>
          <t>Gold</t>
        </is>
      </c>
      <c r="C14" s="143" t="inlineStr">
        <is>
          <t>Waitrose Sweet Suspicion - A Deliciously Festive Whodunnit</t>
        </is>
      </c>
      <c r="D14" s="141" t="inlineStr">
        <is>
          <t>Waitrose &amp; Partners</t>
        </is>
      </c>
      <c r="E14" s="141" t="inlineStr">
        <is>
          <t>Waitrose &amp; Partners</t>
        </is>
      </c>
      <c r="F14" s="141" t="inlineStr">
        <is>
          <t>Manning Gottlieb OMD</t>
        </is>
      </c>
      <c r="G14" s="141" t="inlineStr">
        <is>
          <t>United Kingdom</t>
        </is>
      </c>
      <c r="H14" s="80" t="inlineStr">
        <is>
          <t>E04 - Use of Channel Integration</t>
        </is>
      </c>
      <c r="I14" s="128" t="inlineStr">
        <is>
          <t>https://ascentialcdn.filespin.io/api/v1/conversion/e69c489d848f46d9939d454b8fb7ec2f</t>
        </is>
      </c>
      <c r="J14" s="141" t="inlineStr">
        <is>
          <t>4_BtosdFfbk</t>
        </is>
      </c>
      <c r="K14" s="127" t="n"/>
      <c r="L14" s="128" t="inlineStr">
        <is>
          <t>https://www.lovethework.com/work/entries/waitrose-sweet-suspicion-a-deliciously-festive-whodunnit-762693</t>
        </is>
      </c>
      <c r="M14" s="113" t="inlineStr">
        <is>
          <t>A cross-channel murder mystery rolled out across UK media for Waitrose's 2024 Christmas campaign, built around the question of who stole the brand's festive dessert. Clues and story developments were seeded across TV, social, press, and digital touchpoints in sequence, so audiences following across channels encountered a different piece of the narrative depending on where they looked.</t>
        </is>
      </c>
      <c r="N14" s="113" t="inlineStr">
        <is>
          <t>grocery-retail, channel-integration, television, social-media, seasonal, united-kingdom, narrative, multi-platform</t>
        </is>
      </c>
    </row>
    <row r="15" ht="34.5" customHeight="1" s="34">
      <c r="A15" s="141" t="n">
        <v>2025</v>
      </c>
      <c r="B15" s="145" t="inlineStr">
        <is>
          <t>Silver</t>
        </is>
      </c>
      <c r="C15" s="143" t="inlineStr">
        <is>
          <t>Sweet Suspicion</t>
        </is>
      </c>
      <c r="D15" s="141" t="inlineStr">
        <is>
          <t>Waitrose</t>
        </is>
      </c>
      <c r="E15" s="141" t="inlineStr">
        <is>
          <t>Waitrose</t>
        </is>
      </c>
      <c r="F15" s="141" t="inlineStr">
        <is>
          <t>Saatchi &amp; Saatchi</t>
        </is>
      </c>
      <c r="G15" s="141" t="inlineStr">
        <is>
          <t>United Kingdom</t>
        </is>
      </c>
      <c r="H15" s="80" t="inlineStr">
        <is>
          <t>A04 - Travel, Leisure, Retail, Restaurants &amp; Fast-Food Chains</t>
        </is>
      </c>
      <c r="I15" s="128" t="inlineStr">
        <is>
          <t>https://ascentialcdn.filespin.io/api/v1/conversion/d5a5f996a09d495dac5d5cdbef7ae33f</t>
        </is>
      </c>
      <c r="J15" s="141" t="inlineStr">
        <is>
          <t>4_BtosdFfbk</t>
        </is>
      </c>
      <c r="K15" s="127" t="n"/>
      <c r="L15" s="128" t="inlineStr">
        <is>
          <t>https://www.lovethework.com/work/entries/sweet-suspicion-745100</t>
        </is>
      </c>
      <c r="M15" s="113" t="inlineStr">
        <is>
          <t>A two-part festive film series structured as a whodunnit, in which Matthew Macfadyen plays a detective investigating the disappearance of a Christmas dessert — a trail of clues that ends with the cook, Steve, having hidden it inside a gingerbread house. Created by Saatchi &amp; Saatchi, the campaign ran across the UK as Waitrose's Christmas advertising.</t>
        </is>
      </c>
      <c r="N15" s="113" t="inlineStr">
        <is>
          <t>retail, film, cinema, entertainment, festive, whodunnit, united-kingdom, grocery, serialised-content, celebrity</t>
        </is>
      </c>
    </row>
    <row r="16" ht="34.5" customHeight="1" s="34">
      <c r="A16" s="141" t="n">
        <v>2025</v>
      </c>
      <c r="B16" s="145" t="inlineStr">
        <is>
          <t>Silver</t>
        </is>
      </c>
      <c r="C16" s="143" t="inlineStr">
        <is>
          <t>Bring Korea to the World</t>
        </is>
      </c>
      <c r="D16" s="141" t="inlineStr">
        <is>
          <t>Netflix</t>
        </is>
      </c>
      <c r="E16" s="141" t="inlineStr">
        <is>
          <t>Squid Game</t>
        </is>
      </c>
      <c r="F16" s="141" t="inlineStr">
        <is>
          <t>Netflix</t>
        </is>
      </c>
      <c r="G16" s="141" t="inlineStr">
        <is>
          <t>United States</t>
        </is>
      </c>
      <c r="H16" s="80" t="inlineStr">
        <is>
          <t>A05 - Media/Entertainment</t>
        </is>
      </c>
      <c r="I16" s="128" t="inlineStr">
        <is>
          <t>https://ascentialcdn.filespin.io/api/v1/conversion/7e4fdab3938d4931a5578f05baa5aa36</t>
        </is>
      </c>
      <c r="J16" s="141" t="inlineStr">
        <is>
          <t>vimeo:1120973708</t>
        </is>
      </c>
      <c r="K16" s="127" t="n"/>
      <c r="L16" s="128" t="inlineStr">
        <is>
          <t>https://www.lovethework.com/work/entries/bring-korea-to-the-world-745005</t>
        </is>
      </c>
      <c r="M16" s="113" t="inlineStr">
        <is>
          <t>Netflix made Squid Game impossible to ignore again by turning Season 2 into a worldwide pink-suit takeover across 50+ cities and 35 countries. With 10,000 guards, massive public stunts and brand collabs from McDonald's to Gucci to Duolingo, the campaign made 'there's no stopping the game' feel true everywhere you looked.</t>
        </is>
      </c>
      <c r="N16" s="113" t="inlineStr">
        <is>
          <t>streaming, tv, entertainment, korean-drama, ooh, partnership, global, integrated, brand-stunt</t>
        </is>
      </c>
    </row>
    <row r="17" ht="34.5" customHeight="1" s="34">
      <c r="A17" s="141" t="n">
        <v>2025</v>
      </c>
      <c r="B17" s="145" t="inlineStr">
        <is>
          <t>Silver</t>
        </is>
      </c>
      <c r="C17" s="143" t="inlineStr">
        <is>
          <t>Dirty Mouth Sponsorship</t>
        </is>
      </c>
      <c r="D17" s="141" t="inlineStr">
        <is>
          <t>Cif</t>
        </is>
      </c>
      <c r="E17" s="141" t="inlineStr">
        <is>
          <t>Cif</t>
        </is>
      </c>
      <c r="F17" s="141" t="inlineStr">
        <is>
          <t>Droga5, Part of Accenture Song</t>
        </is>
      </c>
      <c r="G17" s="141" t="inlineStr">
        <is>
          <t>Brazil</t>
        </is>
      </c>
      <c r="H17" s="80" t="inlineStr">
        <is>
          <t>B02 - Use of Audio Platforms</t>
        </is>
      </c>
      <c r="I17" s="147" t="inlineStr">
        <is>
          <t>digital-presentation-images/media-cif-dirty-mouth-sponsorship.webp</t>
        </is>
      </c>
      <c r="J17" s="141" t="inlineStr">
        <is>
          <t>DlylpwndJuU</t>
        </is>
      </c>
      <c r="K17" s="127" t="n"/>
      <c r="L17" s="128" t="inlineStr">
        <is>
          <t>https://www.lovethework.com/work/entries/dirty-mouth-sponsorship-745194</t>
        </is>
      </c>
      <c r="M17" s="113" t="inlineStr">
        <is>
          <t>A podcast sponsorship format created for Brazil — the world's second-largest podcast market — in which Cif paid to replace swear words with a branded audio drop of the Cif name, turning the bleeps that typically trigger algorithm demonetization into a sponsorship slot. Brazilian podcasters kept their uncensored delivery while Cif's name appeared wherever an expletive would have been, protecting creators' reach and embedding the brand into their natural speech. Developed by Droga5 São Paulo, part of Accenture Song, the mechanic extended Cif's existing claim of cleaning over 100 surfaces to include dirty mouths.</t>
        </is>
      </c>
      <c r="N17" s="113" t="inlineStr">
        <is>
          <t>household-cleaner, audio-platform, streaming, music, entertainment, tv, podcast, branded-sound, content-sponsorship, brazil, creator-marketing, unilever</t>
        </is>
      </c>
    </row>
    <row r="18" ht="34.5" customHeight="1" s="34">
      <c r="A18" s="141" t="n">
        <v>2025</v>
      </c>
      <c r="B18" s="145" t="inlineStr">
        <is>
          <t>Silver</t>
        </is>
      </c>
      <c r="C18" s="143" t="inlineStr">
        <is>
          <t>Speed Coupons</t>
        </is>
      </c>
      <c r="D18" s="141" t="inlineStr">
        <is>
          <t>Mercado Livre</t>
        </is>
      </c>
      <c r="E18" s="141" t="inlineStr">
        <is>
          <t>Mercado Livre</t>
        </is>
      </c>
      <c r="F18" s="141" t="inlineStr">
        <is>
          <t>Gut</t>
        </is>
      </c>
      <c r="G18" s="141" t="inlineStr">
        <is>
          <t>Brazil</t>
        </is>
      </c>
      <c r="H18" s="80" t="inlineStr">
        <is>
          <t>B04 - Use of Outdoor</t>
        </is>
      </c>
      <c r="I18" s="128" t="inlineStr">
        <is>
          <t>https://ascentialcdn.filespin.io/api/v1/conversion/24e11754184a42ce8f0744b5d9f56d7a</t>
        </is>
      </c>
      <c r="J18" s="141" t="inlineStr">
        <is>
          <t>l3Sxq8LCXZA</t>
        </is>
      </c>
      <c r="K18" s="127" t="n"/>
      <c r="L18" s="128" t="inlineStr">
        <is>
          <t>https://www.lovethework.com/work/entries/speed-coupons-745245</t>
        </is>
      </c>
      <c r="M18" s="113" t="inlineStr">
        <is>
          <t>Outdoor discount coupons placed on Brazilian speed-camera signs, timed so that drivers traveling at or below the legal speed limit could photograph the QR code and redeem a deal on Mercado Livre. The mechanic turns the roadside infrastructure that penalizes speeding into a reward for obeying it.</t>
        </is>
      </c>
      <c r="N18" s="113" t="inlineStr">
        <is>
          <t>e-commerce, ooh, ambient, qr-code, promotion, road-safety, brazil, outdoor</t>
        </is>
      </c>
    </row>
    <row r="19" ht="34.5" customHeight="1" s="34">
      <c r="A19" s="141" t="n">
        <v>2025</v>
      </c>
      <c r="B19" s="145" t="inlineStr">
        <is>
          <t>Silver</t>
        </is>
      </c>
      <c r="C19" s="143" t="inlineStr">
        <is>
          <t>Takeoff Takeover</t>
        </is>
      </c>
      <c r="D19" s="141" t="inlineStr">
        <is>
          <t>Cathay Pacific</t>
        </is>
      </c>
      <c r="E19" s="141" t="inlineStr">
        <is>
          <t>Cathay Pacific Airways</t>
        </is>
      </c>
      <c r="F19" s="141" t="inlineStr">
        <is>
          <t>Leo</t>
        </is>
      </c>
      <c r="G19" s="141" t="inlineStr">
        <is>
          <t>India</t>
        </is>
      </c>
      <c r="H19" s="80" t="inlineStr">
        <is>
          <t>B04 - Use of Outdoor</t>
        </is>
      </c>
      <c r="I19" s="128" t="inlineStr">
        <is>
          <t>https://ascentialcdn.filespin.io/api/v1/conversion/a6416f5b55ed4d7ca12d09d85560d5a3</t>
        </is>
      </c>
      <c r="J19" s="141" t="inlineStr">
        <is>
          <t>vPK3k8dYrSk</t>
        </is>
      </c>
      <c r="K19" s="127" t="n"/>
      <c r="L19" s="128" t="inlineStr">
        <is>
          <t>https://www.lovethework.com/work/entries/takeoff-takeover-745197</t>
        </is>
      </c>
      <c r="M19" s="113" t="inlineStr">
        <is>
          <t>A hyper-targeted airport OOH takeover for Cathay Pacific, created by Leo Burnett Mumbai, that served ads to travelers based on real-time flight departure data — showing relevant Cathay Pacific messaging only when and where passengers bound for its destinations were present. Rather than blanketing airport media, the campaign concentrated spend precisely at the gate-level moments when a competing connection was most plausible.</t>
        </is>
      </c>
      <c r="N19" s="113" t="inlineStr">
        <is>
          <t>airline, ooh, airport, real-time-data, hyper-targeting, india, programmatic, travel, tourism</t>
        </is>
      </c>
    </row>
    <row r="20" ht="34.5" customHeight="1" s="34">
      <c r="A20" s="141" t="n">
        <v>2025</v>
      </c>
      <c r="B20" s="145" t="inlineStr">
        <is>
          <t>Silver</t>
        </is>
      </c>
      <c r="C20" s="143" t="inlineStr">
        <is>
          <t>Gulf of Mexico (Bar)</t>
        </is>
      </c>
      <c r="D20" s="141" t="inlineStr">
        <is>
          <t>Tecate</t>
        </is>
      </c>
      <c r="E20" s="141" t="inlineStr">
        <is>
          <t>Tecate Light</t>
        </is>
      </c>
      <c r="F20" s="141" t="inlineStr">
        <is>
          <t>LePub</t>
        </is>
      </c>
      <c r="G20" s="141" t="inlineStr">
        <is>
          <t>Mexico</t>
        </is>
      </c>
      <c r="H20" s="80" t="inlineStr">
        <is>
          <t>B07 - Use of Events &amp; Stunts</t>
        </is>
      </c>
      <c r="I20" s="128" t="inlineStr">
        <is>
          <t>https://ascentialcdn.filespin.io/api/v1/conversion/afa88aa8421b41a18c68b9863bb6926c</t>
        </is>
      </c>
      <c r="J20" s="141" t="inlineStr">
        <is>
          <t>TFbAS7weMR8</t>
        </is>
      </c>
      <c r="K20" s="127" t="n"/>
      <c r="L20" s="128" t="inlineStr">
        <is>
          <t>https://www.lovethework.com/work/entries/gulf-of-mexico-bar-745576</t>
        </is>
      </c>
      <c r="M20"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20" s="113" t="inlineStr">
        <is>
          <t>ooh, brand-stunt, political-commentary, beer, alcohol, packaging, mexico, branded-venue, special-edition</t>
        </is>
      </c>
    </row>
    <row r="21" ht="34.5" customHeight="1" s="34">
      <c r="A21" s="141" t="n">
        <v>2025</v>
      </c>
      <c r="B21" s="145" t="inlineStr">
        <is>
          <t>Silver</t>
        </is>
      </c>
      <c r="C21" s="143" t="inlineStr">
        <is>
          <t>Kleenex Score</t>
        </is>
      </c>
      <c r="D21" s="141" t="inlineStr">
        <is>
          <t>Kimberly-Clark</t>
        </is>
      </c>
      <c r="E21" s="141" t="inlineStr">
        <is>
          <t>Kleenex</t>
        </is>
      </c>
      <c r="F21" s="141" t="inlineStr">
        <is>
          <t>VML</t>
        </is>
      </c>
      <c r="G21" s="141" t="inlineStr">
        <is>
          <t>United States</t>
        </is>
      </c>
      <c r="H21" s="80" t="inlineStr">
        <is>
          <t>B08 - Use of Digital Platforms</t>
        </is>
      </c>
      <c r="I21" s="128" t="inlineStr">
        <is>
          <t>https://ascentialcdn.filespin.io/api/v1/conversion/b71f0dff73f3455abef2899f0b1aeb49</t>
        </is>
      </c>
      <c r="J21" s="141" t="inlineStr">
        <is>
          <t>hKBNKbhMwZw</t>
        </is>
      </c>
      <c r="K21" s="127" t="n"/>
      <c r="L21" s="128" t="inlineStr">
        <is>
          <t>https://www.lovethework.com/work/entries/kleenex-score-745583</t>
        </is>
      </c>
      <c r="M21" s="113" t="inlineStr">
        <is>
          <t>A rating system built into IMDb, in partnership with VML, that assigns each film a "Kleenex Score" indicating how likely it is to make viewers cry. The score appears alongside standard IMDb ratings, placing Kleenex directly inside the moment moviegoers decide what to watch.</t>
        </is>
      </c>
      <c r="N21" s="113" t="inlineStr">
        <is>
          <t>tissue, digital-platform, imdb, branded-utility, film, cinema, entertainment, united-states, rating-system</t>
        </is>
      </c>
    </row>
    <row r="22" ht="34.5" customHeight="1" s="34">
      <c r="A22" s="141" t="n">
        <v>2025</v>
      </c>
      <c r="B22" s="145" t="inlineStr">
        <is>
          <t>Silver</t>
        </is>
      </c>
      <c r="C22" s="143" t="inlineStr">
        <is>
          <t>Maccie</t>
        </is>
      </c>
      <c r="D22" s="141" t="inlineStr">
        <is>
          <t>McDonald's</t>
        </is>
      </c>
      <c r="E22" s="141" t="inlineStr">
        <is>
          <t>Maccie</t>
        </is>
      </c>
      <c r="F22" s="141" t="inlineStr">
        <is>
          <t>TBWA\Neboko</t>
        </is>
      </c>
      <c r="G22" s="141" t="inlineStr">
        <is>
          <t>Netherlands</t>
        </is>
      </c>
      <c r="H22" s="80" t="inlineStr">
        <is>
          <t>B09 - Use of Mobile</t>
        </is>
      </c>
      <c r="I22" s="128" t="inlineStr">
        <is>
          <t>https://ascentialcdn.filespin.io/api/v1/conversion/16832e372e2c49889fda6d5d3168015d</t>
        </is>
      </c>
      <c r="J22" s="141" t="inlineStr">
        <is>
          <t>vimeo:1076319737</t>
        </is>
      </c>
      <c r="K22" s="127" t="n"/>
      <c r="L22" s="128" t="inlineStr">
        <is>
          <t>https://www.lovethework.com/work/entries/maccie-745574</t>
        </is>
      </c>
      <c r="M22" s="113" t="inlineStr">
        <is>
          <t>A mobile mechanic built around the Dutch slang name teenagers use for McDonald's — "Maccie" — that lets friends send each other treat requests directly through their phones. The campaign taps into a well-established youth behavior of asking friends to bring food, turning an informal social habit into a branded mobile interaction.</t>
        </is>
      </c>
      <c r="N22" s="113" t="inlineStr">
        <is>
          <t>fast-food, mobile-app, youth, netherlands, social, use-of-mobile</t>
        </is>
      </c>
    </row>
    <row r="23" ht="34.5" customHeight="1" s="34">
      <c r="A23" s="141" t="n">
        <v>2025</v>
      </c>
      <c r="B23" s="145" t="inlineStr">
        <is>
          <t>Silver</t>
        </is>
      </c>
      <c r="C23" s="143" t="inlineStr">
        <is>
          <t>Navy Subreddit Hunt</t>
        </is>
      </c>
      <c r="D23" s="141" t="inlineStr">
        <is>
          <t>U.S. Navy</t>
        </is>
      </c>
      <c r="E23" s="141" t="inlineStr">
        <is>
          <t>U.S. Navy Recruitment Initiative</t>
        </is>
      </c>
      <c r="F23" s="141" t="inlineStr">
        <is>
          <t>VML</t>
        </is>
      </c>
      <c r="G23" s="141" t="inlineStr">
        <is>
          <t>United States</t>
        </is>
      </c>
      <c r="H23" s="80" t="inlineStr">
        <is>
          <t>B10 - Use of Social Platforms</t>
        </is>
      </c>
      <c r="I23" s="128" t="inlineStr">
        <is>
          <t>https://ascentialcdn.filespin.io/api/v1/conversion/acedbde3eb964175b899c5e90a584d7a</t>
        </is>
      </c>
      <c r="J23" s="141" t="inlineStr">
        <is>
          <t>1qkvD-Vpqp4</t>
        </is>
      </c>
      <c r="K23" s="127" t="n"/>
      <c r="L23" s="128" t="inlineStr">
        <is>
          <t>https://www.lovethework.com/work/entries/navy-subreddit-hunt-745721</t>
        </is>
      </c>
      <c r="M23" s="113" t="inlineStr">
        <is>
          <t>A recruitment campaign built across Reddit in which the U.S. Navy hid enlistment calls-to-action inside niche subreddits relevant to Navy career fields — diving communities, engineering forums, aviation threads — so that users already deep in those interests encountered recruiting messages in the spaces where they were most engaged. Created by VML Dallas, the effort treated Reddit's community architecture as a targeting layer rather than a media buy.</t>
        </is>
      </c>
      <c r="N23" s="113" t="inlineStr">
        <is>
          <t>military-recruitment, social-media, reddit, united-states, community-targeting, direct-response, vml</t>
        </is>
      </c>
    </row>
    <row r="24" ht="34.5" customHeight="1" s="34">
      <c r="A24" s="141" t="n">
        <v>2025</v>
      </c>
      <c r="B24" s="145" t="inlineStr">
        <is>
          <t>Silver</t>
        </is>
      </c>
      <c r="C24" s="143" t="inlineStr">
        <is>
          <t>Dove Real Beauty Redefined for the AI Era</t>
        </is>
      </c>
      <c r="D24" s="141" t="inlineStr">
        <is>
          <t>Dove</t>
        </is>
      </c>
      <c r="E24" s="141" t="inlineStr">
        <is>
          <t>Dove</t>
        </is>
      </c>
      <c r="F24" s="141" t="inlineStr">
        <is>
          <t>Mindshare</t>
        </is>
      </c>
      <c r="G24" s="141" t="inlineStr">
        <is>
          <t>United States</t>
        </is>
      </c>
      <c r="H24" s="80" t="inlineStr">
        <is>
          <t>B12 - New Realities &amp; Emerging Tech</t>
        </is>
      </c>
      <c r="I24" s="128" t="inlineStr">
        <is>
          <t>https://ascentialcdn.filespin.io/api/v1/conversion/da693fd61fc74ddfbb3525f638cd77c6</t>
        </is>
      </c>
      <c r="J24" s="141" t="inlineStr">
        <is>
          <t>8vYoL8nga-A</t>
        </is>
      </c>
      <c r="K24" s="127" t="n"/>
      <c r="L24" s="128" t="inlineStr">
        <is>
          <t>https://www.lovethework.com/work/entries/dove-real-beauty-redefined-for-the-ai-era-745808</t>
        </is>
      </c>
      <c r="M24" s="113" t="inlineStr">
        <is>
          <t>A media strategy built around the finding that AI image generators, trained on internet archives, disproportionately reproduce narrow beauty ideals — reinforcing the same distortions Dove's Real Beauty platform has spent two decades pushing against. Mindshare New York redirected Dove's media investment to actively counter AI-generated beauty imagery, placing real, unretouched depictions of women in the contexts and channels where AI-produced content was displacing them.</t>
        </is>
      </c>
      <c r="N24" s="113" t="inlineStr">
        <is>
          <t>personal-care, media-strategy, ai, technology, beauty-standards, united-states, social-media, ooh</t>
        </is>
      </c>
    </row>
    <row r="25" ht="34.5" customHeight="1" s="34">
      <c r="A25" s="141" t="n">
        <v>2025</v>
      </c>
      <c r="B25" s="145" t="inlineStr">
        <is>
          <t>Silver</t>
        </is>
      </c>
      <c r="C25" s="143" t="inlineStr">
        <is>
          <t>Preserved Promos</t>
        </is>
      </c>
      <c r="D25" s="141" t="inlineStr">
        <is>
          <t>Ziploc</t>
        </is>
      </c>
      <c r="E25" s="141" t="inlineStr">
        <is>
          <t>Ziploc</t>
        </is>
      </c>
      <c r="F25" s="141" t="inlineStr">
        <is>
          <t>VML</t>
        </is>
      </c>
      <c r="G25" s="141" t="inlineStr">
        <is>
          <t>United States</t>
        </is>
      </c>
      <c r="H25" s="80" t="inlineStr">
        <is>
          <t>B13 - Retail Media</t>
        </is>
      </c>
      <c r="I25" s="128" t="inlineStr">
        <is>
          <t>https://ascentialcdn.filespin.io/api/v1/conversion/8223f25b769b40e3b665c4ec19e2e12c</t>
        </is>
      </c>
      <c r="J25" s="141" t="inlineStr">
        <is>
          <t>CYF3rvwSY78</t>
        </is>
      </c>
      <c r="K25" s="127" t="n"/>
      <c r="L25" s="128" t="inlineStr">
        <is>
          <t>https://www.lovethework.com/work/entries/preserved-promos-745777</t>
        </is>
      </c>
      <c r="M25"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25" s="113" t="inlineStr">
        <is>
          <t>food-storage, retail-media, coupon, commerce, mobile, united-states, sc-johnson, promotion</t>
        </is>
      </c>
    </row>
    <row r="26" ht="34.5" customHeight="1" s="34">
      <c r="A26" s="141" t="n">
        <v>2025</v>
      </c>
      <c r="B26" s="145" t="inlineStr">
        <is>
          <t>Silver</t>
        </is>
      </c>
      <c r="C26" s="143" t="inlineStr">
        <is>
          <t>The 26th Minute</t>
        </is>
      </c>
      <c r="D26" s="141" t="inlineStr">
        <is>
          <t>Dublin Samaritans</t>
        </is>
      </c>
      <c r="E26" s="141" t="inlineStr">
        <is>
          <t>Samaritans Volunteer Recruitment</t>
        </is>
      </c>
      <c r="F26" s="141" t="inlineStr">
        <is>
          <t>Droga5, Part of Accenture Song</t>
        </is>
      </c>
      <c r="G26" s="141" t="inlineStr">
        <is>
          <t>Ireland</t>
        </is>
      </c>
      <c r="H26" s="80" t="inlineStr">
        <is>
          <t>C01 - Audience Insights</t>
        </is>
      </c>
      <c r="I26" s="128" t="inlineStr">
        <is>
          <t>https://ascentialcdn.filespin.io/api/v1/conversion/4972357db5c14f0b84fd31512fa3d28c</t>
        </is>
      </c>
      <c r="J26" s="141" t="inlineStr">
        <is>
          <t>vimeo:1156074978</t>
        </is>
      </c>
      <c r="K26" s="127" t="n"/>
      <c r="L26" s="128" t="inlineStr">
        <is>
          <t>https://www.lovethework.com/work/entries/the-26th-minute-745873</t>
        </is>
      </c>
      <c r="M26" s="113" t="inlineStr">
        <is>
          <t>A radio and media recruitment campaign built around the insight that the best Samaritans volunteers are people who already have a natural instinct to listen — specifically, those who stay on the phone in silence rather than hanging up during long pauses. The 26th minute refers to the point in a call where an untrained person typically runs out of things to say, which Samaritans reframed as the exact quality they need: someone willing to simply stay present and keep listening.</t>
        </is>
      </c>
      <c r="N26" s="113" t="inlineStr">
        <is>
          <t>volunteer-recruitment, radio, mental-health, healthcare, medical, ireland, audience-insight, public-service, media-strategy</t>
        </is>
      </c>
    </row>
    <row r="27" ht="34.5" customHeight="1" s="34">
      <c r="A27" s="141" t="n">
        <v>2025</v>
      </c>
      <c r="B27" s="145" t="inlineStr">
        <is>
          <t>Silver</t>
        </is>
      </c>
      <c r="C27" s="143" t="inlineStr">
        <is>
          <t>Vaseline Verified</t>
        </is>
      </c>
      <c r="D27" s="141" t="inlineStr">
        <is>
          <t>Unilever</t>
        </is>
      </c>
      <c r="E27" s="141" t="inlineStr">
        <is>
          <t>Vaseline</t>
        </is>
      </c>
      <c r="F27" s="141" t="inlineStr">
        <is>
          <t>Ogilvy</t>
        </is>
      </c>
      <c r="G27" s="141" t="inlineStr">
        <is>
          <t>Singapore</t>
        </is>
      </c>
      <c r="H27" s="80" t="inlineStr">
        <is>
          <t>C01 - Audience Insights</t>
        </is>
      </c>
      <c r="I27" s="128" t="inlineStr">
        <is>
          <t>https://ascentialcdn.filespin.io/api/v1/conversion/faf0755b0d4e4594ad93cb75d6288e3d</t>
        </is>
      </c>
      <c r="J27" s="141" t="inlineStr">
        <is>
          <t>ApwxlBruV90</t>
        </is>
      </c>
      <c r="K27" s="127" t="n"/>
      <c r="L27" s="128" t="inlineStr">
        <is>
          <t>https://www.lovethework.com/work/entries/vaseline-verified-745828</t>
        </is>
      </c>
      <c r="M27"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7" s="113" t="inlineStr">
        <is>
          <t>skincare, personal-care, beauty, community-management, social-media, user-generated-content, ooh, singapore, health-wellness, dermatology</t>
        </is>
      </c>
    </row>
    <row r="28" ht="34.5" customHeight="1" s="34">
      <c r="A28" s="141" t="n">
        <v>2025</v>
      </c>
      <c r="B28" s="145" t="inlineStr">
        <is>
          <t>Silver</t>
        </is>
      </c>
      <c r="C28" s="143" t="inlineStr">
        <is>
          <t>Report This Ad</t>
        </is>
      </c>
      <c r="D28" s="141" t="inlineStr">
        <is>
          <t>Veris</t>
        </is>
      </c>
      <c r="E28" s="141" t="inlineStr">
        <is>
          <t>Online Mental Health Institution</t>
        </is>
      </c>
      <c r="F28" s="141" t="inlineStr">
        <is>
          <t>Paradais DDB</t>
        </is>
      </c>
      <c r="G28" s="141" t="inlineStr">
        <is>
          <t>Ecuador</t>
        </is>
      </c>
      <c r="H28" s="80" t="inlineStr">
        <is>
          <t>C01 - Audience Insights</t>
        </is>
      </c>
      <c r="I28" s="128" t="inlineStr">
        <is>
          <t>https://ascentialcdn.filespin.io/api/v1/conversion/acbb86d466734cc4890607c8d8d33696</t>
        </is>
      </c>
      <c r="J28" s="141" t="inlineStr">
        <is>
          <t>hyWYqBMUTk8</t>
        </is>
      </c>
      <c r="K28" s="127" t="n"/>
      <c r="L28" s="128" t="inlineStr">
        <is>
          <t>https://www.lovethework.com/work/entries/report-this-ad-745783</t>
        </is>
      </c>
      <c r="M28" s="113" t="inlineStr">
        <is>
          <t>An ad campaign engineered to be reported by social-media users — over 500 deliberately flag-bait ads uploaded across platforms. When the content moderator behind the report opened the post for review, they were the one being addressed, with a hidden message offering free, anonymous psychological support from Ecuadorian health network Veris.</t>
        </is>
      </c>
      <c r="N28" s="113" t="inlineStr">
        <is>
          <t>healthcare, mental-health, medical, social-media, hidden-message, ecuador, social-good, content-moderation, guerrilla</t>
        </is>
      </c>
    </row>
    <row r="29" ht="34.5" customHeight="1" s="34">
      <c r="A29" s="141" t="n">
        <v>2025</v>
      </c>
      <c r="B29" s="145" t="inlineStr">
        <is>
          <t>Silver</t>
        </is>
      </c>
      <c r="C29" s="143" t="inlineStr">
        <is>
          <t>Football Is for Food</t>
        </is>
      </c>
      <c r="D29" s="141" t="inlineStr">
        <is>
          <t>Uber Eats</t>
        </is>
      </c>
      <c r="E29" s="141" t="inlineStr">
        <is>
          <t>Uber Eats</t>
        </is>
      </c>
      <c r="F29" s="141" t="inlineStr">
        <is>
          <t>Special</t>
        </is>
      </c>
      <c r="G29" s="141" t="inlineStr">
        <is>
          <t>United States</t>
        </is>
      </c>
      <c r="H29" s="80" t="inlineStr">
        <is>
          <t>C02 - Use of Brand or Product Integration into a Programme or Platform</t>
        </is>
      </c>
      <c r="I29" s="128" t="inlineStr">
        <is>
          <t>https://ascentialcdn.filespin.io/api/v1/conversion/5ce0f137b7254d7aa885d7e83850f046</t>
        </is>
      </c>
      <c r="J29" s="141" t="inlineStr">
        <is>
          <t>81ahl1QYMp0</t>
        </is>
      </c>
      <c r="K29" s="127" t="n"/>
      <c r="L29" s="128" t="inlineStr">
        <is>
          <t>https://www.lovethework.com/work/entries/football-is-for-food-745820</t>
        </is>
      </c>
      <c r="M29"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29" s="113" t="inlineStr">
        <is>
          <t>food-delivery, food, restaurant, ecommerce, retail, online-shopping, television, brand-integration, nfl, united-states, conspiracy, humor, sports-sponsorship</t>
        </is>
      </c>
    </row>
    <row r="30" ht="34.5" customHeight="1" s="34">
      <c r="A30" s="141" t="n">
        <v>2025</v>
      </c>
      <c r="B30" s="145" t="inlineStr">
        <is>
          <t>Silver</t>
        </is>
      </c>
      <c r="C30" s="143" t="inlineStr">
        <is>
          <t>Thanks for Coke-Creating</t>
        </is>
      </c>
      <c r="D30" s="141" t="inlineStr">
        <is>
          <t>Coca-Cola</t>
        </is>
      </c>
      <c r="E30" s="141" t="inlineStr">
        <is>
          <t>Coca-Cola</t>
        </is>
      </c>
      <c r="F30" s="141" t="inlineStr">
        <is>
          <t>VML</t>
        </is>
      </c>
      <c r="G30" s="141" t="inlineStr">
        <is>
          <t>United States</t>
        </is>
      </c>
      <c r="H30" s="80" t="inlineStr">
        <is>
          <t>C06 - Co-Creation of Branded IP</t>
        </is>
      </c>
      <c r="I30" s="128" t="inlineStr">
        <is>
          <t>https://ascentialcdn.filespin.io/api/v1/conversion/e2d391a076394851ad0376152ece61bb</t>
        </is>
      </c>
      <c r="J30" s="141" t="inlineStr">
        <is>
          <t>gFQUmcwgoMg</t>
        </is>
      </c>
      <c r="K30" s="127" t="n"/>
      <c r="L30" s="128" t="inlineStr">
        <is>
          <t>https://www.lovethework.com/work/entries/thanks-for-coke-creating-746016</t>
        </is>
      </c>
      <c r="M30" s="113" t="inlineStr">
        <is>
          <t>A global campaign that surfaced the hand-painted, often imperfect versions of the Coca-Cola logo that shopkeepers and bodega owners around the world paint onto their own storefronts. Rather than enforce brand guidelines, Coca-Cola elevated those vernacular interpretations to its own out-of-home — including Times Square — as a tribute to the local craft that brings the brand to life.</t>
        </is>
      </c>
      <c r="N30" s="113" t="inlineStr">
        <is>
          <t>ooh, brand-identity, social-behavior, integrated, partnership, beverage, drinks, global, social-engagement</t>
        </is>
      </c>
    </row>
    <row r="31" ht="34.5" customHeight="1" s="34">
      <c r="A31" s="141" t="n">
        <v>2025</v>
      </c>
      <c r="B31" s="145" t="inlineStr">
        <is>
          <t>Silver</t>
        </is>
      </c>
      <c r="C31" s="143" t="inlineStr">
        <is>
          <t>Export Ultra Cold Call Back Service</t>
        </is>
      </c>
      <c r="D31" s="141" t="inlineStr">
        <is>
          <t>Export Ultra</t>
        </is>
      </c>
      <c r="E31" s="141" t="inlineStr">
        <is>
          <t>Beer</t>
        </is>
      </c>
      <c r="F31" s="141" t="inlineStr">
        <is>
          <t>Carat</t>
        </is>
      </c>
      <c r="G31" s="141" t="inlineStr">
        <is>
          <t>New Zealand</t>
        </is>
      </c>
      <c r="H31" s="80" t="inlineStr">
        <is>
          <t>D01 - Local Brand</t>
        </is>
      </c>
      <c r="I31" s="128" t="inlineStr">
        <is>
          <t>https://ascentialcdn.filespin.io/api/v1/conversion/933648a57dec4e89a455851927c51e15</t>
        </is>
      </c>
      <c r="J31" s="141" t="inlineStr">
        <is>
          <t>EMZYDpxI_KI</t>
        </is>
      </c>
      <c r="K31" s="127" t="n"/>
      <c r="L31" s="128" t="inlineStr">
        <is>
          <t>https://www.lovethework.com/work/entries/export-ultra-cold-call-back-service-759477</t>
        </is>
      </c>
      <c r="M31" s="113" t="inlineStr">
        <is>
          <t>A call-back service for New Zealand beer drinkers who put their cans in the freezer and forget them — users text "ICE ICE" to 423, and 34 minutes later Vanilla Ice calls them back with a personalised reminder delivered as a rhyming one-liner. Built around the recurring summer problem of frozen, exploding beers, the campaign ran from December 2024 through February 2025 with a rotating series of bespoke recorded messages voiced by the rapper, developed with agency Special and media partner Carat Auckland.</t>
        </is>
      </c>
      <c r="N31" s="113" t="inlineStr">
        <is>
          <t>beer, alcohol, new-zealand, sms, direct-response, celebrity-partnership, humor, mobile, seasonal, audio</t>
        </is>
      </c>
    </row>
    <row r="32" ht="34.5" customHeight="1" s="34">
      <c r="A32" s="141" t="n">
        <v>2025</v>
      </c>
      <c r="B32" s="145" t="inlineStr">
        <is>
          <t>Silver</t>
        </is>
      </c>
      <c r="C32" s="143" t="inlineStr">
        <is>
          <t>Legacy Lager</t>
        </is>
      </c>
      <c r="D32" s="141" t="inlineStr">
        <is>
          <t>Legacy Australia</t>
        </is>
      </c>
      <c r="E32" s="141" t="inlineStr">
        <is>
          <t>Legacy Australia</t>
        </is>
      </c>
      <c r="F32" s="141" t="inlineStr">
        <is>
          <t>VML</t>
        </is>
      </c>
      <c r="G32" s="141" t="inlineStr">
        <is>
          <t>Australia</t>
        </is>
      </c>
      <c r="H32" s="80" t="inlineStr">
        <is>
          <t>D04 - Social Behaviour</t>
        </is>
      </c>
      <c r="I32" s="128" t="inlineStr">
        <is>
          <t>https://ascentialcdn.filespin.io/api/v1/conversion/ba35a566f4064244b364f68bf3a55633</t>
        </is>
      </c>
      <c r="J32" s="141" t="inlineStr">
        <is>
          <t>vimeo:1087794273</t>
        </is>
      </c>
      <c r="K32" s="127" t="n"/>
      <c r="L32" s="128" t="inlineStr">
        <is>
          <t>https://www.lovethework.com/work/entries/legacy-lager-746168</t>
        </is>
      </c>
      <c r="M32" s="113" t="inlineStr">
        <is>
          <t>A dry tap installed alongside standard beer taps in pubs and clubs across New South Wales — when a patron pulls the handle, nothing comes out, prompting bar staff to explain that the empty tap honours the veterans and military families supported by Legacy Australia. The mechanic turns a moment of expected service into a conversation about sacrifice, with the proceeds from surrounding taps directed to Legacy's work.</t>
        </is>
      </c>
      <c r="N32" s="113" t="inlineStr">
        <is>
          <t>charity, beer, alcohol, ooh, on-premise, pub, australia, social-behaviour, veterans</t>
        </is>
      </c>
    </row>
    <row r="33" ht="34.5" customHeight="1" s="34">
      <c r="A33" s="141" t="n">
        <v>2025</v>
      </c>
      <c r="B33" s="145" t="inlineStr">
        <is>
          <t>Silver</t>
        </is>
      </c>
      <c r="C33" s="143" t="inlineStr">
        <is>
          <t>Health Is</t>
        </is>
      </c>
      <c r="D33" s="141" t="inlineStr">
        <is>
          <t>Bupa</t>
        </is>
      </c>
      <c r="E33" s="141" t="inlineStr">
        <is>
          <t>BUPA Health Insurance</t>
        </is>
      </c>
      <c r="F33" s="141" t="inlineStr">
        <is>
          <t>Initiative Media</t>
        </is>
      </c>
      <c r="G33" s="141" t="inlineStr">
        <is>
          <t>United Kingdom</t>
        </is>
      </c>
      <c r="H33" s="80" t="inlineStr">
        <is>
          <t>D07 - Corporate Purpose &amp; Social Responsibility</t>
        </is>
      </c>
      <c r="I33" s="128" t="inlineStr">
        <is>
          <t>https://ascentialcdn.filespin.io/api/v1/conversion/97b8e88790d047b79a07f2461478c324</t>
        </is>
      </c>
      <c r="J33" s="141" t="inlineStr">
        <is>
          <t>vimeo:1065929468</t>
        </is>
      </c>
      <c r="K33" s="127" t="n"/>
      <c r="L33" s="128" t="inlineStr">
        <is>
          <t>https://www.lovethework.com/work/entries/health-is-746400</t>
        </is>
      </c>
      <c r="M33" s="113" t="inlineStr">
        <is>
          <t>A media campaign built around an immersive installation at London's King's Cross St Pancras station, created by Initiative and Momentum, designed to challenge how mainstream media engages with disabled audiences. The campaign centred on authentic representation of disability across paid media placements, with the station activation serving as a physical demonstration of accessible advertising in a high-footfall public space.</t>
        </is>
      </c>
      <c r="N33" s="113" t="inlineStr">
        <is>
          <t>health-insurance, ooh, experiential, disability-inclusion, accessible-advertising, corporate-purpose, united-kingdom, media-strategy</t>
        </is>
      </c>
    </row>
    <row r="34" ht="34.5" customHeight="1" s="34">
      <c r="A34" s="141" t="n">
        <v>2025</v>
      </c>
      <c r="B34" s="145" t="inlineStr">
        <is>
          <t>Silver</t>
        </is>
      </c>
      <c r="C34" s="143" t="inlineStr">
        <is>
          <t>Code My Crown</t>
        </is>
      </c>
      <c r="D34" s="141" t="inlineStr">
        <is>
          <t>Dove</t>
        </is>
      </c>
      <c r="E34" s="141" t="inlineStr">
        <is>
          <t>Dove</t>
        </is>
      </c>
      <c r="F34" s="141" t="inlineStr">
        <is>
          <t>Edelman</t>
        </is>
      </c>
      <c r="G34" s="141" t="inlineStr">
        <is>
          <t>United Kingdom</t>
        </is>
      </c>
      <c r="H34" s="80" t="inlineStr">
        <is>
          <t>D09 - Cultural Engagement</t>
        </is>
      </c>
      <c r="I34" s="128" t="inlineStr">
        <is>
          <t>https://ascentialcdn.filespin.io/api/v1/conversion/dc773a5191b947ea85626af886046a69</t>
        </is>
      </c>
      <c r="J34" s="141" t="inlineStr">
        <is>
          <t>stQ442QJ9pg</t>
        </is>
      </c>
      <c r="K34" s="127" t="n"/>
      <c r="L34" s="128" t="inlineStr">
        <is>
          <t>https://www.lovethework.com/work/entries/code-my-crown-746487</t>
        </is>
      </c>
      <c r="M34" s="113" t="inlineStr">
        <is>
          <t>A guide and training resource built for game developers that shows how to accurately code Black hair styles and textures inside video game character creators — covering curl patterns, locs, braids, and protective styles that are routinely absent or poorly rendered in mainstream titles. Developed by Dove and Edelman London, it addresses the gap between the diversity of Black hair and the limited, often inaccurate options players encounter when building avatars that look like them.</t>
        </is>
      </c>
      <c r="N34" s="113" t="inlineStr">
        <is>
          <t>personal-care, gaming, video-games, entertainment, inclusive-design, developer-tool, united-kingdom, black-hair, digital, representation</t>
        </is>
      </c>
    </row>
    <row r="35" ht="34.5" customHeight="1" s="34">
      <c r="A35" s="141" t="n">
        <v>2025</v>
      </c>
      <c r="B35" s="145" t="inlineStr">
        <is>
          <t>Silver</t>
        </is>
      </c>
      <c r="C35" s="143" t="inlineStr">
        <is>
          <t>Pub Succession</t>
        </is>
      </c>
      <c r="D35" s="141" t="inlineStr">
        <is>
          <t>Heineken</t>
        </is>
      </c>
      <c r="E35" s="141" t="inlineStr">
        <is>
          <t>Heineken</t>
        </is>
      </c>
      <c r="F35" s="141" t="inlineStr">
        <is>
          <t>LePub</t>
        </is>
      </c>
      <c r="G35" s="141" t="inlineStr">
        <is>
          <t>Italy</t>
        </is>
      </c>
      <c r="H35" s="80" t="inlineStr">
        <is>
          <t>D09 - Cultural Engagement</t>
        </is>
      </c>
      <c r="I35" s="128" t="inlineStr">
        <is>
          <t>https://ascentialcdn.filespin.io/api/v1/conversion/a8d4e72bb1ce47508dcea8db73d16b01</t>
        </is>
      </c>
      <c r="J35" s="141" t="inlineStr">
        <is>
          <t>Cu0FLBdZrcM</t>
        </is>
      </c>
      <c r="K35" s="127" t="n"/>
      <c r="L35" s="128" t="inlineStr">
        <is>
          <t>https://www.lovethework.com/work/entries/pub-succession-746430</t>
        </is>
      </c>
      <c r="M35"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35" s="113" t="inlineStr">
        <is>
          <t>pr, integrated, ooh, beer, alcohol, ireland, recruitment, cultural-engagement, partnership</t>
        </is>
      </c>
    </row>
    <row r="36" ht="34.5" customHeight="1" s="34">
      <c r="A36" s="141" t="n">
        <v>2025</v>
      </c>
      <c r="B36" s="145" t="inlineStr">
        <is>
          <t>Silver</t>
        </is>
      </c>
      <c r="C36" s="143" t="inlineStr">
        <is>
          <t>The Flame That Wasn't a Flame</t>
        </is>
      </c>
      <c r="D36" s="141" t="inlineStr">
        <is>
          <t>EDF</t>
        </is>
      </c>
      <c r="E36" s="141" t="inlineStr">
        <is>
          <t>The Olympic Cauldron</t>
        </is>
      </c>
      <c r="F36" s="141" t="inlineStr">
        <is>
          <t>Havas Media</t>
        </is>
      </c>
      <c r="G36" s="141" t="inlineStr">
        <is>
          <t>France</t>
        </is>
      </c>
      <c r="H36" s="80" t="inlineStr">
        <is>
          <t>E02 - Media Planning</t>
        </is>
      </c>
      <c r="I36" s="128" t="inlineStr">
        <is>
          <t>https://ascentialcdn.filespin.io/api/v1/conversion/179b9d045d1a44c7b9cf08ed801fec37</t>
        </is>
      </c>
      <c r="J36" s="141" t="inlineStr">
        <is>
          <t>sXFFpanPbNE</t>
        </is>
      </c>
      <c r="K36" s="127" t="n"/>
      <c r="L36" s="128" t="inlineStr">
        <is>
          <t>https://www.lovethework.com/work/entries/the-flame-that-wasnt-a-flame-746404</t>
        </is>
      </c>
      <c r="M36"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36" s="113" t="inlineStr">
        <is>
          <t>olympics, sport, sustainability, energy, ceremony, paris, partnership, live-event, corporate-purpose</t>
        </is>
      </c>
    </row>
    <row r="37" ht="34.5" customHeight="1" s="34">
      <c r="A37" s="141" t="n">
        <v>2025</v>
      </c>
      <c r="B37" s="146" t="inlineStr">
        <is>
          <t>Bronze</t>
        </is>
      </c>
      <c r="C37" s="143" t="inlineStr">
        <is>
          <t>Ad-Free Movies</t>
        </is>
      </c>
      <c r="D37" s="141" t="inlineStr">
        <is>
          <t>Budweiser</t>
        </is>
      </c>
      <c r="E37" s="141" t="inlineStr">
        <is>
          <t>Beer</t>
        </is>
      </c>
      <c r="F37" s="141" t="inlineStr">
        <is>
          <t>Africa Creative DDB</t>
        </is>
      </c>
      <c r="G37" s="141" t="inlineStr">
        <is>
          <t>Brazil</t>
        </is>
      </c>
      <c r="H37" s="80" t="inlineStr">
        <is>
          <t>A01 - Consumer Goods</t>
        </is>
      </c>
      <c r="I37" s="128" t="inlineStr">
        <is>
          <t>https://ascentialcdn.filespin.io/api/v1/conversion/7bea5da12c704fafb1e98229f26e85bb</t>
        </is>
      </c>
      <c r="J37" s="141" t="inlineStr">
        <is>
          <t>vimeo:1077750867</t>
        </is>
      </c>
      <c r="K37" s="127" t="n"/>
      <c r="L37" s="128" t="inlineStr">
        <is>
          <t>https://www.lovethework.com/work/entries/ad-free-movies-745151</t>
        </is>
      </c>
      <c r="M37" s="113" t="inlineStr">
        <is>
          <t>A packaging and point-of-sale campaign built around Budweiser's existing placement in Hollywood films — rather than buying ad space, the brand surfaced the moments it already appears on screen organically, letting the movies themselves serve as the ad. Labels and in-store materials pointed to titles where Budweiser appears without paid integration, positioning the beer as the one brand that doesn't need to interrupt the film.</t>
        </is>
      </c>
      <c r="N37" s="113" t="inlineStr">
        <is>
          <t>beer, alcohol, packaging, point-of-sale, branded-entertainment, brazil, product-placement, film, cinema, entertainment</t>
        </is>
      </c>
    </row>
    <row r="38" ht="34.5" customHeight="1" s="34">
      <c r="A38" s="141" t="n">
        <v>2025</v>
      </c>
      <c r="B38" s="146" t="inlineStr">
        <is>
          <t>Bronze</t>
        </is>
      </c>
      <c r="C38" s="143" t="inlineStr">
        <is>
          <t>Eye Test Menu</t>
        </is>
      </c>
      <c r="D38" s="141" t="inlineStr">
        <is>
          <t>Titan Company Limited</t>
        </is>
      </c>
      <c r="E38" s="141" t="inlineStr">
        <is>
          <t>Eyewear</t>
        </is>
      </c>
      <c r="F38" s="141" t="inlineStr">
        <is>
          <t>Ogilvy</t>
        </is>
      </c>
      <c r="G38" s="141" t="inlineStr">
        <is>
          <t>India</t>
        </is>
      </c>
      <c r="H38" s="80" t="inlineStr">
        <is>
          <t>A02 - Healthcare</t>
        </is>
      </c>
      <c r="I38" s="128" t="inlineStr">
        <is>
          <t>https://ascentialcdn.filespin.io/api/v1/conversion/423282a302ed4fe187b1a0b7b5eb8284</t>
        </is>
      </c>
      <c r="J38" s="141" t="inlineStr">
        <is>
          <t>vimeo:1093963149</t>
        </is>
      </c>
      <c r="K38" s="127" t="n"/>
      <c r="L38" s="128" t="inlineStr">
        <is>
          <t>https://www.lovethework.com/work/entries/eye-test-menu-745061</t>
        </is>
      </c>
      <c r="M38"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38" s="113" t="inlineStr">
        <is>
          <t>healthcare, eye-care, optometry, medical, ooh, partnership, road-safety, india, social-good, retail</t>
        </is>
      </c>
    </row>
    <row r="39" ht="34.5" customHeight="1" s="34">
      <c r="A39" s="141" t="n">
        <v>2025</v>
      </c>
      <c r="B39" s="146" t="inlineStr">
        <is>
          <t>Bronze</t>
        </is>
      </c>
      <c r="C39" s="143" t="inlineStr">
        <is>
          <t>Football Is for Food</t>
        </is>
      </c>
      <c r="D39" s="141" t="inlineStr">
        <is>
          <t>Uber Eats</t>
        </is>
      </c>
      <c r="E39" s="141" t="inlineStr">
        <is>
          <t>Uber Eats</t>
        </is>
      </c>
      <c r="F39" s="141" t="inlineStr">
        <is>
          <t>Special</t>
        </is>
      </c>
      <c r="G39" s="141" t="inlineStr">
        <is>
          <t>United States</t>
        </is>
      </c>
      <c r="H39" s="80" t="inlineStr">
        <is>
          <t>A04 - Travel, Leisure, Retail, Restaurants &amp; Fast-Food Chains</t>
        </is>
      </c>
      <c r="I39" s="128" t="inlineStr">
        <is>
          <t>https://ascentialcdn.filespin.io/api/v1/conversion/5ce0f137b7254d7aa885d7e83850f046</t>
        </is>
      </c>
      <c r="J39" s="141" t="inlineStr">
        <is>
          <t>81ahl1QYMp0</t>
        </is>
      </c>
      <c r="K39" s="127" t="n"/>
      <c r="L39" s="128" t="inlineStr">
        <is>
          <t>https://www.lovethework.com/work/entries/football-is-for-food-745080</t>
        </is>
      </c>
      <c r="M39"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39" s="113" t="inlineStr">
        <is>
          <t>food-delivery, food, restaurant, ecommerce, retail, online-shopping, television, brand-integration, nfl, united-states, conspiracy, humor, sports-sponsorship</t>
        </is>
      </c>
    </row>
    <row r="40" ht="34.5" customHeight="1" s="34">
      <c r="A40" s="141" t="n">
        <v>2025</v>
      </c>
      <c r="B40" s="146" t="inlineStr">
        <is>
          <t>Bronze</t>
        </is>
      </c>
      <c r="C40" s="143" t="inlineStr">
        <is>
          <t>Bait Boards</t>
        </is>
      </c>
      <c r="D40" s="141" t="inlineStr">
        <is>
          <t>Mercado Ads</t>
        </is>
      </c>
      <c r="E40" s="141" t="inlineStr">
        <is>
          <t>Mercado Ads</t>
        </is>
      </c>
      <c r="F40" s="141" t="inlineStr">
        <is>
          <t>Gut</t>
        </is>
      </c>
      <c r="G40" s="141" t="inlineStr">
        <is>
          <t>Argentina</t>
        </is>
      </c>
      <c r="H40" s="80" t="inlineStr">
        <is>
          <t>A06 - Consumer Services/Business to Business</t>
        </is>
      </c>
      <c r="I40" s="147" t="inlineStr">
        <is>
          <t>digital-presentation-images/media-mercado-ads-bait-boards.webp</t>
        </is>
      </c>
      <c r="J40" s="141" t="inlineStr">
        <is>
          <t>hLdCk8nEFcg</t>
        </is>
      </c>
      <c r="K40" s="127" t="n"/>
      <c r="L40" s="128" t="inlineStr">
        <is>
          <t>https://www.lovethework.com/work/entries/bait-boards-760974</t>
        </is>
      </c>
      <c r="M40" s="113" t="inlineStr">
        <is>
          <t>A media buy across Latin American billboards-for-rent — the kind that display only a phone number — that redirected every inbound call to an AI agent trained as a Mercado Ads expert. On each call, the agent cross-referenced the specific billboard's location and audience data against Mercado Ads inventory, showing the caller how a smaller digital investment could outperform the very billboard they'd just dialed.</t>
        </is>
      </c>
      <c r="N40" s="113" t="inlineStr">
        <is>
          <t>digital-advertising-platform, ooh, ai, technology, b2b, business, latin-america, argentina, phone, ambient</t>
        </is>
      </c>
    </row>
    <row r="41" ht="34.5" customHeight="1" s="34">
      <c r="A41" s="141" t="n">
        <v>2025</v>
      </c>
      <c r="B41" s="146" t="inlineStr">
        <is>
          <t>Bronze</t>
        </is>
      </c>
      <c r="C41" s="143" t="inlineStr">
        <is>
          <t>Sleep with Rain</t>
        </is>
      </c>
      <c r="D41" s="141" t="inlineStr">
        <is>
          <t>AT&amp;T Business</t>
        </is>
      </c>
      <c r="E41" s="141" t="inlineStr">
        <is>
          <t>AT&amp;T Business</t>
        </is>
      </c>
      <c r="F41" s="141" t="inlineStr">
        <is>
          <t>Critical Mass</t>
        </is>
      </c>
      <c r="G41" s="141" t="inlineStr">
        <is>
          <t>Canada</t>
        </is>
      </c>
      <c r="H41" s="80" t="inlineStr">
        <is>
          <t>A06 - Consumer Services/Business to Business</t>
        </is>
      </c>
      <c r="I41" s="128" t="inlineStr">
        <is>
          <t>https://ascentialcdn.filespin.io/api/v1/conversion/d0260b381fef4eeeb8801c1df7cf7a2d</t>
        </is>
      </c>
      <c r="J41" s="141" t="inlineStr">
        <is>
          <t>7rUF8izWxc8</t>
        </is>
      </c>
      <c r="K41" s="127" t="n"/>
      <c r="L41" s="128" t="inlineStr">
        <is>
          <t>https://www.lovethework.com/work/entries/sleep-with-rain-763538</t>
        </is>
      </c>
      <c r="M41" s="113" t="inlineStr">
        <is>
          <t>A social and influencer campaign built around the widespread habit of playing rain sounds to fall asleep — AT&amp;T Business co-opted the behavior by sponsoring or seeding rain-sound content tied to the reliability of its network. The connection drawn is between uninterrupted background audio and uninterrupted business connectivity.</t>
        </is>
      </c>
      <c r="N41" s="113" t="inlineStr">
        <is>
          <t>telecommunications, social-media, influencer, b2b, business, canada, audio, content-marketing, consumer-services</t>
        </is>
      </c>
    </row>
    <row r="42" ht="34.5" customHeight="1" s="34">
      <c r="A42" s="141" t="n">
        <v>2025</v>
      </c>
      <c r="B42" s="146" t="inlineStr">
        <is>
          <t>Bronze</t>
        </is>
      </c>
      <c r="C42" s="143" t="inlineStr">
        <is>
          <t>Ink of Democracy</t>
        </is>
      </c>
      <c r="D42" s="141" t="inlineStr">
        <is>
          <t>The Times of India</t>
        </is>
      </c>
      <c r="E42" s="141" t="inlineStr">
        <is>
          <t>Election Appeal</t>
        </is>
      </c>
      <c r="F42" s="141" t="inlineStr">
        <is>
          <t>Havas</t>
        </is>
      </c>
      <c r="G42" s="141" t="inlineStr">
        <is>
          <t>India</t>
        </is>
      </c>
      <c r="H42" s="80" t="inlineStr">
        <is>
          <t>B03 - Use of Print</t>
        </is>
      </c>
      <c r="I42" s="128" t="inlineStr">
        <is>
          <t>https://ascentialcdn.filespin.io/api/v1/conversion/1e8aea61826944b9a3dd3ed2db299576</t>
        </is>
      </c>
      <c r="J42" s="141" t="inlineStr">
        <is>
          <t>Y04IsSy9fCI</t>
        </is>
      </c>
      <c r="K42" s="127" t="n"/>
      <c r="L42" s="128" t="inlineStr">
        <is>
          <t>https://www.lovethework.com/work/entries/ink-of-democracy-745354</t>
        </is>
      </c>
      <c r="M42" s="113" t="inlineStr">
        <is>
          <t>A print campaign built around the indelible purple ink that India's Election Commission applies to every voter's finger after casting a ballot — The Times of India used that familiar mark as the visual and editorial centerpiece of its election coverage to appeal for voter turnout. Created with Havas Creative India, the campaign ran across the newspaper's print editions during India's general election season.</t>
        </is>
      </c>
      <c r="N42" s="113" t="inlineStr">
        <is>
          <t>newspaper, print, election, public-interest, india, voter-turnout, havas, civic-engagement</t>
        </is>
      </c>
    </row>
    <row r="43" ht="34.5" customHeight="1" s="34">
      <c r="A43" s="141" t="n">
        <v>2025</v>
      </c>
      <c r="B43" s="146" t="inlineStr">
        <is>
          <t>Bronze</t>
        </is>
      </c>
      <c r="C43" s="143" t="inlineStr">
        <is>
          <t>Boxed Ads</t>
        </is>
      </c>
      <c r="D43" s="141" t="inlineStr">
        <is>
          <t>Mercado Libre</t>
        </is>
      </c>
      <c r="E43" s="141" t="inlineStr">
        <is>
          <t>Mercado Libre</t>
        </is>
      </c>
      <c r="F43" s="141" t="inlineStr">
        <is>
          <t>Gut</t>
        </is>
      </c>
      <c r="G43" s="141" t="inlineStr">
        <is>
          <t>Argentina</t>
        </is>
      </c>
      <c r="H43" s="80" t="inlineStr">
        <is>
          <t>B04 - Use of Outdoor</t>
        </is>
      </c>
      <c r="I43" s="128" t="inlineStr">
        <is>
          <t>https://ascentialcdn.filespin.io/api/v1/conversion/7fbdb5c2391043e18032480b6a5a068b</t>
        </is>
      </c>
      <c r="J43" s="141" t="inlineStr">
        <is>
          <t>2t2ysywk3do</t>
        </is>
      </c>
      <c r="K43" s="127" t="n"/>
      <c r="L43" s="128" t="inlineStr">
        <is>
          <t>https://www.lovethework.com/work/entries/boxed-ads-761062</t>
        </is>
      </c>
      <c r="M43" s="113" t="inlineStr">
        <is>
          <t>An outdoor format that replaces traditional billboard space with the cardboard shipping boxes stacked behind it — Mercado Libre's branded packaging, visible above and around the boards, became the ad itself. Instead of buying poster space in Argentina's crowded urban environments, the campaign bought the storage real estate retailers use to pile surplus inventory directly behind existing billboards.</t>
        </is>
      </c>
      <c r="N43" s="113" t="inlineStr">
        <is>
          <t>e-commerce, ooh, packaging, argentina, ambient, retail-media, outdoor</t>
        </is>
      </c>
    </row>
    <row r="44" ht="34.5" customHeight="1" s="34">
      <c r="A44" s="141" t="n">
        <v>2025</v>
      </c>
      <c r="B44" s="146" t="inlineStr">
        <is>
          <t>Bronze</t>
        </is>
      </c>
      <c r="C44" s="143" t="inlineStr">
        <is>
          <t>Heinz Roller Shutter</t>
        </is>
      </c>
      <c r="D44" s="141" t="inlineStr">
        <is>
          <t>Heinz</t>
        </is>
      </c>
      <c r="E44" s="141" t="inlineStr">
        <is>
          <t>Ketchup</t>
        </is>
      </c>
      <c r="F44" s="141" t="inlineStr">
        <is>
          <t>Kraft Heinz</t>
        </is>
      </c>
      <c r="G44" s="141" t="inlineStr">
        <is>
          <t>China</t>
        </is>
      </c>
      <c r="H44" s="80" t="inlineStr">
        <is>
          <t>B05 - Small-Scale Media</t>
        </is>
      </c>
      <c r="I44" s="128" t="inlineStr">
        <is>
          <t>https://ascentialcdn.filespin.io/api/v1/conversion/12442b60aad54ce89573c747a787164d</t>
        </is>
      </c>
      <c r="J44" s="141" t="inlineStr">
        <is>
          <t>vimeo:1094886574/76a7dd4cff</t>
        </is>
      </c>
      <c r="K44" s="127" t="n"/>
      <c r="L44" s="128" t="inlineStr">
        <is>
          <t>https://www.lovethework.com/work/entries/heinz-roller-shutter-745293</t>
        </is>
      </c>
      <c r="M44" s="113" t="inlineStr">
        <is>
          <t>To grow ketchup usage in China's lower-tier cities, Heinz used Chinese New Year closures to turn local diner shutters into recipe-revealing billboards. Written in the voice of the owners, the shutters showed that beloved signature dishes were made with Heinz ketchup, while recipe handouts and free sachets helped families try it at home.</t>
        </is>
      </c>
      <c r="N44" s="113" t="inlineStr">
        <is>
          <t>packaged-goods, cpg, fmcg, food, condiment, ooh, china, partnership, restaurant, cultural-engagement</t>
        </is>
      </c>
    </row>
    <row r="45" ht="34.5" customHeight="1" s="34">
      <c r="A45" s="141" t="n">
        <v>2025</v>
      </c>
      <c r="B45" s="146" t="inlineStr">
        <is>
          <t>Bronze</t>
        </is>
      </c>
      <c r="C45" s="143" t="inlineStr">
        <is>
          <t>The Meal</t>
        </is>
      </c>
      <c r="D45" s="141" t="inlineStr">
        <is>
          <t>McDonald's</t>
        </is>
      </c>
      <c r="E45" s="141" t="inlineStr">
        <is>
          <t>Happy Meal</t>
        </is>
      </c>
      <c r="F45" s="141" t="inlineStr">
        <is>
          <t>Leo</t>
        </is>
      </c>
      <c r="G45" s="141" t="inlineStr">
        <is>
          <t>United Kingdom</t>
        </is>
      </c>
      <c r="H45" s="80" t="inlineStr">
        <is>
          <t>B05 - Small-Scale Media</t>
        </is>
      </c>
      <c r="I45" s="128" t="inlineStr">
        <is>
          <t>https://ascentialcdn.filespin.io/api/v1/conversion/5e2b835a636345e0a9110a3076d31dca</t>
        </is>
      </c>
      <c r="J45" s="141" t="inlineStr">
        <is>
          <t>YEPttzbn0Z0</t>
        </is>
      </c>
      <c r="K45" s="127" t="n"/>
      <c r="L45" s="128" t="inlineStr">
        <is>
          <t>https://www.lovethework.com/work/entries/the-meal-745474</t>
        </is>
      </c>
      <c r="M45"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45" s="113" t="inlineStr">
        <is>
          <t>qsr, fast-food, restaurant, food, mental-health, healthcare, medical, packaging, kids, partnership, united-kingdom, corporate-purpose, integrated</t>
        </is>
      </c>
    </row>
    <row r="46" ht="34.5" customHeight="1" s="34">
      <c r="A46" s="141" t="n">
        <v>2025</v>
      </c>
      <c r="B46" s="146" t="inlineStr">
        <is>
          <t>Bronze</t>
        </is>
      </c>
      <c r="C46" s="143" t="inlineStr">
        <is>
          <t>W1ng Cod3s</t>
        </is>
      </c>
      <c r="D46" s="141" t="inlineStr">
        <is>
          <t>Volaris Airlines</t>
        </is>
      </c>
      <c r="E46" s="141" t="inlineStr">
        <is>
          <t>Volaris Airlines</t>
        </is>
      </c>
      <c r="F46" s="141" t="inlineStr">
        <is>
          <t>Havas Hoy</t>
        </is>
      </c>
      <c r="G46" s="141" t="inlineStr">
        <is>
          <t>Mexico</t>
        </is>
      </c>
      <c r="H46" s="80" t="inlineStr">
        <is>
          <t>B06 - Large-Scale Media</t>
        </is>
      </c>
      <c r="I46" s="128" t="inlineStr">
        <is>
          <t>https://ascentialcdn.filespin.io/api/v1/conversion/e0c228ff0e134ebea6c5d9ba0440fe7a</t>
        </is>
      </c>
      <c r="J46" s="141" t="inlineStr">
        <is>
          <t>qsxzsAbHowQ</t>
        </is>
      </c>
      <c r="K46" s="127" t="n"/>
      <c r="L46" s="128" t="inlineStr">
        <is>
          <t>https://www.lovethework.com/work/entries/w1ng-cod3s-745433</t>
        </is>
      </c>
      <c r="M46" s="113" t="inlineStr">
        <is>
          <t>A discount mechanic built around the aircraft registration codes printed on airplane wings — codes that appear in 83% of in-flight window-seat photos but had previously gone unnoticed. Volaris invited passengers to photograph the wing code on their flight and redeem it for a discount on their next booking, turning an overlooked piece of livery into a loyalty trigger shared across social media.</t>
        </is>
      </c>
      <c r="N46" s="113" t="inlineStr">
        <is>
          <t>airline, social-media, user-generated-content, promotion, mexico, mobile, influencer, ooh</t>
        </is>
      </c>
    </row>
    <row r="47" ht="34.5" customHeight="1" s="34">
      <c r="A47" s="141" t="n">
        <v>2025</v>
      </c>
      <c r="B47" s="146" t="inlineStr">
        <is>
          <t>Bronze</t>
        </is>
      </c>
      <c r="C47" s="143" t="inlineStr">
        <is>
          <t>Airbnb Up-House</t>
        </is>
      </c>
      <c r="D47" s="141" t="inlineStr">
        <is>
          <t>Airbnb</t>
        </is>
      </c>
      <c r="E47" s="141" t="inlineStr">
        <is>
          <t>Airbnb Icons</t>
        </is>
      </c>
      <c r="F47" s="141" t="inlineStr">
        <is>
          <t>Weber Shandwick</t>
        </is>
      </c>
      <c r="G47" s="141" t="inlineStr">
        <is>
          <t>United States</t>
        </is>
      </c>
      <c r="H47" s="80" t="inlineStr">
        <is>
          <t>B06 - Large-Scale Media</t>
        </is>
      </c>
      <c r="I47" s="128" t="inlineStr">
        <is>
          <t>https://ascentialcdn.filespin.io/api/v1/conversion/2b13b666d8054d2b91c39276aa026ac6</t>
        </is>
      </c>
      <c r="J47" s="141" t="inlineStr">
        <is>
          <t>Rz2FWiJq4Mw</t>
        </is>
      </c>
      <c r="K47" s="127" t="n"/>
      <c r="L47" s="128" t="inlineStr">
        <is>
          <t>https://www.lovethework.com/work/entries/airbnb-up-house-745499</t>
        </is>
      </c>
      <c r="M47" s="113" t="inlineStr">
        <is>
          <t>A full-scale replica of the floating house from Pixar's Up — balloon cluster and all — built as a bookable Airbnb Icons listing in the United States. The structure was constructed at real scale and available for guests to stay in overnight, timed to the film's anniversary.</t>
        </is>
      </c>
      <c r="N47" s="113" t="inlineStr">
        <is>
          <t>airbnb, experiential, branded-venue, entertainment, united-states, large-scale-media, film-tie-in, pr-stunt</t>
        </is>
      </c>
    </row>
    <row r="48" ht="34.5" customHeight="1" s="34">
      <c r="A48" s="141" t="n">
        <v>2025</v>
      </c>
      <c r="B48" s="146" t="inlineStr">
        <is>
          <t>Bronze</t>
        </is>
      </c>
      <c r="C48" s="143" t="inlineStr">
        <is>
          <t>Touchboards Discount</t>
        </is>
      </c>
      <c r="D48" s="141" t="inlineStr">
        <is>
          <t>Itaú Unibanco</t>
        </is>
      </c>
      <c r="E48" s="141" t="inlineStr">
        <is>
          <t>Bank</t>
        </is>
      </c>
      <c r="F48" s="141" t="inlineStr">
        <is>
          <t>Africa Creative DDB</t>
        </is>
      </c>
      <c r="G48" s="141" t="inlineStr">
        <is>
          <t>Brazil</t>
        </is>
      </c>
      <c r="H48" s="80" t="inlineStr">
        <is>
          <t>B07 - Use of Events &amp; Stunts</t>
        </is>
      </c>
      <c r="I48" s="128" t="inlineStr">
        <is>
          <t>https://ascentialcdn.filespin.io/api/v1/conversion/e14b84bfe13a475898db5ad4b54d8a97</t>
        </is>
      </c>
      <c r="J48" s="141" t="inlineStr">
        <is>
          <t>vimeo:1136599182</t>
        </is>
      </c>
      <c r="K48" s="127" t="n"/>
      <c r="L48" s="128" t="inlineStr">
        <is>
          <t>https://www.lovethework.com/work/entries/touchboards-discount-745407</t>
        </is>
      </c>
      <c r="M48" s="113" t="inlineStr">
        <is>
          <t>Interactive touchscreens installed on skatepark boards across Brazil that double as discount terminals — skaters tap their Itaú card on the board's surface to unlock deals at nearby local businesses. The installation places the bank's payment mechanic directly inside a space built around street culture and youth activity.</t>
        </is>
      </c>
      <c r="N48" s="113" t="inlineStr">
        <is>
          <t>banking, financial-services, finance, interactive-installation, ooh, youth, street-culture, skateboarding, brazil, experiential</t>
        </is>
      </c>
    </row>
    <row r="49" ht="34.5" customHeight="1" s="34">
      <c r="A49" s="141" t="n">
        <v>2025</v>
      </c>
      <c r="B49" s="146" t="inlineStr">
        <is>
          <t>Bronze</t>
        </is>
      </c>
      <c r="C49" s="143" t="inlineStr">
        <is>
          <t>Re-Commerce Atacama</t>
        </is>
      </c>
      <c r="D49" s="141" t="inlineStr">
        <is>
          <t>VTEX</t>
        </is>
      </c>
      <c r="E49" s="141" t="inlineStr">
        <is>
          <t>Re-Commerce Atacama</t>
        </is>
      </c>
      <c r="F49" s="141" t="inlineStr">
        <is>
          <t>Artplan</t>
        </is>
      </c>
      <c r="G49" s="141" t="inlineStr">
        <is>
          <t>Brazil</t>
        </is>
      </c>
      <c r="H49" s="80" t="inlineStr">
        <is>
          <t>B08 - Use of Digital Platforms</t>
        </is>
      </c>
      <c r="I49" s="128" t="inlineStr">
        <is>
          <t>https://ascentialcdn.filespin.io/api/v1/conversion/029792253daf49f2b2f5cce5c082ba68</t>
        </is>
      </c>
      <c r="J49" s="141" t="inlineStr">
        <is>
          <t>EpzZu_9Zudw</t>
        </is>
      </c>
      <c r="K49" s="127" t="n"/>
      <c r="L49" s="128" t="inlineStr">
        <is>
          <t>https://www.lovethework.com/work/entries/re-commerce-atacama-745730</t>
        </is>
      </c>
      <c r="M49" s="113" t="inlineStr">
        <is>
          <t>An e-commerce platform built by VTEX and Artplan to sell discarded fast-fashion garments dumped in Chile's Atacama Desert — one of the world's largest textile waste sites — directly to global buyers. By routing unsold and abandoned clothing through a re-commerce storefront, the project turned a landfill into a live digital inventory.</t>
        </is>
      </c>
      <c r="N49" s="113" t="inlineStr">
        <is>
          <t>e-commerce, digital-platform, circular-economy, fast-fashion-waste, retail, brazil, chile, sustainability, b2b-platform</t>
        </is>
      </c>
    </row>
    <row r="50" ht="34.5" customHeight="1" s="34">
      <c r="A50" s="141" t="n">
        <v>2025</v>
      </c>
      <c r="B50" s="146" t="inlineStr">
        <is>
          <t>Bronze</t>
        </is>
      </c>
      <c r="C50" s="143" t="inlineStr">
        <is>
          <t>Airbnb Icons</t>
        </is>
      </c>
      <c r="D50" s="141" t="inlineStr">
        <is>
          <t>Airbnb</t>
        </is>
      </c>
      <c r="E50" s="141" t="inlineStr">
        <is>
          <t>Airbnb Icons</t>
        </is>
      </c>
      <c r="F50" s="141" t="inlineStr">
        <is>
          <t>Weber Shandwick</t>
        </is>
      </c>
      <c r="G50" s="141" t="inlineStr">
        <is>
          <t>United States</t>
        </is>
      </c>
      <c r="H50" s="80" t="inlineStr">
        <is>
          <t>B08 - Use of Digital Platforms</t>
        </is>
      </c>
      <c r="I50" s="128" t="inlineStr">
        <is>
          <t>https://ascentialcdn.filespin.io/api/v1/conversion/db51bea9a01d40108f74e1fa9bd7ad3f</t>
        </is>
      </c>
      <c r="J50" s="141" t="inlineStr">
        <is>
          <t>Rz2FWiJq4Mw</t>
        </is>
      </c>
      <c r="K50" s="127" t="n"/>
      <c r="L50" s="128" t="inlineStr">
        <is>
          <t>https://www.lovethework.com/work/entries/airbnb-icons-745739</t>
        </is>
      </c>
      <c r="M50"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50" s="113" t="inlineStr">
        <is>
          <t>travel, tourism, sponsorship, partnership, ip, celebrity, branded-experience, united-states, platform</t>
        </is>
      </c>
    </row>
    <row r="51" ht="34.5" customHeight="1" s="34">
      <c r="A51" s="141" t="n">
        <v>2025</v>
      </c>
      <c r="B51" s="146" t="inlineStr">
        <is>
          <t>Bronze</t>
        </is>
      </c>
      <c r="C51" s="143" t="inlineStr">
        <is>
          <t>Reshaping Rugby: The World's First TikTok Final</t>
        </is>
      </c>
      <c r="D51" s="141" t="inlineStr">
        <is>
          <t>2Degrees</t>
        </is>
      </c>
      <c r="E51" s="141" t="inlineStr">
        <is>
          <t>2Degrees Mobile</t>
        </is>
      </c>
      <c r="F51" s="141" t="inlineStr">
        <is>
          <t>TBWA\New Zealand</t>
        </is>
      </c>
      <c r="G51" s="141" t="inlineStr">
        <is>
          <t>New Zealand</t>
        </is>
      </c>
      <c r="H51" s="80" t="inlineStr">
        <is>
          <t>B09 - Use of Mobile</t>
        </is>
      </c>
      <c r="I51" s="128" t="inlineStr">
        <is>
          <t>https://ascentialcdn.filespin.io/api/v1/conversion/2a4269c3a4f744c88133f4bc79e63794</t>
        </is>
      </c>
      <c r="J51" s="141" t="inlineStr">
        <is>
          <t>yefnOIEivmQ</t>
        </is>
      </c>
      <c r="K51" s="127" t="n"/>
      <c r="L51" s="128" t="inlineStr">
        <is>
          <t>https://www.lovethework.com/work/entries/reshaping-rugby-the-worlds-first-tiktok-final-745671</t>
        </is>
      </c>
      <c r="M51" s="113" t="inlineStr">
        <is>
          <t>A live rugby final broadcast produced entirely in vertical format for TikTok, with bespoke commentary and real-time interactive features built for the platform's native environment. 2Degrees, the naming-rights sponsor of the 2Degrees Mobile Premiership in New Zealand, partnered with TBWA\New Zealand to shoot and stream the match specifically for TikTok rather than adapting an existing broadcast.</t>
        </is>
      </c>
      <c r="N51" s="113" t="inlineStr">
        <is>
          <t>mobile, tiktok, rugby, live-broadcast, vertical-video, sports-sponsorship, new-zealand, mobile-network</t>
        </is>
      </c>
    </row>
    <row r="52" ht="34.5" customHeight="1" s="34">
      <c r="A52" s="141" t="n">
        <v>2025</v>
      </c>
      <c r="B52" s="146" t="inlineStr">
        <is>
          <t>Bronze</t>
        </is>
      </c>
      <c r="C52" s="143" t="inlineStr">
        <is>
          <t>One Second Ads</t>
        </is>
      </c>
      <c r="D52" s="141" t="inlineStr">
        <is>
          <t>Budweiser</t>
        </is>
      </c>
      <c r="E52" s="141" t="inlineStr">
        <is>
          <t>Beer</t>
        </is>
      </c>
      <c r="F52" s="141" t="inlineStr">
        <is>
          <t>Africa Creative DDB</t>
        </is>
      </c>
      <c r="G52" s="141" t="inlineStr">
        <is>
          <t>Brazil</t>
        </is>
      </c>
      <c r="H52" s="80" t="inlineStr">
        <is>
          <t>B10 - Use of Social Platforms</t>
        </is>
      </c>
      <c r="I52" s="128" t="inlineStr">
        <is>
          <t>https://ascentialcdn.filespin.io/api/v1/conversion/7bea5da12c704fafb1e98229f26e85bb</t>
        </is>
      </c>
      <c r="J52" s="141" t="inlineStr">
        <is>
          <t>RpvlshoKIrE</t>
        </is>
      </c>
      <c r="K52" s="127" t="n"/>
      <c r="L52" s="128" t="inlineStr">
        <is>
          <t>https://www.lovethework.com/work/entries/one-second-ads-745740</t>
        </is>
      </c>
      <c r="M52"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52" s="113" t="inlineStr">
        <is>
          <t>beer, alcohol, social-media, audio, music, entertainment, short-form-video, brazil, user-participation, mobile</t>
        </is>
      </c>
    </row>
    <row r="53" ht="34.5" customHeight="1" s="34">
      <c r="A53" s="141" t="n">
        <v>2025</v>
      </c>
      <c r="B53" s="146" t="inlineStr">
        <is>
          <t>Bronze</t>
        </is>
      </c>
      <c r="C53" s="143" t="inlineStr">
        <is>
          <t>Just Joking</t>
        </is>
      </c>
      <c r="D53" s="141" t="inlineStr">
        <is>
          <t>Sandy Hook Promise</t>
        </is>
      </c>
      <c r="E53" s="141" t="inlineStr">
        <is>
          <t>Sandy Hook Promise</t>
        </is>
      </c>
      <c r="F53" s="141" t="inlineStr">
        <is>
          <t>PHD</t>
        </is>
      </c>
      <c r="G53" s="141" t="inlineStr">
        <is>
          <t>United States</t>
        </is>
      </c>
      <c r="H53" s="80" t="inlineStr">
        <is>
          <t>B11 - Innovative Use of Influencers/Creators</t>
        </is>
      </c>
      <c r="I53" s="128" t="inlineStr">
        <is>
          <t>https://ascentialcdn.filespin.io/api/v1/conversion/c71743fc60654f52936a39391c93e6b7</t>
        </is>
      </c>
      <c r="J53" s="141" t="inlineStr">
        <is>
          <t>g0qM5Cp7sTQ</t>
        </is>
      </c>
      <c r="K53" s="127" t="n"/>
      <c r="L53" s="128" t="inlineStr">
        <is>
          <t>https://www.lovethework.com/work/entries/just-joking-745651</t>
        </is>
      </c>
      <c r="M53" s="113" t="inlineStr">
        <is>
          <t>A PSA starring nine stand-up comedians — including Billy Eichner, Wanda Sykes, Margaret Cho, and Roy Wood Jr. — each delivering what appears to be a joke, until the punchline turns out to be a school shooting threat that was dismissed as humor. The film is built around the statistic that 80% of school shooters tell someone about their plans beforehand, and the social habit of brushing those statements off as comedy. Directed by Henry-Alex Rubin and produced with BBDO New York and SMUGGLER.</t>
        </is>
      </c>
      <c r="N53" s="113" t="inlineStr">
        <is>
          <t>gun-violence-prevention, film, cinema, entertainment, influencer, comedy, public-service, united-states, school-safety, nonprofit</t>
        </is>
      </c>
    </row>
    <row r="54" ht="34.5" customHeight="1" s="34">
      <c r="A54" s="141" t="n">
        <v>2025</v>
      </c>
      <c r="B54" s="146" t="inlineStr">
        <is>
          <t>Bronze</t>
        </is>
      </c>
      <c r="C54" s="143" t="inlineStr">
        <is>
          <t>Garuda Rakshak</t>
        </is>
      </c>
      <c r="D54" s="141" t="inlineStr">
        <is>
          <t>DSP Mutual Funds</t>
        </is>
      </c>
      <c r="E54" s="141" t="inlineStr">
        <is>
          <t>Mutual Funds</t>
        </is>
      </c>
      <c r="F54" s="141" t="inlineStr">
        <is>
          <t>Dentsu Creative</t>
        </is>
      </c>
      <c r="G54" s="141" t="inlineStr">
        <is>
          <t>India</t>
        </is>
      </c>
      <c r="H54" s="80" t="inlineStr">
        <is>
          <t>B12 - New Realities &amp; Emerging Tech</t>
        </is>
      </c>
      <c r="I54" s="128" t="inlineStr">
        <is>
          <t>https://ascentialcdn.filespin.io/api/v1/conversion/fd608adb8feb426fab936573ef6661c0</t>
        </is>
      </c>
      <c r="J54" s="141" t="inlineStr">
        <is>
          <t>dgo176RMzTA</t>
        </is>
      </c>
      <c r="K54" s="127" t="n"/>
      <c r="L54" s="128" t="inlineStr">
        <is>
          <t>https://www.lovethework.com/work/entries/garuda-rakshak-758736</t>
        </is>
      </c>
      <c r="M54" s="113" t="inlineStr">
        <is>
          <t>An AR-powered missing-child recovery system deployed at the 2025 Purna Maha Kumbh in India, where crowd density made conventional tracking technology unreliable. Volunteers equipped with smartphones used the Garuda Rakshak app — built by Dentsu Creative India for DSP Mutual Funds — to scan crowds and match faces against a database of reported missing children in real time.</t>
        </is>
      </c>
      <c r="N54" s="113" t="inlineStr">
        <is>
          <t>mutual-fund, mobile-app, augmented-reality, public-service, emerging-tech, india, face-recognition, event-activation</t>
        </is>
      </c>
    </row>
    <row r="55" ht="34.5" customHeight="1" s="34">
      <c r="A55" s="141" t="n">
        <v>2025</v>
      </c>
      <c r="B55" s="146" t="inlineStr">
        <is>
          <t>Bronze</t>
        </is>
      </c>
      <c r="C55" s="143" t="inlineStr">
        <is>
          <t>Certified Toasters</t>
        </is>
      </c>
      <c r="D55" s="141" t="inlineStr">
        <is>
          <t>Goodman Fielder</t>
        </is>
      </c>
      <c r="E55" s="141" t="inlineStr">
        <is>
          <t>Vogel's</t>
        </is>
      </c>
      <c r="F55" s="141" t="inlineStr">
        <is>
          <t>DDB New Zealand</t>
        </is>
      </c>
      <c r="G55" s="141" t="inlineStr">
        <is>
          <t>New Zealand</t>
        </is>
      </c>
      <c r="H55" s="80" t="inlineStr">
        <is>
          <t>B13 - Retail Media</t>
        </is>
      </c>
      <c r="I55" s="128" t="inlineStr">
        <is>
          <t>https://ascentialcdn.filespin.io/api/v1/conversion/8adbba54b1ee4132ba0f1dc7f1572480</t>
        </is>
      </c>
      <c r="J55" s="141" t="inlineStr">
        <is>
          <t>5NNhDRF-BUY</t>
        </is>
      </c>
      <c r="K55" s="127" t="n"/>
      <c r="L55" s="128" t="inlineStr">
        <is>
          <t>https://www.lovethework.com/work/entries/certified-toasters-745904</t>
        </is>
      </c>
      <c r="M55" s="113" t="inlineStr">
        <is>
          <t>Vogel's bread tested every toaster sold at New Zealand's largest discount retailer, The Warehouse, to find the exact setting for a slice of Vogel's on each model. The result was a 'Certified Toasters' sticker applied in-store, listing the right time and dial position for that specific toaster — turning the retail aisle into a usage guide.</t>
        </is>
      </c>
      <c r="N55" s="113" t="inlineStr">
        <is>
          <t>retail, partnership, packaged-goods, cpg, fmcg, ooh, bread, food, new-zealand, customer-acquisition, in-store</t>
        </is>
      </c>
    </row>
    <row r="56" ht="34.5" customHeight="1" s="34">
      <c r="A56" s="141" t="n">
        <v>2025</v>
      </c>
      <c r="B56" s="146" t="inlineStr">
        <is>
          <t>Bronze</t>
        </is>
      </c>
      <c r="C56" s="143" t="inlineStr">
        <is>
          <t>Most Likely To</t>
        </is>
      </c>
      <c r="D56" s="141" t="inlineStr">
        <is>
          <t>Dove</t>
        </is>
      </c>
      <c r="E56" s="141" t="inlineStr">
        <is>
          <t>Dove Brand</t>
        </is>
      </c>
      <c r="F56" s="141" t="inlineStr">
        <is>
          <t>Ogilvy</t>
        </is>
      </c>
      <c r="G56" s="141" t="inlineStr">
        <is>
          <t>Canada</t>
        </is>
      </c>
      <c r="H56" s="80" t="inlineStr">
        <is>
          <t>C01 - Audience Insights</t>
        </is>
      </c>
      <c r="I56" s="128" t="inlineStr">
        <is>
          <t>https://ascentialcdn.filespin.io/api/v1/conversion/b5a17a1c03144e94967336e3b40cf303</t>
        </is>
      </c>
      <c r="J56" s="141" t="inlineStr">
        <is>
          <t>z68efvxyj3M</t>
        </is>
      </c>
      <c r="K56" s="127" t="n"/>
      <c r="L56" s="128" t="inlineStr">
        <is>
          <t>https://www.lovethework.com/work/entries/most-likely-to-759006</t>
        </is>
      </c>
      <c r="M56" s="113" t="inlineStr">
        <is>
          <t>Dove turned body confidence from a brand message into school policy by creating accredited 'confidence classes' designed to improve girls' self-esteem and body image. A powerful film, shot in one continuous take with real students, showed the daily pressure girls face and pushed schools to add confidence to the curriculum.</t>
        </is>
      </c>
      <c r="N56" s="113" t="inlineStr">
        <is>
          <t>personal-care, beauty, social-good, film, cinema, entertainment, partnership, education, body-confidence, schools, integrated</t>
        </is>
      </c>
    </row>
    <row r="57" ht="34.5" customHeight="1" s="34">
      <c r="A57" s="141" t="n">
        <v>2025</v>
      </c>
      <c r="B57" s="146" t="inlineStr">
        <is>
          <t>Bronze</t>
        </is>
      </c>
      <c r="C57" s="143" t="inlineStr">
        <is>
          <t>The Final Exam</t>
        </is>
      </c>
      <c r="D57" s="141" t="inlineStr">
        <is>
          <t>Change the Ref</t>
        </is>
      </c>
      <c r="E57" s="141" t="inlineStr">
        <is>
          <t>Pro Bono</t>
        </is>
      </c>
      <c r="F57" s="141" t="inlineStr">
        <is>
          <t>Energy BBDO</t>
        </is>
      </c>
      <c r="G57" s="141" t="inlineStr">
        <is>
          <t>United States</t>
        </is>
      </c>
      <c r="H57" s="80" t="inlineStr">
        <is>
          <t>C01 - Audience Insights</t>
        </is>
      </c>
      <c r="I57" s="128" t="inlineStr">
        <is>
          <t>https://ascentialcdn.filespin.io/api/v1/conversion/615e3a15eabf457d91d317468a12d825</t>
        </is>
      </c>
      <c r="J57" s="141" t="inlineStr">
        <is>
          <t>Ljsstj4eiko</t>
        </is>
      </c>
      <c r="K57" s="127" t="n"/>
      <c r="L57" s="128" t="inlineStr">
        <is>
          <t>https://www.lovethework.com/work/entries/the-final-exam-761059</t>
        </is>
      </c>
      <c r="M5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57" s="113" t="inlineStr">
        <is>
          <t>gaming, video-games, entertainment, gun-violence, social-good, not-for-profit, charity, ngo, activism, united-states, twitch, advocacy</t>
        </is>
      </c>
    </row>
    <row r="58" ht="34.5" customHeight="1" s="34">
      <c r="A58" s="141" t="n">
        <v>2025</v>
      </c>
      <c r="B58" s="146" t="inlineStr">
        <is>
          <t>Bronze</t>
        </is>
      </c>
      <c r="C58" s="143" t="inlineStr">
        <is>
          <t>TikTok University</t>
        </is>
      </c>
      <c r="D58" s="141" t="inlineStr">
        <is>
          <t>Haaga-Helia University of Applied Sciences</t>
        </is>
      </c>
      <c r="E58" s="141" t="inlineStr">
        <is>
          <t>University Education</t>
        </is>
      </c>
      <c r="F58" s="141" t="inlineStr">
        <is>
          <t>BOB the Robot</t>
        </is>
      </c>
      <c r="G58" s="141" t="inlineStr">
        <is>
          <t>Finland</t>
        </is>
      </c>
      <c r="H58" s="80" t="inlineStr">
        <is>
          <t>C04 - Use of Branded Content Created for Digital or Social</t>
        </is>
      </c>
      <c r="I58" s="128" t="inlineStr">
        <is>
          <t>https://ascentialcdn.filespin.io/api/v1/conversion/22c3eb49bf1f44e1a33da8051174a97d</t>
        </is>
      </c>
      <c r="J58" s="141" t="inlineStr">
        <is>
          <t>vimeo:1063165538</t>
        </is>
      </c>
      <c r="K58" s="127" t="n"/>
      <c r="L58" s="128" t="inlineStr">
        <is>
          <t>https://www.lovethework.com/work/entries/tiktok-university-745962</t>
        </is>
      </c>
      <c r="M58" s="113" t="inlineStr">
        <is>
          <t>A university course built and delivered entirely on TikTok, created by Haaga-Helia University of Applied Sciences with agency BOB the Robot — lectures, assignments, and student interaction conducted through the platform's native formats. The course made TikTok itself the campus, using its comment sections, duets, and video replies as the infrastructure for teaching and assessment.</t>
        </is>
      </c>
      <c r="N58" s="113" t="inlineStr">
        <is>
          <t>university-education, tiktok, social-media, finland, branded-content, digital, mobile-app</t>
        </is>
      </c>
    </row>
    <row r="59" ht="34.5" customHeight="1" s="34">
      <c r="A59" s="141" t="n">
        <v>2025</v>
      </c>
      <c r="B59" s="146" t="inlineStr">
        <is>
          <t>Bronze</t>
        </is>
      </c>
      <c r="C59" s="143" t="inlineStr">
        <is>
          <t>The Lucky Sponsor</t>
        </is>
      </c>
      <c r="D59" s="141" t="inlineStr">
        <is>
          <t>Schneider</t>
        </is>
      </c>
      <c r="E59" s="141" t="inlineStr">
        <is>
          <t>Schneider</t>
        </is>
      </c>
      <c r="F59" s="141" t="inlineStr">
        <is>
          <t>Mercado McCann</t>
        </is>
      </c>
      <c r="G59" s="141" t="inlineStr">
        <is>
          <t>Argentina</t>
        </is>
      </c>
      <c r="H59" s="80" t="inlineStr">
        <is>
          <t>D02 - Challenger Brand</t>
        </is>
      </c>
      <c r="I59" s="128" t="inlineStr">
        <is>
          <t>https://ascentialcdn.filespin.io/api/v1/conversion/f500d38d39d342dcafa1abd15497ccd1</t>
        </is>
      </c>
      <c r="J59" s="141" t="inlineStr">
        <is>
          <t>A6GYbemcJ5Q</t>
        </is>
      </c>
      <c r="K59" s="127" t="n"/>
      <c r="L59" s="128" t="inlineStr">
        <is>
          <t>https://www.lovethework.com/work/entries/the-lucky-sponsor-746083</t>
        </is>
      </c>
      <c r="M59" s="113" t="inlineStr">
        <is>
          <t>A sponsorship mechanic built around Argentina's amateur and local sports clubs, where Schneider beer entered as a "lucky sponsor" by showing up at games with no prior deal — turning the brand into an unplanned, spontaneous presence at grassroots sporting events across the country. Each appearance was captured and seeded across social media and traditional media, positioning the beer alongside local sport rather than the premium national or international properties typically owned by larger competitors.</t>
        </is>
      </c>
      <c r="N59" s="113" t="inlineStr">
        <is>
          <t>beer, alcohol, sponsorship, social-media, sports, challenger-brand, argentina, grassroots</t>
        </is>
      </c>
    </row>
    <row r="60" ht="34.5" customHeight="1" s="34">
      <c r="A60" s="141" t="n">
        <v>2025</v>
      </c>
      <c r="B60" s="146" t="inlineStr">
        <is>
          <t>Bronze</t>
        </is>
      </c>
      <c r="C60" s="143" t="inlineStr">
        <is>
          <t>McRib Mistakes</t>
        </is>
      </c>
      <c r="D60" s="141" t="inlineStr">
        <is>
          <t>McDonald's</t>
        </is>
      </c>
      <c r="E60" s="141" t="inlineStr">
        <is>
          <t>McRib</t>
        </is>
      </c>
      <c r="F60" s="141" t="inlineStr">
        <is>
          <t>Leo</t>
        </is>
      </c>
      <c r="G60" s="141" t="inlineStr">
        <is>
          <t>United Kingdom</t>
        </is>
      </c>
      <c r="H60" s="80" t="inlineStr">
        <is>
          <t>D03 - Single-Market Campaign</t>
        </is>
      </c>
      <c r="I60" s="128" t="inlineStr">
        <is>
          <t>https://ascentialcdn.filespin.io/api/v1/conversion/8fe9e09227234701bc8fd2eb2a743693</t>
        </is>
      </c>
      <c r="J60" s="141" t="inlineStr">
        <is>
          <t>r4hztxzXO4A</t>
        </is>
      </c>
      <c r="K60" s="127" t="n"/>
      <c r="L60" s="128" t="inlineStr">
        <is>
          <t>https://www.lovethework.com/work/entries/mcrib-mistakes-746027</t>
        </is>
      </c>
      <c r="M60" s="113" t="inlineStr">
        <is>
          <t>A staged series of "accidental" media placements used to announce the McRib's return to McDonald's UK menus after a ten-year absence — a push notification "mistakenly" sent to fans identified by their preference for BBQ sauce, followed by a billboard for the Big Mac with McRib artwork pasted over one panel, a McRib glitching mid-slot inside a McDonald's TV ad, and social posts obscured by BBQ sauce smears. Each planted error built on the last to sustain the appearance of an ongoing slip-up across out-of-home, broadcast, and social channels.</t>
        </is>
      </c>
      <c r="N60" s="113" t="inlineStr">
        <is>
          <t>fast-food, integrated, ooh, social-media, mobile-notification, television, stunt, united-kingdom, product-launch</t>
        </is>
      </c>
    </row>
    <row r="61" ht="34.5" customHeight="1" s="34">
      <c r="A61" s="141" t="n">
        <v>2025</v>
      </c>
      <c r="B61" s="146" t="inlineStr">
        <is>
          <t>Bronze</t>
        </is>
      </c>
      <c r="C61" s="143" t="inlineStr">
        <is>
          <t>Pub Museums</t>
        </is>
      </c>
      <c r="D61" s="141" t="inlineStr">
        <is>
          <t>Heineken</t>
        </is>
      </c>
      <c r="E61" s="141" t="inlineStr">
        <is>
          <t>Heineken</t>
        </is>
      </c>
      <c r="F61" s="141" t="inlineStr">
        <is>
          <t>LePub</t>
        </is>
      </c>
      <c r="G61" s="141" t="inlineStr">
        <is>
          <t>Italy</t>
        </is>
      </c>
      <c r="H61" s="80" t="inlineStr">
        <is>
          <t>D03 - Single-Market Campaign</t>
        </is>
      </c>
      <c r="I61" s="128" t="inlineStr">
        <is>
          <t>https://ascentialcdn.filespin.io/api/v1/conversion/86282110e23b4b43a6d78c517dc757a2</t>
        </is>
      </c>
      <c r="J61" s="141" t="inlineStr">
        <is>
          <t>Qp8Od1eQOt4</t>
        </is>
      </c>
      <c r="K61" s="127" t="n"/>
      <c r="L61" s="128" t="inlineStr">
        <is>
          <t>https://www.lovethework.com/work/entries/pub-museums-746077</t>
        </is>
      </c>
      <c r="M61" s="113" t="inlineStr">
        <is>
          <t>A legal reclassification scheme that registered historic Irish pubs as virtual museums under the Irish Heritage Council's protected-status framework — a designation that unlocks tax support and financial benefits for sites open to the public. By creating navigable online museum experiences for qualifying pubs, Heineken and Publicis Dublin allowed struggling venues to access the same institutional protections given to heritage buildings.</t>
        </is>
      </c>
      <c r="N61" s="113" t="inlineStr">
        <is>
          <t>beer, alcohol, ireland, digital, heritage, single-market-campaign, public-relations, branded-utility, lepub</t>
        </is>
      </c>
    </row>
    <row r="62" ht="34.5" customHeight="1" s="34">
      <c r="A62" s="141" t="n">
        <v>2025</v>
      </c>
      <c r="B62" s="146" t="inlineStr">
        <is>
          <t>Bronze</t>
        </is>
      </c>
      <c r="C62" s="143" t="inlineStr">
        <is>
          <t>Lay's Bar Crawl</t>
        </is>
      </c>
      <c r="D62" s="141" t="inlineStr">
        <is>
          <t>Lay's</t>
        </is>
      </c>
      <c r="E62" s="141" t="inlineStr">
        <is>
          <t>Lay's</t>
        </is>
      </c>
      <c r="F62" s="141" t="inlineStr">
        <is>
          <t>Slap Global</t>
        </is>
      </c>
      <c r="G62" s="141" t="inlineStr">
        <is>
          <t>Argentina</t>
        </is>
      </c>
      <c r="H62" s="80" t="inlineStr">
        <is>
          <t>D05 - Use of Humour</t>
        </is>
      </c>
      <c r="I62" s="128" t="inlineStr">
        <is>
          <t>https://ascentialcdn.filespin.io/api/v1/conversion/cc887f9119c440728c26ede9e95b1ad2</t>
        </is>
      </c>
      <c r="J62" s="141" t="inlineStr">
        <is>
          <t>6_64y1AOhTM</t>
        </is>
      </c>
      <c r="K62" s="127" t="n"/>
      <c r="L62" s="128" t="inlineStr">
        <is>
          <t>https://www.lovethework.com/work/entries/lays-bar-crawl-746180</t>
        </is>
      </c>
      <c r="M62" s="113" t="inlineStr">
        <is>
          <t>To make Lay's the must-have snack for football viewing, the brand took its 'No Lay's, No Game' platform into bars with The Lay's Crawl. During a Champions League broadcast, Guillem Balague, Thierry Henry, and Alexia Putellas left the studio to find a bar serving Lay's, creating an unscripted entertainment moment that later expanded globally with Lionel Messi and Luis Suárez.</t>
        </is>
      </c>
      <c r="N62" s="113" t="inlineStr">
        <is>
          <t>snack, food, packaged-goods, cpg, fmcg, sport, football, soccer, sponsorship, partnership, ooh, global, broadcast, entertainment</t>
        </is>
      </c>
    </row>
    <row r="63" ht="34.5" customHeight="1" s="34">
      <c r="A63" s="141" t="n">
        <v>2025</v>
      </c>
      <c r="B63" s="146" t="inlineStr">
        <is>
          <t>Bronze</t>
        </is>
      </c>
      <c r="C63" s="143" t="inlineStr">
        <is>
          <t>Nature Shapes Britannia</t>
        </is>
      </c>
      <c r="D63" s="141" t="inlineStr">
        <is>
          <t>Britannia Industries Ltd.</t>
        </is>
      </c>
      <c r="E63" s="141" t="inlineStr">
        <is>
          <t>Britannia Sustainability</t>
        </is>
      </c>
      <c r="F63" s="141" t="inlineStr">
        <is>
          <t>Talented</t>
        </is>
      </c>
      <c r="G63" s="141" t="inlineStr">
        <is>
          <t>India</t>
        </is>
      </c>
      <c r="H63" s="80" t="inlineStr">
        <is>
          <t>D06 - Breakthrough on a Budget</t>
        </is>
      </c>
      <c r="I63" s="128" t="inlineStr">
        <is>
          <t>https://ascentialcdn.filespin.io/api/v1/conversion/716b17d07a0d40d2b7b2a29d2ae9e171</t>
        </is>
      </c>
      <c r="J63" s="141" t="inlineStr">
        <is>
          <t>dEC4Wo3ZlXQ</t>
        </is>
      </c>
      <c r="K63" s="127" t="n"/>
      <c r="L63" s="128" t="inlineStr">
        <is>
          <t>https://www.lovethework.com/work/entries/nature-shapes-britannia-746358</t>
        </is>
      </c>
      <c r="M63" s="113" t="inlineStr">
        <is>
          <t>An outdoor advertising format, developed with Coral Media and MOMS Outdoor, that redesigns billboard layouts to work around existing trees rather than removing them — bending, curving, and compressing the Britannia logotype to fit whatever space the tree's canopy and trunk leave available. Britannia and Talented then open-sourced the production manual so other advertisers could apply the same approach to their own OOH buys across India.</t>
        </is>
      </c>
      <c r="N63" s="113" t="inlineStr">
        <is>
          <t>sustainability, ooh, outdoor-advertising, typography, open-source, india, biscuit, food</t>
        </is>
      </c>
    </row>
    <row r="64" ht="34.5" customHeight="1" s="34">
      <c r="A64" s="141" t="n">
        <v>2025</v>
      </c>
      <c r="B64" s="146" t="inlineStr">
        <is>
          <t>Bronze</t>
        </is>
      </c>
      <c r="C64" s="143" t="inlineStr">
        <is>
          <t>Time to Live</t>
        </is>
      </c>
      <c r="D64" s="141" t="inlineStr">
        <is>
          <t>Australian Cancer Research Foundation</t>
        </is>
      </c>
      <c r="E64" s="141" t="inlineStr">
        <is>
          <t>ACRF Awareness Campaign</t>
        </is>
      </c>
      <c r="F64" s="141" t="inlineStr">
        <is>
          <t>The Ministry for Communication &amp; the Arts</t>
        </is>
      </c>
      <c r="G64" s="141" t="inlineStr">
        <is>
          <t>Australia</t>
        </is>
      </c>
      <c r="H64" s="80" t="inlineStr">
        <is>
          <t>D06 - Breakthrough on a Budget</t>
        </is>
      </c>
      <c r="I64" s="128" t="inlineStr">
        <is>
          <t>https://ascentialcdn.filespin.io/api/v1/conversion/a0abdebc363f41448dc18f7a9a9a55bb</t>
        </is>
      </c>
      <c r="J64" s="141" t="inlineStr">
        <is>
          <t>vimeo:1078276871</t>
        </is>
      </c>
      <c r="K64" s="127" t="n"/>
      <c r="L64" s="128" t="inlineStr">
        <is>
          <t>https://www.lovethework.com/work/entries/time-to-live-746240</t>
        </is>
      </c>
      <c r="M64" s="113" t="inlineStr">
        <is>
          <t>An immersive exhibition at Sydney's Carriageworks where visitors sat one-on-one with Emily — a terminally ill woman — for the three minutes a projected countdown clock gave them, before having to leave. The setup forced strangers into the experience of running out of time with someone who is dying, and routed donations to the Australian Cancer Research Foundation.</t>
        </is>
      </c>
      <c r="N64" s="113" t="inlineStr">
        <is>
          <t>not-for-profit, charity, ngo, social-good, exhibition, immersive, cancer, healthcare, medical, fundraising, australia, live-experience</t>
        </is>
      </c>
    </row>
    <row r="65" ht="34.5" customHeight="1" s="34">
      <c r="A65" s="141" t="n">
        <v>2025</v>
      </c>
      <c r="B65" s="146" t="inlineStr">
        <is>
          <t>Bronze</t>
        </is>
      </c>
      <c r="C65" s="143" t="inlineStr">
        <is>
          <t>Missed Birthdays</t>
        </is>
      </c>
      <c r="D65" s="141" t="inlineStr">
        <is>
          <t>Itv X Calm</t>
        </is>
      </c>
      <c r="E65" s="141" t="inlineStr">
        <is>
          <t>Itv X Calm</t>
        </is>
      </c>
      <c r="F65" s="141" t="inlineStr">
        <is>
          <t>adam&amp;eveDDB</t>
        </is>
      </c>
      <c r="G65" s="141" t="inlineStr">
        <is>
          <t>United Kingdom</t>
        </is>
      </c>
      <c r="H65" s="80" t="inlineStr">
        <is>
          <t>D07 - Corporate Purpose &amp; Social Responsibility</t>
        </is>
      </c>
      <c r="I65" s="128" t="inlineStr">
        <is>
          <t>https://ascentialcdn.filespin.io/api/v1/conversion/7349ab32362e4a798f3c0f3e9e70ead3</t>
        </is>
      </c>
      <c r="J65" s="141" t="inlineStr">
        <is>
          <t>ifZVZ4fX4gg</t>
        </is>
      </c>
      <c r="K65" s="127" t="n"/>
      <c r="L65" s="128" t="inlineStr">
        <is>
          <t>https://www.lovethework.com/work/entries/missed-birthdays-746384</t>
        </is>
      </c>
      <c r="M65"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65" s="113" t="inlineStr">
        <is>
          <t>live-advertising, television, mental-health, healthcare, medical, suicide-prevention, public-service, united-kingdom, charity, broadcast, entertainment</t>
        </is>
      </c>
    </row>
    <row r="66" ht="34.5" customHeight="1" s="34">
      <c r="A66" s="141" t="n">
        <v>2025</v>
      </c>
      <c r="B66" s="146" t="inlineStr">
        <is>
          <t>Bronze</t>
        </is>
      </c>
      <c r="C66" s="143" t="inlineStr">
        <is>
          <t>Safe Sketch</t>
        </is>
      </c>
      <c r="D66" s="141" t="inlineStr">
        <is>
          <t>Save the Children</t>
        </is>
      </c>
      <c r="E66" s="141" t="inlineStr">
        <is>
          <t>Save the Children 'Safe Sketch' Mobile App</t>
        </is>
      </c>
      <c r="F66" s="141" t="inlineStr">
        <is>
          <t>Cheil Hong Kong</t>
        </is>
      </c>
      <c r="G66" s="141" t="inlineStr">
        <is>
          <t>Hong Kong</t>
        </is>
      </c>
      <c r="H66" s="80" t="inlineStr">
        <is>
          <t>D07 - Corporate Purpose &amp; Social Responsibility</t>
        </is>
      </c>
      <c r="I66" s="128" t="inlineStr">
        <is>
          <t>https://ascentialcdn.filespin.io/api/v1/conversion/2b787b52c18a48968b47f3d07c59640d</t>
        </is>
      </c>
      <c r="J66" s="141" t="inlineStr">
        <is>
          <t>uv26WgWSh8g</t>
        </is>
      </c>
      <c r="K66" s="127" t="n"/>
      <c r="L66" s="128" t="inlineStr">
        <is>
          <t>https://www.lovethework.com/work/entries/safe-sketch-759544</t>
        </is>
      </c>
      <c r="M66" s="113" t="inlineStr">
        <is>
          <t>A mobile drawing app built for children to communicate experiences of abuse that they cannot yet put into words — as a child sketches, an AI layer analyzes the drawing in real time and flags visual patterns associated with trauma, domestic violence, or neglect, alerting a trained Save the Children caseworker. Developed by Cheil Hong Kong for Save the Children Hong Kong, the app addresses the gap between what young children witness and what they are able to verbally report to adults.</t>
        </is>
      </c>
      <c r="N66" s="113" t="inlineStr">
        <is>
          <t>save-the-children, mobile-app, child-safety, ai, technology, drawing, hong-kong, public-service, nonprofit, corporate-purpose</t>
        </is>
      </c>
    </row>
    <row r="67" ht="34.5" customHeight="1" s="34">
      <c r="A67" s="141" t="n">
        <v>2025</v>
      </c>
      <c r="B67" s="146" t="inlineStr">
        <is>
          <t>Bronze</t>
        </is>
      </c>
      <c r="C67" s="143" t="inlineStr">
        <is>
          <t>Timeout Against Hate</t>
        </is>
      </c>
      <c r="D67" s="141" t="inlineStr">
        <is>
          <t>Foundation to Combat Antisemitism</t>
        </is>
      </c>
      <c r="E67" s="141" t="inlineStr">
        <is>
          <t>Foundation to Combat Antisemitism</t>
        </is>
      </c>
      <c r="F67" s="141" t="inlineStr">
        <is>
          <t>Mindshare</t>
        </is>
      </c>
      <c r="G67" s="141" t="inlineStr">
        <is>
          <t>United States</t>
        </is>
      </c>
      <c r="H67" s="80" t="inlineStr">
        <is>
          <t>E02 - Media Planning</t>
        </is>
      </c>
      <c r="I67" s="128" t="inlineStr">
        <is>
          <t>https://ascentialcdn.filespin.io/api/v1/conversion/e43c43ae03f240ed8fbaf95002d5d795</t>
        </is>
      </c>
      <c r="J67" s="141" t="inlineStr">
        <is>
          <t>vimeo:1083894799</t>
        </is>
      </c>
      <c r="K67" s="127" t="n"/>
      <c r="L67" s="128" t="inlineStr">
        <is>
          <t>https://www.lovethework.com/work/entries/timeout-against-hate-746540</t>
        </is>
      </c>
      <c r="M67" s="113" t="inlineStr">
        <is>
          <t>A cross-league public service campaign built around the timeout gesture — the two-handed "T" signal — co-opted as a universal call against hate, with commissioners from the MLB, MLS, NBA, WNBA, NFL, NHL, NWSL, and NASCAR appearing together for the first time collectively. The campaign grew out of a closed-door meeting between Foundation to Combat Antisemitism founder Robert Kraft and those commissioners, with Mindshare handling media activation and VML leading creative.</t>
        </is>
      </c>
      <c r="N67" s="113" t="inlineStr">
        <is>
          <t>public-service, sports-sponsorship, television, multi-league, antisemitism, united-states, social-cause, gesture</t>
        </is>
      </c>
    </row>
  </sheetData>
  <autoFilter ref="A1:N67"/>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L17" r:id="rId31"/>
    <hyperlink xmlns:r="http://schemas.openxmlformats.org/officeDocument/2006/relationships" ref="I18" r:id="rId32"/>
    <hyperlink xmlns:r="http://schemas.openxmlformats.org/officeDocument/2006/relationships" ref="L18" r:id="rId33"/>
    <hyperlink xmlns:r="http://schemas.openxmlformats.org/officeDocument/2006/relationships" ref="I19" r:id="rId34"/>
    <hyperlink xmlns:r="http://schemas.openxmlformats.org/officeDocument/2006/relationships" ref="L19" r:id="rId35"/>
    <hyperlink xmlns:r="http://schemas.openxmlformats.org/officeDocument/2006/relationships" ref="I20" r:id="rId36"/>
    <hyperlink xmlns:r="http://schemas.openxmlformats.org/officeDocument/2006/relationships" ref="L20" r:id="rId37"/>
    <hyperlink xmlns:r="http://schemas.openxmlformats.org/officeDocument/2006/relationships" ref="I21" r:id="rId38"/>
    <hyperlink xmlns:r="http://schemas.openxmlformats.org/officeDocument/2006/relationships" ref="L21" r:id="rId39"/>
    <hyperlink xmlns:r="http://schemas.openxmlformats.org/officeDocument/2006/relationships" ref="I22" r:id="rId40"/>
    <hyperlink xmlns:r="http://schemas.openxmlformats.org/officeDocument/2006/relationships" ref="L22" r:id="rId41"/>
    <hyperlink xmlns:r="http://schemas.openxmlformats.org/officeDocument/2006/relationships" ref="I23" r:id="rId42"/>
    <hyperlink xmlns:r="http://schemas.openxmlformats.org/officeDocument/2006/relationships" ref="L23" r:id="rId43"/>
    <hyperlink xmlns:r="http://schemas.openxmlformats.org/officeDocument/2006/relationships" ref="I24" r:id="rId44"/>
    <hyperlink xmlns:r="http://schemas.openxmlformats.org/officeDocument/2006/relationships" ref="L24" r:id="rId45"/>
    <hyperlink xmlns:r="http://schemas.openxmlformats.org/officeDocument/2006/relationships" ref="I25" r:id="rId46"/>
    <hyperlink xmlns:r="http://schemas.openxmlformats.org/officeDocument/2006/relationships" ref="L25" r:id="rId47"/>
    <hyperlink xmlns:r="http://schemas.openxmlformats.org/officeDocument/2006/relationships" ref="I26" r:id="rId48"/>
    <hyperlink xmlns:r="http://schemas.openxmlformats.org/officeDocument/2006/relationships" ref="L26" r:id="rId49"/>
    <hyperlink xmlns:r="http://schemas.openxmlformats.org/officeDocument/2006/relationships" ref="I27" r:id="rId50"/>
    <hyperlink xmlns:r="http://schemas.openxmlformats.org/officeDocument/2006/relationships" ref="L27" r:id="rId51"/>
    <hyperlink xmlns:r="http://schemas.openxmlformats.org/officeDocument/2006/relationships" ref="I28" r:id="rId52"/>
    <hyperlink xmlns:r="http://schemas.openxmlformats.org/officeDocument/2006/relationships" ref="L28" r:id="rId53"/>
    <hyperlink xmlns:r="http://schemas.openxmlformats.org/officeDocument/2006/relationships" ref="I29" r:id="rId54"/>
    <hyperlink xmlns:r="http://schemas.openxmlformats.org/officeDocument/2006/relationships" ref="L29" r:id="rId55"/>
    <hyperlink xmlns:r="http://schemas.openxmlformats.org/officeDocument/2006/relationships" ref="I30" r:id="rId56"/>
    <hyperlink xmlns:r="http://schemas.openxmlformats.org/officeDocument/2006/relationships" ref="L30" r:id="rId57"/>
    <hyperlink xmlns:r="http://schemas.openxmlformats.org/officeDocument/2006/relationships" ref="I31" r:id="rId58"/>
    <hyperlink xmlns:r="http://schemas.openxmlformats.org/officeDocument/2006/relationships" ref="L31" r:id="rId59"/>
    <hyperlink xmlns:r="http://schemas.openxmlformats.org/officeDocument/2006/relationships" ref="I32" r:id="rId60"/>
    <hyperlink xmlns:r="http://schemas.openxmlformats.org/officeDocument/2006/relationships" ref="L32" r:id="rId61"/>
    <hyperlink xmlns:r="http://schemas.openxmlformats.org/officeDocument/2006/relationships" ref="I33" r:id="rId62"/>
    <hyperlink xmlns:r="http://schemas.openxmlformats.org/officeDocument/2006/relationships" ref="L33" r:id="rId63"/>
    <hyperlink xmlns:r="http://schemas.openxmlformats.org/officeDocument/2006/relationships" ref="I34" r:id="rId64"/>
    <hyperlink xmlns:r="http://schemas.openxmlformats.org/officeDocument/2006/relationships" ref="L34" r:id="rId65"/>
    <hyperlink xmlns:r="http://schemas.openxmlformats.org/officeDocument/2006/relationships" ref="I35" r:id="rId66"/>
    <hyperlink xmlns:r="http://schemas.openxmlformats.org/officeDocument/2006/relationships" ref="L35" r:id="rId67"/>
    <hyperlink xmlns:r="http://schemas.openxmlformats.org/officeDocument/2006/relationships" ref="I36" r:id="rId68"/>
    <hyperlink xmlns:r="http://schemas.openxmlformats.org/officeDocument/2006/relationships" ref="L36" r:id="rId69"/>
    <hyperlink xmlns:r="http://schemas.openxmlformats.org/officeDocument/2006/relationships" ref="I37" r:id="rId70"/>
    <hyperlink xmlns:r="http://schemas.openxmlformats.org/officeDocument/2006/relationships" ref="L37" r:id="rId71"/>
    <hyperlink xmlns:r="http://schemas.openxmlformats.org/officeDocument/2006/relationships" ref="I38" r:id="rId72"/>
    <hyperlink xmlns:r="http://schemas.openxmlformats.org/officeDocument/2006/relationships" ref="L38" r:id="rId73"/>
    <hyperlink xmlns:r="http://schemas.openxmlformats.org/officeDocument/2006/relationships" ref="I39" r:id="rId74"/>
    <hyperlink xmlns:r="http://schemas.openxmlformats.org/officeDocument/2006/relationships" ref="L39" r:id="rId75"/>
    <hyperlink xmlns:r="http://schemas.openxmlformats.org/officeDocument/2006/relationships" ref="L40" r:id="rId76"/>
    <hyperlink xmlns:r="http://schemas.openxmlformats.org/officeDocument/2006/relationships" ref="I41" r:id="rId77"/>
    <hyperlink xmlns:r="http://schemas.openxmlformats.org/officeDocument/2006/relationships" ref="L41" r:id="rId78"/>
    <hyperlink xmlns:r="http://schemas.openxmlformats.org/officeDocument/2006/relationships" ref="I42" r:id="rId79"/>
    <hyperlink xmlns:r="http://schemas.openxmlformats.org/officeDocument/2006/relationships" ref="L42" r:id="rId80"/>
    <hyperlink xmlns:r="http://schemas.openxmlformats.org/officeDocument/2006/relationships" ref="I43" r:id="rId81"/>
    <hyperlink xmlns:r="http://schemas.openxmlformats.org/officeDocument/2006/relationships" ref="L43" r:id="rId82"/>
    <hyperlink xmlns:r="http://schemas.openxmlformats.org/officeDocument/2006/relationships" ref="I44" r:id="rId83"/>
    <hyperlink xmlns:r="http://schemas.openxmlformats.org/officeDocument/2006/relationships" ref="L44" r:id="rId84"/>
    <hyperlink xmlns:r="http://schemas.openxmlformats.org/officeDocument/2006/relationships" ref="I45" r:id="rId85"/>
    <hyperlink xmlns:r="http://schemas.openxmlformats.org/officeDocument/2006/relationships" ref="L45" r:id="rId86"/>
    <hyperlink xmlns:r="http://schemas.openxmlformats.org/officeDocument/2006/relationships" ref="I46" r:id="rId87"/>
    <hyperlink xmlns:r="http://schemas.openxmlformats.org/officeDocument/2006/relationships" ref="L46" r:id="rId88"/>
    <hyperlink xmlns:r="http://schemas.openxmlformats.org/officeDocument/2006/relationships" ref="I47" r:id="rId89"/>
    <hyperlink xmlns:r="http://schemas.openxmlformats.org/officeDocument/2006/relationships" ref="L47" r:id="rId90"/>
    <hyperlink xmlns:r="http://schemas.openxmlformats.org/officeDocument/2006/relationships" ref="I48" r:id="rId91"/>
    <hyperlink xmlns:r="http://schemas.openxmlformats.org/officeDocument/2006/relationships" ref="L48" r:id="rId92"/>
    <hyperlink xmlns:r="http://schemas.openxmlformats.org/officeDocument/2006/relationships" ref="I49" r:id="rId93"/>
    <hyperlink xmlns:r="http://schemas.openxmlformats.org/officeDocument/2006/relationships" ref="L49" r:id="rId94"/>
    <hyperlink xmlns:r="http://schemas.openxmlformats.org/officeDocument/2006/relationships" ref="I50" r:id="rId95"/>
    <hyperlink xmlns:r="http://schemas.openxmlformats.org/officeDocument/2006/relationships" ref="L50" r:id="rId96"/>
    <hyperlink xmlns:r="http://schemas.openxmlformats.org/officeDocument/2006/relationships" ref="I51" r:id="rId97"/>
    <hyperlink xmlns:r="http://schemas.openxmlformats.org/officeDocument/2006/relationships" ref="L51" r:id="rId98"/>
    <hyperlink xmlns:r="http://schemas.openxmlformats.org/officeDocument/2006/relationships" ref="I52" r:id="rId99"/>
    <hyperlink xmlns:r="http://schemas.openxmlformats.org/officeDocument/2006/relationships" ref="L52" r:id="rId100"/>
    <hyperlink xmlns:r="http://schemas.openxmlformats.org/officeDocument/2006/relationships" ref="I53" r:id="rId101"/>
    <hyperlink xmlns:r="http://schemas.openxmlformats.org/officeDocument/2006/relationships" ref="L53" r:id="rId102"/>
    <hyperlink xmlns:r="http://schemas.openxmlformats.org/officeDocument/2006/relationships" ref="I54" r:id="rId103"/>
    <hyperlink xmlns:r="http://schemas.openxmlformats.org/officeDocument/2006/relationships" ref="L54" r:id="rId104"/>
    <hyperlink xmlns:r="http://schemas.openxmlformats.org/officeDocument/2006/relationships" ref="I55" r:id="rId105"/>
    <hyperlink xmlns:r="http://schemas.openxmlformats.org/officeDocument/2006/relationships" ref="L55" r:id="rId106"/>
    <hyperlink xmlns:r="http://schemas.openxmlformats.org/officeDocument/2006/relationships" ref="I56" r:id="rId107"/>
    <hyperlink xmlns:r="http://schemas.openxmlformats.org/officeDocument/2006/relationships" ref="L56" r:id="rId108"/>
    <hyperlink xmlns:r="http://schemas.openxmlformats.org/officeDocument/2006/relationships" ref="I57" r:id="rId109"/>
    <hyperlink xmlns:r="http://schemas.openxmlformats.org/officeDocument/2006/relationships" ref="L57" r:id="rId110"/>
    <hyperlink xmlns:r="http://schemas.openxmlformats.org/officeDocument/2006/relationships" ref="I58" r:id="rId111"/>
    <hyperlink xmlns:r="http://schemas.openxmlformats.org/officeDocument/2006/relationships" ref="L58" r:id="rId112"/>
    <hyperlink xmlns:r="http://schemas.openxmlformats.org/officeDocument/2006/relationships" ref="I59" r:id="rId113"/>
    <hyperlink xmlns:r="http://schemas.openxmlformats.org/officeDocument/2006/relationships" ref="L59" r:id="rId114"/>
    <hyperlink xmlns:r="http://schemas.openxmlformats.org/officeDocument/2006/relationships" ref="I60" r:id="rId115"/>
    <hyperlink xmlns:r="http://schemas.openxmlformats.org/officeDocument/2006/relationships" ref="L60" r:id="rId116"/>
    <hyperlink xmlns:r="http://schemas.openxmlformats.org/officeDocument/2006/relationships" ref="I61" r:id="rId117"/>
    <hyperlink xmlns:r="http://schemas.openxmlformats.org/officeDocument/2006/relationships" ref="L61" r:id="rId118"/>
    <hyperlink xmlns:r="http://schemas.openxmlformats.org/officeDocument/2006/relationships" ref="I62" r:id="rId119"/>
    <hyperlink xmlns:r="http://schemas.openxmlformats.org/officeDocument/2006/relationships" ref="L62" r:id="rId120"/>
    <hyperlink xmlns:r="http://schemas.openxmlformats.org/officeDocument/2006/relationships" ref="I63" r:id="rId121"/>
    <hyperlink xmlns:r="http://schemas.openxmlformats.org/officeDocument/2006/relationships" ref="L63" r:id="rId122"/>
    <hyperlink xmlns:r="http://schemas.openxmlformats.org/officeDocument/2006/relationships" ref="I64" r:id="rId123"/>
    <hyperlink xmlns:r="http://schemas.openxmlformats.org/officeDocument/2006/relationships" ref="L64" r:id="rId124"/>
    <hyperlink xmlns:r="http://schemas.openxmlformats.org/officeDocument/2006/relationships" ref="I65" r:id="rId125"/>
    <hyperlink xmlns:r="http://schemas.openxmlformats.org/officeDocument/2006/relationships" ref="L65" r:id="rId126"/>
    <hyperlink xmlns:r="http://schemas.openxmlformats.org/officeDocument/2006/relationships" ref="I66" r:id="rId127"/>
    <hyperlink xmlns:r="http://schemas.openxmlformats.org/officeDocument/2006/relationships" ref="L66" r:id="rId128"/>
    <hyperlink xmlns:r="http://schemas.openxmlformats.org/officeDocument/2006/relationships" ref="I67" r:id="rId129"/>
    <hyperlink xmlns:r="http://schemas.openxmlformats.org/officeDocument/2006/relationships" ref="L67" r:id="rId130"/>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45"/>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Lucky Yatra</t>
        </is>
      </c>
      <c r="D2" s="127" t="inlineStr">
        <is>
          <t>Indian Railways</t>
        </is>
      </c>
      <c r="E2" s="127" t="inlineStr">
        <is>
          <t>Railway Service</t>
        </is>
      </c>
      <c r="F2" s="127" t="inlineStr">
        <is>
          <t>FCB India</t>
        </is>
      </c>
      <c r="G2" s="127" t="inlineStr">
        <is>
          <t>India</t>
        </is>
      </c>
      <c r="H2" s="113" t="inlineStr">
        <is>
          <t>Travel, Leisure, Retail, Restaurants &amp; Fast-Food Chains</t>
        </is>
      </c>
      <c r="I2" s="128" t="inlineStr">
        <is>
          <t>https://ascentialcdn.filespin.io/api/v1/conversion/ef118ab5982a4092aa78da671a82d86d</t>
        </is>
      </c>
      <c r="J2" s="127" t="inlineStr">
        <is>
          <t>19fzAvuFq0I</t>
        </is>
      </c>
      <c r="K2" s="127" t="n"/>
      <c r="L2" s="128" t="inlineStr">
        <is>
          <t>https://www.lovethework.com/work/entries/lucky-yatra-749405</t>
        </is>
      </c>
      <c r="M2"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2" s="113" t="inlineStr">
        <is>
          <t>railway-service, loyalty-program, public-transport, india, mobile-app, gamification, travel, tourism, pr</t>
        </is>
      </c>
    </row>
    <row r="3">
      <c r="A3" s="127" t="n">
        <v>2025</v>
      </c>
      <c r="B3" s="140" t="inlineStr">
        <is>
          <t>Gold</t>
        </is>
      </c>
      <c r="C3" s="127" t="inlineStr">
        <is>
          <t>The Parental Leave Mortgage</t>
        </is>
      </c>
      <c r="D3" s="127" t="inlineStr">
        <is>
          <t>Nordea</t>
        </is>
      </c>
      <c r="E3" s="127" t="inlineStr">
        <is>
          <t>The Parental Leave Mortgage</t>
        </is>
      </c>
      <c r="F3" s="127" t="inlineStr">
        <is>
          <t>Nord DDB</t>
        </is>
      </c>
      <c r="G3" s="127" t="inlineStr">
        <is>
          <t>Sweden</t>
        </is>
      </c>
      <c r="H3" s="113" t="inlineStr">
        <is>
          <t>Consumer Services/Business to Business</t>
        </is>
      </c>
      <c r="I3" s="128" t="inlineStr">
        <is>
          <t>https://ascentialcdn.filespin.io/api/v1/conversion/a8b9edfd44de47b893b950770030cf54</t>
        </is>
      </c>
      <c r="J3" s="127" t="inlineStr">
        <is>
          <t>9xzGRtPDwCU</t>
        </is>
      </c>
      <c r="K3" s="127" t="n"/>
      <c r="L3" s="128" t="inlineStr">
        <is>
          <t>https://www.lovethework.com/work/entries/the-parental-leave-mortgage-749615</t>
        </is>
      </c>
      <c r="M3"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3" s="113" t="inlineStr">
        <is>
          <t>banking, financial-services, finance, consumer-services, mortgage, parental-leave, sweden, finland, denmark, norway, product-design, gender-equality, social-good</t>
        </is>
      </c>
    </row>
    <row r="4">
      <c r="A4" s="127" t="n">
        <v>2025</v>
      </c>
      <c r="B4" s="140" t="inlineStr">
        <is>
          <t>Gold</t>
        </is>
      </c>
      <c r="C4" s="127" t="inlineStr">
        <is>
          <t>Lucky Yatra</t>
        </is>
      </c>
      <c r="D4" s="127" t="inlineStr">
        <is>
          <t>Indian Railways</t>
        </is>
      </c>
      <c r="E4" s="127" t="inlineStr">
        <is>
          <t>Railway Service</t>
        </is>
      </c>
      <c r="F4" s="127" t="inlineStr">
        <is>
          <t>FCB India</t>
        </is>
      </c>
      <c r="G4" s="127" t="inlineStr">
        <is>
          <t>India</t>
        </is>
      </c>
      <c r="H4" s="113" t="inlineStr">
        <is>
          <t>Local Brand</t>
        </is>
      </c>
      <c r="I4" s="128" t="inlineStr">
        <is>
          <t>https://ascentialcdn.filespin.io/api/v1/conversion/6ce681a1873344eba0bc91e5d14a4997</t>
        </is>
      </c>
      <c r="J4" s="127" t="inlineStr">
        <is>
          <t>19fzAvuFq0I</t>
        </is>
      </c>
      <c r="K4" s="127" t="n"/>
      <c r="L4" s="128" t="inlineStr">
        <is>
          <t>https://www.lovethework.com/work/entries/lucky-yatra-750264</t>
        </is>
      </c>
      <c r="M4"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4" s="113" t="inlineStr">
        <is>
          <t>railway-service, loyalty-program, public-service, mobile-app, india, gamification, ticketing</t>
        </is>
      </c>
    </row>
    <row r="5">
      <c r="A5" s="127" t="n">
        <v>2025</v>
      </c>
      <c r="B5" s="140" t="inlineStr">
        <is>
          <t>Gold</t>
        </is>
      </c>
      <c r="C5" s="127" t="inlineStr">
        <is>
          <t>Haaland Payback Time</t>
        </is>
      </c>
      <c r="D5" s="127" t="inlineStr">
        <is>
          <t>Clash of Clans</t>
        </is>
      </c>
      <c r="E5" s="127" t="inlineStr">
        <is>
          <t>Clash of Clans</t>
        </is>
      </c>
      <c r="F5" s="127" t="inlineStr">
        <is>
          <t>David</t>
        </is>
      </c>
      <c r="G5" s="127" t="inlineStr">
        <is>
          <t>United States</t>
        </is>
      </c>
      <c r="H5" s="113" t="inlineStr">
        <is>
          <t>Innovative Use of Influencers/Creators</t>
        </is>
      </c>
      <c r="I5" s="128" t="inlineStr">
        <is>
          <t>https://ascentialcdn.filespin.io/api/v1/conversion/e56e744cd3594eceb82733246e9035b2</t>
        </is>
      </c>
      <c r="J5" s="127" t="inlineStr">
        <is>
          <t>TcQ--NtSQ9s</t>
        </is>
      </c>
      <c r="K5" s="127" t="n"/>
      <c r="L5" s="128" t="inlineStr">
        <is>
          <t>https://www.lovethework.com/work/entries/haaland-payback-time-749773</t>
        </is>
      </c>
      <c r="M5"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5" s="113" t="inlineStr">
        <is>
          <t>mobile-game, gaming, video-games, entertainment, influencer, sport, in-game-activation, football, soccer, celebrity, united-states</t>
        </is>
      </c>
    </row>
    <row r="6">
      <c r="A6" s="127" t="n">
        <v>2025</v>
      </c>
      <c r="B6" s="140" t="inlineStr">
        <is>
          <t>Gold</t>
        </is>
      </c>
      <c r="C6" s="127" t="inlineStr">
        <is>
          <t>Nutter Butter, You Good?</t>
        </is>
      </c>
      <c r="D6" s="127" t="inlineStr">
        <is>
          <t>Nutter Butter</t>
        </is>
      </c>
      <c r="E6" s="127" t="inlineStr">
        <is>
          <t>Nutter Butter Cookie</t>
        </is>
      </c>
      <c r="F6" s="127" t="inlineStr">
        <is>
          <t>Dentsu Creative</t>
        </is>
      </c>
      <c r="G6" s="127" t="inlineStr">
        <is>
          <t>United States</t>
        </is>
      </c>
      <c r="H6" s="113" t="inlineStr">
        <is>
          <t>Content Creation &amp; Production</t>
        </is>
      </c>
      <c r="I6" s="128" t="inlineStr">
        <is>
          <t>https://ascentialcdn.filespin.io/api/v1/conversion/6876d84d5b5142e19c9d97302718d0f2</t>
        </is>
      </c>
      <c r="J6" s="127" t="inlineStr">
        <is>
          <t>AzhCsGOqfyg</t>
        </is>
      </c>
      <c r="K6" s="127" t="n"/>
      <c r="L6" s="128" t="inlineStr">
        <is>
          <t>https://www.lovethework.com/work/entries/nutter-butter-you-good-749742</t>
        </is>
      </c>
      <c r="M6" s="113" t="inlineStr">
        <is>
          <t>An organic TikTok presence built for Nutter Butter by Dentsu Creative New York, constructed around a self-contained fictional universe called the Nutterverse — surreal, lore-heavy content designed to make the 56-year-old peanut butter cookie feel native to the platform rather than advertised on it. The strategy relied entirely on earned attention, with no paid media spend.</t>
        </is>
      </c>
      <c r="N6" s="113" t="inlineStr">
        <is>
          <t>snack, food, packaged-goods, cpg, fmcg, social-media, tiktok, organic-content, content-creation, united-states, earned-media, gen-z</t>
        </is>
      </c>
    </row>
    <row r="7">
      <c r="A7" s="127" t="n">
        <v>2025</v>
      </c>
      <c r="B7" s="140" t="inlineStr">
        <is>
          <t>Gold</t>
        </is>
      </c>
      <c r="C7" s="127" t="inlineStr">
        <is>
          <t>AXA - Three Words</t>
        </is>
      </c>
      <c r="D7" s="127" t="inlineStr">
        <is>
          <t>AXA</t>
        </is>
      </c>
      <c r="E7" s="127" t="inlineStr">
        <is>
          <t>Insurance</t>
        </is>
      </c>
      <c r="F7" s="127" t="inlineStr">
        <is>
          <t>Publicis Conseil</t>
        </is>
      </c>
      <c r="G7" s="127" t="inlineStr">
        <is>
          <t>France</t>
        </is>
      </c>
      <c r="H7" s="113" t="inlineStr">
        <is>
          <t>Consumer Services/Business to Business</t>
        </is>
      </c>
      <c r="I7" s="128" t="inlineStr">
        <is>
          <t>https://ascentialcdn.filespin.io/api/v1/conversion/e1a85ff134e545c7b049791151432028</t>
        </is>
      </c>
      <c r="J7" s="127" t="inlineStr">
        <is>
          <t>pY-03zuV7mE</t>
        </is>
      </c>
      <c r="K7" s="127" t="n"/>
      <c r="L7" s="128" t="inlineStr">
        <is>
          <t>https://www.lovethework.com/work/entries/axa-three-words-749672</t>
        </is>
      </c>
      <c r="M7"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7" s="113" t="inlineStr">
        <is>
          <t>insurance, financial-services, finance, social-good, domestic-violence, public-service, france, policy-change, partnership</t>
        </is>
      </c>
    </row>
    <row r="8">
      <c r="A8" s="127" t="n">
        <v>2025</v>
      </c>
      <c r="B8" s="140" t="inlineStr">
        <is>
          <t>Gold</t>
        </is>
      </c>
      <c r="C8" s="127" t="inlineStr">
        <is>
          <t>Progresso Soup Drops</t>
        </is>
      </c>
      <c r="D8" s="127" t="inlineStr">
        <is>
          <t>Progresso</t>
        </is>
      </c>
      <c r="E8" s="127" t="inlineStr">
        <is>
          <t>Progresso Canned Soups</t>
        </is>
      </c>
      <c r="F8" s="127" t="inlineStr">
        <is>
          <t>Edelman</t>
        </is>
      </c>
      <c r="G8" s="127" t="inlineStr">
        <is>
          <t>United States</t>
        </is>
      </c>
      <c r="H8" s="113" t="inlineStr">
        <is>
          <t>Media Relations</t>
        </is>
      </c>
      <c r="I8" s="128" t="inlineStr">
        <is>
          <t>https://ascentialcdn.filespin.io/api/v1/conversion/8a8d409a0e954a6b8f0df7b07bba8cc9</t>
        </is>
      </c>
      <c r="J8" s="127" t="inlineStr">
        <is>
          <t>vimeo:1153574180</t>
        </is>
      </c>
      <c r="K8" s="127" t="n"/>
      <c r="L8" s="128" t="inlineStr">
        <is>
          <t>https://www.lovethework.com/work/entries/progresso-soup-drops-749792</t>
        </is>
      </c>
      <c r="M8" s="113" t="inlineStr">
        <is>
          <t>A limited-edition hard candy made to taste like Progresso Chicken Noodle Soup, released only during National Soup Month at the peak of cold-and-flu season. Sold direct-to-consumer in a custom 'soup you can suck on' format that moved the brand out of the soup aisle and into the candy and lozenge conversation.</t>
        </is>
      </c>
      <c r="N8" s="113" t="inlineStr">
        <is>
          <t>product-launch, packaged-goods, cpg, fmcg, pr-stunt, limited-edition, food, dtc, ecommerce, retail, online-shopping, united-states, seasonal</t>
        </is>
      </c>
    </row>
    <row r="9">
      <c r="A9" s="127" t="n">
        <v>2025</v>
      </c>
      <c r="B9" s="140" t="inlineStr">
        <is>
          <t>Gold</t>
        </is>
      </c>
      <c r="C9" s="127" t="inlineStr">
        <is>
          <t>Sun Reserve</t>
        </is>
      </c>
      <c r="D9" s="127" t="inlineStr">
        <is>
          <t>Corona</t>
        </is>
      </c>
      <c r="E9" s="127" t="inlineStr">
        <is>
          <t>Corona</t>
        </is>
      </c>
      <c r="F9" s="127" t="inlineStr">
        <is>
          <t>Grey</t>
        </is>
      </c>
      <c r="G9" s="127" t="inlineStr">
        <is>
          <t>Brazil</t>
        </is>
      </c>
      <c r="H9" s="113" t="inlineStr">
        <is>
          <t>Use of Events &amp; Stunts</t>
        </is>
      </c>
      <c r="I9" s="128" t="inlineStr">
        <is>
          <t>https://ascentialcdn.filespin.io/api/v1/conversion/652b705dcecc4cb7a72c76e4e22c80e5</t>
        </is>
      </c>
      <c r="J9" s="127" t="inlineStr">
        <is>
          <t>7i2fC6qJR2o</t>
        </is>
      </c>
      <c r="K9" s="127" t="n"/>
      <c r="L9" s="128" t="inlineStr">
        <is>
          <t>https://www.lovethework.com/work/entries/sun-reserve-749967</t>
        </is>
      </c>
      <c r="M9" s="113" t="inlineStr">
        <is>
          <t>A land lease on Piedade Beach in Pernambuco, Brazil, where Corona acquired beachfront-facing property and capped building heights to prevent future construction from blocking sunlight reaching the sand. Created by Grey São Paulo to mark the brand's 100th birthday, the lease establishes what Corona calls the world's first "Sun Reserve" — a legal mechanism to protect public access to sunlight on a beach.</t>
        </is>
      </c>
      <c r="N9" s="113" t="inlineStr">
        <is>
          <t>beer, alcohol, events-and-stunts, experiential, brazil, ooh, land-use, environmental, branded-space</t>
        </is>
      </c>
    </row>
    <row r="10">
      <c r="A10" s="127" t="n">
        <v>2025</v>
      </c>
      <c r="B10" s="140" t="inlineStr">
        <is>
          <t>Gold</t>
        </is>
      </c>
      <c r="C10" s="127" t="inlineStr">
        <is>
          <t>Daisy vs Scammers</t>
        </is>
      </c>
      <c r="D10" s="127" t="inlineStr">
        <is>
          <t>O2</t>
        </is>
      </c>
      <c r="E10" s="127" t="inlineStr">
        <is>
          <t>Daisy vs Scammers</t>
        </is>
      </c>
      <c r="F10" s="127" t="inlineStr">
        <is>
          <t>VCCP</t>
        </is>
      </c>
      <c r="G10" s="127" t="inlineStr">
        <is>
          <t>United Kingdom</t>
        </is>
      </c>
      <c r="H10" s="113" t="inlineStr">
        <is>
          <t>Use of Technology</t>
        </is>
      </c>
      <c r="I10" s="128" t="inlineStr">
        <is>
          <t>https://ascentialcdn.filespin.io/api/v1/conversion/6f38aa2f9e1c4c1c906cc1fb6b7c7e8b</t>
        </is>
      </c>
      <c r="J10" s="127" t="inlineStr">
        <is>
          <t>tnfhe_XMg7U</t>
        </is>
      </c>
      <c r="K10" s="127" t="n"/>
      <c r="L10" s="128" t="inlineStr">
        <is>
          <t>https://www.lovethework.com/work/entries/daisy-vs-scammers-750173</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127" t="n">
        <v>2025</v>
      </c>
      <c r="B11" s="132" t="inlineStr">
        <is>
          <t>Silver</t>
        </is>
      </c>
      <c r="C11" s="127" t="inlineStr">
        <is>
          <t>Olympic Curry</t>
        </is>
      </c>
      <c r="D11" s="127" t="inlineStr">
        <is>
          <t>McDonald's</t>
        </is>
      </c>
      <c r="E11" s="127" t="inlineStr">
        <is>
          <t>Curry Sauce</t>
        </is>
      </c>
      <c r="F11" s="127" t="inlineStr">
        <is>
          <t>DDB Paris</t>
        </is>
      </c>
      <c r="G11" s="127" t="inlineStr">
        <is>
          <t>France</t>
        </is>
      </c>
      <c r="H11" s="113" t="inlineStr">
        <is>
          <t>Social Engagement</t>
        </is>
      </c>
      <c r="I11" s="128" t="inlineStr">
        <is>
          <t>https://ascentialcdn.filespin.io/api/v1/conversion/b8993a8a561d47fe9b9f126b8fbb45ce</t>
        </is>
      </c>
      <c r="J11" s="127" t="inlineStr">
        <is>
          <t>tOs7DlcDX0U</t>
        </is>
      </c>
      <c r="K11" s="127" t="n"/>
      <c r="L11" s="128" t="inlineStr">
        <is>
          <t>https://www.lovethework.com/work/entries/olympic-curry-749727</t>
        </is>
      </c>
      <c r="M11"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11" s="113" t="inlineStr">
        <is>
          <t>quick-service-restaurant, social-media, social-engagement, france, united-states, paris-olympics, condiment, real-time-marketing</t>
        </is>
      </c>
    </row>
    <row r="12">
      <c r="A12" s="127" t="n">
        <v>2025</v>
      </c>
      <c r="B12" s="132" t="inlineStr">
        <is>
          <t>Silver</t>
        </is>
      </c>
      <c r="C12" s="127" t="inlineStr">
        <is>
          <t>Sato 2531</t>
        </is>
      </c>
      <c r="D12" s="127" t="inlineStr">
        <is>
          <t>Asuniwa</t>
        </is>
      </c>
      <c r="E12" s="127" t="inlineStr">
        <is>
          <t>Think Name Project</t>
        </is>
      </c>
      <c r="F12" s="127" t="inlineStr">
        <is>
          <t>Dentsu Digital</t>
        </is>
      </c>
      <c r="G12" s="127" t="inlineStr">
        <is>
          <t>Japan</t>
        </is>
      </c>
      <c r="H12" s="113" t="inlineStr">
        <is>
          <t>Research, Data &amp; Analytics</t>
        </is>
      </c>
      <c r="I12" s="128" t="inlineStr">
        <is>
          <t>https://ascentialcdn.filespin.io/api/v1/conversion/32b2b247e87144d9837c4fa1252873da</t>
        </is>
      </c>
      <c r="J12" s="127" t="inlineStr">
        <is>
          <t>BW5T0gC6o3o</t>
        </is>
      </c>
      <c r="K12" s="127" t="n"/>
      <c r="L12" s="128" t="inlineStr">
        <is>
          <t>https://www.lovethework.com/work/entries/sato-2531-749858</t>
        </is>
      </c>
      <c r="M12"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12" s="113" t="inlineStr">
        <is>
          <t>gender-equality, social-good, data-visualization, public-awareness, research, nonprofit, japan, social-issue, naming, activation</t>
        </is>
      </c>
    </row>
    <row r="13">
      <c r="A13" s="127" t="n">
        <v>2025</v>
      </c>
      <c r="B13" s="132" t="inlineStr">
        <is>
          <t>Silver</t>
        </is>
      </c>
      <c r="C13" s="127" t="inlineStr">
        <is>
          <t>36 Months</t>
        </is>
      </c>
      <c r="D13" s="127" t="inlineStr">
        <is>
          <t>36 Months</t>
        </is>
      </c>
      <c r="E13" s="127" t="inlineStr">
        <is>
          <t>36 Months</t>
        </is>
      </c>
      <c r="F13" s="127" t="inlineStr">
        <is>
          <t>Supermassive</t>
        </is>
      </c>
      <c r="G13" s="127" t="inlineStr">
        <is>
          <t>Australia</t>
        </is>
      </c>
      <c r="H13" s="113" t="inlineStr">
        <is>
          <t>PR Effectiveness</t>
        </is>
      </c>
      <c r="I13" s="128" t="inlineStr">
        <is>
          <t>https://ascentialcdn.filespin.io/api/v1/conversion/cdd8c63860a0458e9216b7b4bf571de5</t>
        </is>
      </c>
      <c r="J13" s="127" t="inlineStr">
        <is>
          <t>KXjKyTfgps8</t>
        </is>
      </c>
      <c r="K13" s="127" t="n"/>
      <c r="L13" s="128" t="inlineStr">
        <is>
          <t>https://www.lovethework.com/work/entries/36-months-749925</t>
        </is>
      </c>
      <c r="M13" s="113" t="inlineStr">
        <is>
          <t>A campaign built around a proposed Australian law to raise the minimum age for social media access from 13 to 16 — a shift of exactly 36 months — giving the advocacy effort its name and central argument. Supermassive and FINCH, Sydney positioned the age threshold as an arbitrary, outdated default and produced work designed to pressure legislators, ultimately contributing to world-first legislation that passed in Australia and provided a policy blueprint for other countries.</t>
        </is>
      </c>
      <c r="N13" s="113" t="inlineStr">
        <is>
          <t>public-affairs, pr, social-media, youth-safety, advocacy, australia, legislation, film, cinema, entertainment</t>
        </is>
      </c>
    </row>
    <row r="14">
      <c r="A14" s="127" t="n">
        <v>2025</v>
      </c>
      <c r="B14" s="132" t="inlineStr">
        <is>
          <t>Silver</t>
        </is>
      </c>
      <c r="C14" s="127" t="inlineStr">
        <is>
          <t>Starring Bars</t>
        </is>
      </c>
      <c r="D14" s="127" t="inlineStr">
        <is>
          <t>Heineken®</t>
        </is>
      </c>
      <c r="E14" s="127" t="inlineStr">
        <is>
          <t>Heinekenâ®</t>
        </is>
      </c>
      <c r="F14" s="127" t="inlineStr">
        <is>
          <t>Edelman</t>
        </is>
      </c>
      <c r="G14" s="127" t="inlineStr">
        <is>
          <t>United Kingdom</t>
        </is>
      </c>
      <c r="H14" s="113" t="inlineStr">
        <is>
          <t>Corporate Image, Communication &amp; Reputation Management</t>
        </is>
      </c>
      <c r="I14" s="128" t="inlineStr">
        <is>
          <t>https://ascentialcdn.filespin.io/api/v1/conversion/cb4f0acca9cb478893406007849a23c0</t>
        </is>
      </c>
      <c r="J14" s="127" t="inlineStr">
        <is>
          <t>VNq1oogkrYk</t>
        </is>
      </c>
      <c r="K14" s="127" t="n"/>
      <c r="L14" s="128" t="inlineStr">
        <is>
          <t>https://www.lovethework.com/work/entries/starring-bars-750301</t>
        </is>
      </c>
      <c r="M14" s="113" t="inlineStr">
        <is>
          <t>A production policy Heineken committed to globally: filming all of its commercials inside struggling local bars, which receive rental income, a production-funded makeover, and international visibility from the resulting ad. Developed with Edelman, LePub Milan, and LePub Singapore, the initiative ties Heineken's own ad budget directly to revenue generation for the venues it features.</t>
        </is>
      </c>
      <c r="N14" s="113" t="inlineStr">
        <is>
          <t>beer, alcohol, corporate-image, branded-content, film-production, local-business, global, united-kingdom, netherlands, pr</t>
        </is>
      </c>
    </row>
    <row r="15">
      <c r="A15" s="127" t="n">
        <v>2025</v>
      </c>
      <c r="B15" s="132" t="inlineStr">
        <is>
          <t>Silver</t>
        </is>
      </c>
      <c r="C15" s="127" t="inlineStr">
        <is>
          <t>Vagina Privacy Network</t>
        </is>
      </c>
      <c r="D15" s="127" t="inlineStr">
        <is>
          <t>Msi Reproductive Choices</t>
        </is>
      </c>
      <c r="E15" s="127" t="inlineStr">
        <is>
          <t>Msi Reproductive Choices</t>
        </is>
      </c>
      <c r="F15" s="127" t="inlineStr">
        <is>
          <t>Weber Shandwick</t>
        </is>
      </c>
      <c r="G15" s="127" t="inlineStr">
        <is>
          <t>United States</t>
        </is>
      </c>
      <c r="H15" s="113" t="inlineStr">
        <is>
          <t>Cultural Engagement</t>
        </is>
      </c>
      <c r="I15" s="128" t="inlineStr">
        <is>
          <t>https://ascentialcdn.filespin.io/api/v1/conversion/5c80ce09550145728784bed3f8bb1e31</t>
        </is>
      </c>
      <c r="J15" s="127" t="inlineStr">
        <is>
          <t>iLs_Pjjgevo</t>
        </is>
      </c>
      <c r="K15" s="127" t="n"/>
      <c r="L15" s="128" t="inlineStr">
        <is>
          <t>https://www.lovethework.com/work/entries/vagina-privacy-network-750716</t>
        </is>
      </c>
      <c r="M15" s="113" t="inlineStr">
        <is>
          <t>A branded VPN — a downloadable virtual private network — built to mask the reproductive health searches, clinic visits, and location data of American women following the rollback of federal abortion protections. Created by Weber Shandwick San Francisco for MSI Reproductive Choices, the tool wrapped data-privacy utility around a fundraising mechanic, with downloads driving donations to expand access to reproductive healthcare.</t>
        </is>
      </c>
      <c r="N15" s="113" t="inlineStr">
        <is>
          <t>reproductive-health, mobile-app, data-privacy, cultural-engagement, united-states, nonprofit, pr, digital-tool</t>
        </is>
      </c>
    </row>
    <row r="16">
      <c r="A16" s="127" t="n">
        <v>2025</v>
      </c>
      <c r="B16" s="132" t="inlineStr">
        <is>
          <t>Silver</t>
        </is>
      </c>
      <c r="C16" s="127" t="inlineStr">
        <is>
          <t>The Parental Leave Mortgage</t>
        </is>
      </c>
      <c r="D16" s="127" t="inlineStr">
        <is>
          <t>Nordea</t>
        </is>
      </c>
      <c r="E16" s="127" t="inlineStr">
        <is>
          <t>The Parental Leave Mortgage</t>
        </is>
      </c>
      <c r="F16" s="127" t="inlineStr">
        <is>
          <t>Nord DDB</t>
        </is>
      </c>
      <c r="G16" s="127" t="inlineStr">
        <is>
          <t>Sweden</t>
        </is>
      </c>
      <c r="H16" s="113" t="inlineStr">
        <is>
          <t>Single-Market Campaign</t>
        </is>
      </c>
      <c r="I16" s="128" t="inlineStr">
        <is>
          <t>https://ascentialcdn.filespin.io/api/v1/conversion/a8b9edfd44de47b893b950770030cf54</t>
        </is>
      </c>
      <c r="J16" s="127" t="inlineStr">
        <is>
          <t>9xzGRtPDwCU</t>
        </is>
      </c>
      <c r="K16" s="127" t="n"/>
      <c r="L16" s="128" t="inlineStr">
        <is>
          <t>https://www.lovethework.com/work/entries/the-parental-leave-mortgage-750346</t>
        </is>
      </c>
      <c r="M16"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16" s="113" t="inlineStr">
        <is>
          <t>banking, financial-services, finance, consumer-services, mortgage, parental-leave, sweden, finland, denmark, norway, product-design, gender-equality, social-good</t>
        </is>
      </c>
    </row>
    <row r="17">
      <c r="A17" s="127" t="n">
        <v>2025</v>
      </c>
      <c r="B17" s="132" t="inlineStr">
        <is>
          <t>Silver</t>
        </is>
      </c>
      <c r="C17" s="127" t="inlineStr">
        <is>
          <t>Daisy vs Scammers</t>
        </is>
      </c>
      <c r="D17" s="127" t="inlineStr">
        <is>
          <t>O2</t>
        </is>
      </c>
      <c r="E17" s="127" t="inlineStr">
        <is>
          <t>Daisy vs Scammers</t>
        </is>
      </c>
      <c r="F17" s="127" t="inlineStr">
        <is>
          <t>VCCP</t>
        </is>
      </c>
      <c r="G17" s="127" t="inlineStr">
        <is>
          <t>United Kingdom</t>
        </is>
      </c>
      <c r="H17" s="113" t="inlineStr">
        <is>
          <t>Corporate Purpose &amp; Social Responsibility</t>
        </is>
      </c>
      <c r="I17" s="128" t="inlineStr">
        <is>
          <t>https://ascentialcdn.filespin.io/api/v1/conversion/007c37a609e847899644d346bd35699c</t>
        </is>
      </c>
      <c r="J17" s="127" t="inlineStr">
        <is>
          <t>tnfhe_XMg7U</t>
        </is>
      </c>
      <c r="K17" s="127" t="n"/>
      <c r="L17" s="128" t="inlineStr">
        <is>
          <t>https://www.lovethework.com/work/entries/daisy-vs-scammers-750543</t>
        </is>
      </c>
      <c r="M17"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7" s="113" t="inlineStr">
        <is>
          <t>telecommunications, ai, technology, public-safety, conversational-ai, united-kingdom, use-of-technology, consumer-protection, voice</t>
        </is>
      </c>
    </row>
    <row r="18">
      <c r="A18" s="127" t="n">
        <v>2025</v>
      </c>
      <c r="B18" s="132" t="inlineStr">
        <is>
          <t>Silver</t>
        </is>
      </c>
      <c r="C18" s="127" t="inlineStr">
        <is>
          <t>Drops of Hope</t>
        </is>
      </c>
      <c r="D18" s="127" t="inlineStr">
        <is>
          <t>Kimberly-Clark</t>
        </is>
      </c>
      <c r="E18" s="127" t="inlineStr">
        <is>
          <t>Poise</t>
        </is>
      </c>
      <c r="F18" s="127" t="inlineStr">
        <is>
          <t>FCB New York</t>
        </is>
      </c>
      <c r="G18" s="127" t="inlineStr">
        <is>
          <t>United States</t>
        </is>
      </c>
      <c r="H18" s="113" t="inlineStr">
        <is>
          <t>Corporate Purpose &amp; Social Responsibility</t>
        </is>
      </c>
      <c r="I18" s="128" t="inlineStr">
        <is>
          <t>https://ascentialcdn.filespin.io/api/v1/conversion/209b56419a8746b798d912dd8a2484be</t>
        </is>
      </c>
      <c r="J18" s="127" t="inlineStr">
        <is>
          <t>MnF0kip489Y</t>
        </is>
      </c>
      <c r="K18" s="127" t="n"/>
      <c r="L18" s="128" t="inlineStr">
        <is>
          <t>https://www.lovethework.com/work/entries/drops-of-hope-750467</t>
        </is>
      </c>
      <c r="M18"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8" s="113" t="inlineStr">
        <is>
          <t>healthcare, diagnostics, medical, womens-health, mail-back, product-innovation, social-good, rural, united-states</t>
        </is>
      </c>
    </row>
    <row r="19">
      <c r="A19" s="127" t="n">
        <v>2025</v>
      </c>
      <c r="B19" s="132" t="inlineStr">
        <is>
          <t>Silver</t>
        </is>
      </c>
      <c r="C19" s="127" t="inlineStr">
        <is>
          <t>Vaseline Verified</t>
        </is>
      </c>
      <c r="D19" s="127" t="inlineStr">
        <is>
          <t>Unilever</t>
        </is>
      </c>
      <c r="E19" s="127" t="inlineStr">
        <is>
          <t>Vaseline</t>
        </is>
      </c>
      <c r="F19" s="127" t="inlineStr">
        <is>
          <t>Ogilvy</t>
        </is>
      </c>
      <c r="G19" s="127" t="inlineStr">
        <is>
          <t>Singapore</t>
        </is>
      </c>
      <c r="H19" s="113" t="inlineStr">
        <is>
          <t>Community Management</t>
        </is>
      </c>
      <c r="I19" s="128" t="inlineStr">
        <is>
          <t>https://ascentialcdn.filespin.io/api/v1/conversion/faf0755b0d4e4594ad93cb75d6288e3d</t>
        </is>
      </c>
      <c r="J19" s="127" t="inlineStr">
        <is>
          <t>vimeo:1082798104</t>
        </is>
      </c>
      <c r="K19" s="127" t="n"/>
      <c r="L19" s="128" t="inlineStr">
        <is>
          <t>https://www.lovethework.com/work/entries/vaseline-verified-749609</t>
        </is>
      </c>
      <c r="M19"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19" s="113" t="inlineStr">
        <is>
          <t>skincare, personal-care, beauty, community-management, social-media, user-generated-content, ooh, singapore, health-wellness, dermatology</t>
        </is>
      </c>
    </row>
    <row r="20">
      <c r="A20" s="127" t="n">
        <v>2025</v>
      </c>
      <c r="B20" s="132" t="inlineStr">
        <is>
          <t>Silver</t>
        </is>
      </c>
      <c r="C20" s="127" t="inlineStr">
        <is>
          <t>Back Home</t>
        </is>
      </c>
      <c r="D20" s="127" t="inlineStr">
        <is>
          <t>Imperial, Joystick</t>
        </is>
      </c>
      <c r="E20" s="127" t="inlineStr">
        <is>
          <t>Imperial Beer</t>
        </is>
      </c>
      <c r="F20" s="127" t="inlineStr">
        <is>
          <t>Fifco</t>
        </is>
      </c>
      <c r="G20" s="127" t="inlineStr">
        <is>
          <t>Costa Rica</t>
        </is>
      </c>
      <c r="H20" s="113" t="inlineStr">
        <is>
          <t>Market Disruption</t>
        </is>
      </c>
      <c r="I20" s="128" t="inlineStr">
        <is>
          <t>https://ascentialcdn.filespin.io/api/v1/conversion/91816b59cf3643579a92b833dbfa85d5</t>
        </is>
      </c>
      <c r="J20" s="127" t="inlineStr">
        <is>
          <t>eldXt2qk7Aw</t>
        </is>
      </c>
      <c r="K20" s="127" t="n"/>
      <c r="L20" s="128" t="inlineStr">
        <is>
          <t>https://www.lovethework.com/work/entries/back-home-750655</t>
        </is>
      </c>
      <c r="M20" s="113" t="inlineStr">
        <is>
          <t>A program built around the seashells confiscated by Costa Rican airport authorities — shells that had been removed from beaches and intercepted before leaving the country — that classifies each specimen by species and origin beach, then physically returns it to its exact coastal ecosystem. Developed by Imperial Beer and FIFCO's in-house agency Joystick, the project repurposes an existing government enforcement process as a conservation supply chain.</t>
        </is>
      </c>
      <c r="N20" s="113" t="inlineStr">
        <is>
          <t>beer, alcohol, environmental, public-relations, costa-rica, conservation, experiential, in-house-agency</t>
        </is>
      </c>
    </row>
    <row r="21">
      <c r="A21" s="127" t="n">
        <v>2025</v>
      </c>
      <c r="B21" s="132" t="inlineStr">
        <is>
          <t>Silver</t>
        </is>
      </c>
      <c r="C21" s="127" t="inlineStr">
        <is>
          <t>The Final Copy of Ilon Specht</t>
        </is>
      </c>
      <c r="D21" s="127" t="inlineStr">
        <is>
          <t>L'Oréal</t>
        </is>
      </c>
      <c r="E21" s="127" t="inlineStr">
        <is>
          <t>L'orãal Paris</t>
        </is>
      </c>
      <c r="F21" s="127" t="inlineStr">
        <is>
          <t>McCANN</t>
        </is>
      </c>
      <c r="G21" s="127" t="inlineStr">
        <is>
          <t>France</t>
        </is>
      </c>
      <c r="H21" s="113" t="inlineStr">
        <is>
          <t>Content Creation &amp; Production</t>
        </is>
      </c>
      <c r="I21" s="127" t="inlineStr">
        <is>
          <t>digital-presentation-images/pr-loreal-the-final-copy-of-ilon-specht.webp</t>
        </is>
      </c>
      <c r="J21" s="127" t="inlineStr">
        <is>
          <t>-4o8bCc6-GM</t>
        </is>
      </c>
      <c r="K21" s="127" t="n"/>
      <c r="L21" s="128" t="inlineStr">
        <is>
          <t>https://www.lovethework.com/work/entries/the-final-copy-of-ilon-specht-749945</t>
        </is>
      </c>
      <c r="M21"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21" s="113" t="inlineStr">
        <is>
          <t>cosmetics, personal-care, beauty, documentary, film, entertainment, cinema, branded-content, ooh, interactive-installation, international-womens-day, france, streaming, tv, social</t>
        </is>
      </c>
    </row>
    <row r="22">
      <c r="A22" s="127" t="n">
        <v>2025</v>
      </c>
      <c r="B22" s="132" t="inlineStr">
        <is>
          <t>Silver</t>
        </is>
      </c>
      <c r="C22" s="127" t="inlineStr">
        <is>
          <t>AXA - Three Words</t>
        </is>
      </c>
      <c r="D22" s="127" t="inlineStr">
        <is>
          <t>AXA</t>
        </is>
      </c>
      <c r="E22" s="127" t="inlineStr">
        <is>
          <t>Insurance</t>
        </is>
      </c>
      <c r="F22" s="127" t="inlineStr">
        <is>
          <t>Publicis Conseil</t>
        </is>
      </c>
      <c r="G22" s="127" t="inlineStr">
        <is>
          <t>France</t>
        </is>
      </c>
      <c r="H22" s="113" t="inlineStr">
        <is>
          <t>Brand Voice &amp; Strategic Storytelling</t>
        </is>
      </c>
      <c r="I22" s="128" t="inlineStr">
        <is>
          <t>https://ascentialcdn.filespin.io/api/v1/conversion/e1a85ff134e545c7b049791151432028</t>
        </is>
      </c>
      <c r="J22" s="127" t="inlineStr">
        <is>
          <t>pY-03zuV7mE</t>
        </is>
      </c>
      <c r="K22" s="127" t="n"/>
      <c r="L22" s="128" t="inlineStr">
        <is>
          <t>https://www.lovethework.com/work/entries/axa-three-words-750061</t>
        </is>
      </c>
      <c r="M22"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22" s="113" t="inlineStr">
        <is>
          <t>insurance, financial-services, finance, france, domestic-violence, public-service, digital-platform, consumer-services, housing, publicis-conseil</t>
        </is>
      </c>
    </row>
    <row r="23">
      <c r="A23" s="127" t="n">
        <v>2025</v>
      </c>
      <c r="B23" s="132" t="inlineStr">
        <is>
          <t>Silver</t>
        </is>
      </c>
      <c r="C23" s="127" t="inlineStr">
        <is>
          <t>Lucky Yatra</t>
        </is>
      </c>
      <c r="D23" s="127" t="inlineStr">
        <is>
          <t>Indian Railways</t>
        </is>
      </c>
      <c r="E23" s="127" t="inlineStr">
        <is>
          <t>Railway Service</t>
        </is>
      </c>
      <c r="F23" s="127" t="inlineStr">
        <is>
          <t>FCB India</t>
        </is>
      </c>
      <c r="G23" s="127" t="inlineStr">
        <is>
          <t>India</t>
        </is>
      </c>
      <c r="H23" s="113" t="inlineStr">
        <is>
          <t>Social Behaviour</t>
        </is>
      </c>
      <c r="I23" s="128" t="inlineStr">
        <is>
          <t>https://ascentialcdn.filespin.io/api/v1/conversion/ef118ab5982a4092aa78da671a82d86d</t>
        </is>
      </c>
      <c r="J23" s="127" t="inlineStr">
        <is>
          <t>19fzAvuFq0I</t>
        </is>
      </c>
      <c r="K23" s="127" t="n"/>
      <c r="L23" s="128" t="inlineStr">
        <is>
          <t>https://www.lovethework.com/work/entries/lucky-yatra-750435</t>
        </is>
      </c>
      <c r="M23"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23" s="113" t="inlineStr">
        <is>
          <t>railway-service, loyalty-program, public-service, mobile-app, india, gamification, ticketing</t>
        </is>
      </c>
    </row>
    <row r="24">
      <c r="A24" s="127" t="n">
        <v>2025</v>
      </c>
      <c r="B24" s="132" t="inlineStr">
        <is>
          <t>Silver</t>
        </is>
      </c>
      <c r="C24" s="127" t="inlineStr">
        <is>
          <t>Life Quality Insurance</t>
        </is>
      </c>
      <c r="D24" s="127" t="inlineStr">
        <is>
          <t>Greater Copenhagen Region</t>
        </is>
      </c>
      <c r="E24" s="127" t="inlineStr">
        <is>
          <t>LQI</t>
        </is>
      </c>
      <c r="F24" s="127" t="inlineStr">
        <is>
          <t>Ogilvy</t>
        </is>
      </c>
      <c r="G24" s="127" t="inlineStr">
        <is>
          <t>Denmark</t>
        </is>
      </c>
      <c r="H24" s="113" t="inlineStr">
        <is>
          <t>Challenger Brand</t>
        </is>
      </c>
      <c r="I24" s="128" t="inlineStr">
        <is>
          <t>https://ascentialcdn.filespin.io/api/v1/conversion/b1496fa749f64107b95e694dad4ea642</t>
        </is>
      </c>
      <c r="J24" s="127" t="inlineStr">
        <is>
          <t>vimeo:1072467811</t>
        </is>
      </c>
      <c r="K24" s="127" t="n"/>
      <c r="L24" s="128" t="inlineStr">
        <is>
          <t>https://www.lovethework.com/work/entries/life-quality-insurance-762920</t>
        </is>
      </c>
      <c r="M24" s="113" t="inlineStr">
        <is>
          <t>A simulated insurance product created by the Greater Copenhagen Region and Ogilvy Denmark that lets international professionals "enroll" in a Life Quality Insurance policy before relocating to the area — guaranteeing their happiness after the move. The policy format packages the region's quality-of-life proposition — cycling culture, parental leave, work-life balance — as policy benefits, framing the relocation pitch as contractual coverage rather than civic boosterism.</t>
        </is>
      </c>
      <c r="N24" s="113" t="inlineStr">
        <is>
          <t>place-branding, insurance, financial-services, finance, denmark, challenger-brand, pr, international-talent, ogilvy</t>
        </is>
      </c>
    </row>
    <row r="25">
      <c r="A25" s="127" t="n">
        <v>2025</v>
      </c>
      <c r="B25" s="133" t="inlineStr">
        <is>
          <t>Bronze</t>
        </is>
      </c>
      <c r="C25" s="127" t="inlineStr">
        <is>
          <t>Spreadbeats</t>
        </is>
      </c>
      <c r="D25" s="127" t="inlineStr">
        <is>
          <t>Spotify</t>
        </is>
      </c>
      <c r="E25" s="127" t="inlineStr">
        <is>
          <t>Spotify</t>
        </is>
      </c>
      <c r="F25" s="127" t="inlineStr">
        <is>
          <t>FCB New York</t>
        </is>
      </c>
      <c r="G25" s="127" t="inlineStr">
        <is>
          <t>United States</t>
        </is>
      </c>
      <c r="H25" s="113" t="inlineStr">
        <is>
          <t>Content Creation &amp; Production</t>
        </is>
      </c>
      <c r="I25" s="128" t="inlineStr">
        <is>
          <t>https://ascentialcdn.filespin.io/api/v1/conversion/801d900ea7e54051acb4be6f9e72ee48</t>
        </is>
      </c>
      <c r="J25" s="127" t="inlineStr">
        <is>
          <t>vimeo:1000498095</t>
        </is>
      </c>
      <c r="K25" s="127" t="n"/>
      <c r="L25" s="128" t="inlineStr">
        <is>
          <t>https://www.lovethework.com/work/entries/spreadbeats-749631</t>
        </is>
      </c>
      <c r="M25"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25" s="113" t="inlineStr">
        <is>
          <t>b2b, business, sales-enablement, digital-craft, music, entertainment, spreadsheet, united-states, audio-platform, streaming, tv, design</t>
        </is>
      </c>
    </row>
    <row r="26">
      <c r="A26" s="127" t="n">
        <v>2025</v>
      </c>
      <c r="B26" s="133" t="inlineStr">
        <is>
          <t>Bronze</t>
        </is>
      </c>
      <c r="C26" s="127" t="inlineStr">
        <is>
          <t>Returning Creativity</t>
        </is>
      </c>
      <c r="D26" s="127" t="inlineStr">
        <is>
          <t>Crayola</t>
        </is>
      </c>
      <c r="E26" s="127" t="inlineStr">
        <is>
          <t>Crayola Crayons</t>
        </is>
      </c>
      <c r="F26" s="127" t="inlineStr">
        <is>
          <t>Dentsu Creative</t>
        </is>
      </c>
      <c r="G26" s="127" t="inlineStr">
        <is>
          <t>United States</t>
        </is>
      </c>
      <c r="H26" s="113" t="inlineStr">
        <is>
          <t>Consumer Goods</t>
        </is>
      </c>
      <c r="I26" s="128" t="inlineStr">
        <is>
          <t>https://ascentialcdn.filespin.io/api/v1/conversion/4c902db1b7474d62b83e2c58918cb516</t>
        </is>
      </c>
      <c r="J26" s="127" t="inlineStr">
        <is>
          <t>p8IHkizfvVE</t>
        </is>
      </c>
      <c r="K26" s="127" t="n"/>
      <c r="L26" s="128" t="inlineStr">
        <is>
          <t>https://www.lovethework.com/work/entries/returning-creativity-749503</t>
        </is>
      </c>
      <c r="M26"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26" s="113" t="inlineStr">
        <is>
          <t>consumer-goods, cpg, fmcg, art, integrated, documentary, film, entertainment, cinema, ooh, united-states, partnership, social-engagement</t>
        </is>
      </c>
    </row>
    <row r="27">
      <c r="A27" s="127" t="n">
        <v>2025</v>
      </c>
      <c r="B27" s="133" t="inlineStr">
        <is>
          <t>Bronze</t>
        </is>
      </c>
      <c r="C27" s="127" t="inlineStr">
        <is>
          <t>Baz Box</t>
        </is>
      </c>
      <c r="D27" s="127" t="inlineStr">
        <is>
          <t>Special K</t>
        </is>
      </c>
      <c r="E27" s="127" t="inlineStr">
        <is>
          <t>Special K Cereal</t>
        </is>
      </c>
      <c r="F27" s="127" t="inlineStr">
        <is>
          <t>MSL</t>
        </is>
      </c>
      <c r="G27" s="127" t="inlineStr">
        <is>
          <t>United States</t>
        </is>
      </c>
      <c r="H27" s="113" t="inlineStr">
        <is>
          <t>Real-Time Response</t>
        </is>
      </c>
      <c r="I27" s="128" t="inlineStr">
        <is>
          <t>https://ascentialcdn.filespin.io/api/v1/conversion/cf9b2fe1598741a49e722f6eea3b77a0</t>
        </is>
      </c>
      <c r="J27" s="127" t="inlineStr">
        <is>
          <t>vimeo:1038385052</t>
        </is>
      </c>
      <c r="K27" s="127" t="n"/>
      <c r="L27" s="128" t="inlineStr">
        <is>
          <t>https://www.lovethework.com/work/entries/baz-box-749721</t>
        </is>
      </c>
      <c r="M27" s="113" t="inlineStr">
        <is>
          <t>A limited-edition Special K cereal box featuring a pregnant woman on the front — the first time the brand had put one there — produced and distributed within five days of a cultural moment tied to Hailey Bieber's pregnancy announcement. The packaging directly responded to widespread public commentary about body image and "stomach shrinking" messaging that had circulated around the brand.</t>
        </is>
      </c>
      <c r="N27" s="113" t="inlineStr">
        <is>
          <t>cereal, packaging, real-time-response, pr, united-states, pregnancy, body-image, limited-edition</t>
        </is>
      </c>
    </row>
    <row r="28">
      <c r="A28" s="127" t="n">
        <v>2025</v>
      </c>
      <c r="B28" s="133" t="inlineStr">
        <is>
          <t>Bronze</t>
        </is>
      </c>
      <c r="C28" s="127" t="inlineStr">
        <is>
          <t>Zip Code Exam</t>
        </is>
      </c>
      <c r="D28" s="127" t="inlineStr">
        <is>
          <t>Zip Code Exam , Area 23</t>
        </is>
      </c>
      <c r="E28" s="127" t="inlineStr">
        <is>
          <t>Zip Code Exam</t>
        </is>
      </c>
      <c r="F28" s="127" t="inlineStr">
        <is>
          <t>An IPG Health Company</t>
        </is>
      </c>
      <c r="G28" s="127" t="inlineStr">
        <is>
          <t>United States</t>
        </is>
      </c>
      <c r="H28" s="113" t="inlineStr">
        <is>
          <t>Research, Data &amp; Analytics</t>
        </is>
      </c>
      <c r="I28" s="128" t="inlineStr">
        <is>
          <t>https://ascentialcdn.filespin.io/api/v1/conversion/fcac93d33c3d4b1c93da6b13d3e32b5e</t>
        </is>
      </c>
      <c r="J28" s="127" t="inlineStr">
        <is>
          <t>2f0k9hGHLuA</t>
        </is>
      </c>
      <c r="K28" s="127" t="n"/>
      <c r="L28" s="128" t="inlineStr">
        <is>
          <t>https://www.lovethework.com/work/entries/zip-code-exam-763599</t>
        </is>
      </c>
      <c r="M28"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28" s="113" t="inlineStr">
        <is>
          <t>health-foundation, data-platform, public-health, health-equity, research-and-analytics, digital, united-states, social-determinants, community-health</t>
        </is>
      </c>
    </row>
    <row r="29">
      <c r="A29" s="127" t="n">
        <v>2025</v>
      </c>
      <c r="B29" s="133" t="inlineStr">
        <is>
          <t>Bronze</t>
        </is>
      </c>
      <c r="C29" s="127" t="inlineStr">
        <is>
          <t>You Already Vote, So Vote</t>
        </is>
      </c>
      <c r="D29" s="127" t="inlineStr">
        <is>
          <t>My Life My Say</t>
        </is>
      </c>
      <c r="E29" s="127" t="inlineStr">
        <is>
          <t>My Life My Say</t>
        </is>
      </c>
      <c r="F29" s="127" t="inlineStr">
        <is>
          <t>Ogilvy UK</t>
        </is>
      </c>
      <c r="G29" s="127" t="inlineStr">
        <is>
          <t>United Kingdom</t>
        </is>
      </c>
      <c r="H29" s="113" t="inlineStr">
        <is>
          <t>Innovative Use of Influencers/Creators</t>
        </is>
      </c>
      <c r="I29" s="128" t="inlineStr">
        <is>
          <t>https://ascentialcdn.filespin.io/api/v1/conversion/2e5a7229e93f47729bb533fe3facf0ce</t>
        </is>
      </c>
      <c r="J29" s="127" t="inlineStr">
        <is>
          <t>1xK0G1NUDCY</t>
        </is>
      </c>
      <c r="K29" s="127" t="n"/>
      <c r="L29" s="128" t="inlineStr">
        <is>
          <t>https://www.lovethework.com/work/entries/you-already-vote-so-vote-749869</t>
        </is>
      </c>
      <c r="M29" s="113" t="inlineStr">
        <is>
          <t>A voter registration campaign built around influencers and creators that 18–24-year-olds already vote for — on talent shows, reality TV, and social platforms — who then asked their audiences to vote in the 2024 UK general election. The mechanic used the existing habit of fan voting as a bridge to political participation, with talent-led content driving registration among young people who routinely engage in public voting but historically skip the ballot box.</t>
        </is>
      </c>
      <c r="N29" s="113" t="inlineStr">
        <is>
          <t>civic-engagement, influencer, youth-audience, social-media, united-kingdom, public-service, voter-registration, earned-media</t>
        </is>
      </c>
    </row>
    <row r="30">
      <c r="A30" s="127" t="n">
        <v>2025</v>
      </c>
      <c r="B30" s="133" t="inlineStr">
        <is>
          <t>Bronze</t>
        </is>
      </c>
      <c r="C30" s="127" t="inlineStr">
        <is>
          <t>Vaseline Verified</t>
        </is>
      </c>
      <c r="D30" s="127" t="inlineStr">
        <is>
          <t>Unilever</t>
        </is>
      </c>
      <c r="E30" s="127" t="inlineStr">
        <is>
          <t>Vaseline</t>
        </is>
      </c>
      <c r="F30" s="127" t="inlineStr">
        <is>
          <t>Ogilvy</t>
        </is>
      </c>
      <c r="G30" s="127" t="inlineStr">
        <is>
          <t>Singapore</t>
        </is>
      </c>
      <c r="H30" s="113" t="inlineStr">
        <is>
          <t>Social Engagement</t>
        </is>
      </c>
      <c r="I30" s="128" t="inlineStr">
        <is>
          <t>https://ascentialcdn.filespin.io/api/v1/conversion/faf0755b0d4e4594ad93cb75d6288e3d</t>
        </is>
      </c>
      <c r="J30" s="127" t="inlineStr">
        <is>
          <t>vimeo:1082798104</t>
        </is>
      </c>
      <c r="K30" s="127" t="n"/>
      <c r="L30" s="128" t="inlineStr">
        <is>
          <t>https://www.lovethework.com/work/entries/vaseline-verified-749628</t>
        </is>
      </c>
      <c r="M30"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30" s="113" t="inlineStr">
        <is>
          <t>skincare, personal-care, beauty, community-management, social-media, user-generated-content, ooh, singapore, health-wellness, dermatology</t>
        </is>
      </c>
    </row>
    <row r="31">
      <c r="A31" s="127" t="n">
        <v>2025</v>
      </c>
      <c r="B31" s="133" t="inlineStr">
        <is>
          <t>Bronze</t>
        </is>
      </c>
      <c r="C31" s="127" t="inlineStr">
        <is>
          <t>Gulf of Mexico (bar)</t>
        </is>
      </c>
      <c r="D31" s="127" t="inlineStr">
        <is>
          <t>Tecate</t>
        </is>
      </c>
      <c r="E31" s="127" t="inlineStr">
        <is>
          <t>Tecate Light</t>
        </is>
      </c>
      <c r="F31" s="127" t="inlineStr">
        <is>
          <t>Lepub</t>
        </is>
      </c>
      <c r="G31" s="127" t="inlineStr">
        <is>
          <t>Mexico</t>
        </is>
      </c>
      <c r="H31" s="113" t="inlineStr">
        <is>
          <t>Use of Events &amp; Stunts</t>
        </is>
      </c>
      <c r="I31" s="128" t="inlineStr">
        <is>
          <t>https://ascentialcdn.filespin.io/api/v1/conversion/afa88aa8421b41a18c68b9863bb6926c</t>
        </is>
      </c>
      <c r="J31" s="127" t="inlineStr">
        <is>
          <t>vimeo:1092263623</t>
        </is>
      </c>
      <c r="K31" s="127" t="n"/>
      <c r="L31" s="128" t="inlineStr">
        <is>
          <t>https://www.lovethework.com/work/entries/gulf-of-mexico-bar-750080</t>
        </is>
      </c>
      <c r="M31"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31" s="113" t="inlineStr">
        <is>
          <t>ooh, brand-stunt, political-commentary, beer, alcohol, packaging, mexico, branded-venue, special-edition</t>
        </is>
      </c>
    </row>
    <row r="32">
      <c r="A32" s="127" t="n">
        <v>2025</v>
      </c>
      <c r="B32" s="133" t="inlineStr">
        <is>
          <t>Bronze</t>
        </is>
      </c>
      <c r="C32" s="127" t="inlineStr">
        <is>
          <t>The Cheeky Controller</t>
        </is>
      </c>
      <c r="D32" s="127" t="inlineStr">
        <is>
          <t>Xbox</t>
        </is>
      </c>
      <c r="E32" s="127" t="inlineStr">
        <is>
          <t>Xbox Controller</t>
        </is>
      </c>
      <c r="F32" s="127" t="inlineStr">
        <is>
          <t>McCANN</t>
        </is>
      </c>
      <c r="G32" s="127" t="inlineStr">
        <is>
          <t>United Kingdom</t>
        </is>
      </c>
      <c r="H32" s="113" t="inlineStr">
        <is>
          <t>Use of Humour</t>
        </is>
      </c>
      <c r="I32" s="128" t="inlineStr">
        <is>
          <t>https://ascentialcdn.filespin.io/api/v1/conversion/f1c6e266081d4161b8e3ecc7ecb15a78</t>
        </is>
      </c>
      <c r="J32" s="127" t="inlineStr">
        <is>
          <t>vimeo:1034892837</t>
        </is>
      </c>
      <c r="K32" s="127" t="n"/>
      <c r="L32" s="128" t="inlineStr">
        <is>
          <t>https://www.lovethework.com/work/entries/the-cheeky-controller-761423</t>
        </is>
      </c>
      <c r="M32" s="113" t="inlineStr">
        <is>
          <t>A limited-edition Xbox controller shaped like Deadpool's buttocks, created as the exclusive prize in a global sweepstakes timed to the release of Deadpool &amp; Wolverine. Rather than using standard character artwork or licensing assets, McCann London built the promotion around a single collectible object designed to provoke conversation among the film's fanbase.</t>
        </is>
      </c>
      <c r="N32" s="113" t="inlineStr">
        <is>
          <t>xbox-controller, gaming, video-games, entertainment, collectible, sweepstakes, use-of-talent, united-kingdom, united-states, humour, retail-promotion</t>
        </is>
      </c>
    </row>
    <row r="33">
      <c r="A33" s="127" t="n">
        <v>2025</v>
      </c>
      <c r="B33" s="133" t="inlineStr">
        <is>
          <t>Bronze</t>
        </is>
      </c>
      <c r="C33" s="127" t="inlineStr">
        <is>
          <t>Bark Air: 100% Real Airline for Dogs</t>
        </is>
      </c>
      <c r="D33" s="127" t="inlineStr">
        <is>
          <t>Bark Air</t>
        </is>
      </c>
      <c r="E33" s="127" t="inlineStr">
        <is>
          <t>Bark Air</t>
        </is>
      </c>
      <c r="F33" s="127" t="inlineStr">
        <is>
          <t>Tombras</t>
        </is>
      </c>
      <c r="G33" s="127" t="inlineStr">
        <is>
          <t>United States</t>
        </is>
      </c>
      <c r="H33" s="113" t="inlineStr">
        <is>
          <t>Launch/Relaunch</t>
        </is>
      </c>
      <c r="I33" s="128" t="inlineStr">
        <is>
          <t>https://ascentialcdn.filespin.io/api/v1/conversion/e8c3f17a1d22438baf55afccbfc8e939</t>
        </is>
      </c>
      <c r="J33" s="127" t="inlineStr">
        <is>
          <t>mp4:https://resized-media.entries.clios.com/companies/3852/media/a285f696-814b-493b-b79c-08dd4de0928e.mp4</t>
        </is>
      </c>
      <c r="K33" s="127" t="n"/>
      <c r="L33" s="128" t="inlineStr">
        <is>
          <t>https://www.lovethework.com/work/entries/bark-air-100-real-airline-for-dogs-750098</t>
        </is>
      </c>
      <c r="M33" s="113" t="inlineStr">
        <is>
          <t>A launch campaign for BARK Air, a commercial airline built entirely around the comfort of dogs — where pets fly as the primary passengers and their owners are the plus-ones. Created by Tombras, the campaign's central claim, "100% Real Airline for Dogs," positioned every seat, service, and amenity as designed for the dog first.</t>
        </is>
      </c>
      <c r="N33" s="113" t="inlineStr">
        <is>
          <t>bark-air, airline, pet-travel, launch, united-states, film, cinema, entertainment, tombras</t>
        </is>
      </c>
    </row>
    <row r="34">
      <c r="A34" s="127" t="n">
        <v>2025</v>
      </c>
      <c r="B34" s="133" t="inlineStr">
        <is>
          <t>Bronze</t>
        </is>
      </c>
      <c r="C34" s="127" t="inlineStr">
        <is>
          <t>Don't Sleep on Saquon</t>
        </is>
      </c>
      <c r="D34" s="127" t="inlineStr">
        <is>
          <t>Unisom</t>
        </is>
      </c>
      <c r="E34" s="127" t="inlineStr">
        <is>
          <t>Unisom</t>
        </is>
      </c>
      <c r="F34" s="127" t="inlineStr">
        <is>
          <t>The Martin Agency</t>
        </is>
      </c>
      <c r="G34" s="127" t="inlineStr">
        <is>
          <t>United States</t>
        </is>
      </c>
      <c r="H34" s="113" t="inlineStr">
        <is>
          <t>Healthcare</t>
        </is>
      </c>
      <c r="I34" s="128" t="inlineStr">
        <is>
          <t>https://ascentialcdn.filespin.io/api/v1/conversion/ac0ba2cefb2d4319a2897836bac8e95b</t>
        </is>
      </c>
      <c r="J34" s="127" t="inlineStr">
        <is>
          <t>ozI9PGCR_Fw</t>
        </is>
      </c>
      <c r="K34" s="127" t="n"/>
      <c r="L34" s="128" t="inlineStr">
        <is>
          <t>https://www.lovethework.com/work/entries/dont-sleep-on-saquon-749425</t>
        </is>
      </c>
      <c r="M34"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34" s="113" t="inlineStr">
        <is>
          <t>sleep-aid, healthcare, real-time-marketing, sports, ooh, united-states, nfl, social-media</t>
        </is>
      </c>
    </row>
    <row r="35">
      <c r="A35" s="127" t="n">
        <v>2025</v>
      </c>
      <c r="B35" s="133" t="inlineStr">
        <is>
          <t>Bronze</t>
        </is>
      </c>
      <c r="C35" s="127" t="inlineStr">
        <is>
          <t>Share the First</t>
        </is>
      </c>
      <c r="D35" s="127" t="inlineStr">
        <is>
          <t>Dove</t>
        </is>
      </c>
      <c r="E35" s="127" t="inlineStr">
        <is>
          <t>Dove</t>
        </is>
      </c>
      <c r="F35" s="127" t="inlineStr">
        <is>
          <t>Edelman</t>
        </is>
      </c>
      <c r="G35" s="127" t="inlineStr">
        <is>
          <t>United Kingdom</t>
        </is>
      </c>
      <c r="H35" s="113" t="inlineStr">
        <is>
          <t>Social Behaviour</t>
        </is>
      </c>
      <c r="I35" s="128" t="inlineStr">
        <is>
          <t>https://ascentialcdn.filespin.io/api/v1/conversion/646d07b2f9d44d25a9c40938cb00263d</t>
        </is>
      </c>
      <c r="J35" s="127" t="inlineStr">
        <is>
          <t>V68MSwIkKM0</t>
        </is>
      </c>
      <c r="K35" s="127" t="n"/>
      <c r="L35" s="128" t="inlineStr">
        <is>
          <t>https://www.lovethework.com/work/entries/share-the-first-750505</t>
        </is>
      </c>
      <c r="M35" s="113" t="inlineStr">
        <is>
          <t>A social campaign by Dove and Edelman London built around the moment a parent first shares a photo of their child online — before the child can consent. The work addresses the role that early parental posting plays in shaping a child's digital footprint and self-image, encouraging parents to pause and reflect before that first share.</t>
        </is>
      </c>
      <c r="N35" s="113" t="inlineStr">
        <is>
          <t>personal-care, social-media, parenting, family, public-service, united-kingdom, social-behaviour, digital-wellbeing</t>
        </is>
      </c>
    </row>
    <row r="36">
      <c r="A36" s="127" t="n">
        <v>2025</v>
      </c>
      <c r="B36" s="133" t="inlineStr">
        <is>
          <t>Bronze</t>
        </is>
      </c>
      <c r="C36" s="127" t="inlineStr">
        <is>
          <t>Unfreeze My Rights</t>
        </is>
      </c>
      <c r="D36" s="127" t="inlineStr">
        <is>
          <t>Awakening Foundation</t>
        </is>
      </c>
      <c r="E36" s="127" t="inlineStr">
        <is>
          <t>WOMENâS EGG AUTONOMY AND REPRODUCTIVE RIGHT</t>
        </is>
      </c>
      <c r="F36" s="127" t="inlineStr">
        <is>
          <t>Dentsu Creative Taiwan</t>
        </is>
      </c>
      <c r="G36" s="127" t="inlineStr">
        <is>
          <t>Chinese Taipei</t>
        </is>
      </c>
      <c r="H36" s="113" t="inlineStr">
        <is>
          <t>Single-Market Campaign</t>
        </is>
      </c>
      <c r="I36" s="128" t="inlineStr">
        <is>
          <t>https://ascentialcdn.filespin.io/api/v1/conversion/a218a039090842639ec9571a03e108c2</t>
        </is>
      </c>
      <c r="J36" s="127" t="inlineStr">
        <is>
          <t>hylpKEPpuJU</t>
        </is>
      </c>
      <c r="K36" s="127" t="n"/>
      <c r="L36" s="128" t="inlineStr">
        <is>
          <t>https://www.lovethework.com/work/entries/unfreeze-my-rights-750272</t>
        </is>
      </c>
      <c r="M36" s="113" t="inlineStr">
        <is>
          <t>An advocacy campaign in Taiwan built around a legal contradiction: women could freeze their eggs, but unmarried women and those in same-sex marriages were legally barred from accessing them without first getting married. Dentsu Creative Taiwan and the Awakening Foundation used the campaign to expose that gap publicly, turning the law's internal logic into the central creative argument.</t>
        </is>
      </c>
      <c r="N36" s="113" t="inlineStr">
        <is>
          <t>womens-rights, advocacy, reproductive-health, pr, single-market-campaign, taiwan, lgbtq, public-affairs, dentsu-creative</t>
        </is>
      </c>
    </row>
    <row r="37">
      <c r="A37" s="127" t="n">
        <v>2025</v>
      </c>
      <c r="B37" s="133" t="inlineStr">
        <is>
          <t>Bronze</t>
        </is>
      </c>
      <c r="C37" s="127" t="inlineStr">
        <is>
          <t>Dirty Mouth Sponsorship</t>
        </is>
      </c>
      <c r="D37" s="127" t="inlineStr">
        <is>
          <t>Cif, Droga5</t>
        </is>
      </c>
      <c r="E37" s="127" t="inlineStr">
        <is>
          <t>Cif</t>
        </is>
      </c>
      <c r="F37" s="127" t="inlineStr">
        <is>
          <t>Part of Accenture Song</t>
        </is>
      </c>
      <c r="G37" s="127" t="inlineStr">
        <is>
          <t>Brazil</t>
        </is>
      </c>
      <c r="H37" s="113" t="inlineStr">
        <is>
          <t>Innovative Use of Influencers/Creators</t>
        </is>
      </c>
      <c r="I37" s="127" t="inlineStr">
        <is>
          <t>digital-presentation-images/pr-cif-dirty-mouth-sponsorship.webp</t>
        </is>
      </c>
      <c r="J37" s="127" t="inlineStr">
        <is>
          <t>DlylpwndJuU</t>
        </is>
      </c>
      <c r="K37" s="127" t="n"/>
      <c r="L37" s="128" t="inlineStr">
        <is>
          <t>https://www.lovethework.com/work/entries/dirty-mouth-sponsorship-749823</t>
        </is>
      </c>
      <c r="M37" s="113" t="inlineStr">
        <is>
          <t>A podcast sponsorship format built by Droga5 São Paulo in which Cif replaced the audio bleep on Brazilian creators' swear words with a branded sound — a stretched, distorted version of the Cif name — so that every expletive became a brand mention. Brazil is the world's second-largest podcast market, where swearing triggers algorithm penalties that demonetize content and deter sponsorship, making the uncensorable moments the only inventory no one else had claimed.</t>
        </is>
      </c>
      <c r="N37" s="113" t="inlineStr">
        <is>
          <t>household-cleaner, podcast, audio, influencer-marketing, branded-content, brazil, creator-economy, censorship, sponsorship-format</t>
        </is>
      </c>
    </row>
    <row r="38">
      <c r="A38" s="127" t="n">
        <v>2025</v>
      </c>
      <c r="B38" s="133" t="inlineStr">
        <is>
          <t>Bronze</t>
        </is>
      </c>
      <c r="C38" s="127" t="inlineStr">
        <is>
          <t>Filter Caps</t>
        </is>
      </c>
      <c r="D38" s="127" t="inlineStr">
        <is>
          <t>Filsa</t>
        </is>
      </c>
      <c r="E38" s="127" t="inlineStr">
        <is>
          <t>Water Filter</t>
        </is>
      </c>
      <c r="F38" s="127" t="inlineStr">
        <is>
          <t>Ogilvy Colombia</t>
        </is>
      </c>
      <c r="G38" s="127" t="inlineStr">
        <is>
          <t>Colombia</t>
        </is>
      </c>
      <c r="H38" s="113" t="inlineStr">
        <is>
          <t>Corporate Purpose &amp; Social Responsibility</t>
        </is>
      </c>
      <c r="I38" s="128" t="inlineStr">
        <is>
          <t>https://ascentialcdn.filespin.io/api/v1/conversion/1ab5088d7e8045be97ee60dda6493938</t>
        </is>
      </c>
      <c r="J38" s="127" t="inlineStr">
        <is>
          <t>I60bNRM2UhM</t>
        </is>
      </c>
      <c r="K38" s="127" t="n"/>
      <c r="L38" s="128" t="inlineStr">
        <is>
          <t>https://www.lovethework.com/work/entries/filter-caps-750736</t>
        </is>
      </c>
      <c r="M38" s="113" t="inlineStr">
        <is>
          <t>A biodegradable bottle cap, developed with Baylor International, that screws onto any standard plastic bottle and mineralizes non-potable water, making it safe to drink. Ogilvy Colombia produced 1,000 units for FILSA, designed for distribution in remote communities where conventional filtration infrastructure is absent.</t>
        </is>
      </c>
      <c r="N38" s="113" t="inlineStr">
        <is>
          <t>water-filter, product-design, ooh, social-good, colombia, biodegradable, packaging, corporate-purpose</t>
        </is>
      </c>
    </row>
    <row r="39">
      <c r="A39" s="127" t="n">
        <v>2025</v>
      </c>
      <c r="B39" s="133" t="inlineStr">
        <is>
          <t>Bronze</t>
        </is>
      </c>
      <c r="C39" s="127" t="inlineStr">
        <is>
          <t>Airbnb Icons</t>
        </is>
      </c>
      <c r="D39" s="127" t="inlineStr">
        <is>
          <t>Airbnb</t>
        </is>
      </c>
      <c r="E39" s="127" t="inlineStr">
        <is>
          <t>Airbnb Icons</t>
        </is>
      </c>
      <c r="F39" s="127" t="inlineStr">
        <is>
          <t>Weber Shandwick</t>
        </is>
      </c>
      <c r="G39" s="127" t="inlineStr">
        <is>
          <t>United States</t>
        </is>
      </c>
      <c r="H39" s="113" t="inlineStr">
        <is>
          <t>Sponsorship &amp; Brand Partnership</t>
        </is>
      </c>
      <c r="I39" s="128" t="inlineStr">
        <is>
          <t>https://ascentialcdn.filespin.io/api/v1/conversion/db51bea9a01d40108f74e1fa9bd7ad3f</t>
        </is>
      </c>
      <c r="J39" s="127" t="inlineStr">
        <is>
          <t>Rz2FWiJq4Mw</t>
        </is>
      </c>
      <c r="K39" s="127" t="n"/>
      <c r="L39" s="128" t="inlineStr">
        <is>
          <t>https://www.lovethework.com/work/entries/airbnb-icons-750344</t>
        </is>
      </c>
      <c r="M39"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39" s="113" t="inlineStr">
        <is>
          <t>travel, tourism, sponsorship, partnership, ip, celebrity, branded-experience, united-states, platform</t>
        </is>
      </c>
    </row>
    <row r="40">
      <c r="A40" s="127" t="n">
        <v>2025</v>
      </c>
      <c r="B40" s="133" t="inlineStr">
        <is>
          <t>Bronze</t>
        </is>
      </c>
      <c r="C40" s="127" t="inlineStr">
        <is>
          <t>Box to Beds</t>
        </is>
      </c>
      <c r="D40" s="127" t="inlineStr">
        <is>
          <t>Amazon</t>
        </is>
      </c>
      <c r="E40" s="127" t="inlineStr">
        <is>
          <t>Amazon</t>
        </is>
      </c>
      <c r="F40" s="127" t="inlineStr">
        <is>
          <t>Ogilvy</t>
        </is>
      </c>
      <c r="G40" s="127" t="inlineStr">
        <is>
          <t>India</t>
        </is>
      </c>
      <c r="H40" s="113" t="inlineStr">
        <is>
          <t>Cultural Engagement</t>
        </is>
      </c>
      <c r="I40" s="128" t="inlineStr">
        <is>
          <t>https://ascentialcdn.filespin.io/api/v1/conversion/b5f895adbf4c4511b092d3d1cf94a294</t>
        </is>
      </c>
      <c r="J40" s="127" t="inlineStr">
        <is>
          <t>-Fu5oT3qYjo</t>
        </is>
      </c>
      <c r="K40" s="127" t="n"/>
      <c r="L40" s="128" t="inlineStr">
        <is>
          <t>https://www.lovethework.com/work/entries/box-to-beds-750639</t>
        </is>
      </c>
      <c r="M40" s="113" t="inlineStr">
        <is>
          <t>During a severe cold wave at the 2025 Maha Kumbh, Amazon upcycled its delivery boxes into insulated cardboard beds to protect elderly devotees sleeping outdoors. Placed at medical camps, police posts, senior areas and other key locations, the beds turned potential packaging waste into a sustainable comfort solution that was later donated to NGOs after the festival.</t>
        </is>
      </c>
      <c r="N40" s="113" t="inlineStr">
        <is>
          <t>ecommerce, retail, online-shopping, packaging, sustainability, social-good, india, partnership, upcycling, religious-engagement</t>
        </is>
      </c>
    </row>
    <row r="41">
      <c r="A41" s="127" t="n">
        <v>2025</v>
      </c>
      <c r="B41" s="133" t="inlineStr">
        <is>
          <t>Bronze</t>
        </is>
      </c>
      <c r="C41" s="127" t="inlineStr">
        <is>
          <t>Renault - Un.patent</t>
        </is>
      </c>
      <c r="D41" s="127" t="inlineStr">
        <is>
          <t>Renault</t>
        </is>
      </c>
      <c r="E41" s="127" t="inlineStr">
        <is>
          <t>Innovating Tools</t>
        </is>
      </c>
      <c r="F41" s="127" t="inlineStr">
        <is>
          <t>Publicis Conseil</t>
        </is>
      </c>
      <c r="G41" s="127" t="inlineStr">
        <is>
          <t>France</t>
        </is>
      </c>
      <c r="H41" s="113" t="inlineStr">
        <is>
          <t>Brand Voice &amp; Strategic Storytelling</t>
        </is>
      </c>
      <c r="I41" s="128" t="inlineStr">
        <is>
          <t>https://ascentialcdn.filespin.io/api/v1/conversion/f8592ba04ed4495d8a51757d790e8679</t>
        </is>
      </c>
      <c r="J41" s="127" t="inlineStr">
        <is>
          <t>yuaAtV_VnC0</t>
        </is>
      </c>
      <c r="K41" s="127" t="n"/>
      <c r="L41" s="128" t="inlineStr">
        <is>
          <t>https://www.lovethework.com/work/entries/renault-unpatent-750048</t>
        </is>
      </c>
      <c r="M41" s="113" t="inlineStr">
        <is>
          <t>A decision by Renault to file patents under the name "UN.Patent" — attributing inventions to the United Nations rather than to Renault — so that the intellectual property enters the public domain and can be freely used by any automaker worldwide. The move targets safety and sustainability technologies, removing the competitive lock-in that typically slows the industry-wide adoption of life-saving innovations.</t>
        </is>
      </c>
      <c r="N41" s="113" t="inlineStr">
        <is>
          <t>automotive, cars, transport, brand-voice, public-domain, intellectual-property, france, b2b, business, sustainability, strategic-storytelling</t>
        </is>
      </c>
    </row>
    <row r="42">
      <c r="A42" s="127" t="n">
        <v>2025</v>
      </c>
      <c r="B42" s="133" t="inlineStr">
        <is>
          <t>Bronze</t>
        </is>
      </c>
      <c r="C42" s="127" t="inlineStr">
        <is>
          <t>Export Ultra Cold Call Back Service</t>
        </is>
      </c>
      <c r="D42" s="127" t="inlineStr">
        <is>
          <t>Export Ultra</t>
        </is>
      </c>
      <c r="E42" s="127" t="inlineStr">
        <is>
          <t>Export Ultra Beer</t>
        </is>
      </c>
      <c r="F42" s="127" t="inlineStr">
        <is>
          <t>Special</t>
        </is>
      </c>
      <c r="G42" s="127" t="inlineStr">
        <is>
          <t>New Zealand</t>
        </is>
      </c>
      <c r="H42" s="113" t="inlineStr">
        <is>
          <t>Use of Humour</t>
        </is>
      </c>
      <c r="I42" s="127" t="inlineStr">
        <is>
          <t>digital-presentation-images/pr-export-ultra-export-ultra-cold-call-back-service.webp</t>
        </is>
      </c>
      <c r="J42" s="127" t="inlineStr">
        <is>
          <t>EMZYDpxI_KI</t>
        </is>
      </c>
      <c r="K42" s="127" t="n"/>
      <c r="L42" s="128" t="inlineStr">
        <is>
          <t>https://www.lovethework.com/work/entries/export-ultra-cold-call-back-service-750536</t>
        </is>
      </c>
      <c r="M42" s="113" t="inlineStr">
        <is>
          <t>A call-back service for New Zealand beer drinkers who put their cans in the freezer and forget them — users text "ICE ICE" to 423, and 34 minutes later Vanilla Ice calls them back with a personalised reminder delivered as a rhyming one-liner. Built around the recurring summer problem of frozen, exploding beers, the campaign ran from December 2024 through February 2025 with a rotating series of bespoke recorded messages voiced by the rapper, developed with agency Special and media partner Carat Auckland.</t>
        </is>
      </c>
      <c r="N42" s="113" t="inlineStr">
        <is>
          <t>beer, alcohol, new-zealand, sms, direct-response, celebrity-partnership, humor, mobile, seasonal, audio</t>
        </is>
      </c>
    </row>
    <row r="43">
      <c r="A43" s="127" t="n">
        <v>2025</v>
      </c>
      <c r="B43" s="133" t="inlineStr">
        <is>
          <t>Bronze</t>
        </is>
      </c>
      <c r="C43" s="127" t="inlineStr">
        <is>
          <t>The Meal</t>
        </is>
      </c>
      <c r="D43" s="127" t="inlineStr">
        <is>
          <t>McDonald's</t>
        </is>
      </c>
      <c r="E43" s="127" t="inlineStr">
        <is>
          <t>Happy Meal</t>
        </is>
      </c>
      <c r="F43" s="127" t="inlineStr">
        <is>
          <t>Ready10</t>
        </is>
      </c>
      <c r="G43" s="127" t="inlineStr">
        <is>
          <t>United Kingdom</t>
        </is>
      </c>
      <c r="H43" s="113" t="inlineStr">
        <is>
          <t>Corporate Purpose &amp; Social Responsibility</t>
        </is>
      </c>
      <c r="I43" s="128" t="inlineStr">
        <is>
          <t>https://ascentialcdn.filespin.io/api/v1/conversion/5e2b835a636345e0a9110a3076d31dca</t>
        </is>
      </c>
      <c r="J43" s="127" t="inlineStr">
        <is>
          <t>YEPttzbn0Z0</t>
        </is>
      </c>
      <c r="K43" s="127" t="n"/>
      <c r="L43" s="128" t="inlineStr">
        <is>
          <t>https://www.lovethework.com/work/entries/the-meal-750472</t>
        </is>
      </c>
      <c r="M43"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43" s="113" t="inlineStr">
        <is>
          <t>qsr, fast-food, restaurant, food, mental-health, healthcare, medical, packaging, kids, partnership, united-kingdom, corporate-purpose, integrated</t>
        </is>
      </c>
    </row>
    <row r="44">
      <c r="A44" s="127" t="n">
        <v>2025</v>
      </c>
      <c r="B44" s="133" t="inlineStr">
        <is>
          <t>Bronze</t>
        </is>
      </c>
      <c r="C44" s="127" t="inlineStr">
        <is>
          <t>Sponsored Balls</t>
        </is>
      </c>
      <c r="D44" s="127" t="inlineStr">
        <is>
          <t>Testicular Cancer Society</t>
        </is>
      </c>
      <c r="E44" s="127" t="inlineStr">
        <is>
          <t>Shorts</t>
        </is>
      </c>
      <c r="F44" s="127" t="inlineStr">
        <is>
          <t>FP7 McCANN</t>
        </is>
      </c>
      <c r="G44" s="127" t="inlineStr">
        <is>
          <t>United Arab Emirates</t>
        </is>
      </c>
      <c r="H44" s="113" t="inlineStr">
        <is>
          <t>Use of Events &amp; Stunts</t>
        </is>
      </c>
      <c r="I44" s="127" t="inlineStr">
        <is>
          <t>digital-presentation-images/pr-testicular-cancer-society-sponsored-balls.webp</t>
        </is>
      </c>
      <c r="J44" s="127" t="inlineStr">
        <is>
          <t>vimeo:1083510969</t>
        </is>
      </c>
      <c r="K44" s="127" t="n"/>
      <c r="L44" s="128" t="inlineStr">
        <is>
          <t>https://www.lovethework.com/work/entries/sponsored-balls-750118</t>
        </is>
      </c>
      <c r="M44" s="113" t="inlineStr">
        <is>
          <t>A logo placement on the testicular area of CD Leganés' match shorts — the one spot on a football kit that sponsors never occupy — carrying the Testicular Cancer Society's branding during a sold-out La Liga fixture against Barcelona, broadcast across 180+ countries. The brief, developed by FP7 McCann Dubai, used the anatomical logic of the placement to prompt men to self-examine, at a moment when millions of eyes were already fixed on that part of the kit.</t>
        </is>
      </c>
      <c r="N44" s="113" t="inlineStr">
        <is>
          <t>testicular-cancer-awareness, sports-sponsorship, football, soccer, sport, public-health, kit-placement, events-and-stunts, spain, united-arab-emirates</t>
        </is>
      </c>
    </row>
    <row r="45">
      <c r="A45" s="127" t="n">
        <v>2025</v>
      </c>
      <c r="B45" s="133" t="inlineStr">
        <is>
          <t>Bronze</t>
        </is>
      </c>
      <c r="C45" s="127" t="inlineStr">
        <is>
          <t>Sato 2531</t>
        </is>
      </c>
      <c r="D45" s="127" t="inlineStr">
        <is>
          <t>Asuniwa</t>
        </is>
      </c>
      <c r="E45" s="127" t="inlineStr">
        <is>
          <t>Think Name Project</t>
        </is>
      </c>
      <c r="F45" s="127" t="inlineStr">
        <is>
          <t>Dentsu Digital</t>
        </is>
      </c>
      <c r="G45" s="127" t="inlineStr">
        <is>
          <t>Japan</t>
        </is>
      </c>
      <c r="H45" s="113" t="inlineStr">
        <is>
          <t>Single-Market Campaign</t>
        </is>
      </c>
      <c r="I45" s="128" t="inlineStr">
        <is>
          <t>https://ascentialcdn.filespin.io/api/v1/conversion/fe9e00109f57461bb9f36f9c845a8be1</t>
        </is>
      </c>
      <c r="J45" s="127" t="inlineStr">
        <is>
          <t>BW5T0gC6o3o</t>
        </is>
      </c>
      <c r="K45" s="127" t="n"/>
      <c r="L45" s="128" t="inlineStr">
        <is>
          <t>https://www.lovethework.com/work/entries/sato-2531-750198</t>
        </is>
      </c>
      <c r="M45"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45" s="113" t="inlineStr">
        <is>
          <t>gender-equality, social-good, data-visualization, public-awareness, research, nonprofit, japan, social-issue, naming, activation</t>
        </is>
      </c>
    </row>
  </sheetData>
  <autoFilter ref="A1:N45"/>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L21" r:id="rId39"/>
    <hyperlink xmlns:r="http://schemas.openxmlformats.org/officeDocument/2006/relationships" ref="I22" r:id="rId40"/>
    <hyperlink xmlns:r="http://schemas.openxmlformats.org/officeDocument/2006/relationships" ref="L22" r:id="rId41"/>
    <hyperlink xmlns:r="http://schemas.openxmlformats.org/officeDocument/2006/relationships" ref="I23" r:id="rId42"/>
    <hyperlink xmlns:r="http://schemas.openxmlformats.org/officeDocument/2006/relationships" ref="L23" r:id="rId43"/>
    <hyperlink xmlns:r="http://schemas.openxmlformats.org/officeDocument/2006/relationships" ref="I24" r:id="rId44"/>
    <hyperlink xmlns:r="http://schemas.openxmlformats.org/officeDocument/2006/relationships" ref="L24" r:id="rId45"/>
    <hyperlink xmlns:r="http://schemas.openxmlformats.org/officeDocument/2006/relationships" ref="I25" r:id="rId46"/>
    <hyperlink xmlns:r="http://schemas.openxmlformats.org/officeDocument/2006/relationships" ref="L25" r:id="rId47"/>
    <hyperlink xmlns:r="http://schemas.openxmlformats.org/officeDocument/2006/relationships" ref="I26" r:id="rId48"/>
    <hyperlink xmlns:r="http://schemas.openxmlformats.org/officeDocument/2006/relationships" ref="L26" r:id="rId49"/>
    <hyperlink xmlns:r="http://schemas.openxmlformats.org/officeDocument/2006/relationships" ref="I27" r:id="rId50"/>
    <hyperlink xmlns:r="http://schemas.openxmlformats.org/officeDocument/2006/relationships" ref="L27" r:id="rId51"/>
    <hyperlink xmlns:r="http://schemas.openxmlformats.org/officeDocument/2006/relationships" ref="I28" r:id="rId52"/>
    <hyperlink xmlns:r="http://schemas.openxmlformats.org/officeDocument/2006/relationships" ref="L28" r:id="rId53"/>
    <hyperlink xmlns:r="http://schemas.openxmlformats.org/officeDocument/2006/relationships" ref="I29" r:id="rId54"/>
    <hyperlink xmlns:r="http://schemas.openxmlformats.org/officeDocument/2006/relationships" ref="L29" r:id="rId55"/>
    <hyperlink xmlns:r="http://schemas.openxmlformats.org/officeDocument/2006/relationships" ref="I30" r:id="rId56"/>
    <hyperlink xmlns:r="http://schemas.openxmlformats.org/officeDocument/2006/relationships" ref="L30" r:id="rId57"/>
    <hyperlink xmlns:r="http://schemas.openxmlformats.org/officeDocument/2006/relationships" ref="I31" r:id="rId58"/>
    <hyperlink xmlns:r="http://schemas.openxmlformats.org/officeDocument/2006/relationships" ref="L31" r:id="rId59"/>
    <hyperlink xmlns:r="http://schemas.openxmlformats.org/officeDocument/2006/relationships" ref="I32" r:id="rId60"/>
    <hyperlink xmlns:r="http://schemas.openxmlformats.org/officeDocument/2006/relationships" ref="L32" r:id="rId61"/>
    <hyperlink xmlns:r="http://schemas.openxmlformats.org/officeDocument/2006/relationships" ref="I33" r:id="rId62"/>
    <hyperlink xmlns:r="http://schemas.openxmlformats.org/officeDocument/2006/relationships" ref="L33" r:id="rId63"/>
    <hyperlink xmlns:r="http://schemas.openxmlformats.org/officeDocument/2006/relationships" ref="I34" r:id="rId64"/>
    <hyperlink xmlns:r="http://schemas.openxmlformats.org/officeDocument/2006/relationships" ref="L34" r:id="rId65"/>
    <hyperlink xmlns:r="http://schemas.openxmlformats.org/officeDocument/2006/relationships" ref="I35" r:id="rId66"/>
    <hyperlink xmlns:r="http://schemas.openxmlformats.org/officeDocument/2006/relationships" ref="L35" r:id="rId67"/>
    <hyperlink xmlns:r="http://schemas.openxmlformats.org/officeDocument/2006/relationships" ref="I36" r:id="rId68"/>
    <hyperlink xmlns:r="http://schemas.openxmlformats.org/officeDocument/2006/relationships" ref="L36" r:id="rId69"/>
    <hyperlink xmlns:r="http://schemas.openxmlformats.org/officeDocument/2006/relationships" ref="L37" r:id="rId70"/>
    <hyperlink xmlns:r="http://schemas.openxmlformats.org/officeDocument/2006/relationships" ref="I38" r:id="rId71"/>
    <hyperlink xmlns:r="http://schemas.openxmlformats.org/officeDocument/2006/relationships" ref="L38" r:id="rId72"/>
    <hyperlink xmlns:r="http://schemas.openxmlformats.org/officeDocument/2006/relationships" ref="I39" r:id="rId73"/>
    <hyperlink xmlns:r="http://schemas.openxmlformats.org/officeDocument/2006/relationships" ref="L39" r:id="rId74"/>
    <hyperlink xmlns:r="http://schemas.openxmlformats.org/officeDocument/2006/relationships" ref="I40" r:id="rId75"/>
    <hyperlink xmlns:r="http://schemas.openxmlformats.org/officeDocument/2006/relationships" ref="L40" r:id="rId76"/>
    <hyperlink xmlns:r="http://schemas.openxmlformats.org/officeDocument/2006/relationships" ref="I41" r:id="rId77"/>
    <hyperlink xmlns:r="http://schemas.openxmlformats.org/officeDocument/2006/relationships" ref="L41" r:id="rId78"/>
    <hyperlink xmlns:r="http://schemas.openxmlformats.org/officeDocument/2006/relationships" ref="L42" r:id="rId79"/>
    <hyperlink xmlns:r="http://schemas.openxmlformats.org/officeDocument/2006/relationships" ref="I43" r:id="rId80"/>
    <hyperlink xmlns:r="http://schemas.openxmlformats.org/officeDocument/2006/relationships" ref="L43" r:id="rId81"/>
    <hyperlink xmlns:r="http://schemas.openxmlformats.org/officeDocument/2006/relationships" ref="L44" r:id="rId82"/>
    <hyperlink xmlns:r="http://schemas.openxmlformats.org/officeDocument/2006/relationships" ref="I45" r:id="rId83"/>
    <hyperlink xmlns:r="http://schemas.openxmlformats.org/officeDocument/2006/relationships" ref="L45" r:id="rId84"/>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51"/>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Vaseline Verified</t>
        </is>
      </c>
      <c r="D2" s="127" t="inlineStr">
        <is>
          <t>Unilever</t>
        </is>
      </c>
      <c r="E2" s="127" t="inlineStr">
        <is>
          <t>Vaseline</t>
        </is>
      </c>
      <c r="F2" s="127" t="inlineStr">
        <is>
          <t>Ogilvy</t>
        </is>
      </c>
      <c r="G2" s="127" t="inlineStr">
        <is>
          <t>Singapore</t>
        </is>
      </c>
      <c r="H2" s="113" t="inlineStr">
        <is>
          <t>Community Building</t>
        </is>
      </c>
      <c r="I2" s="128" t="inlineStr">
        <is>
          <t>https://ascentialcdn.filespin.io/api/v1/conversion/faf0755b0d4e4594ad93cb75d6288e3d</t>
        </is>
      </c>
      <c r="J2" s="127" t="inlineStr">
        <is>
          <t>vimeo:1082798104</t>
        </is>
      </c>
      <c r="K2" s="127" t="n"/>
      <c r="L2" s="128" t="inlineStr">
        <is>
          <t>https://www.lovethework.com/work/entries/vaseline-verified-742887</t>
        </is>
      </c>
      <c r="M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 s="113" t="inlineStr">
        <is>
          <t>skincare, personal-care, beauty, community-management, social-media, user-generated-content, ooh, singapore, health-wellness, dermatology</t>
        </is>
      </c>
    </row>
    <row r="3">
      <c r="A3" s="127" t="n">
        <v>2025</v>
      </c>
      <c r="B3" s="140" t="inlineStr">
        <is>
          <t>Gold</t>
        </is>
      </c>
      <c r="C3" s="127" t="inlineStr">
        <is>
          <t>Navy Subreddit Hunt</t>
        </is>
      </c>
      <c r="D3" s="127" t="inlineStr">
        <is>
          <t>U.s. Navy</t>
        </is>
      </c>
      <c r="E3" s="127" t="inlineStr">
        <is>
          <t>U.s. Navy Recruitment Initiative</t>
        </is>
      </c>
      <c r="F3" s="127" t="inlineStr">
        <is>
          <t>VML</t>
        </is>
      </c>
      <c r="G3" s="127" t="inlineStr">
        <is>
          <t>United States</t>
        </is>
      </c>
      <c r="H3" s="113" t="inlineStr">
        <is>
          <t>Audience Targeting/Engagement Strategies</t>
        </is>
      </c>
      <c r="I3" s="128" t="inlineStr">
        <is>
          <t>https://ascentialcdn.filespin.io/api/v1/conversion/acedbde3eb964175b899c5e90a584d7a</t>
        </is>
      </c>
      <c r="J3" s="127" t="inlineStr">
        <is>
          <t>1qkvD-Vpqp4</t>
        </is>
      </c>
      <c r="K3" s="127" t="n"/>
      <c r="L3" s="128" t="inlineStr">
        <is>
          <t>https://www.lovethework.com/work/entries/navy-subreddit-hunt-742520</t>
        </is>
      </c>
      <c r="M3" s="113" t="inlineStr">
        <is>
          <t>A recruitment campaign built across Reddit in which the U.S. Navy hid enlistment calls-to-action inside niche subreddits relevant to Navy career fields — diving communities, engineering forums, aviation threads — so that users already deep in those interests encountered recruiting messages in the spaces where they were most engaged. Created by VML Dallas, the effort treated Reddit's community architecture as a targeting layer rather than a media buy.</t>
        </is>
      </c>
      <c r="N3" s="113" t="inlineStr">
        <is>
          <t>military-recruitment, social-media, reddit, united-states, community-targeting, direct-response, vml</t>
        </is>
      </c>
    </row>
    <row r="4">
      <c r="A4" s="127" t="n">
        <v>2025</v>
      </c>
      <c r="B4" s="140" t="inlineStr">
        <is>
          <t>Gold</t>
        </is>
      </c>
      <c r="C4" s="127" t="inlineStr">
        <is>
          <t>Resale</t>
        </is>
      </c>
      <c r="D4" s="127" t="inlineStr">
        <is>
          <t>Budweiser</t>
        </is>
      </c>
      <c r="E4" s="127" t="inlineStr">
        <is>
          <t>Beer</t>
        </is>
      </c>
      <c r="F4" s="127" t="inlineStr">
        <is>
          <t>Africa Creative DDB</t>
        </is>
      </c>
      <c r="G4" s="127" t="inlineStr">
        <is>
          <t>Brazil</t>
        </is>
      </c>
      <c r="H4" s="113" t="inlineStr">
        <is>
          <t>Innovative Engagement of Community</t>
        </is>
      </c>
      <c r="I4" s="128" t="inlineStr">
        <is>
          <t>https://ascentialcdn.filespin.io/api/v1/conversion/abd9a65dba9c44ab8abe0ea46a3db71c</t>
        </is>
      </c>
      <c r="J4" s="127" t="inlineStr">
        <is>
          <t>vimeo:1079571158</t>
        </is>
      </c>
      <c r="K4" s="127" t="n"/>
      <c r="L4" s="128" t="inlineStr">
        <is>
          <t>https://www.lovethework.com/work/entries/resale-742723</t>
        </is>
      </c>
      <c r="M4" s="113" t="inlineStr">
        <is>
          <t>A resale platform built around Budweiser's archive of historical music memorabilia — items tied to concerts, artists, and cultural moments the brand sponsored over its history in Brazil. Fans could browse and purchase pieces of that shared history directly through the platform, with Budweiser framing its own back catalog as a record of music's past.</t>
        </is>
      </c>
      <c r="N4" s="113" t="inlineStr">
        <is>
          <t>beer, alcohol, e-commerce, music, entertainment, community-engagement, social, brazil, branded-platform, resale</t>
        </is>
      </c>
    </row>
    <row r="5">
      <c r="A5" s="127" t="n">
        <v>2025</v>
      </c>
      <c r="B5" s="140" t="inlineStr">
        <is>
          <t>Gold</t>
        </is>
      </c>
      <c r="C5" s="127" t="inlineStr">
        <is>
          <t>U Up?</t>
        </is>
      </c>
      <c r="D5" s="127" t="inlineStr">
        <is>
          <t>IKEA</t>
        </is>
      </c>
      <c r="E5" s="127" t="inlineStr">
        <is>
          <t>IKEA</t>
        </is>
      </c>
      <c r="F5" s="127" t="inlineStr">
        <is>
          <t>Rethink</t>
        </is>
      </c>
      <c r="G5" s="127" t="inlineStr">
        <is>
          <t>Canada</t>
        </is>
      </c>
      <c r="H5" s="113" t="inlineStr">
        <is>
          <t>Use of Humour</t>
        </is>
      </c>
      <c r="I5" s="128" t="inlineStr">
        <is>
          <t>https://ascentialcdn.filespin.io/api/v1/conversion/1d6f8cfcad1b47c9beaa5f403844ec8a</t>
        </is>
      </c>
      <c r="J5" s="127" t="inlineStr">
        <is>
          <t>VT02JDQuMxM</t>
        </is>
      </c>
      <c r="K5" s="127" t="n"/>
      <c r="L5" s="128" t="inlineStr">
        <is>
          <t>https://www.lovethework.com/work/entries/u-up-743199</t>
        </is>
      </c>
      <c r="M5"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5" s="113" t="inlineStr">
        <is>
          <t>ikea, home-furnishings, social-media, instagram, direct-message, ooh, canada, use-of-humour, late-night</t>
        </is>
      </c>
    </row>
    <row r="6">
      <c r="A6" s="127" t="n">
        <v>2025</v>
      </c>
      <c r="B6" s="140" t="inlineStr">
        <is>
          <t>Gold</t>
        </is>
      </c>
      <c r="C6" s="127" t="inlineStr">
        <is>
          <t>Redditor Edit</t>
        </is>
      </c>
      <c r="D6" s="127" t="inlineStr">
        <is>
          <t>Skoda</t>
        </is>
      </c>
      <c r="E6" s="127" t="inlineStr">
        <is>
          <t>Å Koda Octavia</t>
        </is>
      </c>
      <c r="F6" s="127" t="inlineStr">
        <is>
          <t>Leo</t>
        </is>
      </c>
      <c r="G6" s="127" t="inlineStr">
        <is>
          <t>United Kingdom</t>
        </is>
      </c>
      <c r="H6" s="113" t="inlineStr">
        <is>
          <t>Co-Creation &amp; User Generated Content</t>
        </is>
      </c>
      <c r="I6" s="128" t="inlineStr">
        <is>
          <t>https://ascentialcdn.filespin.io/api/v1/conversion/7581a597717542d6b5b354f2ffcb56a5</t>
        </is>
      </c>
      <c r="J6" s="127" t="inlineStr">
        <is>
          <t>KmLMtKsmwqA</t>
        </is>
      </c>
      <c r="K6" s="127" t="n"/>
      <c r="L6" s="128" t="inlineStr">
        <is>
          <t>https://www.lovethework.com/work/entries/redditor-edit-743155</t>
        </is>
      </c>
      <c r="M6"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6" s="113" t="inlineStr">
        <is>
          <t>automotive, cars, transport, social-media, reddit, community, user-generated-content, united-kingdom, launch, skoda-octavia</t>
        </is>
      </c>
    </row>
    <row r="7">
      <c r="A7" s="127" t="n">
        <v>2025</v>
      </c>
      <c r="B7" s="140" t="inlineStr">
        <is>
          <t>Gold</t>
        </is>
      </c>
      <c r="C7" s="127" t="inlineStr">
        <is>
          <t>Erase Valentine's Day</t>
        </is>
      </c>
      <c r="D7" s="127" t="inlineStr">
        <is>
          <t>Mondelez International</t>
        </is>
      </c>
      <c r="E7" s="127" t="inlineStr">
        <is>
          <t>Cadbury 5 Star Chocolate</t>
        </is>
      </c>
      <c r="F7" s="127" t="inlineStr">
        <is>
          <t>Ogilvy</t>
        </is>
      </c>
      <c r="G7" s="127" t="inlineStr">
        <is>
          <t>India</t>
        </is>
      </c>
      <c r="H7" s="113" t="inlineStr">
        <is>
          <t>Use of Humour</t>
        </is>
      </c>
      <c r="I7" s="128" t="inlineStr">
        <is>
          <t>https://ascentialcdn.filespin.io/api/v1/conversion/a64caaaecf144955a62b435827fff0e3</t>
        </is>
      </c>
      <c r="J7" s="127" t="inlineStr">
        <is>
          <t>_9bU3wT71Ac</t>
        </is>
      </c>
      <c r="K7" s="127" t="n"/>
      <c r="L7" s="128" t="inlineStr">
        <is>
          <t>https://www.lovethework.com/work/entries/erase-valentines-day-743287</t>
        </is>
      </c>
      <c r="M7" s="113" t="inlineStr">
        <is>
          <t>A social campaign built around Cadbury 5 Star's long-running brand persona of celebrating doing nothing — applied to Valentine's Day by urging people to opt out of the holiday entirely. Ogilvy India created content and creator activations that positioned skipping Valentine's Day as the 5 Star move, leaning into the brand's anti-effort identity rather than the gift-giving conventions the day is built on.</t>
        </is>
      </c>
      <c r="N7" s="113" t="inlineStr">
        <is>
          <t>chocolate, social-media, creator-marketing, use-of-humour, india, confectionery, candy, snack, packaged-goods, food, cpg, fmcg, valentines-day</t>
        </is>
      </c>
    </row>
    <row r="8">
      <c r="A8" s="127" t="n">
        <v>2025</v>
      </c>
      <c r="B8" s="140" t="inlineStr">
        <is>
          <t>Gold</t>
        </is>
      </c>
      <c r="C8" s="127" t="inlineStr">
        <is>
          <t>Olympic Curry</t>
        </is>
      </c>
      <c r="D8" s="127" t="inlineStr">
        <is>
          <t>McDonald's</t>
        </is>
      </c>
      <c r="E8" s="127" t="inlineStr">
        <is>
          <t>Curry Sauce</t>
        </is>
      </c>
      <c r="F8" s="127" t="inlineStr">
        <is>
          <t>DDB Paris</t>
        </is>
      </c>
      <c r="G8" s="127" t="inlineStr">
        <is>
          <t>France</t>
        </is>
      </c>
      <c r="H8" s="113" t="inlineStr">
        <is>
          <t>Real-Time Response</t>
        </is>
      </c>
      <c r="I8" s="128" t="inlineStr">
        <is>
          <t>https://ascentialcdn.filespin.io/api/v1/conversion/b8993a8a561d47fe9b9f126b8fbb45ce</t>
        </is>
      </c>
      <c r="J8" s="127" t="inlineStr">
        <is>
          <t>tOs7DlcDX0U</t>
        </is>
      </c>
      <c r="K8" s="127" t="n"/>
      <c r="L8" s="128" t="inlineStr">
        <is>
          <t>https://www.lovethework.com/work/entries/olympic-curry-742518</t>
        </is>
      </c>
      <c r="M8"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8" s="113" t="inlineStr">
        <is>
          <t>quick-service-restaurant, social-media, social-engagement, france, united-states, paris-olympics, condiment, real-time-marketing</t>
        </is>
      </c>
    </row>
    <row r="9">
      <c r="A9" s="127" t="n">
        <v>2025</v>
      </c>
      <c r="B9" s="140" t="inlineStr">
        <is>
          <t>Gold</t>
        </is>
      </c>
      <c r="C9" s="127" t="inlineStr">
        <is>
          <t>Nutter Butter, You Good?</t>
        </is>
      </c>
      <c r="D9" s="127" t="inlineStr">
        <is>
          <t>Nutter Butter</t>
        </is>
      </c>
      <c r="E9" s="127" t="inlineStr">
        <is>
          <t>Nutter Butter Cookie</t>
        </is>
      </c>
      <c r="F9" s="127" t="inlineStr">
        <is>
          <t>Dentsu Creative</t>
        </is>
      </c>
      <c r="G9" s="127" t="inlineStr">
        <is>
          <t>United States</t>
        </is>
      </c>
      <c r="H9" s="113" t="inlineStr">
        <is>
          <t>Breakthrough on a Budget</t>
        </is>
      </c>
      <c r="I9" s="128" t="inlineStr">
        <is>
          <t>https://ascentialcdn.filespin.io/api/v1/conversion/6876d84d5b5142e19c9d97302718d0f2</t>
        </is>
      </c>
      <c r="J9" s="127" t="inlineStr">
        <is>
          <t>AzhCsGOqfyg</t>
        </is>
      </c>
      <c r="K9" s="127" t="n"/>
      <c r="L9" s="128" t="inlineStr">
        <is>
          <t>https://www.lovethework.com/work/entries/nutter-butter-you-good-743552</t>
        </is>
      </c>
      <c r="M9" s="113" t="inlineStr">
        <is>
          <t>An organic TikTok presence built for Nutter Butter by Dentsu Creative New York, constructed around a self-contained fictional universe called the Nutterverse — surreal, lore-heavy content designed to make the 56-year-old peanut butter cookie feel native to the platform rather than advertised on it. The strategy relied entirely on earned attention, with no paid media spend.</t>
        </is>
      </c>
      <c r="N9" s="113" t="inlineStr">
        <is>
          <t>snack, food, packaged-goods, cpg, fmcg, social-media, tiktok, organic-content, content-creation, united-states, earned-media, gen-z</t>
        </is>
      </c>
    </row>
    <row r="10">
      <c r="A10" s="127" t="n">
        <v>2025</v>
      </c>
      <c r="B10" s="132" t="inlineStr">
        <is>
          <t>Silver</t>
        </is>
      </c>
      <c r="C10" s="127" t="inlineStr">
        <is>
          <t>One Second Ads</t>
        </is>
      </c>
      <c r="D10" s="127" t="inlineStr">
        <is>
          <t>Budweiser</t>
        </is>
      </c>
      <c r="E10" s="127" t="inlineStr">
        <is>
          <t>Beer</t>
        </is>
      </c>
      <c r="F10" s="127" t="inlineStr">
        <is>
          <t>Africa Creative DDB</t>
        </is>
      </c>
      <c r="G10" s="127" t="inlineStr">
        <is>
          <t>Brazil</t>
        </is>
      </c>
      <c r="H10" s="113" t="inlineStr">
        <is>
          <t>Content Placement</t>
        </is>
      </c>
      <c r="I10" s="127" t="inlineStr">
        <is>
          <t>digital-presentation-images/social-and-creator-budweiser-one-second-ads.webp</t>
        </is>
      </c>
      <c r="J10" s="127" t="inlineStr">
        <is>
          <t>RpvlshoKIrE</t>
        </is>
      </c>
      <c r="K10" s="127" t="inlineStr">
        <is>
          <t>budweiser-one-second-ads</t>
        </is>
      </c>
      <c r="L10" s="128" t="inlineStr">
        <is>
          <t>https://www.lovethework.com/work/entries/one-second-ads-759513</t>
        </is>
      </c>
      <c r="M10"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10" s="113" t="inlineStr">
        <is>
          <t>beer, alcohol, social-media, audio, music, entertainment, short-form-video, brazil, user-participation, mobile</t>
        </is>
      </c>
    </row>
    <row r="11">
      <c r="A11" s="127" t="n">
        <v>2025</v>
      </c>
      <c r="B11" s="132" t="inlineStr">
        <is>
          <t>Silver</t>
        </is>
      </c>
      <c r="C11" s="127" t="inlineStr">
        <is>
          <t>The Death of Duo</t>
        </is>
      </c>
      <c r="D11" s="127" t="inlineStr">
        <is>
          <t>Duolingo</t>
        </is>
      </c>
      <c r="E11" s="127" t="inlineStr">
        <is>
          <t>Duolingo</t>
        </is>
      </c>
      <c r="F11" s="127" t="inlineStr">
        <is>
          <t>Duolingo</t>
        </is>
      </c>
      <c r="G11" s="127" t="inlineStr">
        <is>
          <t>United States</t>
        </is>
      </c>
      <c r="H11" s="113" t="inlineStr">
        <is>
          <t>Community Management</t>
        </is>
      </c>
      <c r="I11" s="128" t="inlineStr">
        <is>
          <t>https://ascentialcdn.filespin.io/api/v1/conversion/f4109c89080c4d6b8170e479b78d5160</t>
        </is>
      </c>
      <c r="J11" s="127" t="inlineStr">
        <is>
          <t>vimeo:1094581252/8afcb39440</t>
        </is>
      </c>
      <c r="K11" s="127" t="n"/>
      <c r="L11" s="128" t="inlineStr">
        <is>
          <t>https://www.lovethework.com/work/entries/the-death-of-duo-742331</t>
        </is>
      </c>
      <c r="M11" s="113" t="inlineStr">
        <is>
          <t>A coordinated social media stunt in which Duolingo announced the death of Duo, its green owl mascot, across its channels — posting that the bird had mysteriously passed and that authorities were investigating. The campaign sustained the fiction across platforms, pulling in organic celebrity reactions including a post from Dua Lipa, and used the manufactured grief to prompt users to resume or start language streaks in Duo's memory.</t>
        </is>
      </c>
      <c r="N11" s="113" t="inlineStr">
        <is>
          <t>language-learning, social-media, community-management, mascot, stunt, united-states, organic-content</t>
        </is>
      </c>
    </row>
    <row r="12">
      <c r="A12" s="127" t="n">
        <v>2025</v>
      </c>
      <c r="B12" s="132" t="inlineStr">
        <is>
          <t>Silver</t>
        </is>
      </c>
      <c r="C12" s="127" t="inlineStr">
        <is>
          <t>Gulf of Mexico (bar)</t>
        </is>
      </c>
      <c r="D12" s="127" t="inlineStr">
        <is>
          <t>Tecate</t>
        </is>
      </c>
      <c r="E12" s="127" t="inlineStr">
        <is>
          <t>Tecate Light</t>
        </is>
      </c>
      <c r="F12" s="127" t="inlineStr">
        <is>
          <t>Lepub</t>
        </is>
      </c>
      <c r="G12" s="127" t="inlineStr">
        <is>
          <t>Mexico</t>
        </is>
      </c>
      <c r="H12" s="113" t="inlineStr">
        <is>
          <t>Market Disruption</t>
        </is>
      </c>
      <c r="I12" s="128" t="inlineStr">
        <is>
          <t>https://ascentialcdn.filespin.io/api/v1/conversion/afa88aa8421b41a18c68b9863bb6926c</t>
        </is>
      </c>
      <c r="J12" s="127" t="inlineStr">
        <is>
          <t>vimeo:1092263623</t>
        </is>
      </c>
      <c r="K12" s="127" t="n"/>
      <c r="L12" s="128" t="inlineStr">
        <is>
          <t>https://www.lovethework.com/work/entries/gulf-of-mexico-bar-743548</t>
        </is>
      </c>
      <c r="M12"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2" s="113" t="inlineStr">
        <is>
          <t>ooh, brand-stunt, political-commentary, beer, alcohol, packaging, mexico, branded-venue, special-edition</t>
        </is>
      </c>
    </row>
    <row r="13">
      <c r="A13" s="127" t="n">
        <v>2025</v>
      </c>
      <c r="B13" s="132" t="inlineStr">
        <is>
          <t>Silver</t>
        </is>
      </c>
      <c r="C13" s="127" t="inlineStr">
        <is>
          <t>Redditor Edit</t>
        </is>
      </c>
      <c r="D13" s="127" t="inlineStr">
        <is>
          <t>Skoda</t>
        </is>
      </c>
      <c r="E13" s="127" t="inlineStr">
        <is>
          <t>Å Koda Octavia</t>
        </is>
      </c>
      <c r="F13" s="127" t="inlineStr">
        <is>
          <t>Leo</t>
        </is>
      </c>
      <c r="G13" s="127" t="inlineStr">
        <is>
          <t>United Kingdom</t>
        </is>
      </c>
      <c r="H13" s="113" t="inlineStr">
        <is>
          <t>Audience Targeting/Engagement Strategies</t>
        </is>
      </c>
      <c r="I13" s="128" t="inlineStr">
        <is>
          <t>https://ascentialcdn.filespin.io/api/v1/conversion/7581a597717542d6b5b354f2ffcb56a5</t>
        </is>
      </c>
      <c r="J13" s="127" t="inlineStr">
        <is>
          <t>KmLMtKsmwqA</t>
        </is>
      </c>
      <c r="K13" s="127" t="n"/>
      <c r="L13" s="128" t="inlineStr">
        <is>
          <t>https://www.lovethework.com/work/entries/redditor-edit-742379</t>
        </is>
      </c>
      <c r="M13" s="113" t="inlineStr">
        <is>
          <t>A car reveal built entirely around the organic opinions of r/CarTalkUK — a Reddit community of over 350,000 members — where Škoda identified dedicated followers who had publicly discussed what they wanted in a next-generation car, then used those real comments to shape the presentation of the fourth-generation Octavia. PHD London structured the campaign so that the audience's own words, posted before any brand involvement, became the editorial voice of the launch.</t>
        </is>
      </c>
      <c r="N13" s="113" t="inlineStr">
        <is>
          <t>automotive, cars, transport, social-media, reddit, community, user-generated-content, united-kingdom, launch, skoda-octavia</t>
        </is>
      </c>
    </row>
    <row r="14">
      <c r="A14" s="127" t="n">
        <v>2025</v>
      </c>
      <c r="B14" s="132" t="inlineStr">
        <is>
          <t>Silver</t>
        </is>
      </c>
      <c r="C14" s="127" t="inlineStr">
        <is>
          <t>Fizzooka</t>
        </is>
      </c>
      <c r="D14" s="127" t="inlineStr">
        <is>
          <t>Perfetti Van Melle</t>
        </is>
      </c>
      <c r="E14" s="127" t="inlineStr">
        <is>
          <t>Mentos</t>
        </is>
      </c>
      <c r="F14" s="127" t="inlineStr">
        <is>
          <t>BBH</t>
        </is>
      </c>
      <c r="G14" s="127" t="inlineStr">
        <is>
          <t>United Kingdom</t>
        </is>
      </c>
      <c r="H14" s="113" t="inlineStr">
        <is>
          <t>Creator Collaboration</t>
        </is>
      </c>
      <c r="I14" s="128" t="inlineStr">
        <is>
          <t>https://ascentialcdn.filespin.io/api/v1/conversion/f5ffbe1532054f85b7f9f9b7fba1f1ee</t>
        </is>
      </c>
      <c r="J14" s="127" t="inlineStr">
        <is>
          <t>TgjfKovV888</t>
        </is>
      </c>
      <c r="K14" s="127" t="n"/>
      <c r="L14" s="128" t="inlineStr">
        <is>
          <t>https://www.lovethework.com/work/entries/fizzooka-742654</t>
        </is>
      </c>
      <c r="M14" s="113" t="inlineStr">
        <is>
          <t>A custom rocket launcher built inside Fortnite Creative that uses the Mentos and cola fizz reaction as its mechanic — firing at opponents blasts them across the map and destroys their builds. Delivered by BBH London, the Fizzooka carried the longstanding internet experiment into a playable weapon within Fortnite's anti-build game mode.</t>
        </is>
      </c>
      <c r="N14" s="113" t="inlineStr">
        <is>
          <t>confectionery, candy, snack, packaged-goods, food, cpg, fmcg, gaming, video-games, entertainment, fortnite, brand-partnership, interactive, united-kingdom, virtual-item, user-participation</t>
        </is>
      </c>
    </row>
    <row r="15">
      <c r="A15" s="127" t="n">
        <v>2025</v>
      </c>
      <c r="B15" s="132" t="inlineStr">
        <is>
          <t>Silver</t>
        </is>
      </c>
      <c r="C15" s="127" t="inlineStr">
        <is>
          <t>Severance S2 - Integrated Campaign</t>
        </is>
      </c>
      <c r="D15" s="127" t="inlineStr">
        <is>
          <t>Apple</t>
        </is>
      </c>
      <c r="E15" s="127" t="inlineStr">
        <is>
          <t>Original Series on Apple TV+</t>
        </is>
      </c>
      <c r="F15" s="127" t="inlineStr">
        <is>
          <t>Apple</t>
        </is>
      </c>
      <c r="G15" s="127" t="inlineStr">
        <is>
          <t>United States</t>
        </is>
      </c>
      <c r="H15" s="113" t="inlineStr">
        <is>
          <t>Multi-Platform Social Campaign</t>
        </is>
      </c>
      <c r="I15" s="128" t="inlineStr">
        <is>
          <t>https://ascentialcdn.filespin.io/api/v1/conversion/c0034932e80d4cb1aa654cc85c066b7e</t>
        </is>
      </c>
      <c r="J15" s="127" t="inlineStr">
        <is>
          <t>QPJtgjoqtdw</t>
        </is>
      </c>
      <c r="K15" s="127" t="n"/>
      <c r="L15" s="128" t="inlineStr">
        <is>
          <t>https://www.lovethework.com/work/entries/severance-s2-integrated-campaign-743040</t>
        </is>
      </c>
      <c r="M15" s="113" t="inlineStr">
        <is>
          <t>For Severance Season 2, Apple brought Lumon Industries out of the show and into the real world through workplace memes, creator content, cryptic teasers, pop-ups, partnerships and unexpected media moments. The campaign made the show's strange corporate dystopia feel culturally unavoidable, helping turn Severance into Apple TV+'s most-watched series ever.</t>
        </is>
      </c>
      <c r="N15" s="113" t="inlineStr">
        <is>
          <t>streaming, tv, entertainment, integrated, partnership, social, ooh, ip, united-states</t>
        </is>
      </c>
    </row>
    <row r="16">
      <c r="A16" s="127" t="n">
        <v>2025</v>
      </c>
      <c r="B16" s="132" t="inlineStr">
        <is>
          <t>Silver</t>
        </is>
      </c>
      <c r="C16" s="127" t="inlineStr">
        <is>
          <t>Tide Collateral Stain Stories</t>
        </is>
      </c>
      <c r="D16" s="127" t="inlineStr">
        <is>
          <t>Tide</t>
        </is>
      </c>
      <c r="E16" s="127" t="inlineStr">
        <is>
          <t>Tide Oxi Boost</t>
        </is>
      </c>
      <c r="F16" s="127" t="inlineStr">
        <is>
          <t>Saatchi &amp; Saatchi</t>
        </is>
      </c>
      <c r="G16" s="127" t="inlineStr">
        <is>
          <t>United States</t>
        </is>
      </c>
      <c r="H16" s="113" t="inlineStr">
        <is>
          <t>Brand Storytelling</t>
        </is>
      </c>
      <c r="I16" s="128" t="inlineStr">
        <is>
          <t>https://ascentialcdn.filespin.io/api/v1/conversion/2e880efa163040b884c55c34c5aa79f9</t>
        </is>
      </c>
      <c r="J16" s="127" t="inlineStr">
        <is>
          <t>vimeo:1078053795</t>
        </is>
      </c>
      <c r="K16" s="127" t="n"/>
      <c r="L16" s="128" t="inlineStr">
        <is>
          <t>https://www.lovethework.com/work/entries/tide-collateral-stain-stories-742510</t>
        </is>
      </c>
      <c r="M16"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16" s="113" t="inlineStr">
        <is>
          <t>laundry, branded-content, brand-partnership, film, cinema, entertainment, united-states, sponsorship, saatchi-and-saatchi</t>
        </is>
      </c>
    </row>
    <row r="17">
      <c r="A17" s="127" t="n">
        <v>2025</v>
      </c>
      <c r="B17" s="132" t="inlineStr">
        <is>
          <t>Silver</t>
        </is>
      </c>
      <c r="C17" s="127" t="inlineStr">
        <is>
          <t>Retro Influencers</t>
        </is>
      </c>
      <c r="D17" s="127" t="inlineStr">
        <is>
          <t>Skol</t>
        </is>
      </c>
      <c r="E17" s="127" t="inlineStr">
        <is>
          <t>Skol</t>
        </is>
      </c>
      <c r="F17" s="127" t="inlineStr">
        <is>
          <t>Gut</t>
        </is>
      </c>
      <c r="G17" s="127" t="inlineStr">
        <is>
          <t>Brazil</t>
        </is>
      </c>
      <c r="H17" s="113" t="inlineStr">
        <is>
          <t>Co-Creation &amp; User Generated Content</t>
        </is>
      </c>
      <c r="I17" s="128" t="inlineStr">
        <is>
          <t>https://ascentialcdn.filespin.io/api/v1/conversion/16704911a39145c09f1ae466143b410d</t>
        </is>
      </c>
      <c r="J17" s="127" t="inlineStr">
        <is>
          <t>FKLnmbWukt0</t>
        </is>
      </c>
      <c r="K17" s="127" t="n"/>
      <c r="L17" s="128" t="inlineStr">
        <is>
          <t>https://www.lovethework.com/work/entries/retro-influencers-743091</t>
        </is>
      </c>
      <c r="M17" s="113" t="inlineStr">
        <is>
          <t>A social media mechanic built around Skol's dormant archive of tagged content — years of organic posts in which consumers had already photographed themselves with the beer. Skol asked those original posters to retag the old content, and in exchange paid them in beer, effectively converting an untapped back-catalogue of authentic user content into a compensated influencer network.</t>
        </is>
      </c>
      <c r="N17" s="113" t="inlineStr">
        <is>
          <t>beer, alcohol, social-media, user-generated-content, influencer-marketing, brazil, organic-content, community</t>
        </is>
      </c>
    </row>
    <row r="18">
      <c r="A18" s="127" t="n">
        <v>2025</v>
      </c>
      <c r="B18" s="132" t="inlineStr">
        <is>
          <t>Silver</t>
        </is>
      </c>
      <c r="C18" s="127" t="inlineStr">
        <is>
          <t>Lay's Bar Crawl</t>
        </is>
      </c>
      <c r="D18" s="127" t="inlineStr">
        <is>
          <t>Lay's</t>
        </is>
      </c>
      <c r="E18" s="127" t="inlineStr">
        <is>
          <t>Lay's</t>
        </is>
      </c>
      <c r="F18" s="127" t="inlineStr">
        <is>
          <t>Slap Global</t>
        </is>
      </c>
      <c r="G18" s="127" t="inlineStr">
        <is>
          <t>Argentina</t>
        </is>
      </c>
      <c r="H18" s="113" t="inlineStr">
        <is>
          <t>Multi-Platform Social Campaign</t>
        </is>
      </c>
      <c r="I18" s="128" t="inlineStr">
        <is>
          <t>https://ascentialcdn.filespin.io/api/v1/conversion/cc887f9119c440728c26ede9e95b1ad2</t>
        </is>
      </c>
      <c r="J18" s="127" t="inlineStr">
        <is>
          <t>HHZjLH4UCS0</t>
        </is>
      </c>
      <c r="K18" s="127" t="n"/>
      <c r="L18" s="128" t="inlineStr">
        <is>
          <t>https://www.lovethework.com/work/entries/lays-bar-crawl-743116</t>
        </is>
      </c>
      <c r="M18" s="113" t="inlineStr">
        <is>
          <t>A bar crawl campaign built around Lay's chip flavors in Argentina, pairing each flavor with a specific bar or drink stop along a mapped nightlife route. Created by Slap Global, the mechanic used the humor of matching snack taste profiles — smoky, tangy, spicy — to the personality of each venue on the crawl.</t>
        </is>
      </c>
      <c r="N18" s="113" t="inlineStr">
        <is>
          <t>snack, food, packaged-goods, cpg, fmcg, experiential, out-of-home, humour, argentina, nightlife, latin-america</t>
        </is>
      </c>
    </row>
    <row r="19">
      <c r="A19" s="127" t="n">
        <v>2025</v>
      </c>
      <c r="B19" s="132" t="inlineStr">
        <is>
          <t>Silver</t>
        </is>
      </c>
      <c r="C19" s="127" t="inlineStr">
        <is>
          <t>Name This Oreo</t>
        </is>
      </c>
      <c r="D19" s="127" t="inlineStr">
        <is>
          <t>Oreo</t>
        </is>
      </c>
      <c r="E19" s="127" t="inlineStr">
        <is>
          <t>Oreo</t>
        </is>
      </c>
      <c r="F19" s="127" t="inlineStr">
        <is>
          <t>VML</t>
        </is>
      </c>
      <c r="G19" s="127" t="inlineStr">
        <is>
          <t>United States</t>
        </is>
      </c>
      <c r="H19" s="113" t="inlineStr">
        <is>
          <t>Creator Collaboration</t>
        </is>
      </c>
      <c r="I19" s="127" t="inlineStr">
        <is>
          <t>digital-presentation-images/social-and-creator-oreo-name-this-oreo.webp</t>
        </is>
      </c>
      <c r="J19" s="127" t="inlineStr">
        <is>
          <t>vimeo:1078732737</t>
        </is>
      </c>
      <c r="K19" s="127" t="n"/>
      <c r="L19" s="128" t="inlineStr">
        <is>
          <t>https://www.lovethework.com/work/entries/name-this-oreo-765219</t>
        </is>
      </c>
      <c r="M19"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19" s="113" t="inlineStr">
        <is>
          <t>snack, food, packaged-goods, cpg, fmcg, voice-activation, mobile-app, social-influencer, gamification, united-states, tiktok, audio</t>
        </is>
      </c>
    </row>
    <row r="20">
      <c r="A20" s="127" t="n">
        <v>2025</v>
      </c>
      <c r="B20" s="132" t="inlineStr">
        <is>
          <t>Silver</t>
        </is>
      </c>
      <c r="C20" s="127" t="inlineStr">
        <is>
          <t>Name This Oreo</t>
        </is>
      </c>
      <c r="D20" s="127" t="inlineStr">
        <is>
          <t>Oreo</t>
        </is>
      </c>
      <c r="E20" s="127" t="inlineStr">
        <is>
          <t>Oreo</t>
        </is>
      </c>
      <c r="F20" s="127" t="inlineStr">
        <is>
          <t>VML</t>
        </is>
      </c>
      <c r="G20" s="127" t="inlineStr">
        <is>
          <t>United States</t>
        </is>
      </c>
      <c r="H20" s="113" t="inlineStr">
        <is>
          <t>Social Listening &amp; Insight</t>
        </is>
      </c>
      <c r="I20" s="127" t="inlineStr">
        <is>
          <t>digital-presentation-images/social-and-creator-oreo-name-this-oreo.webp</t>
        </is>
      </c>
      <c r="J20" s="127" t="inlineStr">
        <is>
          <t>vimeo:1078732737</t>
        </is>
      </c>
      <c r="K20" s="127" t="n"/>
      <c r="L20" s="128" t="inlineStr">
        <is>
          <t>https://www.lovethework.com/work/entries/name-this-oreo-765219</t>
        </is>
      </c>
      <c r="M20" s="113" t="inlineStr">
        <is>
          <t>A voice-activated web game at namethisoreo.com that turns "OREO Grammar" — a viral internet meme in which cookie-and-creme combinations are read aloud as sequences of "O" (cookie) and "RE" (creme) — into a timed naming challenge. Players speak the correct O-RE sequence for each stacked OREO combination shown on screen, build streaks, and unlock cookie offers. The campaign launched in partnership with TikTok's 2024 Creator of the Year, @OHIOSATOYUBOSS, whose existing OREO Grammar content made him the natural host.</t>
        </is>
      </c>
      <c r="N20" s="113" t="inlineStr">
        <is>
          <t>snack, food, packaged-goods, cpg, fmcg, voice-activation, mobile-app, social-influencer, gamification, united-states, tiktok, audio</t>
        </is>
      </c>
    </row>
    <row r="21">
      <c r="A21" s="127" t="n">
        <v>2025</v>
      </c>
      <c r="B21" s="132" t="inlineStr">
        <is>
          <t>Silver</t>
        </is>
      </c>
      <c r="C21" s="127" t="inlineStr">
        <is>
          <t>Call of Discounts</t>
        </is>
      </c>
      <c r="D21" s="127" t="inlineStr">
        <is>
          <t>Mercado Livre</t>
        </is>
      </c>
      <c r="E21" s="127" t="inlineStr">
        <is>
          <t>Mercado Livre</t>
        </is>
      </c>
      <c r="F21" s="127" t="inlineStr">
        <is>
          <t>Gut</t>
        </is>
      </c>
      <c r="G21" s="127" t="inlineStr">
        <is>
          <t>Brazil</t>
        </is>
      </c>
      <c r="H21" s="113" t="inlineStr">
        <is>
          <t>Content Placement</t>
        </is>
      </c>
      <c r="I21" s="128" t="inlineStr">
        <is>
          <t>https://ascentialcdn.filespin.io/api/v1/conversion/fffcddb9a87d448bbc386fd70d215d5e</t>
        </is>
      </c>
      <c r="J21" s="127" t="inlineStr">
        <is>
          <t>vimeo:1093409251</t>
        </is>
      </c>
      <c r="K21" s="127" t="n"/>
      <c r="L21" s="128" t="inlineStr">
        <is>
          <t>https://www.lovethework.com/work/entries/call-of-discounts-742896</t>
        </is>
      </c>
      <c r="M21" s="113" t="inlineStr">
        <is>
          <t>A promotion built inside Call of Duty's "Disguise" mini-game — a mode where players hide by blending into everyday objects — in which Mercado Livre listed those in-game objects as actual purchasable products on its marketplace, with Neymar appearing in-game as a playable character tied to the campaign. Shoppers could buy real-world versions of the items their opponents were literally hiding as, collapsing the boundary between the game environment and the e-commerce storefront.</t>
        </is>
      </c>
      <c r="N21" s="113" t="inlineStr">
        <is>
          <t>e-commerce, gaming, video-games, entertainment, mobile-app, call-of-duty, in-game, brazil, celebrity, gut-sao-paulo</t>
        </is>
      </c>
    </row>
    <row r="22">
      <c r="A22" s="127" t="n">
        <v>2025</v>
      </c>
      <c r="B22" s="132" t="inlineStr">
        <is>
          <t>Silver</t>
        </is>
      </c>
      <c r="C22" s="127" t="inlineStr">
        <is>
          <t>Vaseline Verified</t>
        </is>
      </c>
      <c r="D22" s="127" t="inlineStr">
        <is>
          <t>Unilever</t>
        </is>
      </c>
      <c r="E22" s="127" t="inlineStr">
        <is>
          <t>Vaseline</t>
        </is>
      </c>
      <c r="F22" s="127" t="inlineStr">
        <is>
          <t>Ogilvy</t>
        </is>
      </c>
      <c r="G22" s="127" t="inlineStr">
        <is>
          <t>Singapore</t>
        </is>
      </c>
      <c r="H22" s="113" t="inlineStr">
        <is>
          <t>Healthcare</t>
        </is>
      </c>
      <c r="I22" s="128" t="inlineStr">
        <is>
          <t>https://ascentialcdn.filespin.io/api/v1/conversion/faf0755b0d4e4594ad93cb75d6288e3d</t>
        </is>
      </c>
      <c r="J22" s="127" t="inlineStr">
        <is>
          <t>vimeo:1082798104</t>
        </is>
      </c>
      <c r="K22" s="127" t="n"/>
      <c r="L22" s="128" t="inlineStr">
        <is>
          <t>https://www.lovethework.com/work/entries/vaseline-verified-742181</t>
        </is>
      </c>
      <c r="M2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2" s="113" t="inlineStr">
        <is>
          <t>skincare, personal-care, beauty, community-management, social-media, user-generated-content, ooh, singapore, health-wellness, dermatology</t>
        </is>
      </c>
    </row>
    <row r="23">
      <c r="A23" s="127" t="n">
        <v>2025</v>
      </c>
      <c r="B23" s="132" t="inlineStr">
        <is>
          <t>Silver</t>
        </is>
      </c>
      <c r="C23" s="127" t="inlineStr">
        <is>
          <t>The Ordinary Life Hearing Test</t>
        </is>
      </c>
      <c r="D23" s="127" t="inlineStr">
        <is>
          <t>The Foundation for the Deaf</t>
        </is>
      </c>
      <c r="E23" s="127" t="inlineStr">
        <is>
          <t>The Foundation for the Deaf</t>
        </is>
      </c>
      <c r="F23" s="127" t="inlineStr">
        <is>
          <t>CJ Worx</t>
        </is>
      </c>
      <c r="G23" s="127" t="inlineStr">
        <is>
          <t>Thailand</t>
        </is>
      </c>
      <c r="H23" s="113" t="inlineStr">
        <is>
          <t>Content Placement</t>
        </is>
      </c>
      <c r="I23" s="127" t="inlineStr">
        <is>
          <t>digital-presentation-images/social-and-creator-the-foundation-for-the-deaf-the-ordinary-life-hearing-test.webp</t>
        </is>
      </c>
      <c r="J23" s="127" t="inlineStr">
        <is>
          <t>-FHyIakCLE4</t>
        </is>
      </c>
      <c r="K23" s="127" t="n"/>
      <c r="L23" s="128" t="inlineStr">
        <is>
          <t>https://www.lovethework.com/work/entries/the-ordinary-life-hearing-test-742956</t>
        </is>
      </c>
      <c r="M23" s="113" t="inlineStr">
        <is>
          <t>A hearing test embedded inside everyday Thai content — lifestyle videos, cooking clips, news segments — by embedding 2,000–4,000 Hz tones into the audio tracks of videos made by over 30 Thai content creators, including TNN, Parinnam Music, and MixSajay. Viewers watching normally through headphones are asked whether they can hear specific high-frequency sounds in the footage; struggle to detect them is flagged as a potential early sign of hearing loss, targeting the frequency range most responsible for consonant recognition in speech.</t>
        </is>
      </c>
      <c r="N23" s="113" t="inlineStr">
        <is>
          <t>public-health, content-placement, hearing-loss, thailand, audio, digital-video, creator-partnership, social-media, awareness</t>
        </is>
      </c>
    </row>
    <row r="24">
      <c r="A24" s="127" t="n">
        <v>2025</v>
      </c>
      <c r="B24" s="132" t="inlineStr">
        <is>
          <t>Silver</t>
        </is>
      </c>
      <c r="C24" s="127" t="inlineStr">
        <is>
          <t>Learn Korean or Else</t>
        </is>
      </c>
      <c r="D24" s="127" t="inlineStr">
        <is>
          <t>Duolingo | Netflix</t>
        </is>
      </c>
      <c r="E24" s="127" t="inlineStr">
        <is>
          <t>Duolingo | Netflix</t>
        </is>
      </c>
      <c r="F24" s="127" t="inlineStr">
        <is>
          <t>Duolingo</t>
        </is>
      </c>
      <c r="G24" s="127" t="inlineStr">
        <is>
          <t>United States</t>
        </is>
      </c>
      <c r="H24" s="113" t="inlineStr">
        <is>
          <t>Sponsorship &amp; Brand Partnership</t>
        </is>
      </c>
      <c r="I24" s="128" t="inlineStr">
        <is>
          <t>https://ascentialcdn.filespin.io/api/v1/conversion/e3dd4e261f53452d8b3606a823b3c38e</t>
        </is>
      </c>
      <c r="J24" s="127" t="inlineStr">
        <is>
          <t>vimeo:1043774871</t>
        </is>
      </c>
      <c r="K24" s="127" t="n"/>
      <c r="L24" s="128" t="inlineStr">
        <is>
          <t>https://www.lovethework.com/work/entries/learn-korean-or-else-743038</t>
        </is>
      </c>
      <c r="M24" s="113" t="inlineStr">
        <is>
          <t>A brand partnership between Duolingo and Netflix timed to the December 26, 2024 premiere of Squid Game Season 2, in which Duo the Owl is costumed as one of the show's Pink Guards and threatens users to complete their Korean lessons. The campaign added over 40 Squid Game-specific phrases to Duolingo's Korean course, folding the show's high-stakes premise directly into the app's existing streak-pressure mechanic.</t>
        </is>
      </c>
      <c r="N24" s="113" t="inlineStr">
        <is>
          <t>language-learning, streaming, tv, entertainment, brand-partnership, mobile-app, united-states, social-media, mascot</t>
        </is>
      </c>
    </row>
    <row r="25">
      <c r="A25" s="127" t="n">
        <v>2025</v>
      </c>
      <c r="B25" s="132" t="inlineStr">
        <is>
          <t>Silver</t>
        </is>
      </c>
      <c r="C25" s="127" t="inlineStr">
        <is>
          <t>Diss-Mas</t>
        </is>
      </c>
      <c r="D25" s="127" t="inlineStr">
        <is>
          <t>Mga Entertainment</t>
        </is>
      </c>
      <c r="E25" s="127" t="inlineStr">
        <is>
          <t>Bratz, Little Tikes, Miniverse, L.o.l. Surprise!, Rainbow High, Yummiland, Baby Born, Pixel Petz, Grossmos, Cartuned, Finders Creepers</t>
        </is>
      </c>
      <c r="F25" s="127" t="inlineStr">
        <is>
          <t>Virtue Worldwide</t>
        </is>
      </c>
      <c r="G25" s="127" t="inlineStr">
        <is>
          <t>United States</t>
        </is>
      </c>
      <c r="H25" s="113" t="inlineStr">
        <is>
          <t>Creator Collaboration</t>
        </is>
      </c>
      <c r="I25" s="128" t="inlineStr">
        <is>
          <t>https://ascentialcdn.filespin.io/api/v1/conversion/86defc97414f43e0a94ca2bff0946f93</t>
        </is>
      </c>
      <c r="J25" s="127" t="inlineStr">
        <is>
          <t>eGNI9Rlv65s</t>
        </is>
      </c>
      <c r="K25" s="127" t="n"/>
      <c r="L25" s="128" t="inlineStr">
        <is>
          <t>https://www.lovethework.com/work/entries/diss-mas-742726</t>
        </is>
      </c>
      <c r="M25" s="113" t="inlineStr">
        <is>
          <t>A holiday diss track music video featuring TikTok-viral creator The Rizzler, produced with Pulse Films, in which the rapper "schools" adult gift-givers on the specific MGA Entertainment toys kids actually want — calling out gift cards and off-brand choices across MGA's lineup of Bratz, L.O.L. Surprise!, Rainbow High, Little Tikes, and eight other toy properties. The video was distributed as a piece of shoppable content, routing viewers directly to the products being dissed-for.</t>
        </is>
      </c>
      <c r="N25" s="113" t="inlineStr">
        <is>
          <t>toy, music-video, creator-collaboration, tiktok, shoppable-content, holiday, united-states, kids, entertainment</t>
        </is>
      </c>
    </row>
    <row r="26">
      <c r="A26" s="127" t="n">
        <v>2025</v>
      </c>
      <c r="B26" s="133" t="inlineStr">
        <is>
          <t>Bronze</t>
        </is>
      </c>
      <c r="C26" s="127" t="inlineStr">
        <is>
          <t>Pedigree Caramelo</t>
        </is>
      </c>
      <c r="D26" s="127" t="inlineStr">
        <is>
          <t>Pedigree</t>
        </is>
      </c>
      <c r="E26" s="127" t="inlineStr">
        <is>
          <t>Pedigree</t>
        </is>
      </c>
      <c r="F26" s="127" t="inlineStr">
        <is>
          <t>AlmapBBDO</t>
        </is>
      </c>
      <c r="G26" s="127" t="inlineStr">
        <is>
          <t>Brazil</t>
        </is>
      </c>
      <c r="H26" s="113" t="inlineStr">
        <is>
          <t>Corporate Purpose &amp; Social Responsibility</t>
        </is>
      </c>
      <c r="I26" s="128" t="inlineStr">
        <is>
          <t>https://ascentialcdn.filespin.io/api/v1/conversion/9a3e971b881d4a4ca39d80b57dd71382</t>
        </is>
      </c>
      <c r="J26" s="127" t="inlineStr">
        <is>
          <t>prMM0H9psRs</t>
        </is>
      </c>
      <c r="K26" s="127" t="n"/>
      <c r="L26" s="128" t="inlineStr">
        <is>
          <t>https://www.lovethework.com/work/entries/pedigree-caramelo-760896</t>
        </is>
      </c>
      <c r="M26"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26" s="113" t="inlineStr">
        <is>
          <t>dog-food, brazil, shelter-adoption, branded-experience, packaging, public-service, mixed-breed, brand-strategy, pet-care</t>
        </is>
      </c>
    </row>
    <row r="27">
      <c r="A27" s="127" t="n">
        <v>2025</v>
      </c>
      <c r="B27" s="133" t="inlineStr">
        <is>
          <t>Bronze</t>
        </is>
      </c>
      <c r="C27" s="127" t="inlineStr">
        <is>
          <t>Undeleted</t>
        </is>
      </c>
      <c r="D27" s="127" t="inlineStr">
        <is>
          <t>Dove</t>
        </is>
      </c>
      <c r="E27" s="127" t="inlineStr">
        <is>
          <t>Deodorant</t>
        </is>
      </c>
      <c r="F27" s="127" t="inlineStr">
        <is>
          <t>VML</t>
        </is>
      </c>
      <c r="G27" s="127" t="inlineStr">
        <is>
          <t>Argentina</t>
        </is>
      </c>
      <c r="H27" s="113" t="inlineStr">
        <is>
          <t>Corporate Purpose &amp; Social Responsibility</t>
        </is>
      </c>
      <c r="I27" s="128" t="inlineStr">
        <is>
          <t>https://ascentialcdn.filespin.io/api/v1/conversion/70f6c404ba5843648150004783102991</t>
        </is>
      </c>
      <c r="J27" s="127" t="inlineStr">
        <is>
          <t>2V3ZDb5kow0</t>
        </is>
      </c>
      <c r="K27" s="127" t="n"/>
      <c r="L27" s="128" t="inlineStr">
        <is>
          <t>https://www.lovethework.com/work/entries/undeleted-743391</t>
        </is>
      </c>
      <c r="M27" s="113" t="inlineStr">
        <is>
          <t>A photo exhibition in Argentina displaying images that women had deleted from social media after receiving hateful comments — recovering and displaying the erased self-portraits as the subject of the show. The work responds to the reality that 8 in 10 women receive hate online, and that the reflex response is to remove the photo rather than the abuse.</t>
        </is>
      </c>
      <c r="N27" s="113" t="inlineStr">
        <is>
          <t>deodorant, personal-care, beauty, exhibition, social-media, corporate-purpose, argentina, ooh, female-audience, online-hate</t>
        </is>
      </c>
    </row>
    <row r="28">
      <c r="A28" s="127" t="n">
        <v>2025</v>
      </c>
      <c r="B28" s="133" t="inlineStr">
        <is>
          <t>Bronze</t>
        </is>
      </c>
      <c r="C28" s="127" t="inlineStr">
        <is>
          <t>Someday</t>
        </is>
      </c>
      <c r="D28" s="127" t="inlineStr">
        <is>
          <t>Apple</t>
        </is>
      </c>
      <c r="E28" s="127" t="inlineStr">
        <is>
          <t>Airpods</t>
        </is>
      </c>
      <c r="F28" s="127" t="inlineStr">
        <is>
          <t>TBWA\Media Arts Lab</t>
        </is>
      </c>
      <c r="G28" s="127" t="inlineStr">
        <is>
          <t>United States</t>
        </is>
      </c>
      <c r="H28" s="113" t="inlineStr">
        <is>
          <t>Social Film</t>
        </is>
      </c>
      <c r="I28" s="128" t="inlineStr">
        <is>
          <t>https://ascentialcdn.filespin.io/api/v1/conversion/475e966b12d5487d962412c02cc3eba4</t>
        </is>
      </c>
      <c r="J28" s="127" t="inlineStr">
        <is>
          <t>vimeo:1067749538</t>
        </is>
      </c>
      <c r="K28" s="127" t="n"/>
      <c r="L28" s="128" t="inlineStr">
        <is>
          <t>https://www.lovethework.com/work/entries/someday-743009</t>
        </is>
      </c>
      <c r="M28" s="113" t="inlineStr">
        <is>
          <t>A short film directed by Spike Jonze in which Pedro Pascal, isolated in a frozen winter landscape after a breakup, taps Active Noise Cancellation on his AirPods 4 and is pulled into a warm, choreographed world in full color. Made with TBWA\Media Arts Lab Los Angeles, it marks Jonze's second collaboration with Apple after his 2018 HomePod film featuring FKA Twigs.</t>
        </is>
      </c>
      <c r="N28" s="113" t="inlineStr">
        <is>
          <t>airpods, consumer-electronics, online-film, viral-film, celebrity, choreography, united-states, spike-jonze, tbwa-media-arts-lab</t>
        </is>
      </c>
    </row>
    <row r="29">
      <c r="A29" s="127" t="n">
        <v>2025</v>
      </c>
      <c r="B29" s="133" t="inlineStr">
        <is>
          <t>Bronze</t>
        </is>
      </c>
      <c r="C29" s="127" t="inlineStr">
        <is>
          <t>Four Seasons Baby</t>
        </is>
      </c>
      <c r="D29" s="127" t="inlineStr">
        <is>
          <t>Four Seasons Hotels &amp; Resorts</t>
        </is>
      </c>
      <c r="E29" s="127" t="inlineStr">
        <is>
          <t>Social Campaign</t>
        </is>
      </c>
      <c r="F29" s="127" t="inlineStr">
        <is>
          <t>We Are Social</t>
        </is>
      </c>
      <c r="G29" s="127" t="inlineStr">
        <is>
          <t>Canada</t>
        </is>
      </c>
      <c r="H29" s="113" t="inlineStr">
        <is>
          <t>Real-Time Response</t>
        </is>
      </c>
      <c r="I29" s="128" t="inlineStr">
        <is>
          <t>https://ascentialcdn.filespin.io/api/v1/conversion/b5a740dfdc0d4568a12c4e6ce327e1a1</t>
        </is>
      </c>
      <c r="J29" s="127" t="inlineStr">
        <is>
          <t>vimeo:1058771553</t>
        </is>
      </c>
      <c r="K29" s="127" t="n"/>
      <c r="L29" s="128" t="inlineStr">
        <is>
          <t>https://www.lovethework.com/work/entries/four-seasons-baby-742458</t>
        </is>
      </c>
      <c r="M29" s="113" t="inlineStr">
        <is>
          <t>A stitched TikTok video Four Seasons Hotels &amp; Resorts posted in response to a viral "fully conscious baby" meme, splicing the trending audio and format into footage of Four Seasons Orlando and its hotel staff. We Are Social Toronto turned the real-time response around rapidly enough to ride the meme's peak circulation window.</t>
        </is>
      </c>
      <c r="N29" s="113" t="inlineStr">
        <is>
          <t>hospitality, social-media, tiktok, real-time-response, user-generated-content, canada, organic-social</t>
        </is>
      </c>
    </row>
    <row r="30">
      <c r="A30" s="127" t="n">
        <v>2025</v>
      </c>
      <c r="B30" s="133" t="inlineStr">
        <is>
          <t>Bronze</t>
        </is>
      </c>
      <c r="C30" s="127" t="inlineStr">
        <is>
          <t>Abracadabra: from Fan to Featured</t>
        </is>
      </c>
      <c r="D30" s="127" t="inlineStr">
        <is>
          <t>Mastercard</t>
        </is>
      </c>
      <c r="E30" s="127" t="inlineStr">
        <is>
          <t>Mastercard</t>
        </is>
      </c>
      <c r="F30" s="127" t="inlineStr">
        <is>
          <t>McCANN XBC</t>
        </is>
      </c>
      <c r="G30" s="127" t="inlineStr">
        <is>
          <t>United States</t>
        </is>
      </c>
      <c r="H30" s="113" t="inlineStr">
        <is>
          <t>Sponsorship &amp; Brand Partnership</t>
        </is>
      </c>
      <c r="I30" s="128" t="inlineStr">
        <is>
          <t>https://ascentialcdn.filespin.io/api/v1/conversion/2c42f51097e14b1c9252656b853fc08f</t>
        </is>
      </c>
      <c r="J30" s="127" t="inlineStr">
        <is>
          <t>vimeo:1093143827</t>
        </is>
      </c>
      <c r="K30" s="127" t="n"/>
      <c r="L30" s="128" t="inlineStr">
        <is>
          <t>https://www.lovethework.com/work/entries/abracadabra-from-fan-to-featured-759424</t>
        </is>
      </c>
      <c r="M30" s="113" t="inlineStr">
        <is>
          <t>A music video for Lady Gaga's "Abracadabra" that replaced background dancers with Mastercard-selected fans, sourced through an open casting call and integrated into the official release. The project was produced in partnership with Merman U.S. and McCann XBC New York, turning a commercial sponsorship into a fan-to-screen pipeline with a mainstream music video as the delivery vehicle.</t>
        </is>
      </c>
      <c r="N30" s="113" t="inlineStr">
        <is>
          <t>credit-card, credit, payments, fintech, financial-services, finance, music-video, fan-engagement, entertainment, social-media, united-states, community-building</t>
        </is>
      </c>
    </row>
    <row r="31">
      <c r="A31" s="127" t="n">
        <v>2025</v>
      </c>
      <c r="B31" s="133" t="inlineStr">
        <is>
          <t>Bronze</t>
        </is>
      </c>
      <c r="C31" s="127" t="inlineStr">
        <is>
          <t>The Death of Duo</t>
        </is>
      </c>
      <c r="D31" s="127" t="inlineStr">
        <is>
          <t>Duolingo</t>
        </is>
      </c>
      <c r="E31" s="127" t="inlineStr">
        <is>
          <t>Duolingo</t>
        </is>
      </c>
      <c r="F31" s="127" t="inlineStr">
        <is>
          <t>Duolingo</t>
        </is>
      </c>
      <c r="G31" s="127" t="inlineStr">
        <is>
          <t>United States</t>
        </is>
      </c>
      <c r="H31" s="113" t="inlineStr">
        <is>
          <t>Brand Storytelling</t>
        </is>
      </c>
      <c r="I31" s="128" t="inlineStr">
        <is>
          <t>https://ascentialcdn.filespin.io/api/v1/conversion/f4109c89080c4d6b8170e479b78d5160</t>
        </is>
      </c>
      <c r="J31" s="127" t="inlineStr">
        <is>
          <t>vimeo:1094581252/8afcb39440</t>
        </is>
      </c>
      <c r="K31" s="127" t="n"/>
      <c r="L31" s="128" t="inlineStr">
        <is>
          <t>https://www.lovethework.com/work/entries/the-death-of-duo-742370</t>
        </is>
      </c>
      <c r="M31" s="113" t="inlineStr">
        <is>
          <t>A coordinated social media stunt in which Duolingo announced the death of Duo, its green owl mascot, across its channels — posting that the bird had mysteriously passed and that authorities were investigating. The campaign sustained the fiction across platforms, pulling in organic celebrity reactions including a post from Dua Lipa, and used the manufactured grief to prompt users to resume or start language streaks in Duo's memory.</t>
        </is>
      </c>
      <c r="N31" s="113" t="inlineStr">
        <is>
          <t>language-learning, social-media, community-management, mascot, stunt, united-states, organic-content</t>
        </is>
      </c>
    </row>
    <row r="32">
      <c r="A32" s="127" t="n">
        <v>2025</v>
      </c>
      <c r="B32" s="133" t="inlineStr">
        <is>
          <t>Bronze</t>
        </is>
      </c>
      <c r="C32" s="127" t="inlineStr">
        <is>
          <t>5-Star Theater with Adam Driver</t>
        </is>
      </c>
      <c r="D32" s="127" t="inlineStr">
        <is>
          <t>Amazon</t>
        </is>
      </c>
      <c r="E32" s="127" t="inlineStr">
        <is>
          <t>Amazon</t>
        </is>
      </c>
      <c r="F32" s="127" t="inlineStr">
        <is>
          <t>Amazon XCM</t>
        </is>
      </c>
      <c r="G32" s="127" t="inlineStr">
        <is>
          <t>United States</t>
        </is>
      </c>
      <c r="H32" s="113" t="inlineStr">
        <is>
          <t>Social Film Series</t>
        </is>
      </c>
      <c r="I32" s="128" t="inlineStr">
        <is>
          <t>https://ascentialcdn.filespin.io/api/v1/conversion/63359301abaf4173a6021398ff077c93</t>
        </is>
      </c>
      <c r="J32" s="127" t="inlineStr">
        <is>
          <t>mp4:https://d2z00kf51ll94q.cloudfront.net//archive/2025/media/OS25_BS029M_0.mp4</t>
        </is>
      </c>
      <c r="K32" s="127" t="n"/>
      <c r="L32" s="128" t="inlineStr">
        <is>
          <t>https://www.lovethework.com/work/entries/5-star-theater-with-adam-driver-743003</t>
        </is>
      </c>
      <c r="M32" s="113" t="inlineStr">
        <is>
          <t>A social film series in which actor Adam Driver reads aloud five-star customer reviews of everyday Amazon products — mundane items like dish soap and batteries — performed with the same dramatic intensity he brings to prestige cinema. Each short episode pairs the deadpan mismatch of theatrical gravitas with banal retail copy, produced by Amazon XCM with production company Caviar.</t>
        </is>
      </c>
      <c r="N32" s="113" t="inlineStr">
        <is>
          <t>e-commerce, social-film-series, comedy, celebrity, united-states, online-video, retail</t>
        </is>
      </c>
    </row>
    <row r="33">
      <c r="A33" s="127" t="n">
        <v>2025</v>
      </c>
      <c r="B33" s="133" t="inlineStr">
        <is>
          <t>Bronze</t>
        </is>
      </c>
      <c r="C33" s="127" t="inlineStr">
        <is>
          <t>Oreo Empire</t>
        </is>
      </c>
      <c r="D33" s="127" t="inlineStr">
        <is>
          <t>Oreo</t>
        </is>
      </c>
      <c r="E33" s="127" t="inlineStr">
        <is>
          <t>Oreo Cookies</t>
        </is>
      </c>
      <c r="F33" s="127" t="inlineStr">
        <is>
          <t>Dentsu Creative</t>
        </is>
      </c>
      <c r="G33" s="127" t="inlineStr">
        <is>
          <t>United States</t>
        </is>
      </c>
      <c r="H33" s="113" t="inlineStr">
        <is>
          <t>Brand Storytelling</t>
        </is>
      </c>
      <c r="I33" s="128" t="inlineStr">
        <is>
          <t>https://ascentialcdn.filespin.io/api/v1/conversion/f2978f9255da42889e454a19c0f9f5ea</t>
        </is>
      </c>
      <c r="J33" s="127" t="inlineStr">
        <is>
          <t>JxtVzPFRTGw</t>
        </is>
      </c>
      <c r="K33" s="127" t="n"/>
      <c r="L33" s="128" t="inlineStr">
        <is>
          <t>https://www.lovethework.com/work/entries/oreo-empire-742460</t>
        </is>
      </c>
      <c r="M33" s="113" t="inlineStr">
        <is>
          <t>A brand integration built around the visual language of the Star Wars universe: OREO released a limited-edition cookie line featuring embossed designs tied to the Star Wars franchise, with packaging and creative extending the galaxy-spanning empire metaphor across retail and social. Dentsu Creative Chicago developed the campaign to position the cookie's iconic twist-lick-dunk ritual as a loyalty test between the light and dark sides of the Force.</t>
        </is>
      </c>
      <c r="N33" s="113" t="inlineStr">
        <is>
          <t>oreo, cookie, snack, food, packaged-goods, cpg, fmcg, brand-integration, entertainment-partnership, limited-edition, packaging, star-wars, united-states</t>
        </is>
      </c>
    </row>
    <row r="34">
      <c r="A34" s="127" t="n">
        <v>2025</v>
      </c>
      <c r="B34" s="133" t="inlineStr">
        <is>
          <t>Bronze</t>
        </is>
      </c>
      <c r="C34" s="127" t="inlineStr">
        <is>
          <t>Trash Talk Codes</t>
        </is>
      </c>
      <c r="D34" s="127" t="inlineStr">
        <is>
          <t>Brahma</t>
        </is>
      </c>
      <c r="E34" s="127" t="inlineStr">
        <is>
          <t>Beer</t>
        </is>
      </c>
      <c r="F34" s="127" t="inlineStr">
        <is>
          <t>Africa Creative DDB</t>
        </is>
      </c>
      <c r="G34" s="127" t="inlineStr">
        <is>
          <t>Brazil</t>
        </is>
      </c>
      <c r="H34" s="113" t="inlineStr">
        <is>
          <t>Innovative Engagement of Community</t>
        </is>
      </c>
      <c r="I34" s="128" t="inlineStr">
        <is>
          <t>https://ascentialcdn.filespin.io/api/v1/conversion/bcf3f7bdfec54845a73773b5e7abc7db</t>
        </is>
      </c>
      <c r="J34" s="127" t="inlineStr">
        <is>
          <t>vimeo:1090489924</t>
        </is>
      </c>
      <c r="K34" s="127" t="n"/>
      <c r="L34" s="128" t="inlineStr">
        <is>
          <t>https://www.lovethework.com/work/entries/trash-talk-codes-742731</t>
        </is>
      </c>
      <c r="M34" s="113" t="inlineStr">
        <is>
          <t>QR codes printed on Brahma beer packaging that, when scanned, unlock exclusive content or commerce rewards triggered by trash talk — insults exchanged between rival football fans in Brazil. The codes activate only in response to specific taunting language, turning the ritual of football banter into a purchase mechanic tied directly to the product.</t>
        </is>
      </c>
      <c r="N34" s="113" t="inlineStr">
        <is>
          <t>beer, alcohol, packaging, qr-code, football, soccer, sport, commerce, brazil, mobile, sports-culture</t>
        </is>
      </c>
    </row>
    <row r="35">
      <c r="A35" s="127" t="n">
        <v>2025</v>
      </c>
      <c r="B35" s="133" t="inlineStr">
        <is>
          <t>Bronze</t>
        </is>
      </c>
      <c r="C35" s="127" t="inlineStr">
        <is>
          <t>Tide Collateral Stain Stories</t>
        </is>
      </c>
      <c r="D35" s="127" t="inlineStr">
        <is>
          <t>Tide</t>
        </is>
      </c>
      <c r="E35" s="127" t="inlineStr">
        <is>
          <t>Tide Oxi Boost</t>
        </is>
      </c>
      <c r="F35" s="127" t="inlineStr">
        <is>
          <t>Saatchi &amp; Saatchi</t>
        </is>
      </c>
      <c r="G35" s="127" t="inlineStr">
        <is>
          <t>United States</t>
        </is>
      </c>
      <c r="H35" s="113" t="inlineStr">
        <is>
          <t>Content Placement</t>
        </is>
      </c>
      <c r="I35" s="128" t="inlineStr">
        <is>
          <t>https://ascentialcdn.filespin.io/api/v1/conversion/510865a52f65499f83e95097f9458b0c</t>
        </is>
      </c>
      <c r="J35" s="127" t="inlineStr">
        <is>
          <t>vimeo:1078053795</t>
        </is>
      </c>
      <c r="K35" s="127" t="n"/>
      <c r="L35" s="128" t="inlineStr">
        <is>
          <t>https://www.lovethework.com/work/entries/tide-collateral-stain-stories-742796</t>
        </is>
      </c>
      <c r="M35"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35" s="113" t="inlineStr">
        <is>
          <t>laundry, branded-content, brand-partnership, film, cinema, entertainment, united-states, sponsorship, saatchi-and-saatchi</t>
        </is>
      </c>
    </row>
    <row r="36">
      <c r="A36" s="127" t="n">
        <v>2025</v>
      </c>
      <c r="B36" s="133" t="inlineStr">
        <is>
          <t>Bronze</t>
        </is>
      </c>
      <c r="C36" s="127" t="inlineStr">
        <is>
          <t>Lidlize</t>
        </is>
      </c>
      <c r="D36" s="127" t="inlineStr">
        <is>
          <t>Lidl</t>
        </is>
      </c>
      <c r="E36" s="127" t="inlineStr">
        <is>
          <t>Retail</t>
        </is>
      </c>
      <c r="F36" s="127" t="inlineStr">
        <is>
          <t>Marcel</t>
        </is>
      </c>
      <c r="G36" s="127" t="inlineStr">
        <is>
          <t>France</t>
        </is>
      </c>
      <c r="H36" s="113" t="inlineStr">
        <is>
          <t>Co-Creation &amp; User Generated Content</t>
        </is>
      </c>
      <c r="I36" s="128" t="inlineStr">
        <is>
          <t>https://ascentialcdn.filespin.io/api/v1/conversion/f979928ea0a14ad7a4df5b301de95a0e</t>
        </is>
      </c>
      <c r="J36" s="127" t="inlineStr">
        <is>
          <t>mba6sPCSX_8</t>
        </is>
      </c>
      <c r="K36" s="127" t="n"/>
      <c r="L36" s="128" t="inlineStr">
        <is>
          <t>https://www.lovethework.com/work/entries/lidlize-760659</t>
        </is>
      </c>
      <c r="M36"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36" s="113" t="inlineStr">
        <is>
          <t>retail, influencer-co-creation, ai, technology, mobile-app, user-generated-content, france, community-voting, product-design</t>
        </is>
      </c>
    </row>
    <row r="37">
      <c r="A37" s="127" t="n">
        <v>2025</v>
      </c>
      <c r="B37" s="133" t="inlineStr">
        <is>
          <t>Bronze</t>
        </is>
      </c>
      <c r="C37" s="127" t="inlineStr">
        <is>
          <t>Harmoniser</t>
        </is>
      </c>
      <c r="D37" s="127" t="inlineStr">
        <is>
          <t>Twix</t>
        </is>
      </c>
      <c r="E37" s="127" t="inlineStr">
        <is>
          <t>Twix</t>
        </is>
      </c>
      <c r="F37" s="127" t="inlineStr">
        <is>
          <t>adam&amp;eveDDB</t>
        </is>
      </c>
      <c r="G37" s="127" t="inlineStr">
        <is>
          <t>United Kingdom</t>
        </is>
      </c>
      <c r="H37" s="113" t="inlineStr">
        <is>
          <t>Co-Creation &amp; User Generated Content</t>
        </is>
      </c>
      <c r="I37" s="128" t="inlineStr">
        <is>
          <t>https://ascentialcdn.filespin.io/api/v1/conversion/bd69a0303076425391bbc54c35136f07</t>
        </is>
      </c>
      <c r="J37" s="127" t="inlineStr">
        <is>
          <t>OFY3DkMtpEk</t>
        </is>
      </c>
      <c r="K37" s="127" t="n"/>
      <c r="L37" s="128" t="inlineStr">
        <is>
          <t>https://www.lovethework.com/work/entries/harmoniser-743035</t>
        </is>
      </c>
      <c r="M37"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37" s="113" t="inlineStr">
        <is>
          <t>social, mobile, audio, ai, technology, voice, partnership, confectionery, candy, snack, packaged-goods, food, cpg, fmcg, europe</t>
        </is>
      </c>
    </row>
    <row r="38">
      <c r="A38" s="127" t="n">
        <v>2025</v>
      </c>
      <c r="B38" s="133" t="inlineStr">
        <is>
          <t>Bronze</t>
        </is>
      </c>
      <c r="C38" s="127" t="inlineStr">
        <is>
          <t>Tantrum Girl</t>
        </is>
      </c>
      <c r="D38" s="127" t="inlineStr">
        <is>
          <t>Toblerone</t>
        </is>
      </c>
      <c r="E38" s="127" t="inlineStr">
        <is>
          <t>Toblerone Chocolate</t>
        </is>
      </c>
      <c r="F38" s="127" t="inlineStr">
        <is>
          <t>Lepub</t>
        </is>
      </c>
      <c r="G38" s="127" t="inlineStr">
        <is>
          <t>Italy</t>
        </is>
      </c>
      <c r="H38" s="113" t="inlineStr">
        <is>
          <t>Brand Storytelling</t>
        </is>
      </c>
      <c r="I38" s="127" t="inlineStr">
        <is>
          <t>digital-presentation-images/social-and-creator-toblerone-tantrum-girl.webp</t>
        </is>
      </c>
      <c r="J38" s="127" t="inlineStr">
        <is>
          <t>vimeo:1182426776</t>
        </is>
      </c>
      <c r="K38" s="127" t="n"/>
      <c r="L38" s="128" t="inlineStr">
        <is>
          <t>https://www.lovethework.com/work/entries/tantrum-girl-742550</t>
        </is>
      </c>
      <c r="M38" s="113" t="inlineStr">
        <is>
          <t>A live stunt staged at London Stansted Airport's arrivals gate in which a young girl throws a full tantrum when her mother returns from a trip without a Toblerone. The scene was filmed and shared by unsuspecting bystanders, seeding the footage organically across social media as if it were a real family meltdown.</t>
        </is>
      </c>
      <c r="N38" s="113" t="inlineStr">
        <is>
          <t>chocolate, social-media, stunt, airport, brand-storytelling, user-generated-content, united-kingdom, italy</t>
        </is>
      </c>
    </row>
    <row r="39">
      <c r="A39" s="127" t="n">
        <v>2025</v>
      </c>
      <c r="B39" s="133" t="inlineStr">
        <is>
          <t>Bronze</t>
        </is>
      </c>
      <c r="C39" s="127" t="inlineStr">
        <is>
          <t>Olympic Curry</t>
        </is>
      </c>
      <c r="D39" s="127" t="inlineStr">
        <is>
          <t>McDonald's</t>
        </is>
      </c>
      <c r="E39" s="127" t="inlineStr">
        <is>
          <t>Curry Sauce</t>
        </is>
      </c>
      <c r="F39" s="127" t="inlineStr">
        <is>
          <t>DDB Paris</t>
        </is>
      </c>
      <c r="G39" s="127" t="inlineStr">
        <is>
          <t>France</t>
        </is>
      </c>
      <c r="H39" s="113" t="inlineStr">
        <is>
          <t>Organic Reach &amp; Influence</t>
        </is>
      </c>
      <c r="I39" s="128" t="inlineStr">
        <is>
          <t>https://ascentialcdn.filespin.io/api/v1/conversion/b8993a8a561d47fe9b9f126b8fbb45ce</t>
        </is>
      </c>
      <c r="J39" s="127" t="inlineStr">
        <is>
          <t>tOs7DlcDX0U</t>
        </is>
      </c>
      <c r="K39" s="127" t="n"/>
      <c r="L39" s="128" t="inlineStr">
        <is>
          <t>https://www.lovethework.com/work/entries/olympic-curry-742643</t>
        </is>
      </c>
      <c r="M39" s="113" t="inlineStr">
        <is>
          <t>A social media exchange between McDonald's France and McDonald's USA accounts, sparked by American athletes at the Paris 2024 Olympics publicly craving McDonald's France's curry sauce — a dipping sauce unavailable in U.S. locations. DDB Paris amplified the moment by staging a cross-account dialogue between the two national McDonald's handles, leaning into the menu difference as a point of cultural tension during the Games.</t>
        </is>
      </c>
      <c r="N39" s="113" t="inlineStr">
        <is>
          <t>quick-service-restaurant, social-media, social-engagement, france, united-states, paris-olympics, condiment, real-time-marketing</t>
        </is>
      </c>
    </row>
    <row r="40">
      <c r="A40" s="127" t="n">
        <v>2025</v>
      </c>
      <c r="B40" s="133" t="inlineStr">
        <is>
          <t>Bronze</t>
        </is>
      </c>
      <c r="C40" s="127" t="inlineStr">
        <is>
          <t>Feelin Planty Good</t>
        </is>
      </c>
      <c r="D40" s="127" t="inlineStr">
        <is>
          <t>Silk</t>
        </is>
      </c>
      <c r="E40" s="127" t="inlineStr">
        <is>
          <t>Silk Vanilla Almond Milk</t>
        </is>
      </c>
      <c r="F40" s="127" t="inlineStr">
        <is>
          <t>Havas</t>
        </is>
      </c>
      <c r="G40" s="127" t="inlineStr">
        <is>
          <t>United States</t>
        </is>
      </c>
      <c r="H40" s="113" t="inlineStr">
        <is>
          <t>Excellence in Craft</t>
        </is>
      </c>
      <c r="I40" s="128" t="inlineStr">
        <is>
          <t>https://ascentialcdn.filespin.io/api/v1/conversion/6a5dda0a534843feb5db80efbb5a5b2c</t>
        </is>
      </c>
      <c r="J40" s="127" t="inlineStr">
        <is>
          <t>vimeo:1176491607</t>
        </is>
      </c>
      <c r="K40" s="127" t="n"/>
      <c r="L40" s="128" t="inlineStr">
        <is>
          <t>https://www.lovethework.com/work/entries/feelin-planty-good-742838</t>
        </is>
      </c>
      <c r="M40" s="113" t="inlineStr">
        <is>
          <t>Silk reached Gen Z and millennials by swapping traditional food advertising for creator-led content that felt native to their feeds. Partnering with delightfully random musician Carter Vail, the brand turned its 'Switch to Silk' message into nine original, funny songs that made the product benefits feel entertaining, shareable and weird enough to stop the scroll.</t>
        </is>
      </c>
      <c r="N40" s="113" t="inlineStr">
        <is>
          <t>plant-milk, drinks, beverage, social-media, music, entertainment, creator-led, partnership, gen-z, united-states</t>
        </is>
      </c>
    </row>
    <row r="41">
      <c r="A41" s="127" t="n">
        <v>2025</v>
      </c>
      <c r="B41" s="133" t="inlineStr">
        <is>
          <t>Bronze</t>
        </is>
      </c>
      <c r="C41" s="127" t="inlineStr">
        <is>
          <t>Letting Our Gen-Z Staff Write the Marketing Script</t>
        </is>
      </c>
      <c r="D41" s="127" t="inlineStr">
        <is>
          <t>Currys / Pc World</t>
        </is>
      </c>
      <c r="E41" s="127" t="inlineStr">
        <is>
          <t>Ninja, Henry Hoover</t>
        </is>
      </c>
      <c r="F41" s="127" t="inlineStr">
        <is>
          <t>Fabric Social</t>
        </is>
      </c>
      <c r="G41" s="127" t="inlineStr">
        <is>
          <t>United Kingdom</t>
        </is>
      </c>
      <c r="H41" s="113" t="inlineStr">
        <is>
          <t>Organic Reach &amp; Influence</t>
        </is>
      </c>
      <c r="I41" s="128" t="inlineStr">
        <is>
          <t>https://ascentialcdn.filespin.io/api/v1/conversion/1c6ea8a8d83c40ee81aad876ed744e8a</t>
        </is>
      </c>
      <c r="J41" s="127" t="inlineStr">
        <is>
          <t>vimeo:1094578702/cba6cf513a</t>
        </is>
      </c>
      <c r="K41" s="127" t="n"/>
      <c r="L41" s="128" t="inlineStr">
        <is>
          <t>https://www.lovethework.com/work/entries/letting-our-gen-z-staff-write-the-marketing-script-742712</t>
        </is>
      </c>
      <c r="M41" s="113" t="inlineStr">
        <is>
          <t>Currys reconnected with Gen Z by literally letting its younger staff write the marketing script. Starring real employee George and his offbeat deadpan delivery, the video traded polished retail advertising for authentic, trend-aware humor that promoted products while feeling native to social.</t>
        </is>
      </c>
      <c r="N41" s="113" t="inlineStr">
        <is>
          <t>retail, electronics, social-media, video, creator-led, humor, gen-z, united-kingdom</t>
        </is>
      </c>
    </row>
    <row r="42">
      <c r="A42" s="127" t="n">
        <v>2025</v>
      </c>
      <c r="B42" s="133" t="inlineStr">
        <is>
          <t>Bronze</t>
        </is>
      </c>
      <c r="C42" s="127" t="inlineStr">
        <is>
          <t>250 Reasons Not to Buy the Mercedes-Amg Purespeed</t>
        </is>
      </c>
      <c r="D42" s="127" t="inlineStr">
        <is>
          <t>Mercedes Benz</t>
        </is>
      </c>
      <c r="E42" s="127" t="inlineStr">
        <is>
          <t>Mercedes-Amg</t>
        </is>
      </c>
      <c r="F42" s="127" t="inlineStr">
        <is>
          <t>Team X</t>
        </is>
      </c>
      <c r="G42" s="127" t="inlineStr">
        <is>
          <t>Germany</t>
        </is>
      </c>
      <c r="H42" s="113" t="inlineStr">
        <is>
          <t>Multi-Platform Social Campaign</t>
        </is>
      </c>
      <c r="I42" s="128" t="inlineStr">
        <is>
          <t>https://ascentialcdn.filespin.io/api/v1/conversion/f757f3845e604e6482123c99fa943337</t>
        </is>
      </c>
      <c r="J42" s="127" t="inlineStr">
        <is>
          <t>vimeo:1094331871</t>
        </is>
      </c>
      <c r="K42" s="127" t="n"/>
      <c r="L42" s="128" t="inlineStr">
        <is>
          <t>https://www.lovethework.com/work/entries/250-reasons-not-to-buy-the-mercedes-amg-purespeed-743080</t>
        </is>
      </c>
      <c r="M42" s="113" t="inlineStr">
        <is>
          <t>A social campaign for the Mercedes-AMG PureSpeed that leads with the car's 250-unit production limit — framing scarcity as a deliberate barrier by listing 250 reasons the car is not for most people. Produced by LeBerg Berlin and directed by Tom Emmerson, the work ran across multiple social platforms and leaned into exclusivity as the central creative argument.</t>
        </is>
      </c>
      <c r="N42" s="113" t="inlineStr">
        <is>
          <t>automotive, cars, transport, multi-platform-social, social-media, limited-edition, germany, luxury</t>
        </is>
      </c>
    </row>
    <row r="43">
      <c r="A43" s="127" t="n">
        <v>2025</v>
      </c>
      <c r="B43" s="133" t="inlineStr">
        <is>
          <t>Bronze</t>
        </is>
      </c>
      <c r="C43" s="127" t="inlineStr">
        <is>
          <t>Snickers AI</t>
        </is>
      </c>
      <c r="D43" s="127" t="inlineStr">
        <is>
          <t>Snickers</t>
        </is>
      </c>
      <c r="E43" s="127" t="inlineStr">
        <is>
          <t>Snickers</t>
        </is>
      </c>
      <c r="F43" s="127" t="inlineStr">
        <is>
          <t>T&amp;Pm</t>
        </is>
      </c>
      <c r="G43" s="127" t="inlineStr">
        <is>
          <t>United Kingdom</t>
        </is>
      </c>
      <c r="H43" s="113" t="inlineStr">
        <is>
          <t>Co-Creation &amp; User Generated Content</t>
        </is>
      </c>
      <c r="I43" s="128" t="inlineStr">
        <is>
          <t>https://ascentialcdn.filespin.io/api/v1/conversion/86bcac60e3f648c7881b028c2d9d2273</t>
        </is>
      </c>
      <c r="J43" s="127" t="inlineStr">
        <is>
          <t>VlRy84v2mXw</t>
        </is>
      </c>
      <c r="K43" s="127" t="n"/>
      <c r="L43" s="128" t="inlineStr">
        <is>
          <t>https://www.lovethework.com/work/entries/snickers-ai-743048</t>
        </is>
      </c>
      <c r="M43" s="113" t="inlineStr">
        <is>
          <t>An authorized AI clone of football manager José Mourinho, built for Snickers, that generated personalized video roasts of fans' "own goal" moments — embarrassing real-life mistakes submitted by users and their friends. The roast videos were shared primarily through WhatsApp, timed to a major football tournament.</t>
        </is>
      </c>
      <c r="N43" s="113" t="inlineStr">
        <is>
          <t>snack, food, packaged-goods, cpg, fmcg, ai, technology, user-generated-content, football, soccer, sport, whatsapp, mobile, united-kingdom, co-creation, deepfake, sports</t>
        </is>
      </c>
    </row>
    <row r="44">
      <c r="A44" s="127" t="n">
        <v>2025</v>
      </c>
      <c r="B44" s="133" t="inlineStr">
        <is>
          <t>Bronze</t>
        </is>
      </c>
      <c r="C44" s="127" t="inlineStr">
        <is>
          <t>One Second Ads</t>
        </is>
      </c>
      <c r="D44" s="127" t="inlineStr">
        <is>
          <t>Budweiser</t>
        </is>
      </c>
      <c r="E44" s="127" t="inlineStr">
        <is>
          <t>Beer</t>
        </is>
      </c>
      <c r="F44" s="127" t="inlineStr">
        <is>
          <t>Africa Creative DDB</t>
        </is>
      </c>
      <c r="G44" s="127" t="inlineStr">
        <is>
          <t>Brazil</t>
        </is>
      </c>
      <c r="H44" s="113" t="inlineStr">
        <is>
          <t>Innovative Engagement of Community</t>
        </is>
      </c>
      <c r="I44" s="127" t="inlineStr">
        <is>
          <t>digital-presentation-images/social-and-creator-budweiser-one-second-ads.webp</t>
        </is>
      </c>
      <c r="J44" s="127" t="inlineStr">
        <is>
          <t>RpvlshoKIrE</t>
        </is>
      </c>
      <c r="K44" s="127" t="inlineStr">
        <is>
          <t>budweiser-one-second-ads</t>
        </is>
      </c>
      <c r="L44" s="128" t="inlineStr">
        <is>
          <t>https://www.lovethework.com/work/entries/one-second-ads-759545</t>
        </is>
      </c>
      <c r="M44" s="113" t="inlineStr">
        <is>
          <t>A series of one-second social media ads built around the opening note or two of globally recognized songs — from Beyoncé and Taylor Swift to The Beatles and Foo Fighters — short enough that true fans could identify the track but too brief to trigger music licensing fees. Budweiser challenged viewers on social media to name the song, rewarding correct guessers with a beer coupon sent via DM, which turned the comment sections into active guessing threads and kept viewers replaying the ads voluntarily.</t>
        </is>
      </c>
      <c r="N44" s="113" t="inlineStr">
        <is>
          <t>beer, alcohol, social-media, audio, music, entertainment, short-form-video, brazil, user-participation, mobile</t>
        </is>
      </c>
    </row>
    <row r="45">
      <c r="A45" s="127" t="n">
        <v>2025</v>
      </c>
      <c r="B45" s="133" t="inlineStr">
        <is>
          <t>Bronze</t>
        </is>
      </c>
      <c r="C45" s="127" t="inlineStr">
        <is>
          <t>Camden Stout - Honest Reviews</t>
        </is>
      </c>
      <c r="D45" s="127" t="inlineStr">
        <is>
          <t>Camden Town Brewery</t>
        </is>
      </c>
      <c r="E45" s="127" t="inlineStr">
        <is>
          <t>Camden Stout</t>
        </is>
      </c>
      <c r="F45" s="127" t="inlineStr">
        <is>
          <t>AB InBev</t>
        </is>
      </c>
      <c r="G45" s="127" t="inlineStr">
        <is>
          <t>Belgium</t>
        </is>
      </c>
      <c r="H45" s="113" t="inlineStr">
        <is>
          <t>Audience Targeting/Engagement Strategies</t>
        </is>
      </c>
      <c r="I45" s="128" t="inlineStr">
        <is>
          <t>https://ascentialcdn.filespin.io/api/v1/conversion/02e1b78a1ce94d84bee44bf8a707550e</t>
        </is>
      </c>
      <c r="J45" s="127" t="inlineStr">
        <is>
          <t>vimeo:1077904091</t>
        </is>
      </c>
      <c r="K45" s="127" t="n"/>
      <c r="L45" s="128" t="inlineStr">
        <is>
          <t>https://www.lovethework.com/work/entries/camden-stout-honest-reviews-742275</t>
        </is>
      </c>
      <c r="M45" s="113" t="inlineStr">
        <is>
          <t>An audience targeting campaign built around real, unfiltered consumer reviews of Camden Stout, using honest customer language as the creative content rather than brand-authored copy. The work positions the stout's actual drinker feedback — including its less flattering characterizations — as the primary media message.</t>
        </is>
      </c>
      <c r="N45" s="113" t="inlineStr">
        <is>
          <t>beer, alcohol, audience-targeting, user-generated-content, social-media, belgium, camden-town-brewery</t>
        </is>
      </c>
    </row>
    <row r="46">
      <c r="A46" s="127" t="n">
        <v>2025</v>
      </c>
      <c r="B46" s="133" t="inlineStr">
        <is>
          <t>Bronze</t>
        </is>
      </c>
      <c r="C46" s="127" t="inlineStr">
        <is>
          <t>U Up?</t>
        </is>
      </c>
      <c r="D46" s="127" t="inlineStr">
        <is>
          <t>IKEA</t>
        </is>
      </c>
      <c r="E46" s="127" t="inlineStr">
        <is>
          <t>IKEA</t>
        </is>
      </c>
      <c r="F46" s="127" t="inlineStr">
        <is>
          <t>Rethink</t>
        </is>
      </c>
      <c r="G46" s="127" t="inlineStr">
        <is>
          <t>Canada</t>
        </is>
      </c>
      <c r="H46" s="113" t="inlineStr">
        <is>
          <t>Breakthrough on a Budget</t>
        </is>
      </c>
      <c r="I46" s="128" t="inlineStr">
        <is>
          <t>https://ascentialcdn.filespin.io/api/v1/conversion/1d6f8cfcad1b47c9beaa5f403844ec8a</t>
        </is>
      </c>
      <c r="J46" s="127" t="inlineStr">
        <is>
          <t>VT02JDQuMxM</t>
        </is>
      </c>
      <c r="K46" s="127" t="n"/>
      <c r="L46" s="128" t="inlineStr">
        <is>
          <t>https://www.lovethework.com/work/entries/u-up-743427</t>
        </is>
      </c>
      <c r="M46"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46" s="113" t="inlineStr">
        <is>
          <t>ikea, home-furnishings, social-media, instagram, direct-message, ooh, canada, use-of-humour, late-night</t>
        </is>
      </c>
    </row>
    <row r="47">
      <c r="A47" s="127" t="n">
        <v>2025</v>
      </c>
      <c r="B47" s="133" t="inlineStr">
        <is>
          <t>Bronze</t>
        </is>
      </c>
      <c r="C47" s="127" t="inlineStr">
        <is>
          <t>Burger to King</t>
        </is>
      </c>
      <c r="D47" s="127" t="inlineStr">
        <is>
          <t>Burger King, Happiness</t>
        </is>
      </c>
      <c r="E47" s="127" t="inlineStr">
        <is>
          <t>Burger King</t>
        </is>
      </c>
      <c r="F47" s="127" t="inlineStr">
        <is>
          <t>An FCB Alliance</t>
        </is>
      </c>
      <c r="G47" s="127" t="inlineStr">
        <is>
          <t>Belgium</t>
        </is>
      </c>
      <c r="H47" s="113" t="inlineStr">
        <is>
          <t>Innovative Engagement of Community</t>
        </is>
      </c>
      <c r="I47" s="128" t="inlineStr">
        <is>
          <t>https://ascentialcdn.filespin.io/api/v1/conversion/9c71f6e2352b428784f91e8247db714e</t>
        </is>
      </c>
      <c r="J47" s="127" t="inlineStr">
        <is>
          <t>RQVaoU4CGRk</t>
        </is>
      </c>
      <c r="K47" s="127" t="n"/>
      <c r="L47" s="128" t="inlineStr">
        <is>
          <t>https://www.lovethework.com/work/entries/burger-to-king-760741</t>
        </is>
      </c>
      <c r="M47"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47" s="113" t="inlineStr">
        <is>
          <t>burger-king, gaming, video-games, entertainment, qsr, fast-food, restaurant, food, in-game-audio, belgium, challenger-brand, ambient-media, sports-game</t>
        </is>
      </c>
    </row>
    <row r="48">
      <c r="A48" s="127" t="n">
        <v>2025</v>
      </c>
      <c r="B48" s="133" t="inlineStr">
        <is>
          <t>Bronze</t>
        </is>
      </c>
      <c r="C48" s="127" t="inlineStr">
        <is>
          <t>The Flipper</t>
        </is>
      </c>
      <c r="D48" s="127" t="inlineStr">
        <is>
          <t>Heineken</t>
        </is>
      </c>
      <c r="E48" s="127" t="inlineStr">
        <is>
          <t>Heineken</t>
        </is>
      </c>
      <c r="F48" s="127" t="inlineStr">
        <is>
          <t>Lepub</t>
        </is>
      </c>
      <c r="G48" s="127" t="inlineStr">
        <is>
          <t>Netherlands</t>
        </is>
      </c>
      <c r="H48" s="113" t="inlineStr">
        <is>
          <t>Creator Collaboration</t>
        </is>
      </c>
      <c r="I48" s="128" t="inlineStr">
        <is>
          <t>https://ascentialcdn.filespin.io/api/v1/conversion/5e630b6d1a8d43d494544038884723b7</t>
        </is>
      </c>
      <c r="J48" s="127" t="inlineStr">
        <is>
          <t>vimeo:1083152151</t>
        </is>
      </c>
      <c r="K48" s="127" t="n"/>
      <c r="L48" s="128" t="inlineStr">
        <is>
          <t>https://www.lovethework.com/work/entries/the-flipper-760602</t>
        </is>
      </c>
      <c r="M48" s="113" t="inlineStr">
        <is>
          <t>A phone case prototype built by LePub Milan and LePub Amsterdam that detects the word "cheers" via onboard voice-recognition AI and physically flips the phone face-down, cutting off notifications and work applications at the moment a drink is raised. Anyone without the physical device is invited to flip their phone face-down the old-fashioned way — by hand.</t>
        </is>
      </c>
      <c r="N48" s="113" t="inlineStr">
        <is>
          <t>beer, alcohol, product-design, ai, technology, social-media, creator-collaboration, netherlands, irl-connection, mobile</t>
        </is>
      </c>
    </row>
    <row r="49">
      <c r="A49" s="127" t="n">
        <v>2025</v>
      </c>
      <c r="B49" s="133" t="inlineStr">
        <is>
          <t>Bronze</t>
        </is>
      </c>
      <c r="C49" s="127" t="inlineStr">
        <is>
          <t>Tracking Bad Bunny</t>
        </is>
      </c>
      <c r="D49" s="127" t="inlineStr">
        <is>
          <t>Rimas Music</t>
        </is>
      </c>
      <c r="E49" s="127" t="inlineStr">
        <is>
          <t>Bad Bunny</t>
        </is>
      </c>
      <c r="F49" s="127" t="inlineStr">
        <is>
          <t>DDB Latina Puerto Rico</t>
        </is>
      </c>
      <c r="G49" s="127" t="inlineStr">
        <is>
          <t>Puerto Rico</t>
        </is>
      </c>
      <c r="H49" s="113" t="inlineStr">
        <is>
          <t>Cultural Engagement</t>
        </is>
      </c>
      <c r="I49" s="128" t="inlineStr">
        <is>
          <t>https://ascentialcdn.filespin.io/api/v1/conversion/12a3c9e0c6e948eeaa5543a2fedda2c2</t>
        </is>
      </c>
      <c r="J49" s="127" t="inlineStr">
        <is>
          <t>hPLaT_JT9Zw</t>
        </is>
      </c>
      <c r="K49" s="127" t="n"/>
      <c r="L49" s="128" t="inlineStr">
        <is>
          <t>https://www.lovethework.com/work/entries/tracking-bad-bunny-759002</t>
        </is>
      </c>
      <c r="M49"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49" s="113" t="inlineStr">
        <is>
          <t>music, entertainment, interactive-experience, gps, scavenger-hunt, mobile, puerto-rico, album-launch, fan-engagement</t>
        </is>
      </c>
    </row>
    <row r="50">
      <c r="A50" s="127" t="n">
        <v>2025</v>
      </c>
      <c r="B50" s="133" t="inlineStr">
        <is>
          <t>Bronze</t>
        </is>
      </c>
      <c r="C50" s="127" t="inlineStr">
        <is>
          <t>The Black Dog(s)</t>
        </is>
      </c>
      <c r="D50" s="127" t="inlineStr">
        <is>
          <t>Seconde Chance</t>
        </is>
      </c>
      <c r="E50" s="127" t="inlineStr">
        <is>
          <t>Seconde Chance</t>
        </is>
      </c>
      <c r="F50" s="127" t="inlineStr">
        <is>
          <t>BETC</t>
        </is>
      </c>
      <c r="G50" s="127" t="inlineStr">
        <is>
          <t>France</t>
        </is>
      </c>
      <c r="H50" s="113" t="inlineStr">
        <is>
          <t>Breakthrough on a Budget</t>
        </is>
      </c>
      <c r="I50" s="128" t="inlineStr">
        <is>
          <t>https://ascentialcdn.filespin.io/api/v1/conversion/30aec1c3378c43f3845d46d7e83d4bf5</t>
        </is>
      </c>
      <c r="J50" s="127" t="inlineStr">
        <is>
          <t>eh7nvB91vaM</t>
        </is>
      </c>
      <c r="K50" s="127" t="n"/>
      <c r="L50" s="128" t="inlineStr">
        <is>
          <t>https://www.lovethework.com/work/entries/the-black-dogs-743512</t>
        </is>
      </c>
      <c r="M50" s="113" t="inlineStr">
        <is>
          <t>Second Chance used the release of Taylor Swift's 'The Black Dog' to spotlight the real black dogs overlooked in shelters. By renaming 843 adoptable black dogs 'Taylor Swift' and sharing their profiles with Swiftie hashtags, the platform intercepted fan searches and turned a viral song into visibility for dogs in need of homes.</t>
        </is>
      </c>
      <c r="N50" s="113" t="inlineStr">
        <is>
          <t>pets, animal-shelter, social-good, social-media, taylor-swift, ngo, not-for-profit, charity, partnership, dog-adoption, france</t>
        </is>
      </c>
    </row>
    <row r="51">
      <c r="A51" s="127" t="n">
        <v>2025</v>
      </c>
      <c r="B51" s="133" t="inlineStr">
        <is>
          <t>Bronze</t>
        </is>
      </c>
      <c r="C51" s="127" t="inlineStr">
        <is>
          <t>Bassi vs Men's Facewash</t>
        </is>
      </c>
      <c r="D51" s="127" t="inlineStr">
        <is>
          <t>Garnier L'Oréal</t>
        </is>
      </c>
      <c r="E51" s="127" t="inlineStr">
        <is>
          <t>Facewash</t>
        </is>
      </c>
      <c r="F51" s="127" t="inlineStr">
        <is>
          <t>BBH India</t>
        </is>
      </c>
      <c r="G51" s="127" t="inlineStr">
        <is>
          <t>India</t>
        </is>
      </c>
      <c r="H51" s="113" t="inlineStr">
        <is>
          <t>Use of Humour</t>
        </is>
      </c>
      <c r="I51" s="128" t="inlineStr">
        <is>
          <t>https://ascentialcdn.filespin.io/api/v1/conversion/f324b2259303465985c6298914501fea</t>
        </is>
      </c>
      <c r="J51" s="127" t="inlineStr">
        <is>
          <t>mp4:videos/bassi-vs-mens-facewash.mp4</t>
        </is>
      </c>
      <c r="K51" s="127" t="n"/>
      <c r="L51" s="128" t="inlineStr">
        <is>
          <t>https://www.lovethework.com/work/entries/bassi-vs-mens-facewash-743479</t>
        </is>
      </c>
      <c r="M51" s="113" t="inlineStr">
        <is>
          <t>Garnier Men turned comedian Anubhav Singh Bassi's public roast of men's facewash into a campaign to convert its loudest skeptic. The brand recruited Bassi's comedian friends, fans and even John Abraham to troll, chase and ultimately wash him into trying the product—turning one man's resistance into a national facewash debate.</t>
        </is>
      </c>
      <c r="N51" s="113" t="inlineStr">
        <is>
          <t>personal-care, beauty, mens-grooming, social-media, creator-led, humor, india, partnership</t>
        </is>
      </c>
    </row>
  </sheetData>
  <autoFilter ref="A1:N51"/>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L10" r:id="rId17"/>
    <hyperlink xmlns:r="http://schemas.openxmlformats.org/officeDocument/2006/relationships" ref="I11" r:id="rId18"/>
    <hyperlink xmlns:r="http://schemas.openxmlformats.org/officeDocument/2006/relationships" ref="L11" r:id="rId19"/>
    <hyperlink xmlns:r="http://schemas.openxmlformats.org/officeDocument/2006/relationships" ref="I12" r:id="rId20"/>
    <hyperlink xmlns:r="http://schemas.openxmlformats.org/officeDocument/2006/relationships" ref="L12" r:id="rId21"/>
    <hyperlink xmlns:r="http://schemas.openxmlformats.org/officeDocument/2006/relationships" ref="I13" r:id="rId22"/>
    <hyperlink xmlns:r="http://schemas.openxmlformats.org/officeDocument/2006/relationships" ref="L13" r:id="rId23"/>
    <hyperlink xmlns:r="http://schemas.openxmlformats.org/officeDocument/2006/relationships" ref="I14" r:id="rId24"/>
    <hyperlink xmlns:r="http://schemas.openxmlformats.org/officeDocument/2006/relationships" ref="L14" r:id="rId25"/>
    <hyperlink xmlns:r="http://schemas.openxmlformats.org/officeDocument/2006/relationships" ref="I15" r:id="rId26"/>
    <hyperlink xmlns:r="http://schemas.openxmlformats.org/officeDocument/2006/relationships" ref="L15" r:id="rId27"/>
    <hyperlink xmlns:r="http://schemas.openxmlformats.org/officeDocument/2006/relationships" ref="I16" r:id="rId28"/>
    <hyperlink xmlns:r="http://schemas.openxmlformats.org/officeDocument/2006/relationships" ref="L16" r:id="rId29"/>
    <hyperlink xmlns:r="http://schemas.openxmlformats.org/officeDocument/2006/relationships" ref="I17" r:id="rId30"/>
    <hyperlink xmlns:r="http://schemas.openxmlformats.org/officeDocument/2006/relationships" ref="L17" r:id="rId31"/>
    <hyperlink xmlns:r="http://schemas.openxmlformats.org/officeDocument/2006/relationships" ref="I18" r:id="rId32"/>
    <hyperlink xmlns:r="http://schemas.openxmlformats.org/officeDocument/2006/relationships" ref="L18" r:id="rId33"/>
    <hyperlink xmlns:r="http://schemas.openxmlformats.org/officeDocument/2006/relationships" ref="L19" r:id="rId34"/>
    <hyperlink xmlns:r="http://schemas.openxmlformats.org/officeDocument/2006/relationships" ref="L20" r:id="rId35"/>
    <hyperlink xmlns:r="http://schemas.openxmlformats.org/officeDocument/2006/relationships" ref="I21" r:id="rId36"/>
    <hyperlink xmlns:r="http://schemas.openxmlformats.org/officeDocument/2006/relationships" ref="L21" r:id="rId37"/>
    <hyperlink xmlns:r="http://schemas.openxmlformats.org/officeDocument/2006/relationships" ref="I22" r:id="rId38"/>
    <hyperlink xmlns:r="http://schemas.openxmlformats.org/officeDocument/2006/relationships" ref="L22" r:id="rId39"/>
    <hyperlink xmlns:r="http://schemas.openxmlformats.org/officeDocument/2006/relationships" ref="L23" r:id="rId40"/>
    <hyperlink xmlns:r="http://schemas.openxmlformats.org/officeDocument/2006/relationships" ref="I24" r:id="rId41"/>
    <hyperlink xmlns:r="http://schemas.openxmlformats.org/officeDocument/2006/relationships" ref="L24" r:id="rId42"/>
    <hyperlink xmlns:r="http://schemas.openxmlformats.org/officeDocument/2006/relationships" ref="I25" r:id="rId43"/>
    <hyperlink xmlns:r="http://schemas.openxmlformats.org/officeDocument/2006/relationships" ref="L25" r:id="rId44"/>
    <hyperlink xmlns:r="http://schemas.openxmlformats.org/officeDocument/2006/relationships" ref="I26" r:id="rId45"/>
    <hyperlink xmlns:r="http://schemas.openxmlformats.org/officeDocument/2006/relationships" ref="L26" r:id="rId46"/>
    <hyperlink xmlns:r="http://schemas.openxmlformats.org/officeDocument/2006/relationships" ref="I27" r:id="rId47"/>
    <hyperlink xmlns:r="http://schemas.openxmlformats.org/officeDocument/2006/relationships" ref="L27" r:id="rId48"/>
    <hyperlink xmlns:r="http://schemas.openxmlformats.org/officeDocument/2006/relationships" ref="I28" r:id="rId49"/>
    <hyperlink xmlns:r="http://schemas.openxmlformats.org/officeDocument/2006/relationships" ref="L28" r:id="rId50"/>
    <hyperlink xmlns:r="http://schemas.openxmlformats.org/officeDocument/2006/relationships" ref="I29" r:id="rId51"/>
    <hyperlink xmlns:r="http://schemas.openxmlformats.org/officeDocument/2006/relationships" ref="L29" r:id="rId52"/>
    <hyperlink xmlns:r="http://schemas.openxmlformats.org/officeDocument/2006/relationships" ref="I30" r:id="rId53"/>
    <hyperlink xmlns:r="http://schemas.openxmlformats.org/officeDocument/2006/relationships" ref="L30" r:id="rId54"/>
    <hyperlink xmlns:r="http://schemas.openxmlformats.org/officeDocument/2006/relationships" ref="I31" r:id="rId55"/>
    <hyperlink xmlns:r="http://schemas.openxmlformats.org/officeDocument/2006/relationships" ref="L31" r:id="rId56"/>
    <hyperlink xmlns:r="http://schemas.openxmlformats.org/officeDocument/2006/relationships" ref="I32" r:id="rId57"/>
    <hyperlink xmlns:r="http://schemas.openxmlformats.org/officeDocument/2006/relationships" ref="L32" r:id="rId58"/>
    <hyperlink xmlns:r="http://schemas.openxmlformats.org/officeDocument/2006/relationships" ref="I33" r:id="rId59"/>
    <hyperlink xmlns:r="http://schemas.openxmlformats.org/officeDocument/2006/relationships" ref="L33" r:id="rId60"/>
    <hyperlink xmlns:r="http://schemas.openxmlformats.org/officeDocument/2006/relationships" ref="I34" r:id="rId61"/>
    <hyperlink xmlns:r="http://schemas.openxmlformats.org/officeDocument/2006/relationships" ref="L34" r:id="rId62"/>
    <hyperlink xmlns:r="http://schemas.openxmlformats.org/officeDocument/2006/relationships" ref="I35" r:id="rId63"/>
    <hyperlink xmlns:r="http://schemas.openxmlformats.org/officeDocument/2006/relationships" ref="L35" r:id="rId64"/>
    <hyperlink xmlns:r="http://schemas.openxmlformats.org/officeDocument/2006/relationships" ref="I36" r:id="rId65"/>
    <hyperlink xmlns:r="http://schemas.openxmlformats.org/officeDocument/2006/relationships" ref="L36" r:id="rId66"/>
    <hyperlink xmlns:r="http://schemas.openxmlformats.org/officeDocument/2006/relationships" ref="I37" r:id="rId67"/>
    <hyperlink xmlns:r="http://schemas.openxmlformats.org/officeDocument/2006/relationships" ref="L37" r:id="rId68"/>
    <hyperlink xmlns:r="http://schemas.openxmlformats.org/officeDocument/2006/relationships" ref="L38" r:id="rId69"/>
    <hyperlink xmlns:r="http://schemas.openxmlformats.org/officeDocument/2006/relationships" ref="I39" r:id="rId70"/>
    <hyperlink xmlns:r="http://schemas.openxmlformats.org/officeDocument/2006/relationships" ref="L39" r:id="rId71"/>
    <hyperlink xmlns:r="http://schemas.openxmlformats.org/officeDocument/2006/relationships" ref="I40" r:id="rId72"/>
    <hyperlink xmlns:r="http://schemas.openxmlformats.org/officeDocument/2006/relationships" ref="L40" r:id="rId73"/>
    <hyperlink xmlns:r="http://schemas.openxmlformats.org/officeDocument/2006/relationships" ref="I41" r:id="rId74"/>
    <hyperlink xmlns:r="http://schemas.openxmlformats.org/officeDocument/2006/relationships" ref="L41" r:id="rId75"/>
    <hyperlink xmlns:r="http://schemas.openxmlformats.org/officeDocument/2006/relationships" ref="I42" r:id="rId76"/>
    <hyperlink xmlns:r="http://schemas.openxmlformats.org/officeDocument/2006/relationships" ref="L42" r:id="rId77"/>
    <hyperlink xmlns:r="http://schemas.openxmlformats.org/officeDocument/2006/relationships" ref="I43" r:id="rId78"/>
    <hyperlink xmlns:r="http://schemas.openxmlformats.org/officeDocument/2006/relationships" ref="L43" r:id="rId79"/>
    <hyperlink xmlns:r="http://schemas.openxmlformats.org/officeDocument/2006/relationships" ref="L44" r:id="rId80"/>
    <hyperlink xmlns:r="http://schemas.openxmlformats.org/officeDocument/2006/relationships" ref="I45" r:id="rId81"/>
    <hyperlink xmlns:r="http://schemas.openxmlformats.org/officeDocument/2006/relationships" ref="L45" r:id="rId82"/>
    <hyperlink xmlns:r="http://schemas.openxmlformats.org/officeDocument/2006/relationships" ref="I46" r:id="rId83"/>
    <hyperlink xmlns:r="http://schemas.openxmlformats.org/officeDocument/2006/relationships" ref="L46" r:id="rId84"/>
    <hyperlink xmlns:r="http://schemas.openxmlformats.org/officeDocument/2006/relationships" ref="I47" r:id="rId85"/>
    <hyperlink xmlns:r="http://schemas.openxmlformats.org/officeDocument/2006/relationships" ref="L47" r:id="rId86"/>
    <hyperlink xmlns:r="http://schemas.openxmlformats.org/officeDocument/2006/relationships" ref="I48" r:id="rId87"/>
    <hyperlink xmlns:r="http://schemas.openxmlformats.org/officeDocument/2006/relationships" ref="L48" r:id="rId88"/>
    <hyperlink xmlns:r="http://schemas.openxmlformats.org/officeDocument/2006/relationships" ref="I49" r:id="rId89"/>
    <hyperlink xmlns:r="http://schemas.openxmlformats.org/officeDocument/2006/relationships" ref="L49" r:id="rId90"/>
    <hyperlink xmlns:r="http://schemas.openxmlformats.org/officeDocument/2006/relationships" ref="I50" r:id="rId91"/>
    <hyperlink xmlns:r="http://schemas.openxmlformats.org/officeDocument/2006/relationships" ref="L50" r:id="rId92"/>
    <hyperlink xmlns:r="http://schemas.openxmlformats.org/officeDocument/2006/relationships" ref="I51" r:id="rId93"/>
    <hyperlink xmlns:r="http://schemas.openxmlformats.org/officeDocument/2006/relationships" ref="L51" r:id="rId94"/>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Night Fishing</t>
        </is>
      </c>
      <c r="D2" s="127" t="inlineStr">
        <is>
          <t>Hyundai</t>
        </is>
      </c>
      <c r="E2" s="127" t="inlineStr">
        <is>
          <t>Ioniq</t>
        </is>
      </c>
      <c r="F2" s="127" t="inlineStr">
        <is>
          <t>Innocean</t>
        </is>
      </c>
      <c r="G2" s="127" t="inlineStr">
        <is>
          <t>South Korea</t>
        </is>
      </c>
      <c r="H2" s="113" t="inlineStr">
        <is>
          <t>Fiction Film: 5-30 minutes</t>
        </is>
      </c>
      <c r="I2" s="127" t="inlineStr">
        <is>
          <t>digital-presentation-images/entertainment-hyundai-night-fishing.webp</t>
        </is>
      </c>
      <c r="J2" s="127" t="inlineStr">
        <is>
          <t>BTcsn4aLOkQ</t>
        </is>
      </c>
      <c r="K2" s="127" t="n"/>
      <c r="L2" s="128" t="inlineStr">
        <is>
          <t>https://www.lovethework.com/work/entries/night-fishing-767309</t>
        </is>
      </c>
      <c r="M2" s="113" t="inlineStr">
        <is>
          <t>A 13-minute short film shot entirely using the built-in cameras of a Hyundai Ioniq 5 — side, interior, and exterior — with the car functioning as the sole cinematographer across every scene. The film premiered as an official selection at Chef Dance, a principal program of the Sundance Film Festival, then screened nationwide in South Korean theaters at a $1 admission fee, charging audiences to watch what was, functionally, a car ad.</t>
        </is>
      </c>
      <c r="N2" s="113" t="inlineStr">
        <is>
          <t>automotive, cars, transport, branded-entertainment, short-film, south-korea, electric-vehicle, theater, gen-z, film-festival</t>
        </is>
      </c>
    </row>
    <row r="3">
      <c r="A3" s="127" t="n">
        <v>2025</v>
      </c>
      <c r="B3" s="140" t="inlineStr">
        <is>
          <t>Gold</t>
        </is>
      </c>
      <c r="C3" s="127" t="inlineStr">
        <is>
          <t>The Final Copy of Ilon Specht</t>
        </is>
      </c>
      <c r="D3" s="127" t="inlineStr">
        <is>
          <t>L'Oréal</t>
        </is>
      </c>
      <c r="E3" s="127" t="inlineStr">
        <is>
          <t>L'orãal Paris</t>
        </is>
      </c>
      <c r="F3" s="127" t="inlineStr">
        <is>
          <t>McCANN</t>
        </is>
      </c>
      <c r="G3" s="127" t="inlineStr">
        <is>
          <t>France</t>
        </is>
      </c>
      <c r="H3" s="113" t="inlineStr">
        <is>
          <t>Non-Fiction Film: 5-30 minutes</t>
        </is>
      </c>
      <c r="I3" s="127" t="inlineStr">
        <is>
          <t>digital-presentation-images/entertainment-loreal-the-final-copy-of-ilon-specht.webp</t>
        </is>
      </c>
      <c r="J3" s="127" t="inlineStr">
        <is>
          <t>-4o8bCc6-GM</t>
        </is>
      </c>
      <c r="K3" s="127" t="n"/>
      <c r="L3" s="128" t="inlineStr">
        <is>
          <t>https://www.lovethework.com/work/entries/the-final-copy-of-ilon-specht-766871</t>
        </is>
      </c>
      <c r="M3"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3" s="113" t="inlineStr">
        <is>
          <t>cosmetics, personal-care, beauty, documentary, film, entertainment, cinema, branded-content, ooh, interactive-installation, international-womens-day, france, streaming, tv, social</t>
        </is>
      </c>
    </row>
    <row r="4">
      <c r="A4" s="127" t="n">
        <v>2025</v>
      </c>
      <c r="B4" s="140" t="inlineStr">
        <is>
          <t>Gold</t>
        </is>
      </c>
      <c r="C4" s="127" t="inlineStr">
        <is>
          <t>Haaland Payback Time</t>
        </is>
      </c>
      <c r="D4" s="127" t="inlineStr">
        <is>
          <t>Clash of Clans</t>
        </is>
      </c>
      <c r="E4" s="127" t="inlineStr">
        <is>
          <t>Clash of Clans</t>
        </is>
      </c>
      <c r="F4" s="127" t="inlineStr">
        <is>
          <t>David</t>
        </is>
      </c>
      <c r="G4" s="127" t="inlineStr">
        <is>
          <t>United States</t>
        </is>
      </c>
      <c r="H4" s="113" t="inlineStr">
        <is>
          <t>Audience Engagement/Distribution Strategy</t>
        </is>
      </c>
      <c r="I4" s="128" t="inlineStr">
        <is>
          <t>https://ascentialcdn.filespin.io/api/v1/conversion/e56e744cd3594eceb82733246e9035b2</t>
        </is>
      </c>
      <c r="J4" s="127" t="inlineStr">
        <is>
          <t>TcQ--NtSQ9s</t>
        </is>
      </c>
      <c r="K4" s="127" t="n"/>
      <c r="L4" s="128" t="inlineStr">
        <is>
          <t>https://www.lovethework.com/work/entries/haaland-payback-time-766835</t>
        </is>
      </c>
      <c r="M4"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4" s="113" t="inlineStr">
        <is>
          <t>mobile-game, gaming, video-games, entertainment, influencer, sport, in-game-activation, football, soccer, celebrity, united-states</t>
        </is>
      </c>
    </row>
    <row r="5">
      <c r="A5" s="127" t="n">
        <v>2025</v>
      </c>
      <c r="B5" s="140" t="inlineStr">
        <is>
          <t>Gold</t>
        </is>
      </c>
      <c r="C5" s="127" t="inlineStr">
        <is>
          <t>Caption with Intention</t>
        </is>
      </c>
      <c r="D5" s="127" t="inlineStr">
        <is>
          <t>Academy of Motion Picture Arts &amp; Sciences - Rakish - Chicago Hearing Society</t>
        </is>
      </c>
      <c r="E5" s="127" t="inlineStr">
        <is>
          <t>Closed Captioning</t>
        </is>
      </c>
      <c r="F5" s="127" t="inlineStr">
        <is>
          <t>FCB Chicago</t>
        </is>
      </c>
      <c r="G5" s="127" t="inlineStr">
        <is>
          <t>United States</t>
        </is>
      </c>
      <c r="H5" s="113" t="inlineStr">
        <is>
          <t>Diversity &amp; Inclusion in Entertainment</t>
        </is>
      </c>
      <c r="I5" s="128" t="inlineStr">
        <is>
          <t>https://ascentialcdn.filespin.io/api/v1/conversion/3a7cf992b94648e7abc8a97fc02fb04b</t>
        </is>
      </c>
      <c r="J5" s="127" t="inlineStr">
        <is>
          <t>F48khKZhKHM</t>
        </is>
      </c>
      <c r="K5" s="127" t="n"/>
      <c r="L5" s="128" t="inlineStr">
        <is>
          <t>https://www.lovethework.com/work/entries/caption-with-intention-767270</t>
        </is>
      </c>
      <c r="M5"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5" s="113" t="inlineStr">
        <is>
          <t>closed-captioning, accessibility, typography, film, cinema, entertainment, societal-innovation, united-states, design-system, deaf-hard-of-hearing</t>
        </is>
      </c>
    </row>
    <row r="6">
      <c r="A6" s="127" t="n">
        <v>2025</v>
      </c>
      <c r="B6" s="140" t="inlineStr">
        <is>
          <t>Gold</t>
        </is>
      </c>
      <c r="C6" s="127" t="inlineStr">
        <is>
          <t>Dungeons&amp;Dragons: the Lost Episode</t>
        </is>
      </c>
      <c r="D6" s="127" t="inlineStr">
        <is>
          <t>Hasbro</t>
        </is>
      </c>
      <c r="E6" s="127" t="inlineStr">
        <is>
          <t>Toys</t>
        </is>
      </c>
      <c r="F6" s="127" t="inlineStr">
        <is>
          <t>Ogilvy</t>
        </is>
      </c>
      <c r="G6" s="127" t="inlineStr">
        <is>
          <t>Brazil</t>
        </is>
      </c>
      <c r="H6" s="113" t="inlineStr">
        <is>
          <t>Influencer &amp; Co-Creation</t>
        </is>
      </c>
      <c r="I6" s="127" t="inlineStr">
        <is>
          <t>digital-presentation-images/entertainment-hasbro-dungeons-and-dragons-the-lost-episode.webp</t>
        </is>
      </c>
      <c r="J6" s="127" t="inlineStr">
        <is>
          <t>vimeo:1103262672</t>
        </is>
      </c>
      <c r="K6" s="127" t="n"/>
      <c r="L6" s="128" t="inlineStr">
        <is>
          <t>https://www.lovethework.com/work/entries/dungeonsdragons-the-lost-episode-767102</t>
        </is>
      </c>
      <c r="M6" s="113" t="inlineStr">
        <is>
          <t>A 15-minute stop-motion film Hasbro produced with Brazilian pop-culture duo Jovem Nerd and Nonsense Creations, built entirely from fan theories gathered through social listening about the unresolved 1980s Dungeons &amp; Dragons animated series — which was canceled in Latin America without a finale, leaving its ending debated online for decades. The film was directed and launched at Comic Con Brazil, giving the characters a conclusion drawn from the community's own speculation about whether they died, escaped, or made it home.</t>
        </is>
      </c>
      <c r="N6" s="113" t="inlineStr">
        <is>
          <t>toys, branded-entertainment, stop-motion, influencer-co-creation, social-listening, brazil, film, cinema, entertainment, fan-community, dungeons-and-dragons</t>
        </is>
      </c>
    </row>
    <row r="7">
      <c r="A7" s="127" t="n">
        <v>2025</v>
      </c>
      <c r="B7" s="140" t="inlineStr">
        <is>
          <t>Gold</t>
        </is>
      </c>
      <c r="C7" s="127" t="inlineStr">
        <is>
          <t>Tide Collateral Stain Stories</t>
        </is>
      </c>
      <c r="D7" s="127" t="inlineStr">
        <is>
          <t>Tide</t>
        </is>
      </c>
      <c r="E7" s="127" t="inlineStr">
        <is>
          <t>Tide Oxi Boost</t>
        </is>
      </c>
      <c r="F7" s="127" t="inlineStr">
        <is>
          <t>Saatchi &amp; Saatchi</t>
        </is>
      </c>
      <c r="G7" s="127" t="inlineStr">
        <is>
          <t>United States</t>
        </is>
      </c>
      <c r="H7" s="113" t="inlineStr">
        <is>
          <t>Brand Partnerships, Sponsorships &amp; Collaborations</t>
        </is>
      </c>
      <c r="I7" s="128" t="inlineStr">
        <is>
          <t>https://ascentialcdn.filespin.io/api/v1/conversion/55473142d6864b37b0a59f44ba97046b</t>
        </is>
      </c>
      <c r="J7" s="127" t="inlineStr">
        <is>
          <t>vimeo:1078053795</t>
        </is>
      </c>
      <c r="K7" s="127" t="n"/>
      <c r="L7" s="128" t="inlineStr">
        <is>
          <t>https://www.lovethework.com/work/entries/tide-collateral-stain-stories-767268</t>
        </is>
      </c>
      <c r="M7" s="113" t="inlineStr">
        <is>
          <t>The stories of regular people living in the Marvel Universe dealing with the laundry messes those epic battles leave behind. Tide went through all 36 Marvel movies and 10 TV series to identify every collateral stain victim and turn them into the heroes of their campaign, including TV, OLV, social and outdoor. Their stars even showed up at the red carpet premiere.</t>
        </is>
      </c>
      <c r="N7" s="113" t="inlineStr">
        <is>
          <t>detergent, household, home, cpg, branded-content, integrated, marvel, partnership, ip, united-states</t>
        </is>
      </c>
    </row>
    <row r="8">
      <c r="A8" s="127" t="n">
        <v>2025</v>
      </c>
      <c r="B8" s="132" t="inlineStr">
        <is>
          <t>Silver</t>
        </is>
      </c>
      <c r="C8" s="127" t="inlineStr">
        <is>
          <t>Lap of Legends</t>
        </is>
      </c>
      <c r="D8" s="127" t="inlineStr">
        <is>
          <t>AB Inbev - Michelob Ultra</t>
        </is>
      </c>
      <c r="E8" s="127" t="inlineStr">
        <is>
          <t>Michelob Ultra</t>
        </is>
      </c>
      <c r="F8" s="127" t="inlineStr">
        <is>
          <t>FCB New York</t>
        </is>
      </c>
      <c r="G8" s="127" t="inlineStr">
        <is>
          <t>United States</t>
        </is>
      </c>
      <c r="H8" s="113" t="inlineStr">
        <is>
          <t>Innovation in Branded Content</t>
        </is>
      </c>
      <c r="I8" s="128" t="inlineStr">
        <is>
          <t>https://ascentialcdn.filespin.io/api/v1/conversion/00bc8da7a7464d6c8f4154a6b1e3cc23</t>
        </is>
      </c>
      <c r="J8" s="127" t="inlineStr">
        <is>
          <t>0C3VQ6MwfIE</t>
        </is>
      </c>
      <c r="K8" s="127" t="n"/>
      <c r="L8" s="128" t="inlineStr">
        <is>
          <t>https://www.lovethework.com/work/entries/lap-of-legends-767038</t>
        </is>
      </c>
      <c r="M8" s="113" t="inlineStr">
        <is>
          <t>A real-versus-virtual Formula 1 race in which Williams driver Logan Sargeant drove his own car on a live track against AI avatars of Nigel Mansell and Mario Andretti — virtual drivers reconstructed from 45 years of historical race data, visible to Sargeant through an AR-equipped racing helmet. Broadcast on AMC, Roku, and BBC America.</t>
        </is>
      </c>
      <c r="N8" s="113" t="inlineStr">
        <is>
          <t>sport, ai, technology, ar, motorsport, racing, beer, alcohol, broadcast, entertainment, partnership, tech-led-experience</t>
        </is>
      </c>
    </row>
    <row r="9">
      <c r="A9" s="127" t="n">
        <v>2025</v>
      </c>
      <c r="B9" s="132" t="inlineStr">
        <is>
          <t>Silver</t>
        </is>
      </c>
      <c r="C9" s="127" t="inlineStr">
        <is>
          <t>Can't Unsee It</t>
        </is>
      </c>
      <c r="D9" s="127" t="inlineStr">
        <is>
          <t>Heinz Ketchup &amp; Mustard</t>
        </is>
      </c>
      <c r="E9" s="127" t="inlineStr">
        <is>
          <t>Kraft Heinz</t>
        </is>
      </c>
      <c r="F9" s="127" t="inlineStr">
        <is>
          <t>Rethink</t>
        </is>
      </c>
      <c r="G9" s="127" t="inlineStr">
        <is>
          <t>Canada</t>
        </is>
      </c>
      <c r="H9" s="113" t="inlineStr">
        <is>
          <t>Brand Partnerships, Sponsorships &amp; Collaborations</t>
        </is>
      </c>
      <c r="I9" s="128" t="inlineStr">
        <is>
          <t>https://ascentialcdn.filespin.io/api/v1/conversion/3db7ec7e31b7459bafa082009489d40e</t>
        </is>
      </c>
      <c r="J9" s="127" t="inlineStr">
        <is>
          <t>itiHi3WYcSs</t>
        </is>
      </c>
      <c r="K9" s="127" t="n"/>
      <c r="L9" s="128" t="inlineStr">
        <is>
          <t>https://www.lovethework.com/work/entries/cant-unsee-it-767337</t>
        </is>
      </c>
      <c r="M9" s="113" t="inlineStr">
        <is>
          <t>Out-of-home placements in New York, Los Angeles, Toronto, and Vancouver that targeted Marvel's existing Deadpool &amp; Wolverine outdoor campaign — replacing the film's characters with Heinz Ketchup and Mustard bottles under the line "You Can't Unsee It." The ads leaned on the visual match between Deadpool's red suit and Wolverine's yellow suit and the two condiment bottles, a parallel that moviegoers had already started noting online ahead of the film's summer 2024 release.</t>
        </is>
      </c>
      <c r="N9" s="113" t="inlineStr">
        <is>
          <t>condiment, ooh, cultural-hijack, media-placement, canada, united-states, superhero-film, ambient</t>
        </is>
      </c>
    </row>
    <row r="10">
      <c r="A10" s="127" t="n">
        <v>2025</v>
      </c>
      <c r="B10" s="132" t="inlineStr">
        <is>
          <t>Silver</t>
        </is>
      </c>
      <c r="C10" s="127" t="inlineStr">
        <is>
          <t>Oreo Square Cookie</t>
        </is>
      </c>
      <c r="D10" s="127" t="inlineStr">
        <is>
          <t>Mondelez International</t>
        </is>
      </c>
      <c r="E10" s="127" t="inlineStr">
        <is>
          <t>Oreo</t>
        </is>
      </c>
      <c r="F10" s="127" t="inlineStr">
        <is>
          <t>Saatchi &amp; Saatchi</t>
        </is>
      </c>
      <c r="G10" s="127" t="inlineStr">
        <is>
          <t>Germany</t>
        </is>
      </c>
      <c r="H10" s="113" t="inlineStr">
        <is>
          <t>Audience Engagement/Distribution Strategy</t>
        </is>
      </c>
      <c r="I10" s="128" t="inlineStr">
        <is>
          <t>https://ascentialcdn.filespin.io/api/v1/conversion/76013060c8dd4eaab1a92bf04d89af79</t>
        </is>
      </c>
      <c r="J10" s="127" t="inlineStr">
        <is>
          <t>vimeo:1068186645</t>
        </is>
      </c>
      <c r="K10" s="127" t="n"/>
      <c r="L10" s="128" t="inlineStr">
        <is>
          <t>https://www.lovethework.com/work/entries/oreo-square-cookie-767454</t>
        </is>
      </c>
      <c r="M10" s="113" t="inlineStr">
        <is>
          <t>A limited-edition square Oreo cookie produced in collaboration with A Minecraft Movie, reshaping the brand's signature round format to match the block-based geometry of the Minecraft world. The tie-in was designed to get German consumers to sample Oreo's reformulated recipe — more cocoa, less sugar — by attaching a trial reason to one of the year's biggest cinema releases.</t>
        </is>
      </c>
      <c r="N10" s="113" t="inlineStr">
        <is>
          <t>snack, food, packaged-goods, cpg, fmcg, packaging, limited-edition, brand-collaboration, entertainment, germany, product-design, audience-engagement</t>
        </is>
      </c>
    </row>
    <row r="11">
      <c r="A11" s="127" t="n">
        <v>2025</v>
      </c>
      <c r="B11" s="132" t="inlineStr">
        <is>
          <t>Silver</t>
        </is>
      </c>
      <c r="C11" s="127" t="inlineStr">
        <is>
          <t>Caption with Intention</t>
        </is>
      </c>
      <c r="D11" s="127" t="inlineStr">
        <is>
          <t>Academy of Motion Picture Arts &amp; Sciences - Rakish - Chicago Hearing Society</t>
        </is>
      </c>
      <c r="E11" s="127" t="inlineStr">
        <is>
          <t>Closed Captioning</t>
        </is>
      </c>
      <c r="F11" s="127" t="inlineStr">
        <is>
          <t>FCB Chicago</t>
        </is>
      </c>
      <c r="G11" s="127" t="inlineStr">
        <is>
          <t>United States</t>
        </is>
      </c>
      <c r="H11" s="113" t="inlineStr">
        <is>
          <t>Cultural Engagement</t>
        </is>
      </c>
      <c r="I11" s="128" t="inlineStr">
        <is>
          <t>https://ascentialcdn.filespin.io/api/v1/conversion/3a7cf992b94648e7abc8a97fc02fb04b</t>
        </is>
      </c>
      <c r="J11" s="127" t="inlineStr">
        <is>
          <t>F48khKZhKHM</t>
        </is>
      </c>
      <c r="K11" s="127" t="n"/>
      <c r="L11" s="128" t="inlineStr">
        <is>
          <t>https://www.lovethework.com/work/entries/caption-with-intention-767304</t>
        </is>
      </c>
      <c r="M11"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11" s="113" t="inlineStr">
        <is>
          <t>closed-captioning, accessibility, typography, film, cinema, entertainment, societal-innovation, united-states, design-system, deaf-hard-of-hearing</t>
        </is>
      </c>
    </row>
    <row r="12">
      <c r="A12" s="127" t="n">
        <v>2025</v>
      </c>
      <c r="B12" s="132" t="inlineStr">
        <is>
          <t>Silver</t>
        </is>
      </c>
      <c r="C12" s="127" t="inlineStr">
        <is>
          <t>The Final Copy of Ilon Specht</t>
        </is>
      </c>
      <c r="D12" s="127" t="inlineStr">
        <is>
          <t>L'Oréal</t>
        </is>
      </c>
      <c r="E12" s="127" t="inlineStr">
        <is>
          <t>L'orãal Paris</t>
        </is>
      </c>
      <c r="F12" s="127" t="inlineStr">
        <is>
          <t>McCANN</t>
        </is>
      </c>
      <c r="G12" s="127" t="inlineStr">
        <is>
          <t>France</t>
        </is>
      </c>
      <c r="H12" s="113" t="inlineStr">
        <is>
          <t>Diversity &amp; Inclusion in Entertainment</t>
        </is>
      </c>
      <c r="I12" s="127" t="inlineStr">
        <is>
          <t>digital-presentation-images/entertainment-loreal-the-final-copy-of-ilon-specht.webp</t>
        </is>
      </c>
      <c r="J12" s="127" t="inlineStr">
        <is>
          <t>-4o8bCc6-GM</t>
        </is>
      </c>
      <c r="K12" s="127" t="n"/>
      <c r="L12" s="128" t="inlineStr">
        <is>
          <t>https://www.lovethework.com/work/entries/the-final-copy-of-ilon-specht-766850</t>
        </is>
      </c>
      <c r="M12" s="113" t="inlineStr">
        <is>
          <t>An 18-minute documentary released on International Women's Day across Prime Video, AMC+, and YouTube, profiling Ilon Specht — the copywriter who wrote "Because I'm Worth It" for L'Oréal Paris in 1973 — without changing a word of the original line. McCann Paris then extended the film across OOH, interactive installations, screenings, and influencer activity in more than 20 countries.</t>
        </is>
      </c>
      <c r="N12" s="113" t="inlineStr">
        <is>
          <t>cosmetics, personal-care, beauty, documentary, film, entertainment, cinema, branded-content, ooh, interactive-installation, international-womens-day, france, streaming, tv, social</t>
        </is>
      </c>
    </row>
    <row r="13">
      <c r="A13" s="127" t="n">
        <v>2025</v>
      </c>
      <c r="B13" s="132" t="inlineStr">
        <is>
          <t>Silver</t>
        </is>
      </c>
      <c r="C13" s="127" t="inlineStr">
        <is>
          <t>Olympic Games Opening Ceremony Paris 2024</t>
        </is>
      </c>
      <c r="D13" s="127" t="inlineStr">
        <is>
          <t>Paris 2024</t>
        </is>
      </c>
      <c r="E13" s="127" t="inlineStr">
        <is>
          <t>Paris 2024</t>
        </is>
      </c>
      <c r="F13" s="127" t="inlineStr">
        <is>
          <t>Paname 24</t>
        </is>
      </c>
      <c r="G13" s="127" t="inlineStr">
        <is>
          <t>France</t>
        </is>
      </c>
      <c r="H13" s="113" t="inlineStr">
        <is>
          <t>Diversity &amp; Inclusion in Entertainment</t>
        </is>
      </c>
      <c r="I13" s="128" t="inlineStr">
        <is>
          <t>https://ascentialcdn.filespin.io/api/v1/conversion/60aa1888e5b6444381b060dc1801de84</t>
        </is>
      </c>
      <c r="J13" s="127" t="inlineStr">
        <is>
          <t>t8o4ulxT1Cc</t>
        </is>
      </c>
      <c r="K13" s="127" t="n"/>
      <c r="L13" s="128" t="inlineStr">
        <is>
          <t>https://www.lovethework.com/work/entries/olympic-games-opening-ceremony-paris-2024-767406</t>
        </is>
      </c>
      <c r="M13"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13" s="113" t="inlineStr">
        <is>
          <t>live-event, olympics, sport, ceremony, paris, large-scale, broadcast, entertainment, partnership, france</t>
        </is>
      </c>
    </row>
    <row r="14">
      <c r="A14" s="127" t="n">
        <v>2025</v>
      </c>
      <c r="B14" s="132" t="inlineStr">
        <is>
          <t>Silver</t>
        </is>
      </c>
      <c r="C14" s="127" t="inlineStr">
        <is>
          <t>The Shooting</t>
        </is>
      </c>
      <c r="D14" s="127" t="inlineStr">
        <is>
          <t>La Unión Newspaper / Articulo 19</t>
        </is>
      </c>
      <c r="E14" s="127" t="inlineStr">
        <is>
          <t>La Uniãn Newspaper / Articulo 19</t>
        </is>
      </c>
      <c r="F14" s="127" t="inlineStr">
        <is>
          <t>Grey</t>
        </is>
      </c>
      <c r="G14" s="127" t="inlineStr">
        <is>
          <t>Mexico</t>
        </is>
      </c>
      <c r="H14" s="113" t="inlineStr">
        <is>
          <t>Fiction Film: Up to 5 minutes</t>
        </is>
      </c>
      <c r="I14" s="127" t="inlineStr">
        <is>
          <t>digital-presentation-images/entertainment-la-union-newspaper-the-shooting.webp</t>
        </is>
      </c>
      <c r="J14" s="127" t="inlineStr">
        <is>
          <t>-saAXmItj_U</t>
        </is>
      </c>
      <c r="K14" s="127" t="n"/>
      <c r="L14" s="128" t="inlineStr">
        <is>
          <t>https://www.lovethework.com/work/entries/the-shooting-766980</t>
        </is>
      </c>
      <c r="M14" s="113" t="inlineStr">
        <is>
          <t>A short film produced by Grey México for La Unión newspaper and Article 19 in which a journalist holding a camera and a gunman holding a pistol face each other across the same frame — built around the double meaning that journalists "shoot" to expose truth while others shoot to silence them. Shot entirely on real locations in Mexico with actors who had personal ties to violence and journalism, the film responds to a context in which more than 200 journalists have been murdered or disappeared in Mexico since 2000, including La Unión founder Moisés Sánchez.</t>
        </is>
      </c>
      <c r="N14" s="113" t="inlineStr">
        <is>
          <t>newspaper, film, cinema, entertainment, public-service, press-freedom, mexico, short-film, social-issue, grey-mexico</t>
        </is>
      </c>
    </row>
    <row r="15">
      <c r="A15" s="127" t="n">
        <v>2025</v>
      </c>
      <c r="B15" s="133" t="inlineStr">
        <is>
          <t>Bronze</t>
        </is>
      </c>
      <c r="C15" s="127" t="inlineStr">
        <is>
          <t>Cheering for the Rain</t>
        </is>
      </c>
      <c r="D15" s="127" t="inlineStr">
        <is>
          <t>Globoplay</t>
        </is>
      </c>
      <c r="E15" s="127" t="inlineStr">
        <is>
          <t>Senna Por Ayrton</t>
        </is>
      </c>
      <c r="F15" s="127" t="inlineStr">
        <is>
          <t>Artplan</t>
        </is>
      </c>
      <c r="G15" s="127" t="inlineStr">
        <is>
          <t>Brazil</t>
        </is>
      </c>
      <c r="H15" s="113" t="inlineStr">
        <is>
          <t>Social Behaviour</t>
        </is>
      </c>
      <c r="I15" s="128" t="inlineStr">
        <is>
          <t>https://ascentialcdn.filespin.io/api/v1/conversion/ef4af87cfc76490a81be851d1c90a77b</t>
        </is>
      </c>
      <c r="J15" s="127" t="inlineStr">
        <is>
          <t>vimeo:1126059126</t>
        </is>
      </c>
      <c r="K15" s="127" t="n"/>
      <c r="L15" s="128" t="inlineStr">
        <is>
          <t>https://www.lovethework.com/work/entries/cheering-for-the-rain-767117</t>
        </is>
      </c>
      <c r="M15" s="113" t="inlineStr">
        <is>
          <t>A campaign built around the Brazilian habit of cheering when rain forces a pause in outdoor events — repurposed as a live trigger to drive viewers to Globoplay's docuseries *Senna por Ayrton*. Developed with mobility partner Movida, the activation connected the cultural reflex of welcoming rain to a streaming prompt, turning weather into a real-time call to watch.</t>
        </is>
      </c>
      <c r="N15" s="113" t="inlineStr">
        <is>
          <t>streaming, tv, entertainment, social-behaviour, weather-activation, mobile, brazil, docuseries, real-time, cultural-insight</t>
        </is>
      </c>
    </row>
    <row r="16">
      <c r="A16" s="127" t="n">
        <v>2025</v>
      </c>
      <c r="B16" s="133" t="inlineStr">
        <is>
          <t>Bronze</t>
        </is>
      </c>
      <c r="C16" s="127" t="inlineStr">
        <is>
          <t>Oreo Empire</t>
        </is>
      </c>
      <c r="D16" s="127" t="inlineStr">
        <is>
          <t>Oreo</t>
        </is>
      </c>
      <c r="E16" s="127" t="inlineStr">
        <is>
          <t>Oreo Cookies</t>
        </is>
      </c>
      <c r="F16" s="127" t="inlineStr">
        <is>
          <t>Dentsu Creative</t>
        </is>
      </c>
      <c r="G16" s="127" t="inlineStr">
        <is>
          <t>United States</t>
        </is>
      </c>
      <c r="H16" s="113" t="inlineStr">
        <is>
          <t>Brand Integration</t>
        </is>
      </c>
      <c r="I16" s="128" t="inlineStr">
        <is>
          <t>https://ascentialcdn.filespin.io/api/v1/conversion/f2978f9255da42889e454a19c0f9f5ea</t>
        </is>
      </c>
      <c r="J16" s="127" t="inlineStr">
        <is>
          <t>JxtVzPFRTGw</t>
        </is>
      </c>
      <c r="K16" s="127" t="n"/>
      <c r="L16" s="128" t="inlineStr">
        <is>
          <t>https://www.lovethework.com/work/entries/oreo-empire-767371</t>
        </is>
      </c>
      <c r="M16" s="113" t="inlineStr">
        <is>
          <t>A product placement that never happened but can never be unseen. Instead of launching a traditional partnership for their release of a limited edition Star Wars packs, OREO used Josh Gad to spread an internet conspiracy that OREO placements have been hidden in every Star Wars movie ever from the Millennium Falcon to R2D2's built-in cookie holsters, leading to the best selling OREO ever.</t>
        </is>
      </c>
      <c r="N16" s="113" t="inlineStr">
        <is>
          <t>cookie, snack, food, packaged-goods, cpg, fmcg, partnership, ip, star-wars, social-media, integrated, conspiracy-marketing, united-states</t>
        </is>
      </c>
    </row>
    <row r="17">
      <c r="A17" s="127" t="n">
        <v>2025</v>
      </c>
      <c r="B17" s="133" t="inlineStr">
        <is>
          <t>Bronze</t>
        </is>
      </c>
      <c r="C17" s="127" t="inlineStr">
        <is>
          <t>Bachelor</t>
        </is>
      </c>
      <c r="D17" s="127" t="inlineStr">
        <is>
          <t>Bachelor (ctv)</t>
        </is>
      </c>
      <c r="E17" s="127" t="inlineStr">
        <is>
          <t>TV Show</t>
        </is>
      </c>
      <c r="F17" s="127" t="inlineStr">
        <is>
          <t>StarlightMedia</t>
        </is>
      </c>
      <c r="G17" s="127" t="inlineStr">
        <is>
          <t>Ukraine</t>
        </is>
      </c>
      <c r="H17" s="113" t="inlineStr">
        <is>
          <t>Diversity &amp; Inclusion in Entertainment</t>
        </is>
      </c>
      <c r="I17" s="128" t="inlineStr">
        <is>
          <t>https://ascentialcdn.filespin.io/api/v1/conversion/f24e68d6c8384d1eb2ad61b83f036618</t>
        </is>
      </c>
      <c r="J17" s="127" t="inlineStr">
        <is>
          <t>fDp5aDsp5QM</t>
        </is>
      </c>
      <c r="K17" s="127" t="n"/>
      <c r="L17" s="128" t="inlineStr">
        <is>
          <t>https://www.lovethework.com/work/entries/bachelor-767396</t>
        </is>
      </c>
      <c r="M17" s="113" t="inlineStr">
        <is>
          <t>A Ukrainian adaptation of the reality dating format The Bachelor, produced by StarlightMedia for CTV, recast to center on a veteran with combat injuries, specifically Oleksandr Teren — a special forces double amputee. The campaign helped to change perceptions of veterans with disabilities.</t>
        </is>
      </c>
      <c r="N17" s="113" t="inlineStr">
        <is>
          <t>tv, entertainment, branded-content, reality-tv, ukraine, social-good, veterans, partnership</t>
        </is>
      </c>
    </row>
    <row r="18">
      <c r="A18" s="127" t="n">
        <v>2025</v>
      </c>
      <c r="B18" s="133" t="inlineStr">
        <is>
          <t>Bronze</t>
        </is>
      </c>
      <c r="C18" s="127" t="inlineStr">
        <is>
          <t>Make New Zealand the Best Place in the World to Have Herpes</t>
        </is>
      </c>
      <c r="D18" s="127" t="inlineStr">
        <is>
          <t>The New Zealand Herpes Foundation</t>
        </is>
      </c>
      <c r="E18" s="127" t="inlineStr">
        <is>
          <t>The New Zealand Herpes Foundation</t>
        </is>
      </c>
      <c r="F18" s="127" t="inlineStr">
        <is>
          <t>Motion Sickness</t>
        </is>
      </c>
      <c r="G18" s="127" t="inlineStr">
        <is>
          <t>New Zealand</t>
        </is>
      </c>
      <c r="H18" s="113" t="inlineStr">
        <is>
          <t>Use of Humour</t>
        </is>
      </c>
      <c r="I18" s="128" t="inlineStr">
        <is>
          <t>https://ascentialcdn.filespin.io/api/v1/conversion/581ba8fb17334c1fbfc126a090ed2598</t>
        </is>
      </c>
      <c r="J18" s="127" t="inlineStr">
        <is>
          <t>_e1h2ZTJb2k</t>
        </is>
      </c>
      <c r="K18" s="127" t="n"/>
      <c r="L18" s="128" t="inlineStr">
        <is>
          <t>https://www.lovethework.com/work/entries/make-new-zealand-the-best-place-in-the-world-to-have-herpes-767411</t>
        </is>
      </c>
      <c r="M18" s="113" t="inlineStr">
        <is>
          <t>A public health campaign that reframed New Zealand as the world's best destination for living with herpes — using Kiwi national pride and dry humor to reduce the stigma around one of the most common but least discussed STIs. Ads, social content, and earned media leaned into the absurdity of the proposition while delivering factual messaging about herpes prevalence and the New Zealand Herpes Foundation's support resources.</t>
        </is>
      </c>
      <c r="N18" s="113" t="inlineStr">
        <is>
          <t>public-health, herpes-foundation, humour, social-media, new-zealand, stigma-reduction, charity, health-education</t>
        </is>
      </c>
    </row>
    <row r="19">
      <c r="A19" s="127" t="n">
        <v>2025</v>
      </c>
      <c r="B19" s="133" t="inlineStr">
        <is>
          <t>Bronze</t>
        </is>
      </c>
      <c r="C19" s="127" t="inlineStr">
        <is>
          <t>Lidlize</t>
        </is>
      </c>
      <c r="D19" s="127" t="inlineStr">
        <is>
          <t>Lidl</t>
        </is>
      </c>
      <c r="E19" s="127" t="inlineStr">
        <is>
          <t>Retail</t>
        </is>
      </c>
      <c r="F19" s="127" t="inlineStr">
        <is>
          <t>Marcel</t>
        </is>
      </c>
      <c r="G19" s="127" t="inlineStr">
        <is>
          <t>France</t>
        </is>
      </c>
      <c r="H19" s="113" t="inlineStr">
        <is>
          <t>Influencer &amp; Co-Creation</t>
        </is>
      </c>
      <c r="I19" s="128" t="inlineStr">
        <is>
          <t>https://ascentialcdn.filespin.io/api/v1/conversion/f979928ea0a14ad7a4df5b301de95a0e</t>
        </is>
      </c>
      <c r="J19" s="127" t="inlineStr">
        <is>
          <t>mba6sPCSX_8</t>
        </is>
      </c>
      <c r="K19" s="127" t="n"/>
      <c r="L19" s="128" t="inlineStr">
        <is>
          <t>https://www.lovethework.com/work/entries/lidlize-766764</t>
        </is>
      </c>
      <c r="M19" s="113" t="inlineStr">
        <is>
          <t>An AI platform built by Lidl and Marcel Paris that let customers design their own products — apparel, accessories, objects — rendered in Lidl's signature yellow-and-blue branding. The most popular community-voted creation was then manufactured and sold in Lidl stores.</t>
        </is>
      </c>
      <c r="N19" s="113" t="inlineStr">
        <is>
          <t>retail, influencer-co-creation, ai, technology, mobile-app, user-generated-content, france, community-voting, product-design</t>
        </is>
      </c>
    </row>
    <row r="20">
      <c r="A20" s="127" t="n">
        <v>2025</v>
      </c>
      <c r="B20" s="133" t="inlineStr">
        <is>
          <t>Bronze</t>
        </is>
      </c>
      <c r="C20" s="127" t="inlineStr">
        <is>
          <t>The Boy &amp; the Octopus</t>
        </is>
      </c>
      <c r="D20" s="127" t="inlineStr">
        <is>
          <t>Disney</t>
        </is>
      </c>
      <c r="E20" s="127" t="inlineStr">
        <is>
          <t>The Walt Disney Company</t>
        </is>
      </c>
      <c r="F20" s="127" t="inlineStr">
        <is>
          <t>adam&amp;eveDDB</t>
        </is>
      </c>
      <c r="G20" s="127" t="inlineStr">
        <is>
          <t>United States</t>
        </is>
      </c>
      <c r="H20" s="113" t="inlineStr">
        <is>
          <t>Fiction Film: Up to 5 minutes</t>
        </is>
      </c>
      <c r="I20" s="127" t="inlineStr">
        <is>
          <t>digital-presentation-images/entertainment-disney-the-boy-and-the-octopus.webp</t>
        </is>
      </c>
      <c r="J20" s="127" t="inlineStr">
        <is>
          <t>clgyncrbyDg</t>
        </is>
      </c>
      <c r="K20" s="127" t="n"/>
      <c r="L20" s="128" t="inlineStr">
        <is>
          <t>https://www.lovethework.com/work/entries/the-boy-the-octopus-766970</t>
        </is>
      </c>
      <c r="M20" s="113" t="inlineStr">
        <is>
          <t>A four-minute holiday short, directed by Taika Waititi and produced with VFX studio Untold Studios, that follows a small octopus named Blub Blub who latches onto a boy's head to experience the world above water — their friendship unfolding across a Christmas adventure. Adam&amp;eveDDB launched the film like a theatrical release, with teasers and 30-second trailers distributed across TV and social media before it premiered on Disney+.</t>
        </is>
      </c>
      <c r="N20" s="113" t="inlineStr">
        <is>
          <t>entertainment, film, cinema, holiday, christmas, streaming, tv, vfx, united-states, short-film, family</t>
        </is>
      </c>
    </row>
    <row r="21">
      <c r="A21" s="127" t="n">
        <v>2025</v>
      </c>
      <c r="B21" s="133" t="inlineStr">
        <is>
          <t>Bronze</t>
        </is>
      </c>
      <c r="C21" s="127" t="inlineStr">
        <is>
          <t>Tide Collateral Stain Stories</t>
        </is>
      </c>
      <c r="D21" s="127" t="inlineStr">
        <is>
          <t>Tide</t>
        </is>
      </c>
      <c r="E21" s="127" t="inlineStr">
        <is>
          <t>Tide Oxi Boost</t>
        </is>
      </c>
      <c r="F21" s="127" t="inlineStr">
        <is>
          <t>Saatchi &amp; Saatchi</t>
        </is>
      </c>
      <c r="G21" s="127" t="inlineStr">
        <is>
          <t>United States</t>
        </is>
      </c>
      <c r="H21" s="113" t="inlineStr">
        <is>
          <t>360 Integrated Brand Experience</t>
        </is>
      </c>
      <c r="I21" s="128" t="inlineStr">
        <is>
          <t>https://ascentialcdn.filespin.io/api/v1/conversion/2e880efa163040b884c55c34c5aa79f9</t>
        </is>
      </c>
      <c r="J21" s="127" t="inlineStr">
        <is>
          <t>vimeo:1078053795</t>
        </is>
      </c>
      <c r="K21" s="127" t="n"/>
      <c r="L21" s="128" t="inlineStr">
        <is>
          <t>https://www.lovethework.com/work/entries/tide-collateral-stain-stories-767167</t>
        </is>
      </c>
      <c r="M21" s="113" t="inlineStr">
        <is>
          <t>A branded content series built around the stains that appear as collateral damage in other brands' advertising — the coffee splatter in a car commercial, the mustard smear in a fast-food spot — reframed as proof points for Tide Oxi Boost. Each film presents a real stain caught on camera in a partner brand's footage, then demonstrates what Tide Oxi Boost does to it.</t>
        </is>
      </c>
      <c r="N21" s="113" t="inlineStr">
        <is>
          <t>laundry, branded-content, brand-partnership, film, cinema, entertainment, united-states, sponsorship, saatchi-and-saatchi</t>
        </is>
      </c>
    </row>
    <row r="22">
      <c r="A22" s="127" t="n">
        <v>2025</v>
      </c>
      <c r="B22" s="133" t="inlineStr">
        <is>
          <t>Bronze</t>
        </is>
      </c>
      <c r="C22" s="127" t="inlineStr">
        <is>
          <t>Group Therapy</t>
        </is>
      </c>
      <c r="D22" s="127" t="inlineStr">
        <is>
          <t>AXA</t>
        </is>
      </c>
      <c r="E22" s="127" t="inlineStr">
        <is>
          <t>AXA</t>
        </is>
      </c>
      <c r="F22" s="127" t="inlineStr">
        <is>
          <t>VML</t>
        </is>
      </c>
      <c r="G22" s="127" t="inlineStr">
        <is>
          <t>France</t>
        </is>
      </c>
      <c r="H22" s="113" t="inlineStr">
        <is>
          <t>Non-Fiction Film: Over 30 minutes</t>
        </is>
      </c>
      <c r="I22" s="127" t="inlineStr">
        <is>
          <t>digital-presentation-images/entertainment-axa-group-therapy.webp</t>
        </is>
      </c>
      <c r="J22" s="127" t="inlineStr">
        <is>
          <t>cH8-sNMfrOM</t>
        </is>
      </c>
      <c r="K22" s="127" t="n"/>
      <c r="L22" s="128" t="inlineStr">
        <is>
          <t>https://www.lovethework.com/work/entries/group-therapy-767010</t>
        </is>
      </c>
      <c r="M22"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22" s="113" t="inlineStr">
        <is>
          <t>health-insurance, documentary, film, entertainment, cinema, mental-health, healthcare, medical, comedy, prime-video, streaming, tv, global, public-health, branded-content</t>
        </is>
      </c>
    </row>
    <row r="23">
      <c r="A23" s="127" t="n">
        <v>2025</v>
      </c>
      <c r="B23" s="133" t="inlineStr">
        <is>
          <t>Bronze</t>
        </is>
      </c>
      <c r="C23" s="127" t="inlineStr">
        <is>
          <t>Starring Bars</t>
        </is>
      </c>
      <c r="D23" s="127" t="inlineStr">
        <is>
          <t>Heineken</t>
        </is>
      </c>
      <c r="E23" s="127" t="inlineStr">
        <is>
          <t>Heineken</t>
        </is>
      </c>
      <c r="F23" s="127" t="inlineStr">
        <is>
          <t>Lepub</t>
        </is>
      </c>
      <c r="G23" s="127" t="inlineStr">
        <is>
          <t>Italy</t>
        </is>
      </c>
      <c r="H23" s="113" t="inlineStr">
        <is>
          <t>Brand Partnerships, Sponsorships &amp; Collaborations</t>
        </is>
      </c>
      <c r="I23" s="128" t="inlineStr">
        <is>
          <t>https://ascentialcdn.filespin.io/api/v1/conversion/6544f095e71a47a39d27334e2404e951</t>
        </is>
      </c>
      <c r="J23" s="127" t="inlineStr">
        <is>
          <t>VNq1oogkrYk</t>
        </is>
      </c>
      <c r="K23" s="127" t="n"/>
      <c r="L23" s="128" t="inlineStr">
        <is>
          <t>https://www.lovethework.com/work/entries/starring-bars-767438</t>
        </is>
      </c>
      <c r="M23" s="113" t="inlineStr">
        <is>
          <t>A global production policy Heineken adopted to film all of its commercials inside real partner bars that need financial support — turning the bars into paid sets and giving them rental income, a production makeover, and international visibility. When not serving customers, the venues serve as locations, with Heineken's ad spend flowing directly to struggling hospitality businesses.</t>
        </is>
      </c>
      <c r="N23" s="113" t="inlineStr">
        <is>
          <t>beer, alcohol, cross-channel, branded-content, hospitality, b2b, business, global, production, lepub</t>
        </is>
      </c>
    </row>
  </sheetData>
  <autoFilter ref="A1:N23"/>
  <hyperlinks>
    <hyperlink xmlns:r="http://schemas.openxmlformats.org/officeDocument/2006/relationships" ref="L2" r:id="rId1"/>
    <hyperlink xmlns:r="http://schemas.openxmlformats.org/officeDocument/2006/relationships" ref="L3" r:id="rId2"/>
    <hyperlink xmlns:r="http://schemas.openxmlformats.org/officeDocument/2006/relationships" ref="I4" r:id="rId3"/>
    <hyperlink xmlns:r="http://schemas.openxmlformats.org/officeDocument/2006/relationships" ref="L4" r:id="rId4"/>
    <hyperlink xmlns:r="http://schemas.openxmlformats.org/officeDocument/2006/relationships" ref="I5" r:id="rId5"/>
    <hyperlink xmlns:r="http://schemas.openxmlformats.org/officeDocument/2006/relationships" ref="L5" r:id="rId6"/>
    <hyperlink xmlns:r="http://schemas.openxmlformats.org/officeDocument/2006/relationships" ref="L6" r:id="rId7"/>
    <hyperlink xmlns:r="http://schemas.openxmlformats.org/officeDocument/2006/relationships" ref="I7" r:id="rId8"/>
    <hyperlink xmlns:r="http://schemas.openxmlformats.org/officeDocument/2006/relationships" ref="L7" r:id="rId9"/>
    <hyperlink xmlns:r="http://schemas.openxmlformats.org/officeDocument/2006/relationships" ref="I8" r:id="rId10"/>
    <hyperlink xmlns:r="http://schemas.openxmlformats.org/officeDocument/2006/relationships" ref="L8" r:id="rId11"/>
    <hyperlink xmlns:r="http://schemas.openxmlformats.org/officeDocument/2006/relationships" ref="I9" r:id="rId12"/>
    <hyperlink xmlns:r="http://schemas.openxmlformats.org/officeDocument/2006/relationships" ref="L9" r:id="rId13"/>
    <hyperlink xmlns:r="http://schemas.openxmlformats.org/officeDocument/2006/relationships" ref="I10" r:id="rId14"/>
    <hyperlink xmlns:r="http://schemas.openxmlformats.org/officeDocument/2006/relationships" ref="L10" r:id="rId15"/>
    <hyperlink xmlns:r="http://schemas.openxmlformats.org/officeDocument/2006/relationships" ref="I11" r:id="rId16"/>
    <hyperlink xmlns:r="http://schemas.openxmlformats.org/officeDocument/2006/relationships" ref="L11" r:id="rId17"/>
    <hyperlink xmlns:r="http://schemas.openxmlformats.org/officeDocument/2006/relationships" ref="L12" r:id="rId18"/>
    <hyperlink xmlns:r="http://schemas.openxmlformats.org/officeDocument/2006/relationships" ref="I13" r:id="rId19"/>
    <hyperlink xmlns:r="http://schemas.openxmlformats.org/officeDocument/2006/relationships" ref="L13" r:id="rId20"/>
    <hyperlink xmlns:r="http://schemas.openxmlformats.org/officeDocument/2006/relationships" ref="L14" r:id="rId21"/>
    <hyperlink xmlns:r="http://schemas.openxmlformats.org/officeDocument/2006/relationships" ref="I15" r:id="rId22"/>
    <hyperlink xmlns:r="http://schemas.openxmlformats.org/officeDocument/2006/relationships" ref="L15" r:id="rId23"/>
    <hyperlink xmlns:r="http://schemas.openxmlformats.org/officeDocument/2006/relationships" ref="I16" r:id="rId24"/>
    <hyperlink xmlns:r="http://schemas.openxmlformats.org/officeDocument/2006/relationships" ref="L16" r:id="rId25"/>
    <hyperlink xmlns:r="http://schemas.openxmlformats.org/officeDocument/2006/relationships" ref="I17" r:id="rId26"/>
    <hyperlink xmlns:r="http://schemas.openxmlformats.org/officeDocument/2006/relationships" ref="L17" r:id="rId27"/>
    <hyperlink xmlns:r="http://schemas.openxmlformats.org/officeDocument/2006/relationships" ref="I18" r:id="rId28"/>
    <hyperlink xmlns:r="http://schemas.openxmlformats.org/officeDocument/2006/relationships" ref="L18" r:id="rId29"/>
    <hyperlink xmlns:r="http://schemas.openxmlformats.org/officeDocument/2006/relationships" ref="I19" r:id="rId30"/>
    <hyperlink xmlns:r="http://schemas.openxmlformats.org/officeDocument/2006/relationships" ref="L19" r:id="rId31"/>
    <hyperlink xmlns:r="http://schemas.openxmlformats.org/officeDocument/2006/relationships" ref="L20" r:id="rId32"/>
    <hyperlink xmlns:r="http://schemas.openxmlformats.org/officeDocument/2006/relationships" ref="I21" r:id="rId33"/>
    <hyperlink xmlns:r="http://schemas.openxmlformats.org/officeDocument/2006/relationships" ref="L21" r:id="rId34"/>
    <hyperlink xmlns:r="http://schemas.openxmlformats.org/officeDocument/2006/relationships" ref="L22" r:id="rId35"/>
    <hyperlink xmlns:r="http://schemas.openxmlformats.org/officeDocument/2006/relationships" ref="I23" r:id="rId36"/>
    <hyperlink xmlns:r="http://schemas.openxmlformats.org/officeDocument/2006/relationships" ref="L23" r:id="rId37"/>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Call of Discounts</t>
        </is>
      </c>
      <c r="D2" s="127" t="inlineStr">
        <is>
          <t>Mercado Livre</t>
        </is>
      </c>
      <c r="E2" s="127" t="inlineStr">
        <is>
          <t>Mercado Livre</t>
        </is>
      </c>
      <c r="F2" s="127" t="inlineStr">
        <is>
          <t>Gut</t>
        </is>
      </c>
      <c r="G2" s="127" t="inlineStr">
        <is>
          <t>Brazil</t>
        </is>
      </c>
      <c r="H2" s="113" t="inlineStr">
        <is>
          <t>Use of Gaming/Streaming Platforms</t>
        </is>
      </c>
      <c r="I2" s="128" t="inlineStr">
        <is>
          <t>https://ascentialcdn.filespin.io/api/v1/conversion/c70ca73e1b844ab9b17bafdddb08ab43</t>
        </is>
      </c>
      <c r="J2" s="127" t="inlineStr">
        <is>
          <t>vimeo:1093409251</t>
        </is>
      </c>
      <c r="K2" s="127" t="n"/>
      <c r="L2" s="128" t="inlineStr">
        <is>
          <t>https://www.lovethework.com/work/entries/call-of-discounts-758175</t>
        </is>
      </c>
      <c r="M2" s="113" t="inlineStr">
        <is>
          <t>A promotion built inside Call of Duty's "Disguise" mini-game — a mode where players hide by blending into everyday objects — in which Mercado Livre listed those in-game objects as actual purchasable products on its marketplace, with Neymar appearing in-game as a playable character tied to the campaign. Shoppers could buy real-world versions of the items their opponents were literally hiding as, collapsing the boundary between the game environment and the e-commerce storefront.</t>
        </is>
      </c>
      <c r="N2" s="113" t="inlineStr">
        <is>
          <t>e-commerce, gaming, video-games, entertainment, mobile-app, call-of-duty, in-game, brazil, celebrity, gut-sao-paulo</t>
        </is>
      </c>
    </row>
    <row r="3">
      <c r="A3" s="127" t="n">
        <v>2025</v>
      </c>
      <c r="B3" s="140" t="inlineStr">
        <is>
          <t>Gold</t>
        </is>
      </c>
      <c r="C3" s="127" t="inlineStr">
        <is>
          <t>Burger to King</t>
        </is>
      </c>
      <c r="D3" s="127" t="inlineStr">
        <is>
          <t>Burger King, Happiness</t>
        </is>
      </c>
      <c r="E3" s="127" t="inlineStr">
        <is>
          <t>Burger King</t>
        </is>
      </c>
      <c r="F3" s="127" t="inlineStr">
        <is>
          <t>An FCB Alliance</t>
        </is>
      </c>
      <c r="G3" s="127" t="inlineStr">
        <is>
          <t>Belgium</t>
        </is>
      </c>
      <c r="H3" s="113" t="inlineStr">
        <is>
          <t>Challenger Brand</t>
        </is>
      </c>
      <c r="I3" s="128" t="inlineStr">
        <is>
          <t>https://ascentialcdn.filespin.io/api/v1/conversion/4f2c314a8b5244938185d763dbbb08a8</t>
        </is>
      </c>
      <c r="J3" s="127" t="inlineStr">
        <is>
          <t>RQVaoU4CGRk</t>
        </is>
      </c>
      <c r="K3" s="127" t="n"/>
      <c r="L3" s="128" t="inlineStr">
        <is>
          <t>https://www.lovethework.com/work/entries/burger-to-king-763800</t>
        </is>
      </c>
      <c r="M3"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3" s="113" t="inlineStr">
        <is>
          <t>burger-king, gaming, video-games, entertainment, qsr, fast-food, restaurant, food, in-game-audio, belgium, challenger-brand, ambient-media, sports-game</t>
        </is>
      </c>
    </row>
    <row r="4">
      <c r="A4" s="127" t="n">
        <v>2025</v>
      </c>
      <c r="B4" s="140" t="inlineStr">
        <is>
          <t>Gold</t>
        </is>
      </c>
      <c r="C4" s="127" t="inlineStr">
        <is>
          <t>The Final Exam</t>
        </is>
      </c>
      <c r="D4" s="127" t="inlineStr">
        <is>
          <t>Change the Ref</t>
        </is>
      </c>
      <c r="E4" s="127" t="inlineStr">
        <is>
          <t>Pro Bono</t>
        </is>
      </c>
      <c r="F4" s="127" t="inlineStr">
        <is>
          <t>Energy BBDO</t>
        </is>
      </c>
      <c r="G4" s="127" t="inlineStr">
        <is>
          <t>United States</t>
        </is>
      </c>
      <c r="H4" s="113" t="inlineStr">
        <is>
          <t>Social Behaviour</t>
        </is>
      </c>
      <c r="I4" s="128" t="inlineStr">
        <is>
          <t>https://ascentialcdn.filespin.io/api/v1/conversion/615e3a15eabf457d91d317468a12d825</t>
        </is>
      </c>
      <c r="J4" s="127" t="inlineStr">
        <is>
          <t>y8LkiSNPJUs</t>
        </is>
      </c>
      <c r="K4" s="127" t="n"/>
      <c r="L4" s="128" t="inlineStr">
        <is>
          <t>https://www.lovethework.com/work/entries/the-final-exam-760339</t>
        </is>
      </c>
      <c r="M4"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4" s="113" t="inlineStr">
        <is>
          <t>gaming, video-games, entertainment, gun-violence, social-good, not-for-profit, charity, ngo, activism, united-states, twitch, advocacy</t>
        </is>
      </c>
    </row>
    <row r="5">
      <c r="A5" s="127" t="n">
        <v>2025</v>
      </c>
      <c r="B5" s="132" t="inlineStr">
        <is>
          <t>Silver</t>
        </is>
      </c>
      <c r="C5" s="127" t="inlineStr">
        <is>
          <t>Project: Memory Card</t>
        </is>
      </c>
      <c r="D5" s="127" t="inlineStr">
        <is>
          <t>Playstation</t>
        </is>
      </c>
      <c r="E5" s="127" t="inlineStr">
        <is>
          <t>Playstation</t>
        </is>
      </c>
      <c r="F5" s="127" t="inlineStr">
        <is>
          <t>Six Inc</t>
        </is>
      </c>
      <c r="G5" s="127" t="inlineStr">
        <is>
          <t>Japan</t>
        </is>
      </c>
      <c r="H5" s="113" t="inlineStr">
        <is>
          <t>Audio-Visual Content</t>
        </is>
      </c>
      <c r="I5" s="127" t="inlineStr">
        <is>
          <t>digital-presentation-images/entertainment-lions-for-gaming-playstation-project-memory-card.webp</t>
        </is>
      </c>
      <c r="J5" s="127" t="inlineStr">
        <is>
          <t>5H6KsnFazXM</t>
        </is>
      </c>
      <c r="K5" s="127" t="n"/>
      <c r="L5" s="128" t="inlineStr">
        <is>
          <t>https://www.lovethework.com/work/entries/project-memory-card-758330</t>
        </is>
      </c>
      <c r="M5" s="113" t="inlineStr">
        <is>
          <t>An original anime short, titled "Players," created with music band YOASOBI for PlayStation's 30th anniversary in Japan — the characters, story, and song were developed together by SIX INC and Hakuhodo Tokyo so that the narrative and track are inseparable. YOASOBI's existing fanbase and PlayStation's gaming community were brought into a single piece of audio-visual content built around the shared experience of play across generations.</t>
        </is>
      </c>
      <c r="N5" s="113" t="inlineStr">
        <is>
          <t>gaming-console, anime, music-collaboration, audio-visual-content, japan, branded-entertainment, anniversary, yoasobi</t>
        </is>
      </c>
    </row>
    <row r="6">
      <c r="A6" s="127" t="n">
        <v>2025</v>
      </c>
      <c r="B6" s="132" t="inlineStr">
        <is>
          <t>Silver</t>
        </is>
      </c>
      <c r="C6" s="127" t="inlineStr">
        <is>
          <t>Burger to King</t>
        </is>
      </c>
      <c r="D6" s="127" t="inlineStr">
        <is>
          <t>Burger King, Happiness</t>
        </is>
      </c>
      <c r="E6" s="127" t="inlineStr">
        <is>
          <t>Burger King</t>
        </is>
      </c>
      <c r="F6" s="127" t="inlineStr">
        <is>
          <t>An FCB Alliance</t>
        </is>
      </c>
      <c r="G6" s="127" t="inlineStr">
        <is>
          <t>Belgium</t>
        </is>
      </c>
      <c r="H6" s="113" t="inlineStr">
        <is>
          <t>Brand Integration for Games</t>
        </is>
      </c>
      <c r="I6" s="128" t="inlineStr">
        <is>
          <t>https://ascentialcdn.filespin.io/api/v1/conversion/4f2c314a8b5244938185d763dbbb08a8</t>
        </is>
      </c>
      <c r="J6" s="127" t="inlineStr">
        <is>
          <t>RQVaoU4CGRk</t>
        </is>
      </c>
      <c r="K6" s="127" t="n"/>
      <c r="L6" s="128" t="inlineStr">
        <is>
          <t>https://www.lovethework.com/work/entries/burger-to-king-763798</t>
        </is>
      </c>
      <c r="M6" s="113" t="inlineStr">
        <is>
          <t>A loophole in EA Sports FC 25's in-game commentary audio update that allowed Burger King to inject its own brand mentions into the game's live commentary track — repositioning Burger King inside a media channel its competitor had paid heavily to dominate. The exploit was executed by Happiness, an FCB Alliance in Brussels, using the game's own audio-update system to route around the official sponsorship.</t>
        </is>
      </c>
      <c r="N6" s="113" t="inlineStr">
        <is>
          <t>burger-king, gaming, video-games, entertainment, qsr, fast-food, restaurant, food, in-game-audio, belgium, challenger-brand, ambient-media, sports-game</t>
        </is>
      </c>
    </row>
    <row r="7">
      <c r="A7" s="127" t="n">
        <v>2025</v>
      </c>
      <c r="B7" s="133" t="inlineStr">
        <is>
          <t>Bronze</t>
        </is>
      </c>
      <c r="C7" s="127" t="inlineStr">
        <is>
          <t>The Final Exam</t>
        </is>
      </c>
      <c r="D7" s="127" t="inlineStr">
        <is>
          <t>Change the Ref</t>
        </is>
      </c>
      <c r="E7" s="127" t="inlineStr">
        <is>
          <t>Pro Bono</t>
        </is>
      </c>
      <c r="F7" s="127" t="inlineStr">
        <is>
          <t>Energy BBDO</t>
        </is>
      </c>
      <c r="G7" s="127" t="inlineStr">
        <is>
          <t>United States</t>
        </is>
      </c>
      <c r="H7" s="113" t="inlineStr">
        <is>
          <t>Use of Gaming/Streaming Platforms</t>
        </is>
      </c>
      <c r="I7" s="128" t="inlineStr">
        <is>
          <t>https://ascentialcdn.filespin.io/api/v1/conversion/615e3a15eabf457d91d317468a12d825</t>
        </is>
      </c>
      <c r="J7" s="127" t="inlineStr">
        <is>
          <t>y8LkiSNPJUs</t>
        </is>
      </c>
      <c r="K7" s="127" t="n"/>
      <c r="L7" s="128" t="inlineStr">
        <is>
          <t>https://www.lovethework.com/work/entries/the-final-exam-760178</t>
        </is>
      </c>
      <c r="M7"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7" s="113" t="inlineStr">
        <is>
          <t>gaming, video-games, entertainment, gun-violence, social-good, not-for-profit, charity, ngo, activism, united-states, twitch, advocacy</t>
        </is>
      </c>
    </row>
    <row r="8">
      <c r="A8" s="127" t="n">
        <v>2025</v>
      </c>
      <c r="B8" s="133" t="inlineStr">
        <is>
          <t>Bronze</t>
        </is>
      </c>
      <c r="C8" s="127" t="inlineStr">
        <is>
          <t>Haaland Payback Time</t>
        </is>
      </c>
      <c r="D8" s="127" t="inlineStr">
        <is>
          <t>Clash of Clans</t>
        </is>
      </c>
      <c r="E8" s="127" t="inlineStr">
        <is>
          <t>Clash of Clans</t>
        </is>
      </c>
      <c r="F8" s="127" t="inlineStr">
        <is>
          <t>David</t>
        </is>
      </c>
      <c r="G8" s="127" t="inlineStr">
        <is>
          <t>United States</t>
        </is>
      </c>
      <c r="H8" s="113" t="inlineStr">
        <is>
          <t>Partnerships with Gaming Talent</t>
        </is>
      </c>
      <c r="I8" s="128" t="inlineStr">
        <is>
          <t>https://ascentialcdn.filespin.io/api/v1/conversion/3b57e93aef504625807daf7e7575162d</t>
        </is>
      </c>
      <c r="J8" s="127" t="inlineStr">
        <is>
          <t>TcQ--NtSQ9s</t>
        </is>
      </c>
      <c r="K8" s="127" t="n"/>
      <c r="L8" s="128" t="inlineStr">
        <is>
          <t>https://www.lovethework.com/work/entries/haaland-payback-time-762429</t>
        </is>
      </c>
      <c r="M8"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8" s="113" t="inlineStr">
        <is>
          <t>mobile-game, gaming, video-games, entertainment, influencer, sport, in-game-activation, football, soccer, celebrity, united-states</t>
        </is>
      </c>
    </row>
    <row r="9">
      <c r="A9" s="127" t="n">
        <v>2025</v>
      </c>
      <c r="B9" s="133" t="inlineStr">
        <is>
          <t>Bronze</t>
        </is>
      </c>
      <c r="C9" s="127" t="inlineStr">
        <is>
          <t>The Co-Worker</t>
        </is>
      </c>
      <c r="D9" s="127" t="inlineStr">
        <is>
          <t>IKEA</t>
        </is>
      </c>
      <c r="E9" s="127" t="inlineStr">
        <is>
          <t>Recruitment Campaign for Careers at Ikea.</t>
        </is>
      </c>
      <c r="F9" s="127" t="inlineStr">
        <is>
          <t>Mother</t>
        </is>
      </c>
      <c r="G9" s="127" t="inlineStr">
        <is>
          <t>United Kingdom</t>
        </is>
      </c>
      <c r="H9" s="113" t="inlineStr">
        <is>
          <t>Brand Integration for Games</t>
        </is>
      </c>
      <c r="I9" s="128" t="inlineStr">
        <is>
          <t>https://ascentialcdn.filespin.io/api/v1/conversion/4492f4557e9441408ea283fcb7cd3a12</t>
        </is>
      </c>
      <c r="J9" s="127" t="inlineStr">
        <is>
          <t>VPemXZatDQA</t>
        </is>
      </c>
      <c r="K9" s="127" t="n"/>
      <c r="L9" s="128" t="inlineStr">
        <is>
          <t>https://www.lovethework.com/work/entries/the-co-worker-758248</t>
        </is>
      </c>
      <c r="M9" s="113" t="inlineStr">
        <is>
          <t>A fully functioning IKEA store built inside Roblox, where players could take on real job roles — assembling furniture, stocking shelves, helping customers — and get promoted by levelling up, mirroring the actual career structure at IKEA. To drive applications for store roles during the May/June hiring period, IKEA offered players a real salary to work in the virtual store, developed with Mother London and The Gang.</t>
        </is>
      </c>
      <c r="N9" s="113" t="inlineStr">
        <is>
          <t>recruitment, gaming, video-games, entertainment, roblox, retail, employer-branding, united-kingdom, branded-game, youth-audience</t>
        </is>
      </c>
    </row>
    <row r="10">
      <c r="A10" s="127" t="n">
        <v>2025</v>
      </c>
      <c r="B10" s="133" t="inlineStr">
        <is>
          <t>Bronze</t>
        </is>
      </c>
      <c r="C10" s="127" t="inlineStr">
        <is>
          <t>Fizzooka</t>
        </is>
      </c>
      <c r="D10" s="127" t="inlineStr">
        <is>
          <t>Perfetti Van Melle</t>
        </is>
      </c>
      <c r="E10" s="127" t="inlineStr">
        <is>
          <t>Mentos</t>
        </is>
      </c>
      <c r="F10" s="127" t="inlineStr">
        <is>
          <t>BBH</t>
        </is>
      </c>
      <c r="G10" s="127" t="inlineStr">
        <is>
          <t>United Kingdom</t>
        </is>
      </c>
      <c r="H10" s="113" t="inlineStr">
        <is>
          <t>Brand Partnerships, Sponsorships &amp; Collaborations</t>
        </is>
      </c>
      <c r="I10" s="128" t="inlineStr">
        <is>
          <t>https://ascentialcdn.filespin.io/api/v1/conversion/f5ffbe1532054f85b7f9f9b7fba1f1ee</t>
        </is>
      </c>
      <c r="J10" s="127" t="inlineStr">
        <is>
          <t>TgjfKovV888</t>
        </is>
      </c>
      <c r="K10" s="127" t="n"/>
      <c r="L10" s="128" t="inlineStr">
        <is>
          <t>https://www.lovethework.com/work/entries/fizzooka-758263</t>
        </is>
      </c>
      <c r="M10" s="113" t="inlineStr">
        <is>
          <t>A custom rocket launcher built inside Fortnite Creative that uses the Mentos and cola fizz reaction as its mechanic — firing at opponents blasts them across the map and destroys their builds. Delivered by BBH London, the Fizzooka carried the longstanding internet experiment into a playable weapon within Fortnite's anti-build game mode.</t>
        </is>
      </c>
      <c r="N10" s="113" t="inlineStr">
        <is>
          <t>confectionery, candy, snack, packaged-goods, food, cpg, fmcg, gaming, video-games, entertainment, fortnite, brand-partnership, interactive, united-kingdom, virtual-item, user-participation</t>
        </is>
      </c>
    </row>
    <row r="11">
      <c r="A11" s="127" t="n">
        <v>2025</v>
      </c>
      <c r="B11" s="133" t="inlineStr">
        <is>
          <t>Bronze</t>
        </is>
      </c>
      <c r="C11" s="127" t="inlineStr">
        <is>
          <t>Lag or Bad</t>
        </is>
      </c>
      <c r="D11" s="127" t="inlineStr">
        <is>
          <t>Xtrim</t>
        </is>
      </c>
      <c r="E11" s="127" t="inlineStr">
        <is>
          <t>Xtrim Internet Service</t>
        </is>
      </c>
      <c r="F11" s="127" t="inlineStr">
        <is>
          <t>Paradais DDB</t>
        </is>
      </c>
      <c r="G11" s="127" t="inlineStr">
        <is>
          <t>Ecuador</t>
        </is>
      </c>
      <c r="H11" s="113" t="inlineStr">
        <is>
          <t>Social Behaviour</t>
        </is>
      </c>
      <c r="I11" s="128" t="inlineStr">
        <is>
          <t>https://ascentialcdn.filespin.io/api/v1/conversion/035c1b7183be486fa7ec0efe20c5cfd2</t>
        </is>
      </c>
      <c r="J11" s="127" t="inlineStr">
        <is>
          <t>Zo2096C1HDQ</t>
        </is>
      </c>
      <c r="K11" s="127" t="n"/>
      <c r="L11" s="128" t="inlineStr">
        <is>
          <t>https://www.lovethework.com/work/entries/lag-or-bad-760347</t>
        </is>
      </c>
      <c r="M11" s="113" t="inlineStr">
        <is>
          <t>A gaming-adjacent campaign for Xtrim internet service built on a single behavioral observation: that gamers blame their own skill before suspecting their connection — "I'm bad" before "I'm lagging." Created by Paradais DDB in Ecuador, the work reframes poor in-game performance as a diagnosable internet problem rather than a personal failing, turning a self-deprecating gamer habit into a case for switching providers.</t>
        </is>
      </c>
      <c r="N11" s="113" t="inlineStr">
        <is>
          <t>internet-service, gaming, video-games, entertainment, social-behaviour, ecuador, entertainment-for-gaming, paradais-ddb</t>
        </is>
      </c>
    </row>
    <row r="12">
      <c r="A12" s="127" t="n">
        <v>2025</v>
      </c>
      <c r="B12" s="133" t="inlineStr">
        <is>
          <t>Bronze</t>
        </is>
      </c>
      <c r="C12" s="127" t="inlineStr">
        <is>
          <t>The Cheeky Controller</t>
        </is>
      </c>
      <c r="D12" s="127" t="inlineStr">
        <is>
          <t>Xbox</t>
        </is>
      </c>
      <c r="E12" s="127" t="inlineStr">
        <is>
          <t>Xbox Controller</t>
        </is>
      </c>
      <c r="F12" s="127" t="inlineStr">
        <is>
          <t>McCANN</t>
        </is>
      </c>
      <c r="G12" s="127" t="inlineStr">
        <is>
          <t>United Kingdom</t>
        </is>
      </c>
      <c r="H12" s="113" t="inlineStr">
        <is>
          <t>Use of Humour</t>
        </is>
      </c>
      <c r="I12" s="128" t="inlineStr">
        <is>
          <t>https://ascentialcdn.filespin.io/api/v1/conversion/f1c6e266081d4161b8e3ecc7ecb15a78</t>
        </is>
      </c>
      <c r="J12" s="127" t="inlineStr">
        <is>
          <t>vimeo:1034892837</t>
        </is>
      </c>
      <c r="K12" s="127" t="n"/>
      <c r="L12" s="128" t="inlineStr">
        <is>
          <t>https://www.lovethework.com/work/entries/the-cheeky-controller-762497</t>
        </is>
      </c>
      <c r="M12" s="113" t="inlineStr">
        <is>
          <t>A limited-edition Xbox controller shaped like Deadpool's buttocks, created as the exclusive prize in a global sweepstakes timed to the release of Deadpool &amp; Wolverine. Rather than using standard character artwork or licensing assets, McCann London built the promotion around a single collectible object designed to provoke conversation among the film's fanbase.</t>
        </is>
      </c>
      <c r="N12" s="113" t="inlineStr">
        <is>
          <t>xbox-controller, gaming, video-games, entertainment, collectible, sweepstakes, use-of-talent, united-kingdom, united-states, humour, retail-promotion</t>
        </is>
      </c>
    </row>
  </sheetData>
  <autoFilter ref="A1:N12"/>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I7"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I9" r:id="rId14"/>
    <hyperlink xmlns:r="http://schemas.openxmlformats.org/officeDocument/2006/relationships" ref="L9" r:id="rId15"/>
    <hyperlink xmlns:r="http://schemas.openxmlformats.org/officeDocument/2006/relationships" ref="I10" r:id="rId16"/>
    <hyperlink xmlns:r="http://schemas.openxmlformats.org/officeDocument/2006/relationships" ref="L10" r:id="rId17"/>
    <hyperlink xmlns:r="http://schemas.openxmlformats.org/officeDocument/2006/relationships" ref="I11" r:id="rId18"/>
    <hyperlink xmlns:r="http://schemas.openxmlformats.org/officeDocument/2006/relationships" ref="L11" r:id="rId19"/>
    <hyperlink xmlns:r="http://schemas.openxmlformats.org/officeDocument/2006/relationships" ref="I12" r:id="rId20"/>
    <hyperlink xmlns:r="http://schemas.openxmlformats.org/officeDocument/2006/relationships" ref="L12" r:id="rId2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Tracking Bad Bunny</t>
        </is>
      </c>
      <c r="D2" s="127" t="inlineStr">
        <is>
          <t>Rimas Music</t>
        </is>
      </c>
      <c r="E2" s="127" t="inlineStr">
        <is>
          <t>Bad Bunny</t>
        </is>
      </c>
      <c r="F2" s="127" t="inlineStr">
        <is>
          <t>DDB Latina Puerto Rico</t>
        </is>
      </c>
      <c r="G2" s="127" t="inlineStr">
        <is>
          <t>Puerto Rico</t>
        </is>
      </c>
      <c r="H2" s="113" t="inlineStr">
        <is>
          <t>Cultural Engagement</t>
        </is>
      </c>
      <c r="I2" s="128" t="inlineStr">
        <is>
          <t>https://ascentialcdn.filespin.io/api/v1/conversion/6d3d67544e4a4fe7baad1c1b50560274</t>
        </is>
      </c>
      <c r="J2" s="127" t="inlineStr">
        <is>
          <t>hPLaT_JT9Zw</t>
        </is>
      </c>
      <c r="K2" s="127" t="n"/>
      <c r="L2" s="128" t="inlineStr">
        <is>
          <t>https://www.lovethework.com/work/entries/tracking-bad-bunny-760320</t>
        </is>
      </c>
      <c r="M2"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2" s="113" t="inlineStr">
        <is>
          <t>music, entertainment, interactive-experience, gps, scavenger-hunt, mobile, puerto-rico, album-launch, fan-engagement</t>
        </is>
      </c>
    </row>
    <row r="3">
      <c r="A3" s="127" t="n">
        <v>2025</v>
      </c>
      <c r="B3" s="140" t="inlineStr">
        <is>
          <t>Gold</t>
        </is>
      </c>
      <c r="C3" s="127" t="inlineStr">
        <is>
          <t>A$ap Rocky - Tailor Swif</t>
        </is>
      </c>
      <c r="D3" s="127" t="inlineStr">
        <is>
          <t>A$ap Rocky</t>
        </is>
      </c>
      <c r="E3" s="127" t="inlineStr">
        <is>
          <t>A$ap Rocky</t>
        </is>
      </c>
      <c r="F3" s="127" t="inlineStr">
        <is>
          <t>Iconoclast</t>
        </is>
      </c>
      <c r="G3" s="127" t="inlineStr">
        <is>
          <t>United States</t>
        </is>
      </c>
      <c r="H3" s="113" t="inlineStr">
        <is>
          <t>Excellence in Music Video</t>
        </is>
      </c>
      <c r="I3" s="128" t="inlineStr">
        <is>
          <t>https://ascentialcdn.filespin.io/api/v1/storyboard/7819511744634f7a81824e1b2a278ae1/storyboard_000008.jpg</t>
        </is>
      </c>
      <c r="J3" s="127" t="inlineStr">
        <is>
          <t>5URefVYaJrA</t>
        </is>
      </c>
      <c r="K3" s="127" t="n"/>
      <c r="L3" s="128" t="inlineStr">
        <is>
          <t>https://www.lovethework.com/work/entries/aap-rocky-tailor-swif-754915</t>
        </is>
      </c>
      <c r="M3" s="113" t="inlineStr">
        <is>
          <t>A music video for A$AP Rocky's "Tailor Swif" shot on location in Kyiv, Ukraine by directors Vania Heymann and Gal Muggia, blending surreal, meme-sourced imagery with street-level urban scenes. The video was filmed roughly three years before its release, leaked multiple times in the interim, and was completed with VFX by Heymann and cinematography by Denys Lushchyk — a local Ukrainian crew referred to as the #sheltersquad.</t>
        </is>
      </c>
      <c r="N3" s="113" t="inlineStr">
        <is>
          <t>music-video, hip-hop, surreal, ukraine, united-states, direction, vfx, entertainment</t>
        </is>
      </c>
    </row>
    <row r="4">
      <c r="A4" s="127" t="n">
        <v>2025</v>
      </c>
      <c r="B4" s="140" t="inlineStr">
        <is>
          <t>Gold</t>
        </is>
      </c>
      <c r="C4" s="127" t="inlineStr">
        <is>
          <t>Hey Jude</t>
        </is>
      </c>
      <c r="D4" s="127" t="inlineStr">
        <is>
          <t>Adidas</t>
        </is>
      </c>
      <c r="E4" s="127" t="inlineStr">
        <is>
          <t>Adidas</t>
        </is>
      </c>
      <c r="F4" s="127" t="inlineStr">
        <is>
          <t>Johannes Leonardo</t>
        </is>
      </c>
      <c r="G4" s="127" t="inlineStr">
        <is>
          <t>United States</t>
        </is>
      </c>
      <c r="H4" s="113" t="inlineStr">
        <is>
          <t>Use of Licensed/Adapted Music</t>
        </is>
      </c>
      <c r="I4" s="128" t="inlineStr">
        <is>
          <t>https://ascentialcdn.filespin.io/api/v1/conversion/c5b4d99a1f714aea8f5124ebd5d701f7</t>
        </is>
      </c>
      <c r="J4" s="127" t="inlineStr">
        <is>
          <t>vimeo:974346956</t>
        </is>
      </c>
      <c r="K4" s="127" t="n"/>
      <c r="L4" s="128" t="inlineStr">
        <is>
          <t>https://www.lovethework.com/work/entries/hey-jude-754810</t>
        </is>
      </c>
      <c r="M4" s="113" t="inlineStr">
        <is>
          <t>A film built around The Beatles' "Hey Jude," tracing 58 years of England football tournament losses and heartbreak through period footage and cameos from former England players including Frank Lampard and David Beckham — before arriving at Jude Bellingham, whose name the song had always seemed to carry. Made by Johannes Leonardo with production by Spindle London ahead of Euro 2024, the film imagines England erupting in celebration as Bellingham scores, crowds in stadiums, neighborhoods, and pubs singing the chorus as a cheer of hope.</t>
        </is>
      </c>
      <c r="N4" s="113" t="inlineStr">
        <is>
          <t>sportswear, film, cinema, entertainment, licensed-music, football, soccer, sport, united-states, united-kingdom</t>
        </is>
      </c>
    </row>
    <row r="5">
      <c r="A5" s="127" t="n">
        <v>2025</v>
      </c>
      <c r="B5" s="140" t="inlineStr">
        <is>
          <t>Gold</t>
        </is>
      </c>
      <c r="C5" s="127" t="inlineStr">
        <is>
          <t>Abracadabra: from Fan to Featured</t>
        </is>
      </c>
      <c r="D5" s="127" t="inlineStr">
        <is>
          <t>Mastercard</t>
        </is>
      </c>
      <c r="E5" s="127" t="inlineStr">
        <is>
          <t>Mastercard</t>
        </is>
      </c>
      <c r="F5" s="127" t="inlineStr">
        <is>
          <t>McCANN XBC</t>
        </is>
      </c>
      <c r="G5" s="127" t="inlineStr">
        <is>
          <t>United States</t>
        </is>
      </c>
      <c r="H5" s="113" t="inlineStr">
        <is>
          <t>Fan Engagement/Community Building</t>
        </is>
      </c>
      <c r="I5" s="128" t="inlineStr">
        <is>
          <t>https://ascentialcdn.filespin.io/api/v1/conversion/0b4f8069282647798e50f403983c1f06</t>
        </is>
      </c>
      <c r="J5" s="127" t="inlineStr">
        <is>
          <t>vimeo:1093143827</t>
        </is>
      </c>
      <c r="K5" s="127" t="n"/>
      <c r="L5" s="128" t="inlineStr">
        <is>
          <t>https://www.lovethework.com/work/entries/abracadabra-from-fan-to-featured-759657</t>
        </is>
      </c>
      <c r="M5" s="113" t="inlineStr">
        <is>
          <t>A music video for Lady Gaga's "Abracadabra" that replaced background dancers with Mastercard-selected fans, sourced through an open casting call and integrated into the official release. The project was produced in partnership with Merman U.S. and McCann XBC New York, turning a commercial sponsorship into a fan-to-screen pipeline with a mainstream music video as the delivery vehicle.</t>
        </is>
      </c>
      <c r="N5" s="113" t="inlineStr">
        <is>
          <t>credit-card, credit, payments, fintech, financial-services, finance, music-video, fan-engagement, entertainment, social-media, united-states, community-building</t>
        </is>
      </c>
    </row>
    <row r="6">
      <c r="A6" s="127" t="n">
        <v>2025</v>
      </c>
      <c r="B6" s="132" t="inlineStr">
        <is>
          <t>Silver</t>
        </is>
      </c>
      <c r="C6" s="127" t="inlineStr">
        <is>
          <t>Me Feat. Me</t>
        </is>
      </c>
      <c r="D6" s="127" t="inlineStr">
        <is>
          <t>Nosotras</t>
        </is>
      </c>
      <c r="E6" s="127" t="inlineStr">
        <is>
          <t>Nosotras</t>
        </is>
      </c>
      <c r="F6" s="127" t="inlineStr">
        <is>
          <t>DDB Chile</t>
        </is>
      </c>
      <c r="G6" s="127" t="inlineStr">
        <is>
          <t>Chile</t>
        </is>
      </c>
      <c r="H6" s="113" t="inlineStr">
        <is>
          <t>Cultural Engagement</t>
        </is>
      </c>
      <c r="I6" s="128" t="inlineStr">
        <is>
          <t>https://ascentialcdn.filespin.io/api/v1/conversion/a6ac5c5dd4fc4487966ae01ac52f95ff</t>
        </is>
      </c>
      <c r="J6" s="127" t="inlineStr">
        <is>
          <t>vimeo:1093833141</t>
        </is>
      </c>
      <c r="K6" s="127" t="n"/>
      <c r="L6" s="128" t="inlineStr">
        <is>
          <t>https://www.lovethework.com/work/entries/me-feat-me-755132</t>
        </is>
      </c>
      <c r="M6" s="113" t="inlineStr">
        <is>
          <t>A music track in which Nosotras recruited women to collaborate with themselves — each artist featured as both the lead and the featured act, credited as "Me feat. Me" — to express self-confidence as a solo identity rather than one defined in relation to others. The format borrowed the standard music-industry "feat." credit convention to make the idea literal: the only collaborator worth naming is yourself.</t>
        </is>
      </c>
      <c r="N6" s="113" t="inlineStr">
        <is>
          <t>feminine-hygiene, audio, music, entertainment, cultural-engagement, womens-empowerment, chile</t>
        </is>
      </c>
    </row>
    <row r="7">
      <c r="A7" s="127" t="n">
        <v>2025</v>
      </c>
      <c r="B7" s="132" t="inlineStr">
        <is>
          <t>Silver</t>
        </is>
      </c>
      <c r="C7" s="127" t="inlineStr">
        <is>
          <t>"love"</t>
        </is>
      </c>
      <c r="D7" s="127" t="inlineStr">
        <is>
          <t>Ok Go</t>
        </is>
      </c>
      <c r="E7" s="127" t="n"/>
      <c r="F7" s="127" t="inlineStr">
        <is>
          <t>SpecialGuest</t>
        </is>
      </c>
      <c r="G7" s="127" t="n"/>
      <c r="H7" s="113" t="inlineStr">
        <is>
          <t>Excellence in Music Video</t>
        </is>
      </c>
      <c r="I7" s="127" t="inlineStr">
        <is>
          <t>digital-presentation-images/entertainment-lions-for-music-ok-go-love.webp</t>
        </is>
      </c>
      <c r="J7" s="127" t="inlineStr">
        <is>
          <t>gz9BRl7DVSM</t>
        </is>
      </c>
      <c r="K7" s="127" t="n"/>
      <c r="L7" s="128" t="inlineStr">
        <is>
          <t>https://www.lovethework.com/work/entries/love-754922</t>
        </is>
      </c>
      <c r="M7" s="113" t="inlineStr">
        <is>
          <t>A single-shot music video for OK Go's song "Love" in which Universal Robots arms, PMI-supplied physical rigs, and mirrored surfaces choreograph the band through an intricate sequence that would be physically impossible to stage without robotic precision. Band member Tim Nordwind wore Ray-Ban Meta AI glasses to capture the setup process from his first-person perspective for the official behind-the-scenes footage. Directed by SpecialGuest and SpecialGuestX with production by 1stAveMachine, executive produced by Andrew Geller.</t>
        </is>
      </c>
      <c r="N7" s="113" t="inlineStr">
        <is>
          <t>music-video, smart-glasses, robotics, ai, technology, single-shot, entertainment, branded-content</t>
        </is>
      </c>
    </row>
    <row r="8">
      <c r="A8" s="127" t="n">
        <v>2025</v>
      </c>
      <c r="B8" s="132" t="inlineStr">
        <is>
          <t>Silver</t>
        </is>
      </c>
      <c r="C8" s="127" t="inlineStr">
        <is>
          <t>Tennessee Sound Sites</t>
        </is>
      </c>
      <c r="D8" s="127" t="inlineStr">
        <is>
          <t>Tennessee Department of Tourist Development</t>
        </is>
      </c>
      <c r="E8" s="127" t="inlineStr">
        <is>
          <t>Tennessee Department of Tourist Development</t>
        </is>
      </c>
      <c r="F8" s="127" t="inlineStr">
        <is>
          <t>VML</t>
        </is>
      </c>
      <c r="G8" s="127" t="inlineStr">
        <is>
          <t>United States</t>
        </is>
      </c>
      <c r="H8" s="113" t="inlineStr">
        <is>
          <t>Diversity &amp; Inclusion in Music</t>
        </is>
      </c>
      <c r="I8" s="128" t="inlineStr">
        <is>
          <t>https://ascentialcdn.filespin.io/api/v1/conversion/eb513fac29984db2811524e932026062</t>
        </is>
      </c>
      <c r="J8" s="127" t="inlineStr">
        <is>
          <t>cE9pTxrtkjk</t>
        </is>
      </c>
      <c r="K8" s="127" t="n"/>
      <c r="L8" s="128" t="inlineStr">
        <is>
          <t>https://www.lovethework.com/work/entries/tennessee-sound-sites-755015</t>
        </is>
      </c>
      <c r="M8" s="113" t="inlineStr">
        <is>
          <t>A travel accessibility program from the Tennessee Department of Tourist Development, developed with VML Kansas City, that commissioned songwriters — including Curb | Word Music Publishing's Billy Montana and David Tolliver — to write lyrical audio descriptions of Tennessee landmarks and destinations for blind and visually impaired travelers. The descriptions replace standard visual alt-text with original song-style writing, embedded across the state's tourism content.</t>
        </is>
      </c>
      <c r="N8" s="113" t="inlineStr">
        <is>
          <t>tourism, travel, accessibility, music, entertainment, blind-and-visually-impaired, united-states, audio, content, diversity-and-inclusion</t>
        </is>
      </c>
    </row>
    <row r="9">
      <c r="A9" s="127" t="n">
        <v>2025</v>
      </c>
      <c r="B9" s="132" t="inlineStr">
        <is>
          <t>Silver</t>
        </is>
      </c>
      <c r="C9" s="127" t="inlineStr">
        <is>
          <t>The Girl WHO Played the Tutari</t>
        </is>
      </c>
      <c r="D9" s="127" t="inlineStr">
        <is>
          <t>Coca-Cola</t>
        </is>
      </c>
      <c r="E9" s="127" t="inlineStr">
        <is>
          <t>Coke Studio Bharat</t>
        </is>
      </c>
      <c r="F9" s="127" t="inlineStr">
        <is>
          <t>VML</t>
        </is>
      </c>
      <c r="G9" s="127" t="inlineStr">
        <is>
          <t>India</t>
        </is>
      </c>
      <c r="H9" s="113" t="inlineStr">
        <is>
          <t>Cultural Engagement</t>
        </is>
      </c>
      <c r="I9" s="127" t="inlineStr">
        <is>
          <t>digital-presentation-images/entertainment-lions-for-music-coca-cola-the-girl-who-played-the-tutari.webp</t>
        </is>
      </c>
      <c r="J9" s="127" t="inlineStr">
        <is>
          <t>vimeo:1073423333</t>
        </is>
      </c>
      <c r="K9" s="127" t="n"/>
      <c r="L9" s="128" t="inlineStr">
        <is>
          <t>https://www.lovethework.com/work/entries/the-girl-who-played-the-tutari-754967</t>
        </is>
      </c>
      <c r="M9" s="113" t="inlineStr">
        <is>
          <t>A music video produced for Coke Studio Bharat in which Nilaksha Borhade becomes the first woman to publicly play the Tutari — a Maharashtrian wind instrument whose use, since its origins in the 13th century, has been restricted to men by tradition. The "Bayo" video, made with VML Mumbai, used the live performance to challenge the 800-year-old gender prohibition attached to the instrument.</t>
        </is>
      </c>
      <c r="N9" s="113" t="inlineStr">
        <is>
          <t>soft-drink, music-video, cultural-engagement, india, gender, online-video, tradition, branded-content</t>
        </is>
      </c>
    </row>
    <row r="10">
      <c r="A10" s="127" t="n">
        <v>2025</v>
      </c>
      <c r="B10" s="132" t="inlineStr">
        <is>
          <t>Silver</t>
        </is>
      </c>
      <c r="C10" s="127" t="inlineStr">
        <is>
          <t>Little Simz 'flood'</t>
        </is>
      </c>
      <c r="D10" s="127" t="inlineStr">
        <is>
          <t>Little Simz</t>
        </is>
      </c>
      <c r="E10" s="127" t="inlineStr">
        <is>
          <t>Film</t>
        </is>
      </c>
      <c r="F10" s="127" t="inlineStr">
        <is>
          <t>Prettybird</t>
        </is>
      </c>
      <c r="G10" s="127" t="inlineStr">
        <is>
          <t>United Kingdom</t>
        </is>
      </c>
      <c r="H10" s="113" t="inlineStr">
        <is>
          <t>Excellence in Music Video</t>
        </is>
      </c>
      <c r="I10" s="128" t="inlineStr">
        <is>
          <t>https://ascentialcdn.filespin.io/api/v1/conversion/17f5e6466cc04660b48ef8ef11bb211e</t>
        </is>
      </c>
      <c r="J10" s="127" t="inlineStr">
        <is>
          <t>GvrNPiz7rHw</t>
        </is>
      </c>
      <c r="K10" s="127" t="n"/>
      <c r="L10" s="128" t="inlineStr">
        <is>
          <t>https://www.lovethework.com/work/entries/little-simz-flood-754835</t>
        </is>
      </c>
      <c r="M10" s="113" t="inlineStr">
        <is>
          <t>A music video for Little Simz's "Flood," directed by Salomon Ligthelm and shot on 35mm Konica film, built around sustained performance and precise visual composition. The choice of analog stock shapes the texture of the whole piece, grounding Simz's on-camera presence in a deliberately physical, grain-forward aesthetic.</t>
        </is>
      </c>
      <c r="N10" s="113" t="inlineStr">
        <is>
          <t>music-video, film, cinema, entertainment, 35mm, performance, united-kingdom, hip-hop, analog-photography</t>
        </is>
      </c>
    </row>
    <row r="11">
      <c r="A11" s="127" t="n">
        <v>2025</v>
      </c>
      <c r="B11" s="133" t="inlineStr">
        <is>
          <t>Bronze</t>
        </is>
      </c>
      <c r="C11" s="127" t="inlineStr">
        <is>
          <t>Kendrick Lamar + Apple Music's Super Bowl Halftime Show Campaign</t>
        </is>
      </c>
      <c r="D11" s="127" t="inlineStr">
        <is>
          <t>Apple</t>
        </is>
      </c>
      <c r="E11" s="127" t="inlineStr">
        <is>
          <t>Apple Music</t>
        </is>
      </c>
      <c r="F11" s="127" t="inlineStr">
        <is>
          <t>Apple</t>
        </is>
      </c>
      <c r="G11" s="127" t="inlineStr">
        <is>
          <t>United States</t>
        </is>
      </c>
      <c r="H11" s="113" t="inlineStr">
        <is>
          <t>Partnerships with Music Talent</t>
        </is>
      </c>
      <c r="I11" s="128" t="inlineStr">
        <is>
          <t>https://ascentialcdn.filespin.io/api/v1/conversion/4e38334504284effbc474e7a3273d412</t>
        </is>
      </c>
      <c r="J11" s="127" t="inlineStr">
        <is>
          <t>vimeo:1152941322</t>
        </is>
      </c>
      <c r="K11" s="127" t="n"/>
      <c r="L11" s="128" t="inlineStr">
        <is>
          <t>https://www.lovethework.com/work/entries/kendrick-lamar-apple-musics-super-bowl-halftime-show-campaign-755001</t>
        </is>
      </c>
      <c r="M11" s="113" t="inlineStr">
        <is>
          <t>A sponsorship campaign built around Apple Music's title sponsorship of the NFL Super Bowl Halftime Show, featuring Kendrick Lamar as the performing artist. Promotional content, playlist integrations, and platform features on Apple Music were tied directly to Lamar's performance, turning the halftime slot into a sustained on-platform experience before and after the live broadcast.</t>
        </is>
      </c>
      <c r="N11" s="113" t="inlineStr">
        <is>
          <t>apple-music, music-streaming, sponsorship, live-event, super-bowl, united-states, music-talent-partnership, broadcast, entertainment</t>
        </is>
      </c>
    </row>
    <row r="12">
      <c r="A12" s="127" t="n">
        <v>2025</v>
      </c>
      <c r="B12" s="133" t="inlineStr">
        <is>
          <t>Bronze</t>
        </is>
      </c>
      <c r="C12" s="127" t="inlineStr">
        <is>
          <t>The Last Timbit</t>
        </is>
      </c>
      <c r="D12" s="127" t="inlineStr">
        <is>
          <t>Tim Hortons</t>
        </is>
      </c>
      <c r="E12" s="127" t="inlineStr">
        <is>
          <t>Tim Hortons</t>
        </is>
      </c>
      <c r="F12" s="127" t="inlineStr">
        <is>
          <t>Gut</t>
        </is>
      </c>
      <c r="G12" s="127" t="inlineStr">
        <is>
          <t>Canada</t>
        </is>
      </c>
      <c r="H12" s="113" t="inlineStr">
        <is>
          <t>Use of Original Composition</t>
        </is>
      </c>
      <c r="I12" s="128" t="inlineStr">
        <is>
          <t>https://ascentialcdn.filespin.io/api/v1/conversion/f0419f522ab74225a6515a6514c036ec</t>
        </is>
      </c>
      <c r="J12" s="127" t="inlineStr">
        <is>
          <t>vimeo:1094221778/ad37613e9a</t>
        </is>
      </c>
      <c r="K12" s="127" t="n"/>
      <c r="L12" s="128" t="inlineStr">
        <is>
          <t>https://www.lovethework.com/work/entries/the-last-timbit-762830</t>
        </is>
      </c>
      <c r="M12" s="113" t="inlineStr">
        <is>
          <t>A full stage musical commissioned by Tim Hortons and created by GUT Toronto to mark the brand's 60th anniversary, written and performed in collaboration with Canadian theatre talent. The production centers on the Tim Hortons staple — the Timbit — as a vehicle for dramatizing the emotional connections Canadians have built with the brand since 1964.</t>
        </is>
      </c>
      <c r="N12" s="113" t="inlineStr">
        <is>
          <t>quick-service-restaurant, live-theatre, original-music, branded-entertainment, canada, anniversary, stage-production</t>
        </is>
      </c>
    </row>
    <row r="13">
      <c r="A13" s="127" t="n">
        <v>2025</v>
      </c>
      <c r="B13" s="133" t="inlineStr">
        <is>
          <t>Bronze</t>
        </is>
      </c>
      <c r="C13" s="127" t="inlineStr">
        <is>
          <t>Jovem Mk - Meu Karma</t>
        </is>
      </c>
      <c r="D13" s="127" t="inlineStr">
        <is>
          <t>Kondzilla</t>
        </is>
      </c>
      <c r="E13" s="127" t="inlineStr">
        <is>
          <t>Music</t>
        </is>
      </c>
      <c r="F13" s="127" t="inlineStr">
        <is>
          <t>Africa Creative DDB</t>
        </is>
      </c>
      <c r="G13" s="127" t="inlineStr">
        <is>
          <t>Brazil</t>
        </is>
      </c>
      <c r="H13" s="113" t="inlineStr">
        <is>
          <t>Excellence in Music Video</t>
        </is>
      </c>
      <c r="I13" s="127" t="inlineStr">
        <is>
          <t>digital-presentation-images/entertainment-lions-for-music-kondzilla-jovem-mk-meu-karma.webp</t>
        </is>
      </c>
      <c r="J13" s="127" t="inlineStr">
        <is>
          <t>vimeo:1076470479</t>
        </is>
      </c>
      <c r="K13" s="127" t="n"/>
      <c r="L13" s="128" t="inlineStr">
        <is>
          <t>https://www.lovethework.com/work/entries/jovem-mk-meu-karma-754791</t>
        </is>
      </c>
      <c r="M13" s="113" t="inlineStr">
        <is>
          <t>A short film built around São Paulo rapper Jovem MK's debut album "Meu Karma," using non-linear storytelling across ten chapters — from "The Loss of Innocence" to "The Music as Liberation" — to trace the cycle of gun violence and organized crime recruiting in Brazilian favelas. The central image is a firearm presented as a gift in a child's wrapped box, drawn from the reality that, for many young people in Brazil, a gun is the first gift they are given — not out of love, but as a tool of recruitment by drug traffickers. Produced by KondZilla and Czar São Paulo, with Africa Creative DDB, the film was nominated for a Latin Grammy in the Long Form Music Video category.</t>
        </is>
      </c>
      <c r="N13" s="113" t="inlineStr">
        <is>
          <t>music-video, film, cinema, entertainment, brazil, social-commentary, gun-violence, hip-hop, long-form, cinematography, youth, music</t>
        </is>
      </c>
    </row>
    <row r="14">
      <c r="A14" s="127" t="n">
        <v>2025</v>
      </c>
      <c r="B14" s="133" t="inlineStr">
        <is>
          <t>Bronze</t>
        </is>
      </c>
      <c r="C14" s="127" t="inlineStr">
        <is>
          <t>Love the Racks</t>
        </is>
      </c>
      <c r="D14" s="127" t="inlineStr">
        <is>
          <t>Kitchenaid</t>
        </is>
      </c>
      <c r="E14" s="127" t="inlineStr">
        <is>
          <t>KITCHENAIDÂ® 360Â° MAX JETSâ¢ THIRD RACK DISHWASHERS</t>
        </is>
      </c>
      <c r="F14" s="127" t="inlineStr">
        <is>
          <t>Wow Studios</t>
        </is>
      </c>
      <c r="G14" s="127" t="inlineStr">
        <is>
          <t>United States</t>
        </is>
      </c>
      <c r="H14" s="113" t="inlineStr">
        <is>
          <t>Use of Original Composition</t>
        </is>
      </c>
      <c r="I14" s="127" t="inlineStr">
        <is>
          <t>digital-presentation-images/entertainment-lions-for-music-kitchenaid-love-the-racks.webp</t>
        </is>
      </c>
      <c r="J14" s="127" t="inlineStr">
        <is>
          <t>9qlKfY_FCe4</t>
        </is>
      </c>
      <c r="K14" s="127" t="n"/>
      <c r="L14" s="128" t="inlineStr">
        <is>
          <t>https://www.lovethework.com/work/entries/love-the-racks-754806</t>
        </is>
      </c>
      <c r="M14" s="113" t="inlineStr">
        <is>
          <t>A pop music video produced for the relaunch of the KitchenAid 360° Max Jets™ Third Rack Dishwasher, with lyrics taken verbatim from a real five-star consumer review posted by a user named GermanIris in April 2024. A panel of songwriters each independently set the review text to music, and the resulting track — performed by Grammy Award-winning X Ambassadors vocalist Sam Nelson Harris and produced by collaborators whose credits include Selena Gomez, Britney Spears, and Tom Jones — was released as a fully produced web film directed by Ben Hansford of Dictionary Films.</t>
        </is>
      </c>
      <c r="N14" s="113" t="inlineStr">
        <is>
          <t>kitchen-appliance, music-video, user-generated-content, web-film, united-states, original-composition, consumer-review, branded-entertainment</t>
        </is>
      </c>
    </row>
    <row r="15">
      <c r="A15" s="127" t="n">
        <v>2025</v>
      </c>
      <c r="B15" s="133" t="inlineStr">
        <is>
          <t>Bronze</t>
        </is>
      </c>
      <c r="C15" s="127" t="inlineStr">
        <is>
          <t>Tracking Bad Bunny</t>
        </is>
      </c>
      <c r="D15" s="127" t="inlineStr">
        <is>
          <t>Rimas Music</t>
        </is>
      </c>
      <c r="E15" s="127" t="inlineStr">
        <is>
          <t>Bad Bunny</t>
        </is>
      </c>
      <c r="F15" s="127" t="inlineStr">
        <is>
          <t>DDB Latina Puerto Rico</t>
        </is>
      </c>
      <c r="G15" s="127" t="inlineStr">
        <is>
          <t>Puerto Rico</t>
        </is>
      </c>
      <c r="H15" s="113" t="inlineStr">
        <is>
          <t>Partnerships with Music Talent</t>
        </is>
      </c>
      <c r="I15" s="128" t="inlineStr">
        <is>
          <t>https://ascentialcdn.filespin.io/api/v1/conversion/6d3d67544e4a4fe7baad1c1b50560274</t>
        </is>
      </c>
      <c r="J15" s="127" t="inlineStr">
        <is>
          <t>hPLaT_JT9Zw</t>
        </is>
      </c>
      <c r="K15" s="127" t="n"/>
      <c r="L15" s="128" t="inlineStr">
        <is>
          <t>https://www.lovethework.com/work/entries/tracking-bad-bunny-760302</t>
        </is>
      </c>
      <c r="M15" s="113" t="inlineStr">
        <is>
          <t>A GPS-based scavenger hunt built around Bad Bunny's album release that sent fans to physical locations across Puerto Rico, using the artist's real-time movements as waypoints in a digital tracking experience. Created by DDB Latina Puerto Rico for Rimas Music, the mechanic turned the island itself into the stage for the launch.</t>
        </is>
      </c>
      <c r="N15" s="113" t="inlineStr">
        <is>
          <t>music, entertainment, interactive-experience, gps, scavenger-hunt, mobile, puerto-rico, album-launch, fan-engagement</t>
        </is>
      </c>
    </row>
    <row r="16">
      <c r="A16" s="127" t="n">
        <v>2025</v>
      </c>
      <c r="B16" s="133" t="inlineStr">
        <is>
          <t>Bronze</t>
        </is>
      </c>
      <c r="C16" s="127" t="inlineStr">
        <is>
          <t>A Stone Only Rolls Downhill</t>
        </is>
      </c>
      <c r="D16" s="127" t="inlineStr">
        <is>
          <t>Ok Go</t>
        </is>
      </c>
      <c r="E16" s="127" t="inlineStr">
        <is>
          <t>Ok Go</t>
        </is>
      </c>
      <c r="F16" s="127" t="inlineStr">
        <is>
          <t>Park Pictures</t>
        </is>
      </c>
      <c r="G16" s="127" t="inlineStr">
        <is>
          <t>United States</t>
        </is>
      </c>
      <c r="H16" s="113" t="inlineStr">
        <is>
          <t>Excellence in Music Video</t>
        </is>
      </c>
      <c r="I16" s="128" t="inlineStr">
        <is>
          <t>https://ascentialcdn.filespin.io/api/v1/storyboard/191cd784934f42e29f332027d298ef62/storyboard_000008.jpg</t>
        </is>
      </c>
      <c r="J16" s="127" t="inlineStr">
        <is>
          <t>MOEULOSVNK4</t>
        </is>
      </c>
      <c r="K16" s="127" t="n"/>
      <c r="L16" s="128" t="inlineStr">
        <is>
          <t>https://www.lovethework.com/work/entries/a-stone-only-rolls-downhill-754853</t>
        </is>
      </c>
      <c r="M16" s="113" t="inlineStr">
        <is>
          <t>A music video co-directed by OK Go frontman Damian Kulash and Chris Buongiorno, built around intricate hand choreography performed by a team of four hand dancers — Daniel Norwood, Franklin Yu, Mikhail Metelkov, and Phonix Banuelos — with movement direction by Phillip Chbeeb. The hands perform in tightly framed compositions that continuously reframe scale and perspective, continuing OK Go's long-running practice of elaborate single-concept visual mechanics.</t>
        </is>
      </c>
      <c r="N16" s="113" t="inlineStr">
        <is>
          <t>music-video, choreography, hand-dance, digital, united-states, music, entertainment, visual-mechanics, park-pictures</t>
        </is>
      </c>
    </row>
    <row r="17">
      <c r="A17" s="127" t="n">
        <v>2025</v>
      </c>
      <c r="B17" s="133" t="inlineStr">
        <is>
          <t>Bronze</t>
        </is>
      </c>
      <c r="C17" s="127" t="inlineStr">
        <is>
          <t>Born to Run</t>
        </is>
      </c>
      <c r="D17" s="127" t="inlineStr">
        <is>
          <t>Dove</t>
        </is>
      </c>
      <c r="E17" s="127" t="inlineStr">
        <is>
          <t>Dove</t>
        </is>
      </c>
      <c r="F17" s="127" t="inlineStr">
        <is>
          <t>Ogilvy UK</t>
        </is>
      </c>
      <c r="G17" s="127" t="inlineStr">
        <is>
          <t>United Kingdom</t>
        </is>
      </c>
      <c r="H17" s="113" t="inlineStr">
        <is>
          <t>Social Behaviour</t>
        </is>
      </c>
      <c r="I17" s="128" t="inlineStr">
        <is>
          <t>https://ascentialcdn.filespin.io/api/v1/conversion/1df87588cc0f4cf58bf77a0ffc045a44</t>
        </is>
      </c>
      <c r="J17" s="127" t="inlineStr">
        <is>
          <t>db2adhodJwc</t>
        </is>
      </c>
      <c r="K17" s="127" t="n"/>
      <c r="L17" s="128" t="inlineStr">
        <is>
          <t>https://www.lovethework.com/work/entries/born-to-run-755077</t>
        </is>
      </c>
      <c r="M17" s="113" t="inlineStr">
        <is>
          <t>A Super Bowl spot built around a re-recording of Bruce Springsteen's 1975 track "Born to Run," reimagined fifty years after its release by GRAMMY and Oscar-winning artist H.E.R., to address the impact of negative body talk on girls in sports. The ad supports Dove's Body Confident Sport program, a set of scientifically-developed coaching tools designed to help girls stay in sport through adolescence.</t>
        </is>
      </c>
      <c r="N17" s="113" t="inlineStr">
        <is>
          <t>personal-care, film, cinema, entertainment, super-bowl, music, girls-in-sport, body-confidence, united-kingdom, united-states, social-cause</t>
        </is>
      </c>
    </row>
  </sheetData>
  <autoFilter ref="A1:N17"/>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L9" r:id="rId14"/>
    <hyperlink xmlns:r="http://schemas.openxmlformats.org/officeDocument/2006/relationships" ref="I10" r:id="rId15"/>
    <hyperlink xmlns:r="http://schemas.openxmlformats.org/officeDocument/2006/relationships" ref="L10" r:id="rId16"/>
    <hyperlink xmlns:r="http://schemas.openxmlformats.org/officeDocument/2006/relationships" ref="I11" r:id="rId17"/>
    <hyperlink xmlns:r="http://schemas.openxmlformats.org/officeDocument/2006/relationships" ref="L11" r:id="rId18"/>
    <hyperlink xmlns:r="http://schemas.openxmlformats.org/officeDocument/2006/relationships" ref="I12" r:id="rId19"/>
    <hyperlink xmlns:r="http://schemas.openxmlformats.org/officeDocument/2006/relationships" ref="L12" r:id="rId20"/>
    <hyperlink xmlns:r="http://schemas.openxmlformats.org/officeDocument/2006/relationships" ref="L13" r:id="rId21"/>
    <hyperlink xmlns:r="http://schemas.openxmlformats.org/officeDocument/2006/relationships" ref="L14" r:id="rId22"/>
    <hyperlink xmlns:r="http://schemas.openxmlformats.org/officeDocument/2006/relationships" ref="I15" r:id="rId23"/>
    <hyperlink xmlns:r="http://schemas.openxmlformats.org/officeDocument/2006/relationships" ref="L15" r:id="rId24"/>
    <hyperlink xmlns:r="http://schemas.openxmlformats.org/officeDocument/2006/relationships" ref="I16" r:id="rId25"/>
    <hyperlink xmlns:r="http://schemas.openxmlformats.org/officeDocument/2006/relationships" ref="L16" r:id="rId26"/>
    <hyperlink xmlns:r="http://schemas.openxmlformats.org/officeDocument/2006/relationships" ref="I17" r:id="rId27"/>
    <hyperlink xmlns:r="http://schemas.openxmlformats.org/officeDocument/2006/relationships" ref="L17" r:id="rId28"/>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7"/>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Haaland Payback Time</t>
        </is>
      </c>
      <c r="D2" s="127" t="inlineStr">
        <is>
          <t>Clash of Clans</t>
        </is>
      </c>
      <c r="E2" s="127" t="inlineStr">
        <is>
          <t>Clash of Clans</t>
        </is>
      </c>
      <c r="F2" s="127" t="inlineStr">
        <is>
          <t>David</t>
        </is>
      </c>
      <c r="G2" s="127" t="inlineStr">
        <is>
          <t>United States</t>
        </is>
      </c>
      <c r="H2" s="113" t="inlineStr">
        <is>
          <t>Partnerships with Sports Talent</t>
        </is>
      </c>
      <c r="I2" s="128" t="inlineStr">
        <is>
          <t>https://ascentialcdn.filespin.io/api/v1/conversion/0ab9c1eb4c5a4e82b68ff5fcca75da6b</t>
        </is>
      </c>
      <c r="J2" s="127" t="inlineStr">
        <is>
          <t>TcQ--NtSQ9s</t>
        </is>
      </c>
      <c r="K2" s="127" t="n"/>
      <c r="L2" s="128" t="inlineStr">
        <is>
          <t>https://www.lovethework.com/work/entries/haaland-payback-time-762223</t>
        </is>
      </c>
      <c r="M2"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2" s="113" t="inlineStr">
        <is>
          <t>mobile-game, gaming, video-games, entertainment, influencer, sport, in-game-activation, football, soccer, celebrity, united-states</t>
        </is>
      </c>
    </row>
    <row r="3">
      <c r="A3" s="127" t="n">
        <v>2025</v>
      </c>
      <c r="B3" s="140" t="inlineStr">
        <is>
          <t>Gold</t>
        </is>
      </c>
      <c r="C3" s="127" t="inlineStr">
        <is>
          <t>Olympic Games Opening Ceremony Paris 2024</t>
        </is>
      </c>
      <c r="D3" s="127" t="inlineStr">
        <is>
          <t>Paris 2024</t>
        </is>
      </c>
      <c r="E3" s="127" t="inlineStr">
        <is>
          <t>Paris 2024</t>
        </is>
      </c>
      <c r="F3" s="127" t="inlineStr">
        <is>
          <t>Paname 24</t>
        </is>
      </c>
      <c r="G3" s="127" t="inlineStr">
        <is>
          <t>France</t>
        </is>
      </c>
      <c r="H3" s="113" t="inlineStr">
        <is>
          <t>Broadcast/Live Streaming</t>
        </is>
      </c>
      <c r="I3" s="128" t="inlineStr">
        <is>
          <t>https://ascentialcdn.filespin.io/api/v1/conversion/60aa1888e5b6444381b060dc1801de84</t>
        </is>
      </c>
      <c r="J3" s="127" t="inlineStr">
        <is>
          <t>t8o4ulxT1Cc</t>
        </is>
      </c>
      <c r="K3" s="127" t="n"/>
      <c r="L3" s="128" t="inlineStr">
        <is>
          <t>https://www.lovethework.com/work/entries/olympic-games-opening-ceremony-paris-2024-757241</t>
        </is>
      </c>
      <c r="M3"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3" s="113" t="inlineStr">
        <is>
          <t>live-event, olympics, sport, ceremony, paris, large-scale, broadcast, entertainment, partnership, france</t>
        </is>
      </c>
    </row>
    <row r="4">
      <c r="A4" s="127" t="n">
        <v>2025</v>
      </c>
      <c r="B4" s="140" t="inlineStr">
        <is>
          <t>Gold</t>
        </is>
      </c>
      <c r="C4" s="127" t="inlineStr">
        <is>
          <t>Signed by Fanatics</t>
        </is>
      </c>
      <c r="D4" s="127" t="inlineStr">
        <is>
          <t>Fanatics</t>
        </is>
      </c>
      <c r="E4" s="127" t="inlineStr">
        <is>
          <t>Licensed Sports Merchandise</t>
        </is>
      </c>
      <c r="F4" s="127" t="inlineStr">
        <is>
          <t>Fanatics</t>
        </is>
      </c>
      <c r="G4" s="127" t="inlineStr">
        <is>
          <t>United States</t>
        </is>
      </c>
      <c r="H4" s="113" t="inlineStr">
        <is>
          <t>Esports &amp; Gaming</t>
        </is>
      </c>
      <c r="I4" s="128" t="inlineStr">
        <is>
          <t>https://ascentialcdn.filespin.io/api/v1/conversion/6dec2b71e9e0467cb429446b1f864686</t>
        </is>
      </c>
      <c r="J4" s="127" t="inlineStr">
        <is>
          <t>vimeo:1094224675/e914bbd69e</t>
        </is>
      </c>
      <c r="K4" s="127" t="n"/>
      <c r="L4" s="128" t="inlineStr">
        <is>
          <t>https://www.lovethework.com/work/entries/signed-by-fanatics-757314</t>
        </is>
      </c>
      <c r="M4" s="113" t="inlineStr">
        <is>
          <t>Fanatics found a loophole in college sports culture by giving NIL deals not to real athletes, but to fans who created themselves as virtual players in EA Sports College Football 25. By signing fan-made athletes to real Fanatics deals, the brand turned the NIL gold rush into a clever celebration of the people college sports are really built around.</t>
        </is>
      </c>
      <c r="N4" s="113" t="inlineStr">
        <is>
          <t>retail, ecommerce, online-shopping, sport, gaming, video-games, entertainment, nil, ugc, partnership, ip, united-states</t>
        </is>
      </c>
    </row>
    <row r="5">
      <c r="A5" s="127" t="n">
        <v>2025</v>
      </c>
      <c r="B5" s="140" t="inlineStr">
        <is>
          <t>Gold</t>
        </is>
      </c>
      <c r="C5" s="127" t="inlineStr">
        <is>
          <t>Kyikatejê</t>
        </is>
      </c>
      <c r="D5" s="127" t="inlineStr">
        <is>
          <t>Gavião Kyikatejê Football Club, Area 23</t>
        </is>
      </c>
      <c r="E5" s="127" t="inlineStr">
        <is>
          <t>Gavião Kyikatejã Football Club</t>
        </is>
      </c>
      <c r="F5" s="127" t="inlineStr">
        <is>
          <t>An IPG Health Company</t>
        </is>
      </c>
      <c r="G5" s="127" t="inlineStr">
        <is>
          <t>United States</t>
        </is>
      </c>
      <c r="H5" s="113" t="inlineStr">
        <is>
          <t>Film Series and Audio</t>
        </is>
      </c>
      <c r="I5" s="127" t="inlineStr">
        <is>
          <t>digital-presentation-images/entertainment-lions-for-sport-gaviao-kyikateje-football-club-kyikateje.webp</t>
        </is>
      </c>
      <c r="J5" s="127" t="inlineStr">
        <is>
          <t>vimeo:1080359037</t>
        </is>
      </c>
      <c r="K5" s="127" t="n"/>
      <c r="L5" s="128" t="inlineStr">
        <is>
          <t>https://www.lovethework.com/work/entries/kyikatej-757331</t>
        </is>
      </c>
      <c r="M5" s="113" t="inlineStr">
        <is>
          <t>A short documentary film shot on 16mm analog film following the Gavião Kyikatêjê Football Club, an Indigenous team from the Brazilian Amazon, with hand-painted frame-by-frame animations drawn from the traditional body paintings of the Kyikatêjê people. Typography, color palette, and visual graphics are rooted in ancestral identity, while the sound design layers native chants, ambient village soundscapes, and reimagined club anthems — with narration delivered by the chief of the Kyikatêjê people. Produced by Area 23, an IPG Health Company, with production by Boiler Films, Bumblebeat, and Dirty Work.</t>
        </is>
      </c>
      <c r="N5" s="113" t="inlineStr">
        <is>
          <t>football-club, film, cinema, entertainment, documentary, indigenous, brazil, hand-painted-animation, 16mm, cultural-identity, analog</t>
        </is>
      </c>
    </row>
    <row r="6">
      <c r="A6" s="127" t="n">
        <v>2025</v>
      </c>
      <c r="B6" s="140" t="inlineStr">
        <is>
          <t>Gold</t>
        </is>
      </c>
      <c r="C6" s="127" t="inlineStr">
        <is>
          <t>The 4th Judge</t>
        </is>
      </c>
      <c r="D6" s="127" t="inlineStr">
        <is>
          <t>The Ring</t>
        </is>
      </c>
      <c r="E6" s="127" t="inlineStr">
        <is>
          <t>Boxing Event</t>
        </is>
      </c>
      <c r="F6" s="127" t="inlineStr">
        <is>
          <t>Bigtime Creative Shop</t>
        </is>
      </c>
      <c r="G6" s="127" t="inlineStr">
        <is>
          <t>Saudi Arabia</t>
        </is>
      </c>
      <c r="H6" s="113" t="inlineStr">
        <is>
          <t>Innovation in Sport</t>
        </is>
      </c>
      <c r="I6" s="128" t="inlineStr">
        <is>
          <t>https://ascentialcdn.filespin.io/api/v1/conversion/564dea338e9e42018a7f0c9b66595cae</t>
        </is>
      </c>
      <c r="J6" s="127" t="inlineStr">
        <is>
          <t>vimeo:1056470221</t>
        </is>
      </c>
      <c r="K6" s="127" t="n"/>
      <c r="L6" s="128" t="inlineStr">
        <is>
          <t>https://www.lovethework.com/work/entries/the-4th-judge-762406</t>
        </is>
      </c>
      <c r="M6" s="113" t="inlineStr">
        <is>
          <t>An AI judge trained on 103 years of scoring data from The Ring magazine, built by BigTime Creative Shop in Riyadh to score professional boxing bouts alongside the three human judges at ringside. Deployed for the undisputed light-heavyweight title fight in Saudi Arabia, it produced a real-time, data-driven scorecard that fans and media could compare directly against the official result.</t>
        </is>
      </c>
      <c r="N6" s="113" t="inlineStr">
        <is>
          <t>boxing-event, ai, technology, sport-innovation, saudi-arabia, real-time-scoring, sports-media, fan-engagement</t>
        </is>
      </c>
    </row>
    <row r="7">
      <c r="A7" s="127" t="n">
        <v>2025</v>
      </c>
      <c r="B7" s="140" t="inlineStr">
        <is>
          <t>Gold</t>
        </is>
      </c>
      <c r="C7" s="127" t="inlineStr">
        <is>
          <t>Obsession</t>
        </is>
      </c>
      <c r="D7" s="127" t="inlineStr">
        <is>
          <t>Riyadh Season</t>
        </is>
      </c>
      <c r="E7" s="127" t="inlineStr">
        <is>
          <t>Boxing Fight</t>
        </is>
      </c>
      <c r="F7" s="127" t="inlineStr">
        <is>
          <t>Bigtime Creative Shop</t>
        </is>
      </c>
      <c r="G7" s="127" t="inlineStr">
        <is>
          <t>Saudi Arabia</t>
        </is>
      </c>
      <c r="H7" s="113" t="inlineStr">
        <is>
          <t>Use of Humour</t>
        </is>
      </c>
      <c r="I7" s="127" t="inlineStr">
        <is>
          <t>digital-presentation-images/entertainment-lions-for-sport-riyadh-season-obsession.webp</t>
        </is>
      </c>
      <c r="J7" s="127" t="inlineStr">
        <is>
          <t>PdcUQwAtDDs</t>
        </is>
      </c>
      <c r="K7" s="127" t="n"/>
      <c r="L7" s="128" t="inlineStr">
        <is>
          <t>https://www.lovethework.com/work/entries/obsession-763910</t>
        </is>
      </c>
      <c r="M7" s="113" t="inlineStr">
        <is>
          <t>A hero film for Riyadh Season's Usyk vs. Fury 2 fight that placed the two boxers' own trash talk, press conference quotes, and viral moments into surreal AI-assisted scenarios where each fighter is haunted by the other throughout daily life — training, home, routines. Built by BigTime Creative Shop, the campaign seeded hidden Easter eggs across multiple platforms and used a coordinated influencer rollout to turn key frames into shareable memes, fueling the pre-fight rivalry as an ongoing social phenomenon.</t>
        </is>
      </c>
      <c r="N7" s="113" t="inlineStr">
        <is>
          <t>sports-entertainment, film, cinema, entertainment, social-media, boxing, ai, technology, saudi-arabia, meme-marketing, influencer, pre-fight-promotion</t>
        </is>
      </c>
    </row>
    <row r="8">
      <c r="A8" s="127" t="n">
        <v>2025</v>
      </c>
      <c r="B8" s="132" t="inlineStr">
        <is>
          <t>Silver</t>
        </is>
      </c>
      <c r="C8" s="127" t="inlineStr">
        <is>
          <t>Paid Through Parents</t>
        </is>
      </c>
      <c r="D8" s="127" t="inlineStr">
        <is>
          <t>Coors Brewing Company</t>
        </is>
      </c>
      <c r="E8" s="127" t="inlineStr">
        <is>
          <t>Molson Coors</t>
        </is>
      </c>
      <c r="F8" s="127" t="inlineStr">
        <is>
          <t>Rethink</t>
        </is>
      </c>
      <c r="G8" s="127" t="inlineStr">
        <is>
          <t>Canada</t>
        </is>
      </c>
      <c r="H8" s="113" t="inlineStr">
        <is>
          <t>Brand Partnerships, Sponsorships &amp; Collaborations</t>
        </is>
      </c>
      <c r="I8" s="128" t="inlineStr">
        <is>
          <t>https://ascentialcdn.filespin.io/api/v1/conversion/a5629a97973948f688643981b63ac56e</t>
        </is>
      </c>
      <c r="J8" s="127" t="inlineStr">
        <is>
          <t>8urf8-B-xrE</t>
        </is>
      </c>
      <c r="K8" s="127" t="n"/>
      <c r="L8" s="128" t="inlineStr">
        <is>
          <t>https://www.lovethework.com/work/entries/paid-through-parents-757385</t>
        </is>
      </c>
      <c r="M8" s="113" t="inlineStr">
        <is>
          <t>An endorsement deal structure Molson Coors created to sponsor Canadian athletes who compete in sports where drinking-age rules prevent the brand from paying them directly — by routing the sponsorship payments through their parents instead. Rethink built the campaign around the legal workaround itself, making the contract mechanic the creative idea.</t>
        </is>
      </c>
      <c r="N8" s="113" t="inlineStr">
        <is>
          <t>beer, alcohol, brand-partnership, sponsorship, sports, integrated, canada, talent-deal, legal-mechanic</t>
        </is>
      </c>
    </row>
    <row r="9">
      <c r="A9" s="127" t="n">
        <v>2025</v>
      </c>
      <c r="B9" s="132" t="inlineStr">
        <is>
          <t>Silver</t>
        </is>
      </c>
      <c r="C9" s="127" t="inlineStr">
        <is>
          <t>Running in Fear</t>
        </is>
      </c>
      <c r="D9" s="127" t="inlineStr">
        <is>
          <t>Alma Preta</t>
        </is>
      </c>
      <c r="E9" s="127" t="inlineStr">
        <is>
          <t>Alma Preta</t>
        </is>
      </c>
      <c r="F9" s="127" t="inlineStr">
        <is>
          <t>Lew'Lara\TBWA</t>
        </is>
      </c>
      <c r="G9" s="127" t="inlineStr">
        <is>
          <t>Brazil</t>
        </is>
      </c>
      <c r="H9" s="113" t="inlineStr">
        <is>
          <t>Diversity &amp; Inclusion in Sport</t>
        </is>
      </c>
      <c r="I9" s="128" t="inlineStr">
        <is>
          <t>https://ascentialcdn.filespin.io/api/v1/conversion/091d74f6176f4334bcedd28604ff10a5</t>
        </is>
      </c>
      <c r="J9" s="127" t="inlineStr">
        <is>
          <t>mgBubkLmF-g</t>
        </is>
      </c>
      <c r="K9" s="127" t="n"/>
      <c r="L9" s="128" t="inlineStr">
        <is>
          <t>https://www.lovethework.com/work/entries/running-in-fear-757711</t>
        </is>
      </c>
      <c r="M9" s="113" t="inlineStr">
        <is>
          <t>A stunt in which Alma Preta, an Afro-Brazilian news agency, invited Black runner Weslley Caitano to compete in one of Rio de Janeiro's largest street races wearing a bulletproof vest — the only outfit, the campaign argued, that could make a Black man feel safe running through Brazilian streets. The act drew attention to the everyday fear Black Brazilians face in public spaces, using the race course as a live demonstration.</t>
        </is>
      </c>
      <c r="N9" s="113" t="inlineStr">
        <is>
          <t>afro-brazilian-news, stunt, live-event, diversity-and-inclusion, brazil, sport, street-race, racial-justice, public-space</t>
        </is>
      </c>
    </row>
    <row r="10">
      <c r="A10" s="127" t="n">
        <v>2025</v>
      </c>
      <c r="B10" s="132" t="inlineStr">
        <is>
          <t>Silver</t>
        </is>
      </c>
      <c r="C10" s="127" t="inlineStr">
        <is>
          <t>The 4th Judge</t>
        </is>
      </c>
      <c r="D10" s="127" t="inlineStr">
        <is>
          <t>The Ring</t>
        </is>
      </c>
      <c r="E10" s="127" t="inlineStr">
        <is>
          <t>Boxing Event</t>
        </is>
      </c>
      <c r="F10" s="127" t="inlineStr">
        <is>
          <t>Bigtime Creative Shop</t>
        </is>
      </c>
      <c r="G10" s="127" t="inlineStr">
        <is>
          <t>Saudi Arabia</t>
        </is>
      </c>
      <c r="H10" s="113" t="inlineStr">
        <is>
          <t>Sports Live Experience</t>
        </is>
      </c>
      <c r="I10" s="128" t="inlineStr">
        <is>
          <t>https://ascentialcdn.filespin.io/api/v1/conversion/564dea338e9e42018a7f0c9b66595cae</t>
        </is>
      </c>
      <c r="J10" s="127" t="inlineStr">
        <is>
          <t>vimeo:1056470221</t>
        </is>
      </c>
      <c r="K10" s="127" t="n"/>
      <c r="L10" s="128" t="inlineStr">
        <is>
          <t>https://www.lovethework.com/work/entries/the-4th-judge-762326</t>
        </is>
      </c>
      <c r="M10" s="113" t="inlineStr">
        <is>
          <t>An AI judge trained on 103 years of scoring data from The Ring magazine, built by BigTime Creative Shop in Riyadh to score professional boxing bouts alongside the three human judges at ringside. Deployed for the undisputed light-heavyweight title fight in Saudi Arabia, it produced a real-time, data-driven scorecard that fans and media could compare directly against the official result.</t>
        </is>
      </c>
      <c r="N10" s="113" t="inlineStr">
        <is>
          <t>boxing-event, ai, technology, sport-innovation, saudi-arabia, real-time-scoring, sports-media, fan-engagement</t>
        </is>
      </c>
    </row>
    <row r="11">
      <c r="A11" s="127" t="n">
        <v>2025</v>
      </c>
      <c r="B11" s="132" t="inlineStr">
        <is>
          <t>Silver</t>
        </is>
      </c>
      <c r="C11" s="127" t="inlineStr">
        <is>
          <t>Avani's Gold</t>
        </is>
      </c>
      <c r="D11" s="127" t="inlineStr">
        <is>
          <t>Britannia Marie Gold</t>
        </is>
      </c>
      <c r="E11" s="127" t="inlineStr">
        <is>
          <t>Britannia Marie Gold</t>
        </is>
      </c>
      <c r="F11" s="127" t="inlineStr">
        <is>
          <t>Talented</t>
        </is>
      </c>
      <c r="G11" s="127" t="inlineStr">
        <is>
          <t>India</t>
        </is>
      </c>
      <c r="H11" s="113" t="inlineStr">
        <is>
          <t>Brand Storytelling</t>
        </is>
      </c>
      <c r="I11" s="128" t="inlineStr">
        <is>
          <t>https://ascentialcdn.filespin.io/api/v1/conversion/e0e7f0a8eeed48888d3d57f241eb99ae</t>
        </is>
      </c>
      <c r="J11" s="127" t="inlineStr">
        <is>
          <t>dz9sYI3dZ-0</t>
        </is>
      </c>
      <c r="K11" s="127" t="n"/>
      <c r="L11" s="128" t="inlineStr">
        <is>
          <t>https://www.lovethework.com/work/entries/avanis-gold-757226</t>
        </is>
      </c>
      <c r="M11" s="113" t="inlineStr">
        <is>
          <t>A brand storytelling campaign built around Avani Lekhara, the Indian Paralympic shooter who won gold at the Tokyo 2020 Games, made for Britannia Marie Gold — a biscuit whose name had quietly shared her achievement all along. The campaign draws a line between the everyday product and a landmark moment in Indian Paralympic history, with Lekhara herself as the narrative anchor.</t>
        </is>
      </c>
      <c r="N11" s="113" t="inlineStr">
        <is>
          <t>biscuit, brand-storytelling, sports-partnership, paralympics, india, film, cinema, entertainment, athlete-collaboration, snack, food, packaged-goods, cpg, fmcg</t>
        </is>
      </c>
    </row>
    <row r="12">
      <c r="A12" s="127" t="n">
        <v>2025</v>
      </c>
      <c r="B12" s="132" t="inlineStr">
        <is>
          <t>Silver</t>
        </is>
      </c>
      <c r="C12" s="127" t="inlineStr">
        <is>
          <t>Haaland Payback Time</t>
        </is>
      </c>
      <c r="D12" s="127" t="inlineStr">
        <is>
          <t>Clash of Clans</t>
        </is>
      </c>
      <c r="E12" s="127" t="inlineStr">
        <is>
          <t>Clash of Clans</t>
        </is>
      </c>
      <c r="F12" s="127" t="inlineStr">
        <is>
          <t>David</t>
        </is>
      </c>
      <c r="G12" s="127" t="inlineStr">
        <is>
          <t>United States</t>
        </is>
      </c>
      <c r="H12" s="113" t="inlineStr">
        <is>
          <t>Esports &amp; Gaming</t>
        </is>
      </c>
      <c r="I12" s="128" t="inlineStr">
        <is>
          <t>https://ascentialcdn.filespin.io/api/v1/conversion/0ab9c1eb4c5a4e82b68ff5fcca75da6b</t>
        </is>
      </c>
      <c r="J12" s="127" t="inlineStr">
        <is>
          <t>TcQ--NtSQ9s</t>
        </is>
      </c>
      <c r="K12" s="127" t="n"/>
      <c r="L12" s="128" t="inlineStr">
        <is>
          <t>https://www.lovethework.com/work/entries/haaland-payback-time-762343</t>
        </is>
      </c>
      <c r="M12" s="113" t="inlineStr">
        <is>
          <t>A limited in-game challenge built around Premier League footballer Erling Haaland's actual Clash of Clans village — one he had spent over a decade constructing. The campaign invited rival players and self-declared Haaland "haters" to raid and attack that real village, turning his personal in-game progress into a target. The mechanic used Haaland's existing game history as the creative raw material, with his real account serving as the prize to be plundered.</t>
        </is>
      </c>
      <c r="N12" s="113" t="inlineStr">
        <is>
          <t>mobile-game, gaming, video-games, entertainment, influencer, sport, in-game-activation, football, soccer, celebrity, united-states</t>
        </is>
      </c>
    </row>
    <row r="13">
      <c r="A13" s="127" t="n">
        <v>2025</v>
      </c>
      <c r="B13" s="132" t="inlineStr">
        <is>
          <t>Silver</t>
        </is>
      </c>
      <c r="C13" s="127" t="inlineStr">
        <is>
          <t>Kyikatejê</t>
        </is>
      </c>
      <c r="D13" s="127" t="inlineStr">
        <is>
          <t>Gavião Kyikatejê Football Club, Area 23</t>
        </is>
      </c>
      <c r="E13" s="127" t="inlineStr">
        <is>
          <t>Gavião Kyikatejã Football Club</t>
        </is>
      </c>
      <c r="F13" s="127" t="inlineStr">
        <is>
          <t>An IPG Health Company</t>
        </is>
      </c>
      <c r="G13" s="127" t="inlineStr">
        <is>
          <t>United States</t>
        </is>
      </c>
      <c r="H13" s="113" t="inlineStr">
        <is>
          <t>Diversity &amp; Inclusion in Sport</t>
        </is>
      </c>
      <c r="I13" s="127" t="inlineStr">
        <is>
          <t>digital-presentation-images/entertainment-lions-for-sport-gaviao-kyikateje-football-club-kyikateje.webp</t>
        </is>
      </c>
      <c r="J13" s="127" t="inlineStr">
        <is>
          <t>vimeo:1080359037</t>
        </is>
      </c>
      <c r="K13" s="127" t="n"/>
      <c r="L13" s="128" t="inlineStr">
        <is>
          <t>https://www.lovethework.com/work/entries/kyikatej-757692</t>
        </is>
      </c>
      <c r="M13" s="113" t="inlineStr">
        <is>
          <t>A short documentary film shot on 16mm analog film following the Gavião Kyikatêjê Football Club, an Indigenous team from the Brazilian Amazon, with hand-painted frame-by-frame animations drawn from the traditional body paintings of the Kyikatêjê people. Typography, color palette, and visual graphics are rooted in ancestral identity, while the sound design layers native chants, ambient village soundscapes, and reimagined club anthems — with narration delivered by the chief of the Kyikatêjê people. Produced by Area 23, an IPG Health Company, with production by Boiler Films, Bumblebeat, and Dirty Work.</t>
        </is>
      </c>
      <c r="N13" s="113" t="inlineStr">
        <is>
          <t>football-club, film, cinema, entertainment, documentary, indigenous, brazil, hand-painted-animation, 16mm, cultural-identity, analog</t>
        </is>
      </c>
    </row>
    <row r="14">
      <c r="A14" s="127" t="n">
        <v>2025</v>
      </c>
      <c r="B14" s="132" t="inlineStr">
        <is>
          <t>Silver</t>
        </is>
      </c>
      <c r="C14" s="127" t="inlineStr">
        <is>
          <t>Jordan Can't Ban Greatness</t>
        </is>
      </c>
      <c r="D14" s="127" t="inlineStr">
        <is>
          <t>Nike</t>
        </is>
      </c>
      <c r="E14" s="127" t="inlineStr">
        <is>
          <t>Nike</t>
        </is>
      </c>
      <c r="F14" s="127" t="inlineStr">
        <is>
          <t>Wieden+Kennedy</t>
        </is>
      </c>
      <c r="G14" s="127" t="inlineStr">
        <is>
          <t>United States</t>
        </is>
      </c>
      <c r="H14" s="113" t="inlineStr">
        <is>
          <t>Brand Storytelling</t>
        </is>
      </c>
      <c r="I14" s="128" t="inlineStr">
        <is>
          <t>https://ascentialcdn.filespin.io/api/v1/conversion/7954f7f7cb2f4db5865a8948faec77c0</t>
        </is>
      </c>
      <c r="J14" s="127" t="inlineStr">
        <is>
          <t>vimeo:1096009769</t>
        </is>
      </c>
      <c r="K14" s="127" t="n"/>
      <c r="L14" s="128" t="inlineStr">
        <is>
          <t>https://www.lovethework.com/work/entries/jordan-cant-ban-greatness-757287</t>
        </is>
      </c>
      <c r="M14" s="113" t="inlineStr">
        <is>
          <t>A staged "ban" rollout launched on NBA Christmas Day 2024, using the 40th anniversary of the NBA's 1985 fine on the Air Jordan I as its premise — asking what the world would look like if Nike had never paid it. Over the following weeks, Jordan Brand's own Instagram account disappeared, Air Jordans were pulled from Nike.com, Jalen Hurts was positioned as fined by the NFL for wearing "unapproved colors," the Jumpman was blacked out on Michael Jordan's Chicago statue, lyrics referencing Air Jordan were removed from Genius, the shoe was banned from NBA2K, a Jordan NASCAR wrap carried a "Banned" theme, and the Jumpman logo was projected into the sky via drone show above the Jordan Brand fan fest in Oakland.</t>
        </is>
      </c>
      <c r="N14" s="113" t="inlineStr">
        <is>
          <t>footwear, integrated-campaign, social-media, stunt, sports-marketing, united-states, basketball, film, cinema, entertainment</t>
        </is>
      </c>
    </row>
    <row r="15">
      <c r="A15" s="127" t="n">
        <v>2025</v>
      </c>
      <c r="B15" s="132" t="inlineStr">
        <is>
          <t>Silver</t>
        </is>
      </c>
      <c r="C15" s="127" t="inlineStr">
        <is>
          <t>Saving Pelotica De Goma</t>
        </is>
      </c>
      <c r="D15" s="127" t="inlineStr">
        <is>
          <t>Vacílate Esto</t>
        </is>
      </c>
      <c r="E15" s="127" t="inlineStr">
        <is>
          <t>Vacãlate Esto</t>
        </is>
      </c>
      <c r="F15" s="127" t="inlineStr">
        <is>
          <t>The Web</t>
        </is>
      </c>
      <c r="G15" s="127" t="inlineStr">
        <is>
          <t>Venezuela</t>
        </is>
      </c>
      <c r="H15" s="113" t="inlineStr">
        <is>
          <t>Influencer &amp; Co-Creation</t>
        </is>
      </c>
      <c r="I15" s="128" t="inlineStr">
        <is>
          <t>https://ascentialcdn.filespin.io/api/v1/conversion/c41e8e08644c46d1aa1edaeb702267bd</t>
        </is>
      </c>
      <c r="J15" s="127" t="inlineStr">
        <is>
          <t>177jg-ARY5Y</t>
        </is>
      </c>
      <c r="K15" s="127" t="n"/>
      <c r="L15" s="128" t="inlineStr">
        <is>
          <t>https://www.lovethework.com/work/entries/saving-pelotica-de-goma-757522</t>
        </is>
      </c>
      <c r="M15" s="113" t="inlineStr">
        <is>
          <t>A social and influencer campaign launched in Colombia and Venezuela to revive Pelotica de Goma, a Venezuelan children's TV character that had been off air for years, by mobilizing creators and audiences to publicly call for its return. Developed by agencies LaWeb and Buentipo across Caracas and Bogotá, the campaign turned nostalgia for a local cultural figure into a coordinated co-creation movement.</t>
        </is>
      </c>
      <c r="N15" s="113" t="inlineStr">
        <is>
          <t>influencer, co-creation, social-media, entertainment, venezuela, colombia, childrens-media, cultural-revival</t>
        </is>
      </c>
    </row>
    <row r="16">
      <c r="A16" s="127" t="n">
        <v>2025</v>
      </c>
      <c r="B16" s="133" t="inlineStr">
        <is>
          <t>Bronze</t>
        </is>
      </c>
      <c r="C16" s="127" t="inlineStr">
        <is>
          <t>Paid Through Parents</t>
        </is>
      </c>
      <c r="D16" s="127" t="inlineStr">
        <is>
          <t>Coors Brewing Company</t>
        </is>
      </c>
      <c r="E16" s="127" t="inlineStr">
        <is>
          <t>Molson Coors</t>
        </is>
      </c>
      <c r="F16" s="127" t="inlineStr">
        <is>
          <t>Rethink</t>
        </is>
      </c>
      <c r="G16" s="127" t="inlineStr">
        <is>
          <t>Canada</t>
        </is>
      </c>
      <c r="H16" s="113" t="inlineStr">
        <is>
          <t>Influencer &amp; Co-Creation</t>
        </is>
      </c>
      <c r="I16" s="128" t="inlineStr">
        <is>
          <t>https://ascentialcdn.filespin.io/api/v1/conversion/a5629a97973948f688643981b63ac56e</t>
        </is>
      </c>
      <c r="J16" s="127" t="inlineStr">
        <is>
          <t>8urf8-B-xrE</t>
        </is>
      </c>
      <c r="K16" s="127" t="n"/>
      <c r="L16" s="128" t="inlineStr">
        <is>
          <t>https://www.lovethework.com/work/entries/paid-through-parents-757417</t>
        </is>
      </c>
      <c r="M16" s="113" t="inlineStr">
        <is>
          <t>An endorsement deal structure Molson Coors created to sponsor Canadian athletes who compete in sports where drinking-age rules prevent the brand from paying them directly — by routing the sponsorship payments through their parents instead. Rethink built the campaign around the legal workaround itself, making the contract mechanic the creative idea.</t>
        </is>
      </c>
      <c r="N16" s="113" t="inlineStr">
        <is>
          <t>beer, alcohol, brand-partnership, sponsorship, sports, integrated, canada, talent-deal, legal-mechanic</t>
        </is>
      </c>
    </row>
    <row r="17">
      <c r="A17" s="127" t="n">
        <v>2025</v>
      </c>
      <c r="B17" s="133" t="inlineStr">
        <is>
          <t>Bronze</t>
        </is>
      </c>
      <c r="C17" s="127" t="inlineStr">
        <is>
          <t>Coors Light, Coors Light</t>
        </is>
      </c>
      <c r="D17" s="127" t="inlineStr">
        <is>
          <t>Coors Brewing Company</t>
        </is>
      </c>
      <c r="E17" s="127" t="inlineStr">
        <is>
          <t>Coors Light</t>
        </is>
      </c>
      <c r="F17" s="127" t="inlineStr">
        <is>
          <t>Molson Coors Beverage Company</t>
        </is>
      </c>
      <c r="G17" s="127" t="inlineStr">
        <is>
          <t>United States</t>
        </is>
      </c>
      <c r="H17" s="113" t="inlineStr">
        <is>
          <t>Challenger Brand</t>
        </is>
      </c>
      <c r="I17" s="128" t="inlineStr">
        <is>
          <t>https://ascentialcdn.filespin.io/api/v1/conversion/801ddebed5f640bdbb9533426b87109b</t>
        </is>
      </c>
      <c r="J17" s="127" t="inlineStr">
        <is>
          <t>vimeo:1064154466</t>
        </is>
      </c>
      <c r="K17" s="127" t="n"/>
      <c r="L17" s="128" t="inlineStr">
        <is>
          <t>https://www.lovethework.com/work/entries/coors-light-coors-light-757682</t>
        </is>
      </c>
      <c r="M17" s="113" t="inlineStr">
        <is>
          <t>Coors Light turned an unexpected Sunday Night Football play call into a citywide campaign after Russell Wilson shouted 'Coors Light, Coors Light' to millions of viewers. Moving in under 24 hours, the brand sidestepped NFL sponsorship limits with Pittsburgh OOH, bar deals and tailgate activations, making it the unofficial beer of Steelers Nation.</t>
        </is>
      </c>
      <c r="N17" s="113" t="inlineStr">
        <is>
          <t>beer, alcohol, sport, football, soccer, ooh, real-time, partnership, united-states</t>
        </is>
      </c>
    </row>
    <row r="18">
      <c r="A18" s="127" t="n">
        <v>2025</v>
      </c>
      <c r="B18" s="133" t="inlineStr">
        <is>
          <t>Bronze</t>
        </is>
      </c>
      <c r="C18" s="127" t="inlineStr">
        <is>
          <t>Football Lover Fm</t>
        </is>
      </c>
      <c r="D18" s="127" t="inlineStr">
        <is>
          <t>So Foot</t>
        </is>
      </c>
      <c r="E18" s="127" t="inlineStr">
        <is>
          <t>So Foot</t>
        </is>
      </c>
      <c r="F18" s="127" t="inlineStr">
        <is>
          <t>BETC</t>
        </is>
      </c>
      <c r="G18" s="127" t="inlineStr">
        <is>
          <t>France</t>
        </is>
      </c>
      <c r="H18" s="113" t="inlineStr">
        <is>
          <t>Use of Humour</t>
        </is>
      </c>
      <c r="I18" s="128" t="inlineStr">
        <is>
          <t>https://ascentialcdn.filespin.io/api/v1/conversion/0b397234b3d74a5aa798ad871042c23c</t>
        </is>
      </c>
      <c r="J18" s="127" t="inlineStr">
        <is>
          <t>j0eeoSEDFn0</t>
        </is>
      </c>
      <c r="K18" s="127" t="n"/>
      <c r="L18" s="128" t="inlineStr">
        <is>
          <t>https://www.lovethework.com/work/entries/football-lover-fm-757706</t>
        </is>
      </c>
      <c r="M18" s="113" t="inlineStr">
        <is>
          <t>A pop-up radio station created by BETC Paris for So Foot, France's football magazine, that transformed live match commentary into romantic love songs in real time on Valentine's Day. The station was designed to resolve the conflict fans face when a fixture falls on February 14th — letting them watch the game while their partner hears it as a love song.</t>
        </is>
      </c>
      <c r="N18" s="113" t="inlineStr">
        <is>
          <t>magazine, radio, live-event, valentines-day, football, soccer, sport, france, humour, audio</t>
        </is>
      </c>
    </row>
    <row r="19">
      <c r="A19" s="127" t="n">
        <v>2025</v>
      </c>
      <c r="B19" s="133" t="inlineStr">
        <is>
          <t>Bronze</t>
        </is>
      </c>
      <c r="C19" s="127" t="inlineStr">
        <is>
          <t>The Impossible Drive</t>
        </is>
      </c>
      <c r="D19" s="127" t="inlineStr">
        <is>
          <t>LEGO</t>
        </is>
      </c>
      <c r="E19" s="127" t="inlineStr">
        <is>
          <t>LEGO Technic</t>
        </is>
      </c>
      <c r="F19" s="127" t="inlineStr">
        <is>
          <t>M&amp;C Saatchi</t>
        </is>
      </c>
      <c r="G19" s="127" t="inlineStr">
        <is>
          <t>United Kingdom</t>
        </is>
      </c>
      <c r="H19" s="113" t="inlineStr">
        <is>
          <t>Brand Partnerships, Sponsorships &amp; Collaborations</t>
        </is>
      </c>
      <c r="I19" s="128" t="inlineStr">
        <is>
          <t>https://ascentialcdn.filespin.io/api/v1/conversion/943f4b70d83740e6add888e6112aab73</t>
        </is>
      </c>
      <c r="J19" s="127" t="inlineStr">
        <is>
          <t>vimeo:1178908888</t>
        </is>
      </c>
      <c r="K19" s="127" t="n"/>
      <c r="L19" s="128" t="inlineStr">
        <is>
          <t>https://www.lovethework.com/work/entries/the-impossible-drive-757483</t>
        </is>
      </c>
      <c r="M19" s="113" t="inlineStr">
        <is>
          <t>A partnership between LEGO Technic and McLaren in which a full-scale, driveable car was built from LEGO Technic pieces — engineered to function as an actual vehicle on a real track. The build directly embodies LEGO Technic's brand proposition of authenticity, functionality, and challenge through a McLaren-grade engineering brief.</t>
        </is>
      </c>
      <c r="N19" s="113" t="inlineStr">
        <is>
          <t>lego-technic, brand-partnership, automotive, cars, transport, experiential, build, motorsport, sport, racing, united-kingdom</t>
        </is>
      </c>
    </row>
    <row r="20">
      <c r="A20" s="127" t="n">
        <v>2025</v>
      </c>
      <c r="B20" s="133" t="inlineStr">
        <is>
          <t>Bronze</t>
        </is>
      </c>
      <c r="C20" s="127" t="inlineStr">
        <is>
          <t>Aeromexicanos</t>
        </is>
      </c>
      <c r="D20" s="127" t="inlineStr">
        <is>
          <t>Aeromexico</t>
        </is>
      </c>
      <c r="E20" s="127" t="inlineStr">
        <is>
          <t>Aeromexico</t>
        </is>
      </c>
      <c r="F20" s="127" t="inlineStr">
        <is>
          <t>Ogilvy</t>
        </is>
      </c>
      <c r="G20" s="127" t="inlineStr">
        <is>
          <t>Mexico</t>
        </is>
      </c>
      <c r="H20" s="113" t="inlineStr">
        <is>
          <t>Cultural Engagement</t>
        </is>
      </c>
      <c r="I20" s="128" t="inlineStr">
        <is>
          <t>https://ascentialcdn.filespin.io/api/v1/conversion/05665843413b4b8a80ba1017cabcdac1</t>
        </is>
      </c>
      <c r="J20" s="127" t="inlineStr">
        <is>
          <t>6MDBJbej100</t>
        </is>
      </c>
      <c r="K20" s="127" t="n"/>
      <c r="L20" s="128" t="inlineStr">
        <is>
          <t>https://www.lovethework.com/work/entries/aeromexicanos-762363</t>
        </is>
      </c>
      <c r="M20" s="113" t="inlineStr">
        <is>
          <t>A campaign pairing Aeromexico with luchadores — Mexican wrestlers — to draw a parallel between the athleticism and artistry of lucha libre and the experience of flight. Created by Ogilvy Mexico City, the work used advanced audience segmentation to tailor messaging across multiple touchpoints.</t>
        </is>
      </c>
      <c r="N20" s="113" t="inlineStr">
        <is>
          <t>airline, sport, cultural-engagement, lucha-libre, mexico, ooh, audience-segmentation, entertainment</t>
        </is>
      </c>
    </row>
    <row r="21">
      <c r="A21" s="127" t="n">
        <v>2025</v>
      </c>
      <c r="B21" s="133" t="inlineStr">
        <is>
          <t>Bronze</t>
        </is>
      </c>
      <c r="C21" s="127" t="inlineStr">
        <is>
          <t>Bad Luck Reverser</t>
        </is>
      </c>
      <c r="D21" s="127" t="inlineStr">
        <is>
          <t>Refisal</t>
        </is>
      </c>
      <c r="E21" s="127" t="inlineStr">
        <is>
          <t>Refisal</t>
        </is>
      </c>
      <c r="F21" s="127" t="inlineStr">
        <is>
          <t>Name</t>
        </is>
      </c>
      <c r="G21" s="127" t="inlineStr">
        <is>
          <t>Colombia</t>
        </is>
      </c>
      <c r="H21" s="113" t="inlineStr">
        <is>
          <t>Fan Engagement/Distribution Strategy</t>
        </is>
      </c>
      <c r="I21" s="128" t="inlineStr">
        <is>
          <t>https://ascentialcdn.filespin.io/api/v1/conversion/7e95f656b693443d8d4e60f0a4c9b853</t>
        </is>
      </c>
      <c r="J21" s="127" t="inlineStr">
        <is>
          <t>4OaN00EWwWg</t>
        </is>
      </c>
      <c r="K21" s="127" t="n"/>
      <c r="L21" s="128" t="inlineStr">
        <is>
          <t>https://www.lovethework.com/work/entries/bad-luck-reverser-757468</t>
        </is>
      </c>
      <c r="M21"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21" s="113" t="inlineStr">
        <is>
          <t>packaging, sport, football, soccer, packaged-goods, cpg, fmcg, retail, colombia, partnership, social-behaviour</t>
        </is>
      </c>
    </row>
    <row r="22">
      <c r="A22" s="127" t="n">
        <v>2025</v>
      </c>
      <c r="B22" s="133" t="inlineStr">
        <is>
          <t>Bronze</t>
        </is>
      </c>
      <c r="C22" s="127" t="inlineStr">
        <is>
          <t>Hey Jude</t>
        </is>
      </c>
      <c r="D22" s="127" t="inlineStr">
        <is>
          <t>Adidas</t>
        </is>
      </c>
      <c r="E22" s="127" t="inlineStr">
        <is>
          <t>Adidas</t>
        </is>
      </c>
      <c r="F22" s="127" t="inlineStr">
        <is>
          <t>Johannes Leonardo</t>
        </is>
      </c>
      <c r="G22" s="127" t="inlineStr">
        <is>
          <t>United States</t>
        </is>
      </c>
      <c r="H22" s="113" t="inlineStr">
        <is>
          <t>Fan Engagement/Distribution Strategy</t>
        </is>
      </c>
      <c r="I22" s="128" t="inlineStr">
        <is>
          <t>https://ascentialcdn.filespin.io/api/v1/conversion/c5b4d99a1f714aea8f5124ebd5d701f7</t>
        </is>
      </c>
      <c r="J22" s="127" t="inlineStr">
        <is>
          <t>aoOfn_W8PWg</t>
        </is>
      </c>
      <c r="K22" s="127" t="n"/>
      <c r="L22" s="128" t="inlineStr">
        <is>
          <t>https://www.lovethework.com/work/entries/hey-jude-757188</t>
        </is>
      </c>
      <c r="M22" s="113" t="inlineStr">
        <is>
          <t>A film built around The Beatles' "Hey Jude," tracing 58 years of England football tournament losses and heartbreak through period footage and cameos from former England players including Frank Lampard and David Beckham — before arriving at Jude Bellingham, whose name the song had always seemed to carry. Made by Johannes Leonardo with production by Spindle London ahead of Euro 2024, the film imagines England erupting in celebration as Bellingham scores, crowds in stadiums, neighborhoods, and pubs singing the chorus as a cheer of hope.</t>
        </is>
      </c>
      <c r="N22" s="113" t="inlineStr">
        <is>
          <t>sportswear, film, cinema, entertainment, licensed-music, football, soccer, sport, united-states, united-kingdom</t>
        </is>
      </c>
    </row>
    <row r="23">
      <c r="A23" s="127" t="n">
        <v>2025</v>
      </c>
      <c r="B23" s="133" t="inlineStr">
        <is>
          <t>Bronze</t>
        </is>
      </c>
      <c r="C23" s="127" t="inlineStr">
        <is>
          <t>The Flame That Wasn't a Flame</t>
        </is>
      </c>
      <c r="D23" s="127" t="inlineStr">
        <is>
          <t>EDF</t>
        </is>
      </c>
      <c r="E23" s="127" t="inlineStr">
        <is>
          <t>EDF</t>
        </is>
      </c>
      <c r="F23" s="127" t="inlineStr">
        <is>
          <t>BETC</t>
        </is>
      </c>
      <c r="G23" s="127" t="inlineStr">
        <is>
          <t>France</t>
        </is>
      </c>
      <c r="H23" s="113" t="inlineStr">
        <is>
          <t>Sports Live Experience</t>
        </is>
      </c>
      <c r="I23" s="128" t="inlineStr">
        <is>
          <t>https://ascentialcdn.filespin.io/api/v1/conversion/59c61cb1e6984e748ed9ff58ce4d2280</t>
        </is>
      </c>
      <c r="J23" s="127" t="inlineStr">
        <is>
          <t>sXFFpanPbNE</t>
        </is>
      </c>
      <c r="K23" s="127" t="n"/>
      <c r="L23" s="128" t="inlineStr">
        <is>
          <t>https://www.lovethework.com/work/entries/the-flame-that-wasnt-a-flame-757294</t>
        </is>
      </c>
      <c r="M23"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23" s="113" t="inlineStr">
        <is>
          <t>olympics, sport, sustainability, energy, ceremony, paris, partnership, live-event, corporate-purpose</t>
        </is>
      </c>
    </row>
    <row r="24">
      <c r="A24" s="127" t="n">
        <v>2025</v>
      </c>
      <c r="B24" s="133" t="inlineStr">
        <is>
          <t>Bronze</t>
        </is>
      </c>
      <c r="C24" s="127" t="inlineStr">
        <is>
          <t>Excuses Bars</t>
        </is>
      </c>
      <c r="D24" s="127" t="inlineStr">
        <is>
          <t>Heineken</t>
        </is>
      </c>
      <c r="E24" s="127" t="inlineStr">
        <is>
          <t>Heineken</t>
        </is>
      </c>
      <c r="F24" s="127" t="inlineStr">
        <is>
          <t>Lepub</t>
        </is>
      </c>
      <c r="G24" s="127" t="inlineStr">
        <is>
          <t>Italy</t>
        </is>
      </c>
      <c r="H24" s="113" t="inlineStr">
        <is>
          <t>Fan Engagement/Distribution Strategy</t>
        </is>
      </c>
      <c r="I24" s="128" t="inlineStr">
        <is>
          <t>https://ascentialcdn.filespin.io/api/v1/conversion/f219a00eceb44153993b72462c35b6bc</t>
        </is>
      </c>
      <c r="J24" s="127" t="inlineStr">
        <is>
          <t>vimeo:1103062284</t>
        </is>
      </c>
      <c r="K24" s="127" t="n"/>
      <c r="L24" s="128" t="inlineStr">
        <is>
          <t>https://www.lovethework.com/work/entries/excuses-bars-762239</t>
        </is>
      </c>
      <c r="M24" s="113" t="inlineStr">
        <is>
          <t>A network of bars positioned near football stadiums in Italy where Heineken invited fans to watch away matches they had used excuses to skip — the bars gave those fans a plausible alibi location while still watching the game live. LePub Milan built the concept around the well-documented habit of football fans inventing reasons to miss matches they'd rather watch from a bar than attend in person.</t>
        </is>
      </c>
      <c r="N24" s="113" t="inlineStr">
        <is>
          <t>beer, alcohol, fan-engagement, bar-activation, sports-marketing, football, soccer, sport, italy, branded-venue, lepub</t>
        </is>
      </c>
    </row>
    <row r="25">
      <c r="A25" s="127" t="n">
        <v>2025</v>
      </c>
      <c r="B25" s="133" t="inlineStr">
        <is>
          <t>Bronze</t>
        </is>
      </c>
      <c r="C25" s="127" t="inlineStr">
        <is>
          <t>Senna's Cut</t>
        </is>
      </c>
      <c r="D25" s="127" t="inlineStr">
        <is>
          <t>Netflix</t>
        </is>
      </c>
      <c r="E25" s="127" t="inlineStr">
        <is>
          <t>Senna</t>
        </is>
      </c>
      <c r="F25" s="127" t="inlineStr">
        <is>
          <t>Monks</t>
        </is>
      </c>
      <c r="G25" s="127" t="inlineStr">
        <is>
          <t>Argentina</t>
        </is>
      </c>
      <c r="H25" s="113" t="inlineStr">
        <is>
          <t>Fan Engagement/Distribution Strategy</t>
        </is>
      </c>
      <c r="I25" s="127" t="inlineStr">
        <is>
          <t>digital-presentation-images/entertainment-lions-for-sport-netflix-sennas-cut.webp</t>
        </is>
      </c>
      <c r="J25" s="127" t="inlineStr">
        <is>
          <t>5lDse7WCVUU</t>
        </is>
      </c>
      <c r="K25" s="127" t="n"/>
      <c r="L25" s="128" t="inlineStr">
        <is>
          <t>https://www.lovethework.com/work/entries/sennas-cut-757380</t>
        </is>
      </c>
      <c r="M25" s="113" t="inlineStr">
        <is>
          <t>A 1-minute-21.314-second edit of Netflix's six-hour Senna biopic, cut to mirror every move of Ayrton Senna's record-breaking 1990 Monaco lap — 19 curves, 50-plus gear changes, 3,337 meters of track, and 2,245 individual clips and layers compressed into the exact lap time. Built by Monks Buenos Aires, it was premiered outside the Netflix platform, broadcast publicly so anyone could watch at Senna's pace.</t>
        </is>
      </c>
      <c r="N25" s="113" t="inlineStr">
        <is>
          <t>streaming, tv, entertainment, film-tv-promotion, video, fan-engagement, motorsport, sport, racing, argentina, editing-craft, social</t>
        </is>
      </c>
    </row>
    <row r="26">
      <c r="A26" s="127" t="n">
        <v>2025</v>
      </c>
      <c r="B26" s="133" t="inlineStr">
        <is>
          <t>Bronze</t>
        </is>
      </c>
      <c r="C26" s="127" t="inlineStr">
        <is>
          <t>The Fan Remote</t>
        </is>
      </c>
      <c r="D26" s="127" t="inlineStr">
        <is>
          <t>Claro</t>
        </is>
      </c>
      <c r="E26" s="127" t="inlineStr">
        <is>
          <t>Claro TV+</t>
        </is>
      </c>
      <c r="F26" s="127" t="inlineStr">
        <is>
          <t>Talent Marcel</t>
        </is>
      </c>
      <c r="G26" s="127" t="inlineStr">
        <is>
          <t>Brazil</t>
        </is>
      </c>
      <c r="H26" s="113" t="inlineStr">
        <is>
          <t>Innovation in Sport</t>
        </is>
      </c>
      <c r="I26" s="128" t="inlineStr">
        <is>
          <t>https://ascentialcdn.filespin.io/api/v1/conversion/4789c727ab0e4e79bc0a89252cc425d9</t>
        </is>
      </c>
      <c r="J26" s="127" t="inlineStr">
        <is>
          <t>vimeo:1081509339</t>
        </is>
      </c>
      <c r="K26" s="127" t="n"/>
      <c r="L26" s="128" t="inlineStr">
        <is>
          <t>https://www.lovethework.com/work/entries/the-fan-remote-757600</t>
        </is>
      </c>
      <c r="M26" s="113" t="inlineStr">
        <is>
          <t>A physical TV remote control produced by Claro TV+ with a dedicated hardware button that locates and tunes directly to a Corinthians match with a single press, regardless of which channel is carrying the broadcast. The button was designed to eliminate the frustration fans face hunting across fragmented sports rights to find where a specific team's game is airing.</t>
        </is>
      </c>
      <c r="N26" s="113" t="inlineStr">
        <is>
          <t>pay-tv, product-design, sports, brazil, remote-control, football, soccer, sport, hardware</t>
        </is>
      </c>
    </row>
    <row r="27">
      <c r="A27" s="127" t="n">
        <v>2025</v>
      </c>
      <c r="B27" s="133" t="inlineStr">
        <is>
          <t>Bronze</t>
        </is>
      </c>
      <c r="C27" s="127" t="inlineStr">
        <is>
          <t>Fields of Glory</t>
        </is>
      </c>
      <c r="D27" s="127" t="inlineStr">
        <is>
          <t>Pilsen Beer</t>
        </is>
      </c>
      <c r="E27" s="127" t="inlineStr">
        <is>
          <t>Pilsen Beer</t>
        </is>
      </c>
      <c r="F27" s="127" t="inlineStr">
        <is>
          <t>Monks</t>
        </is>
      </c>
      <c r="G27" s="127" t="inlineStr">
        <is>
          <t>Colombia</t>
        </is>
      </c>
      <c r="H27" s="113" t="inlineStr">
        <is>
          <t>Brand Partnerships, Sponsorships &amp; Collaborations</t>
        </is>
      </c>
      <c r="I27" s="128" t="inlineStr">
        <is>
          <t>https://ascentialcdn.filespin.io/api/v1/conversion/3c8c2a1d775049aeb067fb493759f83d</t>
        </is>
      </c>
      <c r="J27" s="127" t="inlineStr">
        <is>
          <t>3nAP3n43rok</t>
        </is>
      </c>
      <c r="K27" s="127" t="n"/>
      <c r="L27" s="128" t="inlineStr">
        <is>
          <t>https://www.lovethework.com/work/entries/fields-of-glory-757481</t>
        </is>
      </c>
      <c r="M27" s="113" t="inlineStr">
        <is>
          <t>A biostimulant fertilizer developed with biotech firm Ecosphaira using Pilsen beer's own brewing ingredients — malt, hops, and yeast byproducts — applied to regenerate the degraded pitch at a Colombian football stadium. Pilsen, a long-time sponsor of Colombian football, used the activation to move beyond logo placement and position the brand's ingredients as a functional solution to a visible, emotionally charged problem for fans.</t>
        </is>
      </c>
      <c r="N27" s="113" t="inlineStr">
        <is>
          <t>beer, alcohol, brand-partnership, sports-sponsorship, football, soccer, sport, biotechnology, colombia, experiential, b2b, business</t>
        </is>
      </c>
    </row>
  </sheetData>
  <autoFilter ref="A1:N27"/>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L7" r:id="rId10"/>
    <hyperlink xmlns:r="http://schemas.openxmlformats.org/officeDocument/2006/relationships" ref="I8" r:id="rId11"/>
    <hyperlink xmlns:r="http://schemas.openxmlformats.org/officeDocument/2006/relationships" ref="L8" r:id="rId12"/>
    <hyperlink xmlns:r="http://schemas.openxmlformats.org/officeDocument/2006/relationships" ref="I9" r:id="rId13"/>
    <hyperlink xmlns:r="http://schemas.openxmlformats.org/officeDocument/2006/relationships" ref="L9" r:id="rId14"/>
    <hyperlink xmlns:r="http://schemas.openxmlformats.org/officeDocument/2006/relationships" ref="I10" r:id="rId15"/>
    <hyperlink xmlns:r="http://schemas.openxmlformats.org/officeDocument/2006/relationships" ref="L10" r:id="rId16"/>
    <hyperlink xmlns:r="http://schemas.openxmlformats.org/officeDocument/2006/relationships" ref="I11" r:id="rId17"/>
    <hyperlink xmlns:r="http://schemas.openxmlformats.org/officeDocument/2006/relationships" ref="L11" r:id="rId18"/>
    <hyperlink xmlns:r="http://schemas.openxmlformats.org/officeDocument/2006/relationships" ref="I12" r:id="rId19"/>
    <hyperlink xmlns:r="http://schemas.openxmlformats.org/officeDocument/2006/relationships" ref="L12" r:id="rId20"/>
    <hyperlink xmlns:r="http://schemas.openxmlformats.org/officeDocument/2006/relationships" ref="L13" r:id="rId21"/>
    <hyperlink xmlns:r="http://schemas.openxmlformats.org/officeDocument/2006/relationships" ref="I14" r:id="rId22"/>
    <hyperlink xmlns:r="http://schemas.openxmlformats.org/officeDocument/2006/relationships" ref="L14" r:id="rId23"/>
    <hyperlink xmlns:r="http://schemas.openxmlformats.org/officeDocument/2006/relationships" ref="I15" r:id="rId24"/>
    <hyperlink xmlns:r="http://schemas.openxmlformats.org/officeDocument/2006/relationships" ref="L15" r:id="rId25"/>
    <hyperlink xmlns:r="http://schemas.openxmlformats.org/officeDocument/2006/relationships" ref="I16" r:id="rId26"/>
    <hyperlink xmlns:r="http://schemas.openxmlformats.org/officeDocument/2006/relationships" ref="L16" r:id="rId27"/>
    <hyperlink xmlns:r="http://schemas.openxmlformats.org/officeDocument/2006/relationships" ref="I17" r:id="rId28"/>
    <hyperlink xmlns:r="http://schemas.openxmlformats.org/officeDocument/2006/relationships" ref="L17" r:id="rId29"/>
    <hyperlink xmlns:r="http://schemas.openxmlformats.org/officeDocument/2006/relationships" ref="I18" r:id="rId30"/>
    <hyperlink xmlns:r="http://schemas.openxmlformats.org/officeDocument/2006/relationships" ref="L18" r:id="rId31"/>
    <hyperlink xmlns:r="http://schemas.openxmlformats.org/officeDocument/2006/relationships" ref="I19" r:id="rId32"/>
    <hyperlink xmlns:r="http://schemas.openxmlformats.org/officeDocument/2006/relationships" ref="L19" r:id="rId33"/>
    <hyperlink xmlns:r="http://schemas.openxmlformats.org/officeDocument/2006/relationships" ref="I20" r:id="rId34"/>
    <hyperlink xmlns:r="http://schemas.openxmlformats.org/officeDocument/2006/relationships" ref="L20" r:id="rId35"/>
    <hyperlink xmlns:r="http://schemas.openxmlformats.org/officeDocument/2006/relationships" ref="I21" r:id="rId36"/>
    <hyperlink xmlns:r="http://schemas.openxmlformats.org/officeDocument/2006/relationships" ref="L21" r:id="rId37"/>
    <hyperlink xmlns:r="http://schemas.openxmlformats.org/officeDocument/2006/relationships" ref="I22" r:id="rId38"/>
    <hyperlink xmlns:r="http://schemas.openxmlformats.org/officeDocument/2006/relationships" ref="L22" r:id="rId39"/>
    <hyperlink xmlns:r="http://schemas.openxmlformats.org/officeDocument/2006/relationships" ref="I23" r:id="rId40"/>
    <hyperlink xmlns:r="http://schemas.openxmlformats.org/officeDocument/2006/relationships" ref="L23" r:id="rId41"/>
    <hyperlink xmlns:r="http://schemas.openxmlformats.org/officeDocument/2006/relationships" ref="I24" r:id="rId42"/>
    <hyperlink xmlns:r="http://schemas.openxmlformats.org/officeDocument/2006/relationships" ref="L24" r:id="rId43"/>
    <hyperlink xmlns:r="http://schemas.openxmlformats.org/officeDocument/2006/relationships" ref="L25" r:id="rId44"/>
    <hyperlink xmlns:r="http://schemas.openxmlformats.org/officeDocument/2006/relationships" ref="I26" r:id="rId45"/>
    <hyperlink xmlns:r="http://schemas.openxmlformats.org/officeDocument/2006/relationships" ref="L26" r:id="rId46"/>
    <hyperlink xmlns:r="http://schemas.openxmlformats.org/officeDocument/2006/relationships" ref="I27" r:id="rId47"/>
    <hyperlink xmlns:r="http://schemas.openxmlformats.org/officeDocument/2006/relationships" ref="L27" r:id="rId48"/>
  </hyperlinks>
  <pageMargins left="0.75" right="0.75" top="1" bottom="1" header="0.5" footer="0.5"/>
</worksheet>
</file>

<file path=xl/worksheets/sheet20.xml><?xml version="1.0" encoding="utf-8"?>
<worksheet xmlns="http://schemas.openxmlformats.org/spreadsheetml/2006/main">
  <sheetPr filterMode="0">
    <outlinePr summaryBelow="1" summaryRight="1"/>
    <pageSetUpPr fitToPage="0"/>
  </sheetPr>
  <dimension ref="A1:N68"/>
  <sheetViews>
    <sheetView showFormulas="0" showGridLines="1" showRowColHeaders="1" showZeros="1" rightToLeft="0" tabSelected="1"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6796875" defaultRowHeight="15" customHeight="0" zeroHeight="0" outlineLevelRow="0"/>
  <cols>
    <col width="6" customWidth="1" style="33" min="1" max="1"/>
    <col width="16" customWidth="1" style="33" min="2" max="2"/>
    <col width="34" customWidth="1" style="33" min="3" max="4"/>
    <col width="22" customWidth="1" style="34" min="4" max="4"/>
    <col width="26" customWidth="1" style="33" min="5" max="5"/>
    <col width="28" customWidth="1" style="33" min="6" max="6"/>
    <col width="16" customWidth="1" style="33" min="7" max="7"/>
    <col width="34" customWidth="1" style="33" min="8" max="8"/>
    <col width="18" customWidth="1" style="33"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48" t="inlineStr">
        <is>
          <t>Year</t>
        </is>
      </c>
      <c r="B1" s="148" t="inlineStr">
        <is>
          <t>Tier</t>
        </is>
      </c>
      <c r="C1" s="148" t="inlineStr">
        <is>
          <t>Campaign</t>
        </is>
      </c>
      <c r="D1" s="148" t="inlineStr">
        <is>
          <t>Brand</t>
        </is>
      </c>
      <c r="E1" s="148" t="inlineStr">
        <is>
          <t>Product/Service</t>
        </is>
      </c>
      <c r="F1" s="148" t="inlineStr">
        <is>
          <t>Agency</t>
        </is>
      </c>
      <c r="G1" s="148" t="inlineStr">
        <is>
          <t>Country</t>
        </is>
      </c>
      <c r="H1" s="148" t="inlineStr">
        <is>
          <t>Subcategory</t>
        </is>
      </c>
      <c r="I1" s="148" t="inlineStr">
        <is>
          <t>Image URL</t>
        </is>
      </c>
      <c r="J1" s="122" t="inlineStr">
        <is>
          <t>YouTube ID</t>
        </is>
      </c>
      <c r="K1" s="122" t="inlineStr">
        <is>
          <t>Campaign Group</t>
        </is>
      </c>
      <c r="L1" s="122" t="inlineStr">
        <is>
          <t>Entry URL</t>
        </is>
      </c>
      <c r="M1" s="122" t="inlineStr">
        <is>
          <t>Description</t>
        </is>
      </c>
      <c r="N1" s="122" t="inlineStr">
        <is>
          <t>Keywords</t>
        </is>
      </c>
    </row>
    <row r="2" ht="34.5" customHeight="1" s="34">
      <c r="A2" s="149" t="n">
        <v>2025</v>
      </c>
      <c r="B2" s="150" t="inlineStr">
        <is>
          <t>Grand Prix</t>
        </is>
      </c>
      <c r="C2" s="151" t="inlineStr">
        <is>
          <t>Caption with Intention</t>
        </is>
      </c>
      <c r="D2" s="149" t="inlineStr">
        <is>
          <t>Academy of Motion Picture Arts &amp; Sciences / Chicago Hearing Society</t>
        </is>
      </c>
      <c r="E2" s="149" t="inlineStr">
        <is>
          <t>Closed Captioning</t>
        </is>
      </c>
      <c r="F2" s="149" t="inlineStr">
        <is>
          <t>FCB Chicago</t>
        </is>
      </c>
      <c r="G2" s="149" t="inlineStr">
        <is>
          <t>United States</t>
        </is>
      </c>
      <c r="H2" s="152" t="inlineStr">
        <is>
          <t>A05 - Media/Entertainment</t>
        </is>
      </c>
      <c r="I2" s="153" t="inlineStr">
        <is>
          <t>https://ascentialcdn.filespin.io/api/v1/conversion/ae51c3c9f04d452e914dba0555d8b029</t>
        </is>
      </c>
      <c r="J2" s="127" t="inlineStr">
        <is>
          <t>F48khKZhKHM</t>
        </is>
      </c>
      <c r="K2" s="127" t="n"/>
      <c r="L2" s="128" t="inlineStr">
        <is>
          <t>https://www.lovethework.com/work/entries/caption-with-intention-746864</t>
        </is>
      </c>
      <c r="M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2" s="113" t="inlineStr">
        <is>
          <t>accessibility, captioning, film, cinema, entertainment, typography, deaf-and-hard-of-hearing, product-design, inclusion, united-states</t>
        </is>
      </c>
    </row>
    <row r="3" ht="34.5" customHeight="1" s="34">
      <c r="A3" s="149" t="n">
        <v>2025</v>
      </c>
      <c r="B3" s="154" t="inlineStr">
        <is>
          <t>Gold</t>
        </is>
      </c>
      <c r="C3" s="151" t="inlineStr">
        <is>
          <t>ADS Cover Rents</t>
        </is>
      </c>
      <c r="D3" s="149" t="inlineStr">
        <is>
          <t>Brahma</t>
        </is>
      </c>
      <c r="E3" s="149" t="inlineStr">
        <is>
          <t>Beer</t>
        </is>
      </c>
      <c r="F3" s="149" t="inlineStr">
        <is>
          <t>Africa Creative DDB Sao Paulo</t>
        </is>
      </c>
      <c r="G3" s="149" t="inlineStr">
        <is>
          <t>Brazil</t>
        </is>
      </c>
      <c r="H3" s="152" t="inlineStr">
        <is>
          <t>D02 - Guerrilla Marketing</t>
        </is>
      </c>
      <c r="I3" s="153" t="inlineStr">
        <is>
          <t>https://ascentialcdn.filespin.io/api/v1/conversion/17a255fb4a7d40d79616736a9ee7914c</t>
        </is>
      </c>
      <c r="J3" s="127" t="inlineStr">
        <is>
          <t>8R2TckoklzM</t>
        </is>
      </c>
      <c r="K3" s="127" t="n"/>
      <c r="L3" s="128" t="inlineStr">
        <is>
          <t>https://www.lovethework.com/work/entries/ads-cover-rents-747640</t>
        </is>
      </c>
      <c r="M3" s="113" t="inlineStr">
        <is>
          <t>A Carnival-season activation where Brahma paid part of Brazilian tourists' Airbnb rent in exchange for hanging beer-branded banners on the balconies. The deal turned thousands of apartments across five cities into temporary outdoor ad space while easing one of Carnival's most-griped-about costs.</t>
        </is>
      </c>
      <c r="N3" s="113" t="inlineStr">
        <is>
          <t>guerrilla, ooh, partnership, beer, alcohol, airbnb, carnival, brazil, ambient</t>
        </is>
      </c>
    </row>
    <row r="4" ht="34.5" customHeight="1" s="34">
      <c r="A4" s="149" t="n">
        <v>2025</v>
      </c>
      <c r="B4" s="154" t="inlineStr">
        <is>
          <t>Gold</t>
        </is>
      </c>
      <c r="C4" s="151" t="inlineStr">
        <is>
          <t>Drops of Hope</t>
        </is>
      </c>
      <c r="D4" s="149" t="inlineStr">
        <is>
          <t>Kimberly-Clark</t>
        </is>
      </c>
      <c r="E4" s="149" t="inlineStr">
        <is>
          <t>Poise</t>
        </is>
      </c>
      <c r="F4" s="149" t="inlineStr">
        <is>
          <t>FCB New York</t>
        </is>
      </c>
      <c r="G4" s="149" t="inlineStr">
        <is>
          <t>United States</t>
        </is>
      </c>
      <c r="H4" s="152" t="inlineStr">
        <is>
          <t>A01 - Consumer Goods</t>
        </is>
      </c>
      <c r="I4" s="153" t="inlineStr">
        <is>
          <t>https://ascentialcdn.filespin.io/api/v1/conversion/6b9aa5b716a6476ca0f016a3c2a0dd62</t>
        </is>
      </c>
      <c r="J4" s="127" t="inlineStr">
        <is>
          <t>MnF0kip489Y</t>
        </is>
      </c>
      <c r="K4" s="127" t="n"/>
      <c r="L4" s="128" t="inlineStr">
        <is>
          <t>https://www.lovethework.com/work/entries/drops-of-hope-748188</t>
        </is>
      </c>
      <c r="M4"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4" s="113" t="inlineStr">
        <is>
          <t>healthcare, diagnostics, medical, womens-health, mail-back, product-innovation, social-good, rural, united-states</t>
        </is>
      </c>
    </row>
    <row r="5" ht="34.5" customHeight="1" s="34">
      <c r="A5" s="149" t="n">
        <v>2025</v>
      </c>
      <c r="B5" s="154" t="inlineStr">
        <is>
          <t>Gold</t>
        </is>
      </c>
      <c r="C5" s="151" t="inlineStr">
        <is>
          <t>Drops of Hope</t>
        </is>
      </c>
      <c r="D5" s="149" t="inlineStr">
        <is>
          <t>Kimberly-Clark</t>
        </is>
      </c>
      <c r="E5" s="149" t="inlineStr">
        <is>
          <t>Poise</t>
        </is>
      </c>
      <c r="F5" s="149" t="inlineStr">
        <is>
          <t>FCB New York</t>
        </is>
      </c>
      <c r="G5" s="149" t="inlineStr">
        <is>
          <t>United States</t>
        </is>
      </c>
      <c r="H5" s="152" t="inlineStr">
        <is>
          <t>E07 - Corporate Purpose</t>
        </is>
      </c>
      <c r="I5" s="153" t="inlineStr">
        <is>
          <t>https://ascentialcdn.filespin.io/api/v1/conversion/b6b3814255234c3596fcb99868c0fbb7</t>
        </is>
      </c>
      <c r="J5" s="127" t="inlineStr">
        <is>
          <t>MnF0kip489Y</t>
        </is>
      </c>
      <c r="K5" s="127" t="n"/>
      <c r="L5" s="128" t="inlineStr">
        <is>
          <t>https://www.lovethework.com/work/entries/drops-of-hope-748188</t>
        </is>
      </c>
      <c r="M5"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5" s="113" t="inlineStr">
        <is>
          <t>healthcare, diagnostics, medical, womens-health, mail-back, product-innovation, social-good, rural, united-states</t>
        </is>
      </c>
    </row>
    <row r="6" ht="34.5" customHeight="1" s="34">
      <c r="A6" s="149" t="n">
        <v>2025</v>
      </c>
      <c r="B6" s="154" t="inlineStr">
        <is>
          <t>Gold</t>
        </is>
      </c>
      <c r="C6" s="151" t="inlineStr">
        <is>
          <t>Fictional Insurance</t>
        </is>
      </c>
      <c r="D6" s="149" t="inlineStr">
        <is>
          <t>RCN/Prime</t>
        </is>
      </c>
      <c r="E6" s="149" t="inlineStr">
        <is>
          <t>Insurance</t>
        </is>
      </c>
      <c r="F6" s="149" t="inlineStr">
        <is>
          <t>DDB Colombia Bogota</t>
        </is>
      </c>
      <c r="G6" s="149" t="inlineStr">
        <is>
          <t>Colombia</t>
        </is>
      </c>
      <c r="H6" s="152" t="inlineStr">
        <is>
          <t>C03 - Customer Acquisition</t>
        </is>
      </c>
      <c r="I6" s="153" t="inlineStr">
        <is>
          <t>https://ascentialcdn.filespin.io/api/v1/conversion/8466955db96a4c52b6813e12a8c63226</t>
        </is>
      </c>
      <c r="J6" s="127" t="inlineStr">
        <is>
          <t>OctiVcwaiXI</t>
        </is>
      </c>
      <c r="K6" s="127" t="n"/>
      <c r="L6" s="128" t="inlineStr">
        <is>
          <t>https://www.lovethework.com/work/entries/fictional-insurance-747450</t>
        </is>
      </c>
      <c r="M6"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6" s="113" t="inlineStr">
        <is>
          <t>streaming, tv, entertainment, gamification, soap-opera, telenovela, partnership, insurance, financial-services, finance, latin-america, colombia, integrated</t>
        </is>
      </c>
    </row>
    <row r="7" ht="34.5" customHeight="1" s="34">
      <c r="A7" s="149" t="n">
        <v>2025</v>
      </c>
      <c r="B7" s="154" t="inlineStr">
        <is>
          <t>Gold</t>
        </is>
      </c>
      <c r="C7" s="151" t="inlineStr">
        <is>
          <t>Gulf of Mexico (Bar)</t>
        </is>
      </c>
      <c r="D7" s="149" t="inlineStr">
        <is>
          <t>Tecate</t>
        </is>
      </c>
      <c r="E7" s="149" t="inlineStr">
        <is>
          <t>Tecate Light</t>
        </is>
      </c>
      <c r="F7" s="149" t="inlineStr">
        <is>
          <t>LePub Mexico City</t>
        </is>
      </c>
      <c r="G7" s="149" t="inlineStr">
        <is>
          <t>Mexico</t>
        </is>
      </c>
      <c r="H7" s="152" t="inlineStr">
        <is>
          <t>E01 - Local Brand</t>
        </is>
      </c>
      <c r="I7" s="153" t="inlineStr">
        <is>
          <t>https://ascentialcdn.filespin.io/api/v1/conversion/afa88aa8421b41a18c68b9863bb6926c</t>
        </is>
      </c>
      <c r="J7" s="127" t="inlineStr">
        <is>
          <t>TFbAS7weMR8</t>
        </is>
      </c>
      <c r="K7" s="127" t="n"/>
      <c r="L7" s="128" t="inlineStr">
        <is>
          <t>https://www.lovethework.com/work/entries/gulf-of-mexico-bar-747778</t>
        </is>
      </c>
      <c r="M7"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7" s="113" t="inlineStr">
        <is>
          <t>ooh, brand-stunt, political-commentary, beer, alcohol, packaging, mexico, branded-venue, special-edition</t>
        </is>
      </c>
    </row>
    <row r="8" ht="34.5" customHeight="1" s="34">
      <c r="A8" s="149" t="n">
        <v>2025</v>
      </c>
      <c r="B8" s="154" t="inlineStr">
        <is>
          <t>Gold</t>
        </is>
      </c>
      <c r="C8" s="151" t="inlineStr">
        <is>
          <t>Lessons of Shame</t>
        </is>
      </c>
      <c r="D8" s="149" t="inlineStr">
        <is>
          <t>World Vision</t>
        </is>
      </c>
      <c r="E8" s="149" t="inlineStr">
        <is>
          <t>Institutional</t>
        </is>
      </c>
      <c r="F8" s="149" t="inlineStr">
        <is>
          <t>Havas Costa Rica</t>
        </is>
      </c>
      <c r="G8" s="149" t="inlineStr">
        <is>
          <t>Costa Rica</t>
        </is>
      </c>
      <c r="H8" s="152" t="inlineStr">
        <is>
          <t>A07 - Not-for-Profit</t>
        </is>
      </c>
      <c r="I8" s="153" t="inlineStr">
        <is>
          <t>https://ascentialcdn.filespin.io/api/v1/conversion/71112ff9b2324f9b8f9338c809483684</t>
        </is>
      </c>
      <c r="J8" s="127" t="inlineStr">
        <is>
          <t>YrNH2-6vqZo</t>
        </is>
      </c>
      <c r="K8" s="127" t="n"/>
      <c r="L8" s="128" t="inlineStr">
        <is>
          <t>https://www.lovethework.com/work/entries/lessons-of-shame-746863</t>
        </is>
      </c>
      <c r="M8" s="113" t="inlineStr">
        <is>
          <t>A staged in-person protest where 20 high-school and college students set up a makeshift classroom in the public gallery of Costa Rica's Legislative Assembly on the day lawmakers debated cuts to the national education budget. The act framed neglected school infrastructure as a public-shame issue and put students physically in the room where the decision was being made.</t>
        </is>
      </c>
      <c r="N8" s="113" t="inlineStr">
        <is>
          <t>not-for-profit, charity, ngo, social-good, protest, stunt, education, costa-rica, public-affairs</t>
        </is>
      </c>
    </row>
    <row r="9" ht="34.5" customHeight="1" s="34">
      <c r="A9" s="149" t="n">
        <v>2025</v>
      </c>
      <c r="B9" s="154" t="inlineStr">
        <is>
          <t>Gold</t>
        </is>
      </c>
      <c r="C9" s="151" t="inlineStr">
        <is>
          <t>Lucky Yatra</t>
        </is>
      </c>
      <c r="D9" s="149" t="inlineStr">
        <is>
          <t>Indian Railways</t>
        </is>
      </c>
      <c r="E9" s="149" t="inlineStr">
        <is>
          <t>Railway Service</t>
        </is>
      </c>
      <c r="F9" s="149" t="inlineStr">
        <is>
          <t>FCB India Mumbai</t>
        </is>
      </c>
      <c r="G9" s="149" t="inlineStr">
        <is>
          <t>India</t>
        </is>
      </c>
      <c r="H9" s="152" t="inlineStr">
        <is>
          <t>C03 - Customer Acquisition</t>
        </is>
      </c>
      <c r="I9" s="153" t="inlineStr">
        <is>
          <t>https://ascentialcdn.filespin.io/api/v1/conversion/2e252d74f69d4889b7886d241255186a</t>
        </is>
      </c>
      <c r="J9" s="127" t="inlineStr">
        <is>
          <t>IYJlZRbvMEw</t>
        </is>
      </c>
      <c r="K9" s="127" t="n"/>
      <c r="L9" s="128" t="inlineStr">
        <is>
          <t>https://www.lovethework.com/work/entries/lucky-yatra-747400</t>
        </is>
      </c>
      <c r="M9"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9" s="113" t="inlineStr">
        <is>
          <t>transit, transport, public-service, behavioral, lottery, gamification, india, customer-acquisition</t>
        </is>
      </c>
    </row>
    <row r="10" ht="34.5" customHeight="1" s="34">
      <c r="A10" s="149" t="n">
        <v>2025</v>
      </c>
      <c r="B10" s="154" t="inlineStr">
        <is>
          <t>Gold</t>
        </is>
      </c>
      <c r="C10" s="151" t="inlineStr">
        <is>
          <t>Price Packs</t>
        </is>
      </c>
      <c r="D10" s="149" t="inlineStr">
        <is>
          <t>Penny</t>
        </is>
      </c>
      <c r="E10" s="149" t="inlineStr">
        <is>
          <t>Food/Non-Food</t>
        </is>
      </c>
      <c r="F10" s="149" t="inlineStr">
        <is>
          <t>Serviceplan Germany</t>
        </is>
      </c>
      <c r="G10" s="149" t="inlineStr">
        <is>
          <t>Germany</t>
        </is>
      </c>
      <c r="H10" s="152" t="inlineStr">
        <is>
          <t>E08 - Market Disruption</t>
        </is>
      </c>
      <c r="I10" s="153" t="inlineStr">
        <is>
          <t>https://ascentialcdn.filespin.io/api/v1/conversion/67b6df2a0fe64deeb274c91d50040c54</t>
        </is>
      </c>
      <c r="J10" s="127" t="inlineStr">
        <is>
          <t>cnAXR4lk6R0</t>
        </is>
      </c>
      <c r="K10" s="127" t="n"/>
      <c r="L10" s="128" t="inlineStr">
        <is>
          <t>https://www.lovethework.com/work/entries/price-packs-748536</t>
        </is>
      </c>
      <c r="M10"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0" s="113" t="inlineStr">
        <is>
          <t>packaging, retail, ooh, supermarket, grocery, design, price, germany, market-disruption</t>
        </is>
      </c>
    </row>
    <row r="11" ht="34.5" customHeight="1" s="34">
      <c r="A11" s="149" t="n">
        <v>2025</v>
      </c>
      <c r="B11" s="154" t="inlineStr">
        <is>
          <t>Gold</t>
        </is>
      </c>
      <c r="C11" s="151" t="inlineStr">
        <is>
          <t>The Kimberly Price</t>
        </is>
      </c>
      <c r="D11" s="149" t="inlineStr">
        <is>
          <t>Plaza Vea</t>
        </is>
      </c>
      <c r="E11" s="149" t="inlineStr">
        <is>
          <t>Plaza Vea</t>
        </is>
      </c>
      <c r="F11" s="149" t="inlineStr">
        <is>
          <t>Fahrenheit DDB Lima</t>
        </is>
      </c>
      <c r="G11" s="149" t="inlineStr">
        <is>
          <t>Peru</t>
        </is>
      </c>
      <c r="H11" s="152" t="inlineStr">
        <is>
          <t>B01 - Social Engagement</t>
        </is>
      </c>
      <c r="I11" s="153" t="inlineStr">
        <is>
          <t>https://ascentialcdn.filespin.io/api/v1/conversion/dd37e163320440a58d69763c047eec03</t>
        </is>
      </c>
      <c r="J11" s="127" t="inlineStr">
        <is>
          <t>pPAGka7S4_o</t>
        </is>
      </c>
      <c r="K11" s="127" t="n"/>
      <c r="L11" s="128" t="inlineStr">
        <is>
          <t>https://www.lovethework.com/work/entries/the-kimberly-price-746894</t>
        </is>
      </c>
      <c r="M11"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11" s="113" t="inlineStr">
        <is>
          <t>retail, sponsorship, sport, social-engagement, supermarket, grocery, peru, olympics, partnership</t>
        </is>
      </c>
    </row>
    <row r="12" ht="34.5" customHeight="1" s="34">
      <c r="A12" s="149" t="n">
        <v>2025</v>
      </c>
      <c r="B12" s="154" t="inlineStr">
        <is>
          <t>Gold</t>
        </is>
      </c>
      <c r="C12" s="151" t="inlineStr">
        <is>
          <t>Winter Takes on Colors</t>
        </is>
      </c>
      <c r="D12" s="149" t="inlineStr">
        <is>
          <t>McDonald's Polska</t>
        </is>
      </c>
      <c r="E12" s="149" t="inlineStr">
        <is>
          <t>Drwala Burger</t>
        </is>
      </c>
      <c r="F12" s="149" t="inlineStr">
        <is>
          <t>DDB Warsaw</t>
        </is>
      </c>
      <c r="G12" s="149" t="inlineStr">
        <is>
          <t>Poland</t>
        </is>
      </c>
      <c r="H12" s="152" t="inlineStr">
        <is>
          <t>C01 - Customer Retail</t>
        </is>
      </c>
      <c r="I12" s="153" t="inlineStr">
        <is>
          <t>https://ascentialcdn.filespin.io/api/v1/conversion/4ff9778738a146549164d3153acb8808</t>
        </is>
      </c>
      <c r="J12" s="127" t="inlineStr">
        <is>
          <t>qcSHtBgAB6o</t>
        </is>
      </c>
      <c r="K12" s="127" t="n"/>
      <c r="L12" s="128" t="inlineStr">
        <is>
          <t>https://www.lovethework.com/work/entries/winter-takes-on-colors-747343</t>
        </is>
      </c>
      <c r="M12" s="113" t="inlineStr">
        <is>
          <t>A McDonald's restaurant in the Polish ski town of Ustroń wrapped — inside and out — in five months of hand-knit wool, paired with a 'Hot N Cold' apparel line of branded fleeces, balaclavas, and trousers. Both built around the Polish winter return of the Drwala lumberjack burger, turning a seasonal menu item into a destination.</t>
        </is>
      </c>
      <c r="N12" s="113" t="inlineStr">
        <is>
          <t>qsr, fast-food, restaurant, food, retail-experience, branded-merch, craft, fashion, poland, seasonal, ooh</t>
        </is>
      </c>
    </row>
    <row r="13" ht="34.5" customHeight="1" s="34">
      <c r="A13" s="149" t="n">
        <v>2025</v>
      </c>
      <c r="B13" s="155" t="inlineStr">
        <is>
          <t>Silver</t>
        </is>
      </c>
      <c r="C13" s="151" t="inlineStr">
        <is>
          <t>855-How-to-Quit-(Opioids)</t>
        </is>
      </c>
      <c r="D13" s="149" t="inlineStr">
        <is>
          <t>Anzen Health</t>
        </is>
      </c>
      <c r="E13" s="149" t="inlineStr">
        <is>
          <t>855-How-to-Quit-Helpline</t>
        </is>
      </c>
      <c r="F13" s="149" t="inlineStr">
        <is>
          <t>Serviceplan Germany</t>
        </is>
      </c>
      <c r="G13" s="149" t="inlineStr">
        <is>
          <t>Germany</t>
        </is>
      </c>
      <c r="H13" s="152" t="inlineStr">
        <is>
          <t>A02 - Healthcare</t>
        </is>
      </c>
      <c r="I13" s="153" t="inlineStr">
        <is>
          <t>https://ascentialcdn.filespin.io/api/v1/conversion/650a86946acf45c9946d15c4d5f10c86</t>
        </is>
      </c>
      <c r="J13" s="127" t="inlineStr">
        <is>
          <t>I_xvPLZ9DDk</t>
        </is>
      </c>
      <c r="K13" s="127" t="n"/>
      <c r="L13" s="128" t="inlineStr">
        <is>
          <t>https://www.lovethework.com/work/entries/855-how-to-quit-opioids-746670</t>
        </is>
      </c>
      <c r="M13" s="113" t="inlineStr">
        <is>
          <t>A helpline whose extensions are the imprint codes printed on every U.S.-mandated opioid pill — IP33 for codeine routes to extension 4733, K9 for oxycodone to 59. Callers dial the code on whatever pill they're holding and are connected to someone who quit that exact drug, live when survivors are available and recorded otherwise.</t>
        </is>
      </c>
      <c r="N13" s="113" t="inlineStr">
        <is>
          <t>healthcare, helpline, addiction, medical, opioid, social-good, public-service, telephony, telecom, technology, united-states</t>
        </is>
      </c>
    </row>
    <row r="14" ht="34.5" customHeight="1" s="34">
      <c r="A14" s="149" t="n">
        <v>2025</v>
      </c>
      <c r="B14" s="155" t="inlineStr">
        <is>
          <t>Silver</t>
        </is>
      </c>
      <c r="C14" s="151" t="inlineStr">
        <is>
          <t>Caption with Intention</t>
        </is>
      </c>
      <c r="D14" s="149" t="inlineStr">
        <is>
          <t>Academy of Motion Picture Arts &amp; Sciences / Chicago Hearing Society</t>
        </is>
      </c>
      <c r="E14" s="149" t="inlineStr">
        <is>
          <t>Closed Captioning</t>
        </is>
      </c>
      <c r="F14" s="149" t="inlineStr">
        <is>
          <t>FCB Chicago</t>
        </is>
      </c>
      <c r="G14" s="149" t="inlineStr">
        <is>
          <t>United States</t>
        </is>
      </c>
      <c r="H14" s="152" t="inlineStr">
        <is>
          <t>E09 - Cultural Engagement</t>
        </is>
      </c>
      <c r="I14" s="153" t="inlineStr">
        <is>
          <t>https://ascentialcdn.filespin.io/api/v1/conversion/ae51c3c9f04d452e914dba0555d8b029</t>
        </is>
      </c>
      <c r="J14" s="127" t="inlineStr">
        <is>
          <t>F48khKZhKHM</t>
        </is>
      </c>
      <c r="K14" s="127" t="n"/>
      <c r="L14" s="128" t="inlineStr">
        <is>
          <t>https://www.lovethework.com/work/entries/caption-with-intention-748520</t>
        </is>
      </c>
      <c r="M14"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14" s="113" t="inlineStr">
        <is>
          <t>accessibility, captioning, film, cinema, entertainment, typography, deaf-and-hard-of-hearing, product-design, inclusion, united-states</t>
        </is>
      </c>
    </row>
    <row r="15" ht="34.5" customHeight="1" s="34">
      <c r="A15" s="149" t="n">
        <v>2025</v>
      </c>
      <c r="B15" s="155" t="inlineStr">
        <is>
          <t>Silver</t>
        </is>
      </c>
      <c r="C15" s="151" t="inlineStr">
        <is>
          <t>Clandestination</t>
        </is>
      </c>
      <c r="D15" s="149" t="inlineStr">
        <is>
          <t>ProColombia</t>
        </is>
      </c>
      <c r="E15" s="149" t="inlineStr">
        <is>
          <t>Colombia, The Country of Beauty</t>
        </is>
      </c>
      <c r="F15" s="149" t="inlineStr">
        <is>
          <t>DDB Colombia Bogota</t>
        </is>
      </c>
      <c r="G15" s="149" t="inlineStr">
        <is>
          <t>Colombia</t>
        </is>
      </c>
      <c r="H15" s="152" t="inlineStr">
        <is>
          <t>D03 - Brand-Owned Experiences</t>
        </is>
      </c>
      <c r="I15" s="153" t="inlineStr">
        <is>
          <t>https://ascentialcdn.filespin.io/api/v1/conversion/082d90b5df624d84b427b48c82cd3dce</t>
        </is>
      </c>
      <c r="J15" s="127" t="inlineStr">
        <is>
          <t>mp4:videos/clandestination.mp4</t>
        </is>
      </c>
      <c r="K15" s="127" t="n"/>
      <c r="L15" s="128" t="inlineStr">
        <is>
          <t>https://www.lovethework.com/work/entries/clandestination-747740</t>
        </is>
      </c>
      <c r="M15" s="113" t="inlineStr">
        <is>
          <t>A tourism platform built on top of the hundreds of clandestine drug-trafficking airstrips carved into Colombia's remote regions in the 1990s. The campaign rehabilitated those strips into functioning commercial airfields and routed Satena passenger flights to them, opening previously-unreachable areas — Bahía Solano and Tolú first — to ecotourism. Built with the President's Office, ProColombia, and the country's civil-aviation authority.</t>
        </is>
      </c>
      <c r="N15" s="113" t="inlineStr">
        <is>
          <t>tourism, travel, nation-branding, partnership, ecotourism, aviation, colombia, government, brand-experience</t>
        </is>
      </c>
    </row>
    <row r="16" ht="34.5" customHeight="1" s="34">
      <c r="A16" s="149" t="n">
        <v>2025</v>
      </c>
      <c r="B16" s="155" t="inlineStr">
        <is>
          <t>Silver</t>
        </is>
      </c>
      <c r="C16" s="151" t="inlineStr">
        <is>
          <t>Drops of Hope</t>
        </is>
      </c>
      <c r="D16" s="149" t="inlineStr">
        <is>
          <t>Kimberly-Clark</t>
        </is>
      </c>
      <c r="E16" s="149" t="inlineStr">
        <is>
          <t>Poise</t>
        </is>
      </c>
      <c r="F16" s="149" t="inlineStr">
        <is>
          <t>FCB New York</t>
        </is>
      </c>
      <c r="G16" s="149" t="inlineStr">
        <is>
          <t>United States</t>
        </is>
      </c>
      <c r="H16" s="152" t="inlineStr">
        <is>
          <t>C03 - Customer Acquisition</t>
        </is>
      </c>
      <c r="I16" s="153" t="inlineStr">
        <is>
          <t>https://ascentialcdn.filespin.io/api/v1/conversion/7a3d4cfbc07f4dd9b273dbdd4d3cdd28</t>
        </is>
      </c>
      <c r="J16" s="127" t="inlineStr">
        <is>
          <t>MnF0kip489Y</t>
        </is>
      </c>
      <c r="K16" s="127" t="n"/>
      <c r="L16" s="128" t="inlineStr">
        <is>
          <t>https://www.lovethework.com/work/entries/drops-of-hope-747475</t>
        </is>
      </c>
      <c r="M16"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6" s="113" t="inlineStr">
        <is>
          <t>healthcare, diagnostics, medical, womens-health, mail-back, product-innovation, social-good, rural, united-states</t>
        </is>
      </c>
    </row>
    <row r="17" ht="34.5" customHeight="1" s="34">
      <c r="A17" s="149" t="n">
        <v>2025</v>
      </c>
      <c r="B17" s="155" t="inlineStr">
        <is>
          <t>Silver</t>
        </is>
      </c>
      <c r="C17" s="151" t="inlineStr">
        <is>
          <t>Fictional Insurance</t>
        </is>
      </c>
      <c r="D17" s="149" t="inlineStr">
        <is>
          <t>RCN/Prime</t>
        </is>
      </c>
      <c r="E17" s="149" t="inlineStr">
        <is>
          <t>Insurance</t>
        </is>
      </c>
      <c r="F17" s="149" t="inlineStr">
        <is>
          <t>DDB Colombia Bogota</t>
        </is>
      </c>
      <c r="G17" s="149" t="inlineStr">
        <is>
          <t>Colombia</t>
        </is>
      </c>
      <c r="H17" s="152" t="inlineStr">
        <is>
          <t>C02 - Retail Promotions</t>
        </is>
      </c>
      <c r="I17" s="153" t="inlineStr">
        <is>
          <t>https://ascentialcdn.filespin.io/api/v1/conversion/8466955db96a4c52b6813e12a8c63226</t>
        </is>
      </c>
      <c r="J17" s="127" t="inlineStr">
        <is>
          <t>OctiVcwaiXI</t>
        </is>
      </c>
      <c r="K17" s="127" t="n"/>
      <c r="L17" s="128" t="inlineStr">
        <is>
          <t>https://www.lovethework.com/work/entries/fictional-insurance-747304</t>
        </is>
      </c>
      <c r="M17" s="113" t="inlineStr">
        <is>
          <t>A platform that lets soap-opera viewers buy 'insurance' on their favorite characters before an episode airs. Pick a character and a policy type — life, health, or accident — and if the on-screen tragedy lands, the viewer collects a real-world payout. Built with insurer Seguros del Estado as a paid product tied to the broadcast schedule.</t>
        </is>
      </c>
      <c r="N17" s="113" t="inlineStr">
        <is>
          <t>streaming, tv, entertainment, gamification, soap-opera, telenovela, partnership, insurance, financial-services, finance, latin-america, colombia, integrated</t>
        </is>
      </c>
    </row>
    <row r="18" ht="34.5" customHeight="1" s="34">
      <c r="A18" s="149" t="n">
        <v>2025</v>
      </c>
      <c r="B18" s="155" t="inlineStr">
        <is>
          <t>Silver</t>
        </is>
      </c>
      <c r="C18" s="151" t="inlineStr">
        <is>
          <t>Fishermen Storytellers</t>
        </is>
      </c>
      <c r="D18" s="149" t="inlineStr">
        <is>
          <t>Corona</t>
        </is>
      </c>
      <c r="E18" s="149" t="inlineStr">
        <is>
          <t>Beer</t>
        </is>
      </c>
      <c r="F18" s="149" t="inlineStr">
        <is>
          <t>Africa Creative DDB Sao Paulo</t>
        </is>
      </c>
      <c r="G18" s="149" t="inlineStr">
        <is>
          <t>Brazil</t>
        </is>
      </c>
      <c r="H18" s="152" t="inlineStr">
        <is>
          <t>D01 - Live Brand Experience</t>
        </is>
      </c>
      <c r="I18" s="153" t="inlineStr">
        <is>
          <t>https://ascentialcdn.filespin.io/api/v1/conversion/ab9557517f1d4976963059cf5434ae7a</t>
        </is>
      </c>
      <c r="J18" s="127" t="inlineStr">
        <is>
          <t>vimeo:1090130974</t>
        </is>
      </c>
      <c r="K18" s="127" t="n"/>
      <c r="L18" s="128" t="inlineStr">
        <is>
          <t>https://www.lovethework.com/work/entries/fishermen-storytellers-747530</t>
        </is>
      </c>
      <c r="M18" s="113" t="inlineStr">
        <is>
          <t>A documentary and design project that helps Brazilian fishing communities replace lost income during the annual fishing ban by training fishermen as tour guides for their own folklore. The work culminates in a stop-motion film made from hand-carved wooden scenes and a book bound in salvaged boat wood, fishing nets, and cement.</t>
        </is>
      </c>
      <c r="N18" s="113" t="inlineStr">
        <is>
          <t>branded-content, social-good, craft, storytelling, beer, alcohol, brazil, sustainability, stop-motion</t>
        </is>
      </c>
    </row>
    <row r="19" ht="34.5" customHeight="1" s="34">
      <c r="A19" s="149" t="n">
        <v>2025</v>
      </c>
      <c r="B19" s="155" t="inlineStr">
        <is>
          <t>Silver</t>
        </is>
      </c>
      <c r="C19" s="151" t="inlineStr">
        <is>
          <t>Gulf of Mexico (Bar)</t>
        </is>
      </c>
      <c r="D19" s="149" t="inlineStr">
        <is>
          <t>Tecate</t>
        </is>
      </c>
      <c r="E19" s="149" t="inlineStr">
        <is>
          <t>Tecate Light</t>
        </is>
      </c>
      <c r="F19" s="149" t="inlineStr">
        <is>
          <t>LePub Mexico City</t>
        </is>
      </c>
      <c r="G19" s="149" t="inlineStr">
        <is>
          <t>Mexico</t>
        </is>
      </c>
      <c r="H19" s="152" t="inlineStr">
        <is>
          <t>E08 - Market Disruption</t>
        </is>
      </c>
      <c r="I19" s="153" t="inlineStr">
        <is>
          <t>https://ascentialcdn.filespin.io/api/v1/conversion/afa88aa8421b41a18c68b9863bb6926c</t>
        </is>
      </c>
      <c r="J19" s="127" t="inlineStr">
        <is>
          <t>TFbAS7weMR8</t>
        </is>
      </c>
      <c r="K19" s="127" t="n"/>
      <c r="L19" s="128" t="inlineStr">
        <is>
          <t>https://www.lovethework.com/work/entries/gulf-of-mexico-bar-748404</t>
        </is>
      </c>
      <c r="M19" s="113" t="inlineStr">
        <is>
          <t>A floating bar built on a boat in the Gulf of Mexico, accessible only by sea and named 'Golfo de México' — a response to a U.S. proposal to rename the gulf the 'Gulf of America.' To pair, Tecate launched a special-edition Tecate Light brewed with salt harvested from the disputed waters.</t>
        </is>
      </c>
      <c r="N19" s="113" t="inlineStr">
        <is>
          <t>ooh, brand-stunt, political-commentary, beer, alcohol, packaging, mexico, branded-venue, special-edition</t>
        </is>
      </c>
    </row>
    <row r="20" ht="34.5" customHeight="1" s="34">
      <c r="A20" s="149" t="n">
        <v>2025</v>
      </c>
      <c r="B20" s="155" t="inlineStr">
        <is>
          <t>Silver</t>
        </is>
      </c>
      <c r="C20" s="151" t="inlineStr">
        <is>
          <t>Haaland Payback Time</t>
        </is>
      </c>
      <c r="D20" s="149" t="inlineStr">
        <is>
          <t>Clash of Clans</t>
        </is>
      </c>
      <c r="E20" s="149" t="inlineStr">
        <is>
          <t>Clash of Clans</t>
        </is>
      </c>
      <c r="F20" s="149" t="inlineStr">
        <is>
          <t>DAVID New York</t>
        </is>
      </c>
      <c r="G20" s="149" t="inlineStr">
        <is>
          <t>United States</t>
        </is>
      </c>
      <c r="H20" s="152" t="inlineStr">
        <is>
          <t>A05 - Media/Entertainment</t>
        </is>
      </c>
      <c r="I20" s="153" t="inlineStr">
        <is>
          <t>https://ascentialcdn.filespin.io/api/v1/conversion/e56e744cd3594eceb82733246e9035b2</t>
        </is>
      </c>
      <c r="J20" s="127" t="inlineStr">
        <is>
          <t>TcQ--NtSQ9s</t>
        </is>
      </c>
      <c r="K20" s="127" t="n"/>
      <c r="L20" s="128" t="inlineStr">
        <is>
          <t>https://www.lovethework.com/work/entries/haaland-payback-time-763780</t>
        </is>
      </c>
      <c r="M20" s="113" t="inlineStr">
        <is>
          <t>An in-game challenge built around Erling Haaland — the first real person ever to appear inside Clash of Clans — that invited rival football fans to raid the village he'd spent over a decade building. Out-of-home near rival stadiums and real-time ad reads from competing players kept the rivalry running outside the game.</t>
        </is>
      </c>
      <c r="N20" s="113" t="inlineStr">
        <is>
          <t>gaming, video-games, entertainment, sport, mobile-game, integrated, ooh, real-time, football, soccer, partnership</t>
        </is>
      </c>
    </row>
    <row r="21" ht="34.5" customHeight="1" s="34">
      <c r="A21" s="149" t="n">
        <v>2025</v>
      </c>
      <c r="B21" s="155" t="inlineStr">
        <is>
          <t>Silver</t>
        </is>
      </c>
      <c r="C21" s="151" t="inlineStr">
        <is>
          <t>Harmoniser</t>
        </is>
      </c>
      <c r="D21" s="149" t="inlineStr">
        <is>
          <t>Twix</t>
        </is>
      </c>
      <c r="E21" s="149" t="inlineStr">
        <is>
          <t>Twix</t>
        </is>
      </c>
      <c r="F21" s="149" t="inlineStr">
        <is>
          <t>adam&amp;eveDDB London</t>
        </is>
      </c>
      <c r="G21" s="149" t="inlineStr">
        <is>
          <t>United Kingdom</t>
        </is>
      </c>
      <c r="H21" s="152" t="inlineStr">
        <is>
          <t>E05 - Use of Humour</t>
        </is>
      </c>
      <c r="I21" s="156" t="inlineStr">
        <is>
          <t>digital-presentation-images/brand-experience-and-activation-twix-harmoniser.webp</t>
        </is>
      </c>
      <c r="J21" s="127" t="inlineStr">
        <is>
          <t>OFY3DkMtpEk</t>
        </is>
      </c>
      <c r="K21" s="127" t="n"/>
      <c r="L21" s="128" t="inlineStr">
        <is>
          <t>https://www.lovethework.com/work/entries/harmoniser-748338</t>
        </is>
      </c>
      <c r="M21"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21" s="113" t="inlineStr">
        <is>
          <t>social, mobile, audio, ai, technology, voice, partnership, confectionery, candy, snack, packaged-goods, food, cpg, fmcg, europe</t>
        </is>
      </c>
    </row>
    <row r="22" ht="34.5" customHeight="1" s="34">
      <c r="A22" s="149" t="n">
        <v>2025</v>
      </c>
      <c r="B22" s="155" t="inlineStr">
        <is>
          <t>Silver</t>
        </is>
      </c>
      <c r="C22" s="151" t="inlineStr">
        <is>
          <t>IKEA Hidden Tags</t>
        </is>
      </c>
      <c r="D22" s="149" t="inlineStr">
        <is>
          <t>IKEA</t>
        </is>
      </c>
      <c r="E22" s="149" t="inlineStr">
        <is>
          <t>IKEA</t>
        </is>
      </c>
      <c r="F22" s="149" t="inlineStr">
        <is>
          <t>Uzina Lisbon</t>
        </is>
      </c>
      <c r="G22" s="149" t="inlineStr">
        <is>
          <t>Portugal</t>
        </is>
      </c>
      <c r="H22" s="152" t="inlineStr">
        <is>
          <t>C03 - Customer Acquisition</t>
        </is>
      </c>
      <c r="I22" s="153" t="inlineStr">
        <is>
          <t>https://ascentialcdn.filespin.io/api/v1/conversion/237ade5924eb407898bf58d19f58a52a</t>
        </is>
      </c>
      <c r="J22" s="127" t="inlineStr">
        <is>
          <t>oKWkHqlt7yA</t>
        </is>
      </c>
      <c r="K22" s="127" t="n"/>
      <c r="L22" s="128" t="inlineStr">
        <is>
          <t>https://www.lovethework.com/work/entries/ikea-hidden-tags-747253</t>
        </is>
      </c>
      <c r="M22" s="113" t="inlineStr">
        <is>
          <t>A national treasure hunt that asked Portuguese households to find and photograph the small printed tags hidden inside their IKEA furniture, then upload them to see whose piece was oldest. The activation, marking IKEA's 20 years in Portugal, used the brand's own quality-control tags as proof that the furniture is built to last.</t>
        </is>
      </c>
      <c r="N22" s="113" t="inlineStr">
        <is>
          <t>retail, ugc, gamification, anniversary, furniture, home, portugal, product-design, direct</t>
        </is>
      </c>
    </row>
    <row r="23" ht="34.5" customHeight="1" s="34">
      <c r="A23" s="149" t="n">
        <v>2025</v>
      </c>
      <c r="B23" s="155" t="inlineStr">
        <is>
          <t>Silver</t>
        </is>
      </c>
      <c r="C23" s="151" t="inlineStr">
        <is>
          <t>Lessons of Shame</t>
        </is>
      </c>
      <c r="D23" s="149" t="inlineStr">
        <is>
          <t>World Vision</t>
        </is>
      </c>
      <c r="E23" s="149" t="inlineStr">
        <is>
          <t>Institutional</t>
        </is>
      </c>
      <c r="F23" s="149" t="inlineStr">
        <is>
          <t>Havas Costa Rica</t>
        </is>
      </c>
      <c r="G23" s="149" t="inlineStr">
        <is>
          <t>Costa Rica</t>
        </is>
      </c>
      <c r="H23" s="152" t="inlineStr">
        <is>
          <t>D02 - Guerrilla Marketing</t>
        </is>
      </c>
      <c r="I23" s="153" t="inlineStr">
        <is>
          <t>https://ascentialcdn.filespin.io/api/v1/conversion/71112ff9b2324f9b8f9338c809483684</t>
        </is>
      </c>
      <c r="J23" s="127" t="inlineStr">
        <is>
          <t>YrNH2-6vqZo</t>
        </is>
      </c>
      <c r="K23" s="127" t="n"/>
      <c r="L23" s="128" t="inlineStr">
        <is>
          <t>https://www.lovethework.com/work/entries/lessons-of-shame-747535</t>
        </is>
      </c>
      <c r="M23" s="113" t="inlineStr">
        <is>
          <t>A staged in-person protest where 20 high-school and college students set up a makeshift classroom in the public gallery of Costa Rica's Legislative Assembly on the day lawmakers debated cuts to the national education budget. The act framed neglected school infrastructure as a public-shame issue and put students physically in the room where the decision was being made.</t>
        </is>
      </c>
      <c r="N23" s="113" t="inlineStr">
        <is>
          <t>not-for-profit, charity, ngo, social-good, protest, stunt, education, costa-rica, public-affairs</t>
        </is>
      </c>
    </row>
    <row r="24" ht="34.5" customHeight="1" s="34">
      <c r="A24" s="149" t="n">
        <v>2025</v>
      </c>
      <c r="B24" s="155" t="inlineStr">
        <is>
          <t>Silver</t>
        </is>
      </c>
      <c r="C24" s="151" t="inlineStr">
        <is>
          <t>Life Donor Card</t>
        </is>
      </c>
      <c r="D24" s="149" t="inlineStr">
        <is>
          <t>Mastercard</t>
        </is>
      </c>
      <c r="E24" s="149" t="inlineStr">
        <is>
          <t>Life Donor Feature</t>
        </is>
      </c>
      <c r="F24" s="149" t="inlineStr">
        <is>
          <t>MRM Germany Frankfurt</t>
        </is>
      </c>
      <c r="G24" s="149" t="inlineStr">
        <is>
          <t>Germany</t>
        </is>
      </c>
      <c r="H24" s="152" t="inlineStr">
        <is>
          <t>E07 - Corporate Purpose</t>
        </is>
      </c>
      <c r="I24" s="153" t="inlineStr">
        <is>
          <t>https://ascentialcdn.filespin.io/api/v1/conversion/5801ee4249af49b0aa23167f0d131de4</t>
        </is>
      </c>
      <c r="J24" s="127" t="inlineStr">
        <is>
          <t>pe-7cdkH2dA</t>
        </is>
      </c>
      <c r="K24" s="127" t="n"/>
      <c r="L24" s="128" t="inlineStr">
        <is>
          <t>https://www.lovethework.com/work/entries/life-donor-card-759456</t>
        </is>
      </c>
      <c r="M24" s="113" t="inlineStr">
        <is>
          <t>A Mastercard product update in Germany — built with prepaid issuer PayCenter — that lets cardholders document their organ-donor consent on the front of their payment card. The card becomes a portable, always-on donor record in a country with the lowest organ-donation rate in Europe.</t>
        </is>
      </c>
      <c r="N24" s="113" t="inlineStr">
        <is>
          <t>credit-card, credit, payments, fintech, financial-services, finance, healthcare, social-good, product-innovation, organ-donation, medical, germany, partnership</t>
        </is>
      </c>
    </row>
    <row r="25" ht="34.5" customHeight="1" s="34">
      <c r="A25" s="149" t="n">
        <v>2025</v>
      </c>
      <c r="B25" s="155" t="inlineStr">
        <is>
          <t>Silver</t>
        </is>
      </c>
      <c r="C25" s="151" t="inlineStr">
        <is>
          <t>Olympic Games Opening Ceremony Paris 2024</t>
        </is>
      </c>
      <c r="D25" s="149" t="inlineStr">
        <is>
          <t>Paris 2024</t>
        </is>
      </c>
      <c r="E25" s="149" t="inlineStr">
        <is>
          <t>Paris 2024</t>
        </is>
      </c>
      <c r="F25" s="149" t="inlineStr">
        <is>
          <t>Paname 24 Paris</t>
        </is>
      </c>
      <c r="G25" s="149" t="inlineStr">
        <is>
          <t>France</t>
        </is>
      </c>
      <c r="H25" s="152" t="inlineStr">
        <is>
          <t>E07 - Corporate Purpose</t>
        </is>
      </c>
      <c r="I25" s="153" t="inlineStr">
        <is>
          <t>https://ascentialcdn.filespin.io/api/v1/conversion/60aa1888e5b6444381b060dc1801de84</t>
        </is>
      </c>
      <c r="J25" s="127" t="inlineStr">
        <is>
          <t>t8o4ulxT1Cc</t>
        </is>
      </c>
      <c r="K25" s="127" t="n"/>
      <c r="L25" s="128" t="inlineStr">
        <is>
          <t>https://www.lovethework.com/work/entries/olympic-games-opening-ceremony-paris-2024-748278</t>
        </is>
      </c>
      <c r="M25" s="113" t="inlineStr">
        <is>
          <t>The official opening ceremony of the Paris 2024 Olympics, produced for the IOC and Paris 2024 by the Paname 24 collective — the first Olympic opener staged outside a stadium, sending 6,800 athletes down the Seine on 85 boats and ending with a hot-air-balloon cauldron lifted above the city.</t>
        </is>
      </c>
      <c r="N25" s="113" t="inlineStr">
        <is>
          <t>live-event, olympics, sport, ceremony, paris, large-scale, broadcast, entertainment, partnership, france</t>
        </is>
      </c>
    </row>
    <row r="26" ht="34.5" customHeight="1" s="34">
      <c r="A26" s="149" t="n">
        <v>2025</v>
      </c>
      <c r="B26" s="155" t="inlineStr">
        <is>
          <t>Silver</t>
        </is>
      </c>
      <c r="C26" s="151" t="inlineStr">
        <is>
          <t>Price Packs</t>
        </is>
      </c>
      <c r="D26" s="149" t="inlineStr">
        <is>
          <t>Penny</t>
        </is>
      </c>
      <c r="E26" s="149" t="inlineStr">
        <is>
          <t>Food/Non-Food</t>
        </is>
      </c>
      <c r="F26" s="149" t="inlineStr">
        <is>
          <t>Serviceplan Germany</t>
        </is>
      </c>
      <c r="G26" s="149" t="inlineStr">
        <is>
          <t>Germany</t>
        </is>
      </c>
      <c r="H26" s="152" t="inlineStr">
        <is>
          <t>E03 - Single-Market</t>
        </is>
      </c>
      <c r="I26" s="153" t="inlineStr">
        <is>
          <t>https://ascentialcdn.filespin.io/api/v1/conversion/67b6df2a0fe64deeb274c91d50040c54</t>
        </is>
      </c>
      <c r="J26" s="127" t="inlineStr">
        <is>
          <t>cnAXR4lk6R0</t>
        </is>
      </c>
      <c r="K26" s="127" t="n"/>
      <c r="L26" s="128" t="inlineStr">
        <is>
          <t>https://www.lovethework.com/work/entries/price-packs-748036</t>
        </is>
      </c>
      <c r="M26"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26" s="113" t="inlineStr">
        <is>
          <t>packaging, retail, ooh, supermarket, grocery, design, price, germany, market-disruption</t>
        </is>
      </c>
    </row>
    <row r="27" ht="34.5" customHeight="1" s="34">
      <c r="A27" s="149" t="n">
        <v>2025</v>
      </c>
      <c r="B27" s="155" t="inlineStr">
        <is>
          <t>Silver</t>
        </is>
      </c>
      <c r="C27" s="151" t="inlineStr">
        <is>
          <t>Progresso Soup Drops</t>
        </is>
      </c>
      <c r="D27" s="149" t="inlineStr">
        <is>
          <t>Progresso</t>
        </is>
      </c>
      <c r="E27" s="149" t="inlineStr">
        <is>
          <t>Progresso Canned Soups</t>
        </is>
      </c>
      <c r="F27" s="149" t="inlineStr">
        <is>
          <t>Edelman Chicago</t>
        </is>
      </c>
      <c r="G27" s="149" t="inlineStr">
        <is>
          <t>United States</t>
        </is>
      </c>
      <c r="H27" s="152" t="inlineStr">
        <is>
          <t>D02 - Guerrilla Marketing</t>
        </is>
      </c>
      <c r="I27" s="153" t="inlineStr">
        <is>
          <t>https://ascentialcdn.filespin.io/api/v1/conversion/8a8d409a0e954a6b8f0df7b07bba8cc9</t>
        </is>
      </c>
      <c r="J27" s="127" t="inlineStr">
        <is>
          <t>vimeo:1153574180</t>
        </is>
      </c>
      <c r="K27" s="127" t="n"/>
      <c r="L27" s="128" t="inlineStr">
        <is>
          <t>https://www.lovethework.com/work/entries/progresso-soup-drops-747467</t>
        </is>
      </c>
      <c r="M27" s="113" t="inlineStr">
        <is>
          <t>A limited-edition hard candy made to taste like Progresso Chicken Noodle Soup, released only during National Soup Month at the peak of cold-and-flu season. Sold direct-to-consumer in a custom 'soup you can suck on' format that moved the brand out of the soup aisle and into the candy and lozenge conversation.</t>
        </is>
      </c>
      <c r="N27" s="113" t="inlineStr">
        <is>
          <t>product-launch, packaged-goods, cpg, fmcg, pr-stunt, limited-edition, food, dtc, ecommerce, retail, online-shopping, united-states, seasonal</t>
        </is>
      </c>
    </row>
    <row r="28" ht="34.5" customHeight="1" s="34">
      <c r="A28" s="149" t="n">
        <v>2025</v>
      </c>
      <c r="B28" s="155" t="inlineStr">
        <is>
          <t>Silver</t>
        </is>
      </c>
      <c r="C28" s="151" t="inlineStr">
        <is>
          <t>Pub Succession</t>
        </is>
      </c>
      <c r="D28" s="149" t="inlineStr">
        <is>
          <t>Heineken</t>
        </is>
      </c>
      <c r="E28" s="149" t="inlineStr">
        <is>
          <t>Heineken</t>
        </is>
      </c>
      <c r="F28" s="149" t="inlineStr">
        <is>
          <t>LePub Milan / Publicis Dublin</t>
        </is>
      </c>
      <c r="G28" s="149" t="inlineStr">
        <is>
          <t>Italy</t>
        </is>
      </c>
      <c r="H28" s="152" t="inlineStr">
        <is>
          <t>D03 - Brand-Owned Experiences</t>
        </is>
      </c>
      <c r="I28" s="153" t="inlineStr">
        <is>
          <t>https://ascentialcdn.filespin.io/api/v1/conversion/a8d4e72bb1ce47508dcea8db73d16b01</t>
        </is>
      </c>
      <c r="J28" s="127" t="inlineStr">
        <is>
          <t>Cu0FLBdZrcM</t>
        </is>
      </c>
      <c r="K28" s="127" t="n"/>
      <c r="L28" s="128" t="inlineStr">
        <is>
          <t>https://www.lovethework.com/work/entries/pub-succession-747631</t>
        </is>
      </c>
      <c r="M28" s="113" t="inlineStr">
        <is>
          <t>A global recruitment campaign to find a new owner for McLoughlin's Bar, a 155-year-old family pub on Ireland's Achill Island whose fourth-generation publican is retiring with no successor — but only candidates named McLoughlin can apply. Launched on St Patrick's Day and pushed everywhere from Times Square to The New York Times.</t>
        </is>
      </c>
      <c r="N28" s="113" t="inlineStr">
        <is>
          <t>pr, integrated, ooh, beer, alcohol, ireland, recruitment, cultural-engagement, partnership</t>
        </is>
      </c>
    </row>
    <row r="29" ht="34.5" customHeight="1" s="34">
      <c r="A29" s="149" t="n">
        <v>2025</v>
      </c>
      <c r="B29" s="155" t="inlineStr">
        <is>
          <t>Silver</t>
        </is>
      </c>
      <c r="C29" s="151" t="inlineStr">
        <is>
          <t>Public Money ATM</t>
        </is>
      </c>
      <c r="D29" s="149" t="inlineStr">
        <is>
          <t>Mastercard</t>
        </is>
      </c>
      <c r="E29" s="149" t="inlineStr">
        <is>
          <t>Mastercard</t>
        </is>
      </c>
      <c r="F29" s="149" t="inlineStr">
        <is>
          <t>McCann Poland Warsaw</t>
        </is>
      </c>
      <c r="G29" s="149" t="inlineStr">
        <is>
          <t>Poland</t>
        </is>
      </c>
      <c r="H29" s="152" t="inlineStr">
        <is>
          <t>B06 - Digital Installations</t>
        </is>
      </c>
      <c r="I29" s="153" t="inlineStr">
        <is>
          <t>https://ascentialcdn.filespin.io/api/v1/conversion/faa00cc4c0b94e1ea53f6e9be2461987</t>
        </is>
      </c>
      <c r="J29" s="127" t="inlineStr">
        <is>
          <t>laOOyNw0dyI</t>
        </is>
      </c>
      <c r="K29" s="127" t="n"/>
      <c r="L29" s="128" t="inlineStr">
        <is>
          <t>https://www.lovethework.com/work/entries/public-money-atm-760036</t>
        </is>
      </c>
      <c r="M29" s="113" t="inlineStr">
        <is>
          <t>A pilot in Ełk, Poland that turned everyday Mastercard ATMs into voting terminals for the city's participatory-budget program. Residents inserted the card they use to withdraw cash and picked which neighborhood projects got funded, with the bank network handling identity and one-vote-per-citizen enforcement.</t>
        </is>
      </c>
      <c r="N29" s="113" t="inlineStr">
        <is>
          <t>credit-card, credit, payments, fintech, financial-services, finance, civic-tech, participatory-democracy, atm, banking, poland, public-service, digital-installation</t>
        </is>
      </c>
    </row>
    <row r="30" ht="34.5" customHeight="1" s="34">
      <c r="A30" s="149" t="n">
        <v>2025</v>
      </c>
      <c r="B30" s="155" t="inlineStr">
        <is>
          <t>Silver</t>
        </is>
      </c>
      <c r="C30" s="151" t="inlineStr">
        <is>
          <t>Recipe for Change</t>
        </is>
      </c>
      <c r="D30" s="149" t="inlineStr">
        <is>
          <t>Arla</t>
        </is>
      </c>
      <c r="E30" s="149" t="inlineStr">
        <is>
          <t>Puck</t>
        </is>
      </c>
      <c r="F30" s="149" t="inlineStr">
        <is>
          <t>FP7 McCann Dubai</t>
        </is>
      </c>
      <c r="G30" s="149" t="inlineStr">
        <is>
          <t>United Arab Emirates</t>
        </is>
      </c>
      <c r="H30" s="152" t="inlineStr">
        <is>
          <t>E08 - Market Disruption</t>
        </is>
      </c>
      <c r="I30" s="153" t="inlineStr">
        <is>
          <t>https://ascentialcdn.filespin.io/api/v1/conversion/945d141f6a13498e8ad127f4cbbf0caf</t>
        </is>
      </c>
      <c r="J30" s="127" t="inlineStr">
        <is>
          <t>vimeo:1078926878</t>
        </is>
      </c>
      <c r="K30" s="127" t="n"/>
      <c r="L30" s="128" t="inlineStr">
        <is>
          <t>https://www.lovethework.com/work/entries/recipe-for-change-748366</t>
        </is>
      </c>
      <c r="M30"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30" s="113" t="inlineStr">
        <is>
          <t>food, sdg, partnership, restaurant, social-good, middle-east, lebanon, licensing</t>
        </is>
      </c>
    </row>
    <row r="31" ht="34.5" customHeight="1" s="34">
      <c r="A31" s="149" t="n">
        <v>2025</v>
      </c>
      <c r="B31" s="155" t="inlineStr">
        <is>
          <t>Silver</t>
        </is>
      </c>
      <c r="C31" s="151" t="inlineStr">
        <is>
          <t>RooBadge</t>
        </is>
      </c>
      <c r="D31" s="149" t="inlineStr">
        <is>
          <t>Volkswagen</t>
        </is>
      </c>
      <c r="E31" s="149" t="inlineStr">
        <is>
          <t>Automotive Accessory</t>
        </is>
      </c>
      <c r="F31" s="149" t="inlineStr">
        <is>
          <t>DDB Sydney</t>
        </is>
      </c>
      <c r="G31" s="149" t="inlineStr">
        <is>
          <t>Australia</t>
        </is>
      </c>
      <c r="H31" s="152" t="inlineStr">
        <is>
          <t>A03 - Automotive</t>
        </is>
      </c>
      <c r="I31" s="153" t="inlineStr">
        <is>
          <t>https://ascentialcdn.filespin.io/api/v1/conversion/fcd0be35220a46cbbcee1dada7201da9</t>
        </is>
      </c>
      <c r="J31" s="127" t="inlineStr">
        <is>
          <t>vimeo:1093418498</t>
        </is>
      </c>
      <c r="K31" s="127" t="n"/>
      <c r="L31" s="128" t="inlineStr">
        <is>
          <t>https://www.lovethework.com/work/entries/roobadge-746668</t>
        </is>
      </c>
      <c r="M31" s="113" t="inlineStr">
        <is>
          <t>A drop-in replacement Volkswagen badge that doubles as a directional ultrasound speaker. A paired app cross-references the car's GPS with kangaroo distribution data, identifies which species you're driving through, and plays a deterrent sound tuned to that species' hearing. Developed with the University of Melbourne and wildlife group WIRES.</t>
        </is>
      </c>
      <c r="N31" s="113" t="inlineStr">
        <is>
          <t>automotive, cars, transport, product-innovation, wildlife, audio, machine-learning, ai, technology, australia, road-safety, partnership</t>
        </is>
      </c>
    </row>
    <row r="32" ht="34.5" customHeight="1" s="34">
      <c r="A32" s="149" t="n">
        <v>2025</v>
      </c>
      <c r="B32" s="155" t="inlineStr">
        <is>
          <t>Silver</t>
        </is>
      </c>
      <c r="C32" s="151" t="inlineStr">
        <is>
          <t>Spreadbeats</t>
        </is>
      </c>
      <c r="D32" s="149" t="inlineStr">
        <is>
          <t>Spotify</t>
        </is>
      </c>
      <c r="E32" s="149" t="inlineStr">
        <is>
          <t>Spotify</t>
        </is>
      </c>
      <c r="F32" s="149" t="inlineStr">
        <is>
          <t>FCB New York</t>
        </is>
      </c>
      <c r="G32" s="149" t="inlineStr">
        <is>
          <t>United States</t>
        </is>
      </c>
      <c r="H32" s="152" t="inlineStr">
        <is>
          <t>A06 - Consumer Services/B2B</t>
        </is>
      </c>
      <c r="I32" s="153" t="inlineStr">
        <is>
          <t>https://ascentialcdn.filespin.io/api/v1/conversion/3ad6c6826a8c471190e7d97b6003c486</t>
        </is>
      </c>
      <c r="J32" s="127" t="inlineStr">
        <is>
          <t>vimeo:1000498095</t>
        </is>
      </c>
      <c r="K32" s="127" t="n"/>
      <c r="L32" s="128" t="inlineStr">
        <is>
          <t>https://www.lovethework.com/work/entries/spreadbeats-746959</t>
        </is>
      </c>
      <c r="M32" s="113" t="inlineStr">
        <is>
          <t>A music video coded entirely inside the Excel sales decks Spotify sends to media planners — a character bouncing around the cells of a working spreadsheet, scored to a John Summit track, built using only formulas and conditional formatting. The recipient opens the file expecting numbers and the spreadsheet itself starts performing.</t>
        </is>
      </c>
      <c r="N32" s="113" t="inlineStr">
        <is>
          <t>b2b, business, sales-enablement, digital-craft, music, entertainment, spreadsheet, united-states, audio-platform, streaming, tv, design</t>
        </is>
      </c>
    </row>
    <row r="33" ht="34.5" customHeight="1" s="34">
      <c r="A33" s="149" t="n">
        <v>2025</v>
      </c>
      <c r="B33" s="155" t="inlineStr">
        <is>
          <t>Silver</t>
        </is>
      </c>
      <c r="C33" s="151" t="inlineStr">
        <is>
          <t>The Athletes Code</t>
        </is>
      </c>
      <c r="D33" s="149" t="inlineStr">
        <is>
          <t>Powerade</t>
        </is>
      </c>
      <c r="E33" s="149" t="inlineStr">
        <is>
          <t>Powerade</t>
        </is>
      </c>
      <c r="F33" s="149" t="inlineStr">
        <is>
          <t>Ogilvy New York</t>
        </is>
      </c>
      <c r="G33" s="149" t="inlineStr">
        <is>
          <t>United States</t>
        </is>
      </c>
      <c r="H33" s="152" t="inlineStr">
        <is>
          <t>E07 - Corporate Purpose</t>
        </is>
      </c>
      <c r="I33" s="153" t="inlineStr">
        <is>
          <t>https://ascentialcdn.filespin.io/api/v1/conversion/fb3c12787a614e6380d825b91a317ee9</t>
        </is>
      </c>
      <c r="J33" s="127" t="inlineStr">
        <is>
          <t>z7EwJIUlr-g</t>
        </is>
      </c>
      <c r="K33" s="127" t="n"/>
      <c r="L33" s="128" t="inlineStr">
        <is>
          <t>https://www.lovethework.com/work/entries/the-athletes-code-748210</t>
        </is>
      </c>
      <c r="M33" s="113" t="inlineStr">
        <is>
          <t>A new clause Powerade added to every athlete sponsorship contract that legally protects the athlete's right to pause their career — for mental health, injury, or family reasons — without losing the deal. Built with the IOC, mental-health advocates, and contract lawyers, and rolled out across Powerade's full roster.</t>
        </is>
      </c>
      <c r="N33" s="113" t="inlineStr">
        <is>
          <t>sports-drink, drinks, beverage, cpg, fmcg, sport, sponsorship, mental-health, healthcare, medical, contract, partnership, corporate-purpose, united-states, integrated</t>
        </is>
      </c>
    </row>
    <row r="34" ht="34.5" customHeight="1" s="34">
      <c r="A34" s="149" t="n">
        <v>2025</v>
      </c>
      <c r="B34" s="155" t="inlineStr">
        <is>
          <t>Silver</t>
        </is>
      </c>
      <c r="C34" s="151" t="inlineStr">
        <is>
          <t>The Kimberly Price</t>
        </is>
      </c>
      <c r="D34" s="149" t="inlineStr">
        <is>
          <t>Plaza Vea</t>
        </is>
      </c>
      <c r="E34" s="149" t="inlineStr">
        <is>
          <t>Plaza Vea</t>
        </is>
      </c>
      <c r="F34" s="149" t="inlineStr">
        <is>
          <t>Fahrenheit DDB Lima</t>
        </is>
      </c>
      <c r="G34" s="149" t="inlineStr">
        <is>
          <t>Peru</t>
        </is>
      </c>
      <c r="H34" s="152" t="inlineStr">
        <is>
          <t>A04 - Travel/Retail</t>
        </is>
      </c>
      <c r="I34" s="153" t="inlineStr">
        <is>
          <t>https://ascentialcdn.filespin.io/api/v1/conversion/bf4eb691b7e04919bfdbea7a218c286a</t>
        </is>
      </c>
      <c r="J34" s="127" t="inlineStr">
        <is>
          <t>pPAGka7S4_o</t>
        </is>
      </c>
      <c r="K34" s="127" t="n"/>
      <c r="L34" s="128" t="inlineStr">
        <is>
          <t>https://www.lovethework.com/work/entries/the-kimberly-price-746828</t>
        </is>
      </c>
      <c r="M34"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34" s="113" t="inlineStr">
        <is>
          <t>retail, sponsorship, sport, social-engagement, supermarket, grocery, peru, olympics, partnership</t>
        </is>
      </c>
    </row>
    <row r="35" ht="34.5" customHeight="1" s="34">
      <c r="A35" s="149" t="n">
        <v>2025</v>
      </c>
      <c r="B35" s="155" t="inlineStr">
        <is>
          <t>Silver</t>
        </is>
      </c>
      <c r="C35" s="151" t="inlineStr">
        <is>
          <t>The Kimberly Price</t>
        </is>
      </c>
      <c r="D35" s="149" t="inlineStr">
        <is>
          <t>Plaza Vea</t>
        </is>
      </c>
      <c r="E35" s="149" t="inlineStr">
        <is>
          <t>Plaza Vea</t>
        </is>
      </c>
      <c r="F35" s="149" t="inlineStr">
        <is>
          <t>Fahrenheit DDB Lima</t>
        </is>
      </c>
      <c r="G35" s="149" t="inlineStr">
        <is>
          <t>Peru</t>
        </is>
      </c>
      <c r="H35" s="152" t="inlineStr">
        <is>
          <t>E01 - Local Brand</t>
        </is>
      </c>
      <c r="I35" s="153" t="inlineStr">
        <is>
          <t>https://ascentialcdn.filespin.io/api/v1/conversion/dc69ba18c3b64ddfa564f09dc300d7e0</t>
        </is>
      </c>
      <c r="J35" s="127" t="inlineStr">
        <is>
          <t>pPAGka7S4_o</t>
        </is>
      </c>
      <c r="K35" s="127" t="n"/>
      <c r="L35" s="128" t="inlineStr">
        <is>
          <t>https://www.lovethework.com/work/entries/the-kimberly-price-746828</t>
        </is>
      </c>
      <c r="M35" s="113" t="inlineStr">
        <is>
          <t>An overnight promotion timed to Olympic race-walker Kimberly García's Paris 2024 final, which aired at 2:20 a.m. in Peru. Plaza Vea — García's sponsor — turned her competition bib number into the price of exclusive appliance deals, available only while she was on the course, to keep Peruvian viewers awake and watching a sport that rarely gets attention.</t>
        </is>
      </c>
      <c r="N35" s="113" t="inlineStr">
        <is>
          <t>retail, sponsorship, sport, social-engagement, supermarket, grocery, peru, olympics, partnership</t>
        </is>
      </c>
    </row>
    <row r="36" ht="34.5" customHeight="1" s="34">
      <c r="A36" s="149" t="n">
        <v>2025</v>
      </c>
      <c r="B36" s="155" t="inlineStr">
        <is>
          <t>Silver</t>
        </is>
      </c>
      <c r="C36" s="151" t="inlineStr">
        <is>
          <t>Time to Live</t>
        </is>
      </c>
      <c r="D36" s="149" t="inlineStr">
        <is>
          <t>Australian Cancer Research Foundation</t>
        </is>
      </c>
      <c r="E36" s="149" t="inlineStr">
        <is>
          <t>ACRF Awareness Campaign</t>
        </is>
      </c>
      <c r="F36" s="149" t="inlineStr">
        <is>
          <t>The Ministry for Communication &amp; The Arts</t>
        </is>
      </c>
      <c r="G36" s="149" t="inlineStr">
        <is>
          <t>Australia</t>
        </is>
      </c>
      <c r="H36" s="152" t="inlineStr">
        <is>
          <t>E06 - Breakthrough on a Budget</t>
        </is>
      </c>
      <c r="I36" s="153" t="inlineStr">
        <is>
          <t>https://ascentialcdn.filespin.io/api/v1/conversion/837e21468aac4c1e902d0113ac141af1</t>
        </is>
      </c>
      <c r="J36" s="127" t="inlineStr">
        <is>
          <t>vimeo:1078276871</t>
        </is>
      </c>
      <c r="K36" s="127" t="n"/>
      <c r="L36" s="128" t="inlineStr">
        <is>
          <t>https://www.lovethework.com/work/entries/time-to-live-748191</t>
        </is>
      </c>
      <c r="M36" s="113" t="inlineStr">
        <is>
          <t>An immersive exhibition at Sydney's Carriageworks where visitors sat one-on-one with Emily — a terminally ill woman — for the three minutes a projected countdown clock gave them, before having to leave. The setup forced strangers into the experience of running out of time with someone who is dying, and routed donations to the Australian Cancer Research Foundation.</t>
        </is>
      </c>
      <c r="N36" s="113" t="inlineStr">
        <is>
          <t>not-for-profit, charity, ngo, social-good, exhibition, immersive, cancer, healthcare, medical, fundraising, australia, live-experience</t>
        </is>
      </c>
    </row>
    <row r="37" ht="34.5" customHeight="1" s="34">
      <c r="A37" s="149" t="n">
        <v>2025</v>
      </c>
      <c r="B37" s="157" t="inlineStr">
        <is>
          <t>Bronze</t>
        </is>
      </c>
      <c r="C37" s="151" t="inlineStr">
        <is>
          <t>Acko Tailor Test</t>
        </is>
      </c>
      <c r="D37" s="149" t="inlineStr">
        <is>
          <t>Acko</t>
        </is>
      </c>
      <c r="E37" s="149" t="inlineStr">
        <is>
          <t>Health Insurance</t>
        </is>
      </c>
      <c r="F37" s="149" t="inlineStr">
        <is>
          <t>Leo Mumbai</t>
        </is>
      </c>
      <c r="G37" s="149" t="inlineStr">
        <is>
          <t>India</t>
        </is>
      </c>
      <c r="H37" s="152" t="inlineStr">
        <is>
          <t>E07 - Corporate Purpose</t>
        </is>
      </c>
      <c r="I37" s="153" t="inlineStr">
        <is>
          <t>https://ascentialcdn.filespin.io/api/v1/conversion/a8a20a31dcb844ebad5ef04afca8370b</t>
        </is>
      </c>
      <c r="J37" s="127" t="inlineStr">
        <is>
          <t>alezIXsk0So</t>
        </is>
      </c>
      <c r="K37" s="127" t="n"/>
      <c r="L37" s="128" t="inlineStr">
        <is>
          <t>https://www.lovethework.com/work/entries/acko-tailor-test-748463</t>
        </is>
      </c>
      <c r="M37" s="113" t="inlineStr">
        <is>
          <t>A training program for Indian tailors that turns the routine fitting into an early-warning heart screen. When a customer's waist or hip measurement crosses a clinical threshold, the tailor gently suggests a check-up — using a moment of trusted physical contact to reach under-insured customers who'd otherwise never get screened.</t>
        </is>
      </c>
      <c r="N37" s="113" t="inlineStr">
        <is>
          <t>healthcare, insurance, financial-services, finance, partnership, preventive-care, medical, social-good, india, behavioral, retail</t>
        </is>
      </c>
    </row>
    <row r="38" ht="34.5" customHeight="1" s="34">
      <c r="A38" s="149" t="n">
        <v>2025</v>
      </c>
      <c r="B38" s="157" t="inlineStr">
        <is>
          <t>Bronze</t>
        </is>
      </c>
      <c r="C38" s="151" t="inlineStr">
        <is>
          <t>Airbnb Icons</t>
        </is>
      </c>
      <c r="D38" s="149" t="inlineStr">
        <is>
          <t>Airbnb</t>
        </is>
      </c>
      <c r="E38" s="149" t="inlineStr">
        <is>
          <t>Airbnb Icons</t>
        </is>
      </c>
      <c r="F38" s="149" t="inlineStr">
        <is>
          <t>Weber Shandwick San Francisco</t>
        </is>
      </c>
      <c r="G38" s="149" t="inlineStr">
        <is>
          <t>United States</t>
        </is>
      </c>
      <c r="H38" s="152" t="inlineStr">
        <is>
          <t>D04 - Sponsorship</t>
        </is>
      </c>
      <c r="I38" s="153" t="inlineStr">
        <is>
          <t>https://ascentialcdn.filespin.io/api/v1/conversion/db51bea9a01d40108f74e1fa9bd7ad3f</t>
        </is>
      </c>
      <c r="J38" s="127" t="inlineStr">
        <is>
          <t>Rz2FWiJq4Mw</t>
        </is>
      </c>
      <c r="K38" s="127" t="n"/>
      <c r="L38" s="128" t="inlineStr">
        <is>
          <t>https://www.lovethework.com/work/entries/airbnb-icons-747925</t>
        </is>
      </c>
      <c r="M38" s="113" t="inlineStr">
        <is>
          <t>A permanent Airbnb category of pop-culture stays built with film studios and celebrities — Pixar's Up house lifted by balloons, the X-Men mansion, a serenade from Doja Cat. The 11 launch experiences were either free or priced under $100, recasting media partnerships as bookable places to spend the night.</t>
        </is>
      </c>
      <c r="N38" s="113" t="inlineStr">
        <is>
          <t>travel, tourism, sponsorship, partnership, ip, celebrity, branded-experience, united-states, platform</t>
        </is>
      </c>
    </row>
    <row r="39" ht="34.5" customHeight="1" s="34">
      <c r="A39" s="149" t="n">
        <v>2025</v>
      </c>
      <c r="B39" s="157" t="inlineStr">
        <is>
          <t>Bronze</t>
        </is>
      </c>
      <c r="C39" s="151" t="inlineStr">
        <is>
          <t>Bad Luck Reverser</t>
        </is>
      </c>
      <c r="D39" s="149" t="inlineStr">
        <is>
          <t>Refisal</t>
        </is>
      </c>
      <c r="E39" s="149" t="inlineStr">
        <is>
          <t>Refisal</t>
        </is>
      </c>
      <c r="F39" s="149" t="inlineStr">
        <is>
          <t>VML New York / NAME Bogota</t>
        </is>
      </c>
      <c r="G39" s="149" t="inlineStr">
        <is>
          <t>Colombia</t>
        </is>
      </c>
      <c r="H39" s="152" t="inlineStr">
        <is>
          <t>E04 - Social Behaviour</t>
        </is>
      </c>
      <c r="I39" s="153" t="inlineStr">
        <is>
          <t>https://ascentialcdn.filespin.io/api/v1/conversion/7e95f656b693443d8d4e60f0a4c9b853</t>
        </is>
      </c>
      <c r="J39" s="127" t="inlineStr">
        <is>
          <t>4OaN00EWwWg</t>
        </is>
      </c>
      <c r="K39" s="127" t="n"/>
      <c r="L39" s="128" t="inlineStr">
        <is>
          <t>https://www.lovethework.com/work/entries/bad-luck-reverser-748147</t>
        </is>
      </c>
      <c r="M39"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39" s="113" t="inlineStr">
        <is>
          <t>packaging, sport, football, soccer, packaged-goods, cpg, fmcg, retail, colombia, partnership, social-behaviour</t>
        </is>
      </c>
    </row>
    <row r="40" ht="34.5" customHeight="1" s="34">
      <c r="A40" s="149" t="n">
        <v>2025</v>
      </c>
      <c r="B40" s="157" t="inlineStr">
        <is>
          <t>Bronze</t>
        </is>
      </c>
      <c r="C40" s="151" t="inlineStr">
        <is>
          <t>Building Futures</t>
        </is>
      </c>
      <c r="D40" s="149" t="inlineStr">
        <is>
          <t>MRV</t>
        </is>
      </c>
      <c r="E40" s="149" t="inlineStr">
        <is>
          <t>MRV Construction</t>
        </is>
      </c>
      <c r="F40" s="149" t="inlineStr">
        <is>
          <t>DM9 Sao Paulo</t>
        </is>
      </c>
      <c r="G40" s="149" t="inlineStr">
        <is>
          <t>Brazil</t>
        </is>
      </c>
      <c r="H40" s="152" t="inlineStr">
        <is>
          <t>E07 - Corporate Purpose</t>
        </is>
      </c>
      <c r="I40" s="153" t="inlineStr">
        <is>
          <t>https://ascentialcdn.filespin.io/api/v1/conversion/68d1cb58e31142a3ad6142f7ac03f65e</t>
        </is>
      </c>
      <c r="J40" s="127" t="inlineStr">
        <is>
          <t>vimeo:1086909960</t>
        </is>
      </c>
      <c r="K40" s="127" t="n"/>
      <c r="L40" s="128" t="inlineStr">
        <is>
          <t>https://www.lovethework.com/work/entries/building-futures-748173</t>
        </is>
      </c>
      <c r="M40" s="113" t="inlineStr">
        <is>
          <t>Brazil's largest residential homebuilder turned its active construction sites into schools for its own workers. The 24-month on-site curriculum covers reading, financial education, and digital skills — addressing the fact that nearly a third of Brazil's 10 million illiterate adults are employed in construction.</t>
        </is>
      </c>
      <c r="N40" s="113" t="inlineStr">
        <is>
          <t>construction, real-estate, education, literacy, social-good, corporate-purpose, brazil, workforce, partnership</t>
        </is>
      </c>
    </row>
    <row r="41" ht="34.5" customHeight="1" s="34">
      <c r="A41" s="149" t="n">
        <v>2025</v>
      </c>
      <c r="B41" s="157" t="inlineStr">
        <is>
          <t>Bronze</t>
        </is>
      </c>
      <c r="C41" s="151" t="inlineStr">
        <is>
          <t>Camdom</t>
        </is>
      </c>
      <c r="D41" s="149" t="inlineStr">
        <is>
          <t>Billy Boy</t>
        </is>
      </c>
      <c r="E41" s="149" t="inlineStr">
        <is>
          <t>The First Digital Condom</t>
        </is>
      </c>
      <c r="F41" s="149" t="inlineStr">
        <is>
          <t>Innocean Berlin</t>
        </is>
      </c>
      <c r="G41" s="149" t="inlineStr">
        <is>
          <t>Germany</t>
        </is>
      </c>
      <c r="H41" s="152" t="inlineStr">
        <is>
          <t>A02 - Healthcare</t>
        </is>
      </c>
      <c r="I41" s="153" t="inlineStr">
        <is>
          <t>https://ascentialcdn.filespin.io/api/v1/conversion/abab04c347304d2a9a3b75bd9d3a0a79</t>
        </is>
      </c>
      <c r="J41" s="127" t="inlineStr">
        <is>
          <t>95RGWYXNq70</t>
        </is>
      </c>
      <c r="K41" s="127" t="n"/>
      <c r="L41" s="128" t="inlineStr">
        <is>
          <t>https://www.lovethework.com/work/entries/camdom-746733</t>
        </is>
      </c>
      <c r="M41" s="113" t="inlineStr">
        <is>
          <t>A smartphone app that pairs two phones via proximity, then locks down camera and microphone access on both devices for the duration of sex. If either user exits the app mid-session, the other phone alarms — built by German condom brand Billy Boy as a counter to non-consensual intimate recording.</t>
        </is>
      </c>
      <c r="N41" s="113" t="inlineStr">
        <is>
          <t>mobile-app, privacy, sexual-health, healthcare, medical, consent, germany, product-innovation, social-good</t>
        </is>
      </c>
    </row>
    <row r="42" ht="34.5" customHeight="1" s="34">
      <c r="A42" s="149" t="n">
        <v>2025</v>
      </c>
      <c r="B42" s="157" t="inlineStr">
        <is>
          <t>Bronze</t>
        </is>
      </c>
      <c r="C42" s="151" t="inlineStr">
        <is>
          <t>Caption with Intention</t>
        </is>
      </c>
      <c r="D42" s="149" t="inlineStr">
        <is>
          <t>Academy of Motion Picture Arts &amp; Sciences / Chicago Hearing Society</t>
        </is>
      </c>
      <c r="E42" s="149" t="inlineStr">
        <is>
          <t>Closed Captioning</t>
        </is>
      </c>
      <c r="F42" s="149" t="inlineStr">
        <is>
          <t>FCB Chicago</t>
        </is>
      </c>
      <c r="G42" s="149" t="inlineStr">
        <is>
          <t>United States</t>
        </is>
      </c>
      <c r="H42" s="152" t="inlineStr">
        <is>
          <t>E07 - Corporate Purpose</t>
        </is>
      </c>
      <c r="I42" s="153" t="inlineStr">
        <is>
          <t>https://ascentialcdn.filespin.io/api/v1/conversion/d5e8778a86514f2bb1586343132de626</t>
        </is>
      </c>
      <c r="J42" s="127" t="inlineStr">
        <is>
          <t>F48khKZhKHM</t>
        </is>
      </c>
      <c r="K42" s="127" t="n"/>
      <c r="L42" s="128" t="inlineStr">
        <is>
          <t>https://www.lovethework.com/work/entries/caption-with-intention-748489</t>
        </is>
      </c>
      <c r="M42" s="113" t="inlineStr">
        <is>
          <t>A design system for film and television captions that pairs word-by-word sync with expressive typography — type weight, color, and motion communicate volume, tone, and which character is speaking. Built over six years in partnership with the Deaf and Hard of Hearing community, it was adopted by the Academy as the standard for Oscar submissions and earned a technology Oscar.</t>
        </is>
      </c>
      <c r="N42" s="113" t="inlineStr">
        <is>
          <t>accessibility, captioning, film, cinema, entertainment, typography, deaf-and-hard-of-hearing, product-design, inclusion, united-states</t>
        </is>
      </c>
    </row>
    <row r="43" ht="34.5" customHeight="1" s="34">
      <c r="A43" s="149" t="n">
        <v>2025</v>
      </c>
      <c r="B43" s="157" t="inlineStr">
        <is>
          <t>Bronze</t>
        </is>
      </c>
      <c r="C43" s="151" t="inlineStr">
        <is>
          <t>Certified Toasters</t>
        </is>
      </c>
      <c r="D43" s="149" t="inlineStr">
        <is>
          <t>Goodman Fielder</t>
        </is>
      </c>
      <c r="E43" s="149" t="inlineStr">
        <is>
          <t>Vogel's</t>
        </is>
      </c>
      <c r="F43" s="149" t="inlineStr">
        <is>
          <t>DDB New Zealand Auckland</t>
        </is>
      </c>
      <c r="G43" s="149" t="inlineStr">
        <is>
          <t>New Zealand</t>
        </is>
      </c>
      <c r="H43" s="152" t="inlineStr">
        <is>
          <t>C03 - Customer Acquisition</t>
        </is>
      </c>
      <c r="I43" s="153" t="inlineStr">
        <is>
          <t>https://ascentialcdn.filespin.io/api/v1/conversion/063b28ff666842b6ba0f2b6972cdd489</t>
        </is>
      </c>
      <c r="J43" s="127" t="inlineStr">
        <is>
          <t>5NNhDRF-BUY</t>
        </is>
      </c>
      <c r="K43" s="127" t="n"/>
      <c r="L43" s="128" t="inlineStr">
        <is>
          <t>https://www.lovethework.com/work/entries/certified-toasters-747325</t>
        </is>
      </c>
      <c r="M43" s="113" t="inlineStr">
        <is>
          <t>Vogel's bread tested every toaster sold at New Zealand's largest discount retailer, The Warehouse, to find the exact setting for a slice of Vogel's on each model. The result was a 'Certified Toasters' sticker applied in-store, listing the right time and dial position for that specific toaster — turning the retail aisle into a usage guide.</t>
        </is>
      </c>
      <c r="N43" s="113" t="inlineStr">
        <is>
          <t>retail, partnership, packaged-goods, cpg, fmcg, ooh, bread, food, new-zealand, customer-acquisition, in-store</t>
        </is>
      </c>
    </row>
    <row r="44" ht="34.5" customHeight="1" s="34">
      <c r="A44" s="149" t="n">
        <v>2025</v>
      </c>
      <c r="B44" s="157" t="inlineStr">
        <is>
          <t>Bronze</t>
        </is>
      </c>
      <c r="C44" s="151" t="inlineStr">
        <is>
          <t>Choose Uber</t>
        </is>
      </c>
      <c r="D44" s="149" t="inlineStr">
        <is>
          <t>Heetch</t>
        </is>
      </c>
      <c r="E44" s="149" t="inlineStr">
        <is>
          <t>Heetch</t>
        </is>
      </c>
      <c r="F44" s="149" t="inlineStr">
        <is>
          <t>BETC Paris</t>
        </is>
      </c>
      <c r="G44" s="149" t="inlineStr">
        <is>
          <t>France</t>
        </is>
      </c>
      <c r="H44" s="152" t="inlineStr">
        <is>
          <t>C03 - Customer Acquisition</t>
        </is>
      </c>
      <c r="I44" s="153" t="inlineStr">
        <is>
          <t>https://ascentialcdn.filespin.io/api/v1/conversion/fd2b448479ca41b7aa08b7d8a4bd8749</t>
        </is>
      </c>
      <c r="J44" s="127" t="inlineStr">
        <is>
          <t>O9A5do-GRG4</t>
        </is>
      </c>
      <c r="K44" s="127" t="n"/>
      <c r="L44" s="128" t="inlineStr">
        <is>
          <t>https://www.lovethework.com/work/entries/choose-uber-759808</t>
        </is>
      </c>
      <c r="M44"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44" s="113" t="inlineStr">
        <is>
          <t>ride-share, mobility, transport, ooh, multilingual, paris, olympics, sport, customer-retention, france</t>
        </is>
      </c>
    </row>
    <row r="45" ht="34.5" customHeight="1" s="34">
      <c r="A45" s="149" t="n">
        <v>2025</v>
      </c>
      <c r="B45" s="157" t="inlineStr">
        <is>
          <t>Bronze</t>
        </is>
      </c>
      <c r="C45" s="151" t="inlineStr">
        <is>
          <t>Coupon Rain</t>
        </is>
      </c>
      <c r="D45" s="149" t="inlineStr">
        <is>
          <t>Mercado Livre</t>
        </is>
      </c>
      <c r="E45" s="149" t="inlineStr">
        <is>
          <t>Mercado Livre</t>
        </is>
      </c>
      <c r="F45" s="149" t="inlineStr">
        <is>
          <t>GUT Sao Paulo</t>
        </is>
      </c>
      <c r="G45" s="149" t="inlineStr">
        <is>
          <t>Brazil</t>
        </is>
      </c>
      <c r="H45" s="152" t="inlineStr">
        <is>
          <t>C02 - Retail Promotions</t>
        </is>
      </c>
      <c r="I45" s="153" t="inlineStr">
        <is>
          <t>https://ascentialcdn.filespin.io/api/v1/conversion/da2a035ff121404d908607d3ef09dfd2</t>
        </is>
      </c>
      <c r="J45" s="127" t="inlineStr">
        <is>
          <t>RXw_xdHILoU</t>
        </is>
      </c>
      <c r="K45" s="127" t="n"/>
      <c r="L45" s="128" t="inlineStr">
        <is>
          <t>https://www.lovethework.com/work/entries/coupon-rain-747356</t>
        </is>
      </c>
      <c r="M45"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45" s="113" t="inlineStr">
        <is>
          <t>ecommerce, retail, online-shopping, sponsorship, football, soccer, sport, retail-promo, stunt, brazil, partnership</t>
        </is>
      </c>
    </row>
    <row r="46" ht="34.5" customHeight="1" s="34">
      <c r="A46" s="149" t="n">
        <v>2025</v>
      </c>
      <c r="B46" s="157" t="inlineStr">
        <is>
          <t>Bronze</t>
        </is>
      </c>
      <c r="C46" s="151" t="inlineStr">
        <is>
          <t>Eye Test Menu</t>
        </is>
      </c>
      <c r="D46" s="149" t="inlineStr">
        <is>
          <t>Titan Company Limited</t>
        </is>
      </c>
      <c r="E46" s="149" t="inlineStr">
        <is>
          <t>Eyewear</t>
        </is>
      </c>
      <c r="F46" s="149" t="inlineStr">
        <is>
          <t>Ogilvy Bangalore</t>
        </is>
      </c>
      <c r="G46" s="149" t="inlineStr">
        <is>
          <t>India</t>
        </is>
      </c>
      <c r="H46" s="152" t="inlineStr">
        <is>
          <t>D03 - Brand-Owned Experiences</t>
        </is>
      </c>
      <c r="I46" s="153" t="inlineStr">
        <is>
          <t>https://ascentialcdn.filespin.io/api/v1/conversion/423282a302ed4fe187b1a0b7b5eb8284</t>
        </is>
      </c>
      <c r="J46" s="127" t="inlineStr">
        <is>
          <t>vimeo:1093963149</t>
        </is>
      </c>
      <c r="K46" s="127" t="n"/>
      <c r="L46" s="128" t="inlineStr">
        <is>
          <t>https://www.lovethework.com/work/entries/eye-test-menu-747656</t>
        </is>
      </c>
      <c r="M46" s="113" t="inlineStr">
        <is>
          <t>A swap-out of the standard eye chart at Indian truck-stop diners ('dhabas') with food menus printed in the same diminishing point sizes. Long-haul truck drivers ordered a meal and unknowingly took an eyesight test — and any driver who struggled to read the lower lines got a free on-site exam from a Titan Eye+ optometrist.</t>
        </is>
      </c>
      <c r="N46" s="113" t="inlineStr">
        <is>
          <t>healthcare, eye-care, optometry, medical, ooh, partnership, road-safety, india, social-good, retail</t>
        </is>
      </c>
    </row>
    <row r="47" ht="34.5" customHeight="1" s="34">
      <c r="A47" s="149" t="n">
        <v>2025</v>
      </c>
      <c r="B47" s="157" t="inlineStr">
        <is>
          <t>Bronze</t>
        </is>
      </c>
      <c r="C47" s="151" t="inlineStr">
        <is>
          <t>Followers Store</t>
        </is>
      </c>
      <c r="D47" s="149" t="inlineStr">
        <is>
          <t>New Balance</t>
        </is>
      </c>
      <c r="E47" s="149" t="inlineStr">
        <is>
          <t>New Balance</t>
        </is>
      </c>
      <c r="F47" s="149" t="inlineStr">
        <is>
          <t>LePub Sao Paulo</t>
        </is>
      </c>
      <c r="G47" s="149" t="inlineStr">
        <is>
          <t>Brazil</t>
        </is>
      </c>
      <c r="H47" s="152" t="inlineStr">
        <is>
          <t>C02 - Retail Promotions</t>
        </is>
      </c>
      <c r="I47" s="153" t="inlineStr">
        <is>
          <t>https://ascentialcdn.filespin.io/api/v1/conversion/3f6078e96a9a4e17acada7c2ad04d652</t>
        </is>
      </c>
      <c r="J47" s="127" t="inlineStr">
        <is>
          <t>uYskstOPF4U</t>
        </is>
      </c>
      <c r="K47" s="127" t="n"/>
      <c r="L47" s="128" t="inlineStr">
        <is>
          <t>https://www.lovethework.com/work/entries/followers-store-747160</t>
        </is>
      </c>
      <c r="M47" s="113" t="inlineStr">
        <is>
          <t>A geo-fenced sales window for an exclusive São Paulo FC jersey, unlockable on the New Balance app only for fans physically near the team bus as it traveled to Morumbi Stadium ahead of a Brazilian Championship match. Outside that travel window, the jersey was unbuyable; inside it, fans had minutes to pre-order before the bus passed.</t>
        </is>
      </c>
      <c r="N47" s="113" t="inlineStr">
        <is>
          <t>ecommerce, retail, online-shopping, geolocation, football, soccer, sport, brazil, app, partnership</t>
        </is>
      </c>
    </row>
    <row r="48" ht="34.5" customHeight="1" s="34">
      <c r="A48" s="149" t="n">
        <v>2025</v>
      </c>
      <c r="B48" s="157" t="inlineStr">
        <is>
          <t>Bronze</t>
        </is>
      </c>
      <c r="C48" s="151" t="inlineStr">
        <is>
          <t>Hagelchup</t>
        </is>
      </c>
      <c r="D48" s="149" t="inlineStr">
        <is>
          <t>Kraft-Heinz</t>
        </is>
      </c>
      <c r="E48" s="149" t="inlineStr">
        <is>
          <t>Heinz Ketchup</t>
        </is>
      </c>
      <c r="F48" s="149" t="inlineStr">
        <is>
          <t>GUT Amsterdam</t>
        </is>
      </c>
      <c r="G48" s="149" t="inlineStr">
        <is>
          <t>Netherlands</t>
        </is>
      </c>
      <c r="H48" s="152" t="inlineStr">
        <is>
          <t>D05 - Launch/Relaunch</t>
        </is>
      </c>
      <c r="I48" s="153" t="inlineStr">
        <is>
          <t>https://ascentialcdn.filespin.io/api/v1/conversion/8e35da4f41d24cfba9b2b339c1dd1325</t>
        </is>
      </c>
      <c r="J48" s="127" t="inlineStr">
        <is>
          <t>vimeo:1149640616</t>
        </is>
      </c>
      <c r="K48" s="127" t="n"/>
      <c r="L48" s="128" t="inlineStr">
        <is>
          <t>https://www.lovethework.com/work/entries/hagelchup-761247</t>
        </is>
      </c>
      <c r="M48" s="113" t="inlineStr">
        <is>
          <t>A reformulation of Heinz ketchup into sprinkles — manufactured at De Ruijter, the same Dutch factory that produces the country's famous chocolate hagelslag — packaged in the iconic Heinz bottle and rolled out through a pop-up at an Amsterdam friet stand. A response to the local truth that the Dutch don't put ketchup on fries; they sprinkle.</t>
        </is>
      </c>
      <c r="N48" s="113" t="inlineStr">
        <is>
          <t>packaging, product-launch, packaged-goods, cpg, fmcg, food, cultural-engagement, netherlands, partnership, popup</t>
        </is>
      </c>
    </row>
    <row r="49" ht="34.5" customHeight="1" s="34">
      <c r="A49" s="149" t="n">
        <v>2025</v>
      </c>
      <c r="B49" s="157" t="inlineStr">
        <is>
          <t>Bronze</t>
        </is>
      </c>
      <c r="C49" s="151" t="inlineStr">
        <is>
          <t>Harmoniser</t>
        </is>
      </c>
      <c r="D49" s="149" t="inlineStr">
        <is>
          <t>Twix</t>
        </is>
      </c>
      <c r="E49" s="149" t="inlineStr">
        <is>
          <t>Twix</t>
        </is>
      </c>
      <c r="F49" s="149" t="inlineStr">
        <is>
          <t>adam&amp;eveDDB London</t>
        </is>
      </c>
      <c r="G49" s="149" t="inlineStr">
        <is>
          <t>United Kingdom</t>
        </is>
      </c>
      <c r="H49" s="152" t="inlineStr">
        <is>
          <t>B02 - Use of Mobile</t>
        </is>
      </c>
      <c r="I49" s="156" t="inlineStr">
        <is>
          <t>digital-presentation-images/brand-experience-and-activation-twix-harmoniser.webp</t>
        </is>
      </c>
      <c r="J49" s="127" t="inlineStr">
        <is>
          <t>OFY3DkMtpEk</t>
        </is>
      </c>
      <c r="K49" s="127" t="n"/>
      <c r="L49" s="128" t="inlineStr">
        <is>
          <t>https://www.lovethework.com/work/entries/harmoniser-746769</t>
        </is>
      </c>
      <c r="M49" s="113" t="inlineStr">
        <is>
          <t>A WhatsApp feature, built with Meta, that detects when a voicenote is being recorded and harmonises the speaker's voice with itself — turning ordinary 18-to-34 voice messaging into impromptu duets. Launched across Europe as part of Twix's 'Two is more than One' platform.</t>
        </is>
      </c>
      <c r="N49" s="113" t="inlineStr">
        <is>
          <t>social, mobile, audio, ai, technology, voice, partnership, confectionery, candy, snack, packaged-goods, food, cpg, fmcg, europe</t>
        </is>
      </c>
    </row>
    <row r="50" ht="34.5" customHeight="1" s="34">
      <c r="A50" s="149" t="n">
        <v>2025</v>
      </c>
      <c r="B50" s="157" t="inlineStr">
        <is>
          <t>Bronze</t>
        </is>
      </c>
      <c r="C50" s="151" t="inlineStr">
        <is>
          <t>Lap of Legends</t>
        </is>
      </c>
      <c r="D50" s="149" t="inlineStr">
        <is>
          <t>AB InBev - Michelob Ultra</t>
        </is>
      </c>
      <c r="E50" s="149" t="inlineStr">
        <is>
          <t>Michelob Ultra</t>
        </is>
      </c>
      <c r="F50" s="149" t="inlineStr">
        <is>
          <t>FCB New York</t>
        </is>
      </c>
      <c r="G50" s="149" t="inlineStr">
        <is>
          <t>United States</t>
        </is>
      </c>
      <c r="H50" s="152" t="inlineStr">
        <is>
          <t>B09 - Tech-Led Brand Experience</t>
        </is>
      </c>
      <c r="I50" s="153" t="inlineStr">
        <is>
          <t>https://ascentialcdn.filespin.io/api/v1/conversion/f6e7f0cb16774f6cb600e22c0c3bdfde</t>
        </is>
      </c>
      <c r="J50" s="127" t="inlineStr">
        <is>
          <t>0C3VQ6MwfIE</t>
        </is>
      </c>
      <c r="K50" s="127" t="n"/>
      <c r="L50" s="128" t="inlineStr">
        <is>
          <t>https://www.lovethework.com/work/entries/lap-of-legends-759515</t>
        </is>
      </c>
      <c r="M50" s="113" t="inlineStr">
        <is>
          <t>A real-versus-virtual Formula 1 race in which Williams driver Logan Sargeant drove his own car on a live track against AI avatars of Nigel Mansell and Mario Andretti — virtual drivers reconstructed from 45 years of historical race data, visible to Sargeant through an AR-equipped racing helmet. Broadcast on AMC, Roku, and BBC America.</t>
        </is>
      </c>
      <c r="N50" s="113" t="inlineStr">
        <is>
          <t>sport, ai, technology, ar, motorsport, racing, beer, alcohol, broadcast, entertainment, partnership, tech-led-experience</t>
        </is>
      </c>
    </row>
    <row r="51" ht="34.5" customHeight="1" s="34">
      <c r="A51" s="149" t="n">
        <v>2025</v>
      </c>
      <c r="B51" s="157" t="inlineStr">
        <is>
          <t>Bronze</t>
        </is>
      </c>
      <c r="C51" s="151" t="inlineStr">
        <is>
          <t>Lynx with Catnip</t>
        </is>
      </c>
      <c r="D51" s="149" t="inlineStr">
        <is>
          <t>AXE/Lynx</t>
        </is>
      </c>
      <c r="E51" s="149" t="inlineStr">
        <is>
          <t>Deodorant</t>
        </is>
      </c>
      <c r="F51" s="149" t="inlineStr">
        <is>
          <t>Lola MullenLowe Madrid</t>
        </is>
      </c>
      <c r="G51" s="149" t="inlineStr">
        <is>
          <t>Spain</t>
        </is>
      </c>
      <c r="H51" s="152" t="inlineStr">
        <is>
          <t>D05 - Launch/Relaunch</t>
        </is>
      </c>
      <c r="I51" s="153" t="inlineStr">
        <is>
          <t>https://ascentialcdn.filespin.io/api/v1/conversion/ea3dd481097345ee8090654d39e8e874</t>
        </is>
      </c>
      <c r="J51" s="127" t="inlineStr">
        <is>
          <t>CHHeZrjP87w</t>
        </is>
      </c>
      <c r="K51" s="127" t="n"/>
      <c r="L51" s="128" t="inlineStr">
        <is>
          <t>https://www.lovethework.com/work/entries/lynx-with-catnip-747829</t>
        </is>
      </c>
      <c r="M51" s="113" t="inlineStr">
        <is>
          <t>A limited-edition Lynx body spray infused with nepetalactone — the compound that makes cats roll on catnip — designed to win over a date's cat. Built around the insight that a majority of cat owners say a cat's reaction can break a dating prospect.</t>
        </is>
      </c>
      <c r="N51" s="113" t="inlineStr">
        <is>
          <t>fragrance, personal-care, beauty, product-launch, pets, packaged-goods, cpg, fmcg, humor, spain, social, gen-z</t>
        </is>
      </c>
    </row>
    <row r="52" ht="34.5" customHeight="1" s="34">
      <c r="A52" s="149" t="n">
        <v>2025</v>
      </c>
      <c r="B52" s="157" t="inlineStr">
        <is>
          <t>Bronze</t>
        </is>
      </c>
      <c r="C52" s="151" t="inlineStr">
        <is>
          <t>Mommyphone</t>
        </is>
      </c>
      <c r="D52" s="149" t="inlineStr">
        <is>
          <t>Laboratoire Gallia</t>
        </is>
      </c>
      <c r="E52" s="149" t="inlineStr">
        <is>
          <t>Careline</t>
        </is>
      </c>
      <c r="F52" s="149" t="inlineStr">
        <is>
          <t>BETC Paris</t>
        </is>
      </c>
      <c r="G52" s="149" t="inlineStr">
        <is>
          <t>France</t>
        </is>
      </c>
      <c r="H52" s="152" t="inlineStr">
        <is>
          <t>A02 - Healthcare</t>
        </is>
      </c>
      <c r="I52" s="153" t="inlineStr">
        <is>
          <t>https://ascentialcdn.filespin.io/api/v1/conversion/ad05d5ee96d64b4bbff51d2ad0b8ea59</t>
        </is>
      </c>
      <c r="J52" s="127" t="inlineStr">
        <is>
          <t>vimeo:1078438375</t>
        </is>
      </c>
      <c r="K52" s="127" t="n"/>
      <c r="L52" s="128" t="inlineStr">
        <is>
          <t>https://www.lovethework.com/work/entries/mommyphone-746686</t>
        </is>
      </c>
      <c r="M52" s="113" t="inlineStr">
        <is>
          <t>A baby monitor with two buttons instead of one. The standard button listens to the baby; the new button connects the parent directly to Laboratoire Gallia's 24/7 helpline, staffed by psychologists and former midwives. The physical product reframes a postpartum-support service as a piece of hardware that lives on the parent's bedside table.</t>
        </is>
      </c>
      <c r="N52" s="113" t="inlineStr">
        <is>
          <t>healthcare, parenting, family, helpline, product-design, mental-health, medical, france, social-good, hardware</t>
        </is>
      </c>
    </row>
    <row r="53" ht="34.5" customHeight="1" s="34">
      <c r="A53" s="149" t="n">
        <v>2025</v>
      </c>
      <c r="B53" s="157" t="inlineStr">
        <is>
          <t>Bronze</t>
        </is>
      </c>
      <c r="C53" s="151" t="inlineStr">
        <is>
          <t>Other Hand</t>
        </is>
      </c>
      <c r="D53" s="149" t="inlineStr">
        <is>
          <t>Cheetos | PepsiCo</t>
        </is>
      </c>
      <c r="E53" s="149" t="inlineStr">
        <is>
          <t>Cheetos</t>
        </is>
      </c>
      <c r="F53" s="149" t="inlineStr">
        <is>
          <t>Goodby Silverstein &amp; Partners</t>
        </is>
      </c>
      <c r="G53" s="149" t="inlineStr">
        <is>
          <t>United States</t>
        </is>
      </c>
      <c r="H53" s="152" t="inlineStr">
        <is>
          <t>A01 - Consumer Goods</t>
        </is>
      </c>
      <c r="I53" s="153" t="inlineStr">
        <is>
          <t>https://ascentialcdn.filespin.io/api/v1/conversion/c26e38ccd1ea4f2eae3e55a7d0c74a7c</t>
        </is>
      </c>
      <c r="J53" s="127" t="inlineStr">
        <is>
          <t>5xRoKPmsEDI</t>
        </is>
      </c>
      <c r="K53" s="127" t="n"/>
      <c r="L53" s="128" t="inlineStr">
        <is>
          <t>https://www.lovethework.com/work/entries/other-hand-746730</t>
        </is>
      </c>
      <c r="M53" s="113" t="inlineStr">
        <is>
          <t>A custom Cheetos font drawn entirely with the designer's non-dominant hand, built around the data point that 99% of people eat Cheetos with their dominant hand. Goodby Silverstein founder Rich Silverstein and his team drew the letterforms left-handed; the typeface shipped as a free download on National Handwriting Day.</t>
        </is>
      </c>
      <c r="N53" s="113" t="inlineStr">
        <is>
          <t>snack, food, packaged-goods, cpg, fmcg, typography, design, font, social, united-states, consumer-goods, integrated</t>
        </is>
      </c>
    </row>
    <row r="54" ht="34.5" customHeight="1" s="34">
      <c r="A54" s="149" t="n">
        <v>2025</v>
      </c>
      <c r="B54" s="157" t="inlineStr">
        <is>
          <t>Bronze</t>
        </is>
      </c>
      <c r="C54" s="151" t="inlineStr">
        <is>
          <t>Other Hand</t>
        </is>
      </c>
      <c r="D54" s="149" t="inlineStr">
        <is>
          <t>Cheetos | PepsiCo</t>
        </is>
      </c>
      <c r="E54" s="149" t="inlineStr">
        <is>
          <t>Cheetos</t>
        </is>
      </c>
      <c r="F54" s="149" t="inlineStr">
        <is>
          <t>Goodby Silverstein &amp; Partners</t>
        </is>
      </c>
      <c r="G54" s="149" t="inlineStr">
        <is>
          <t>United States</t>
        </is>
      </c>
      <c r="H54" s="152" t="inlineStr">
        <is>
          <t>D06 - 360 Integrated</t>
        </is>
      </c>
      <c r="I54" s="153" t="inlineStr">
        <is>
          <t>https://ascentialcdn.filespin.io/api/v1/conversion/5fbcea0cb26e47f685f6856daa7051fb</t>
        </is>
      </c>
      <c r="J54" s="127" t="inlineStr">
        <is>
          <t>5xRoKPmsEDI</t>
        </is>
      </c>
      <c r="K54" s="127" t="n"/>
      <c r="L54" s="128" t="inlineStr">
        <is>
          <t>https://www.lovethework.com/work/entries/other-hand-746730</t>
        </is>
      </c>
      <c r="M54" s="113" t="inlineStr">
        <is>
          <t>A custom Cheetos font drawn entirely with the designer's non-dominant hand, built around the data point that 99% of people eat Cheetos with their dominant hand. Goodby Silverstein founder Rich Silverstein and his team drew the letterforms left-handed; the typeface shipped as a free download on National Handwriting Day.</t>
        </is>
      </c>
      <c r="N54" s="113" t="inlineStr">
        <is>
          <t>snack, food, packaged-goods, cpg, fmcg, typography, design, font, social, united-states, consumer-goods, integrated</t>
        </is>
      </c>
    </row>
    <row r="55" ht="34.5" customHeight="1" s="34">
      <c r="A55" s="149" t="n">
        <v>2025</v>
      </c>
      <c r="B55" s="157" t="inlineStr">
        <is>
          <t>Bronze</t>
        </is>
      </c>
      <c r="C55" s="151" t="inlineStr">
        <is>
          <t>Prize on the Bone</t>
        </is>
      </c>
      <c r="D55" s="149" t="inlineStr">
        <is>
          <t>KFC</t>
        </is>
      </c>
      <c r="E55" s="149" t="inlineStr">
        <is>
          <t>KFC Ice-Cream</t>
        </is>
      </c>
      <c r="F55" s="149" t="inlineStr">
        <is>
          <t>DM9 Sao Paulo</t>
        </is>
      </c>
      <c r="G55" s="149" t="inlineStr">
        <is>
          <t>Brazil</t>
        </is>
      </c>
      <c r="H55" s="152" t="inlineStr">
        <is>
          <t>D05 - Launch/Relaunch</t>
        </is>
      </c>
      <c r="I55" s="153" t="inlineStr">
        <is>
          <t>https://ascentialcdn.filespin.io/api/v1/conversion/32ef7021bdbd4c4392fa51fb240d45e6</t>
        </is>
      </c>
      <c r="J55" s="127" t="inlineStr">
        <is>
          <t>h4Kl5THlsYw</t>
        </is>
      </c>
      <c r="K55" s="127" t="n"/>
      <c r="L55" s="128" t="inlineStr">
        <is>
          <t>https://www.lovethework.com/work/entries/prize-on-the-bone-747788</t>
        </is>
      </c>
      <c r="M55"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55" s="113" t="inlineStr">
        <is>
          <t>qsr, fast-food, restaurant, food, product-launch, retail-promo, packaging, integrated, brazil, partnership</t>
        </is>
      </c>
    </row>
    <row r="56" ht="34.5" customHeight="1" s="34">
      <c r="A56" s="149" t="n">
        <v>2025</v>
      </c>
      <c r="B56" s="157" t="inlineStr">
        <is>
          <t>Bronze</t>
        </is>
      </c>
      <c r="C56" s="151" t="inlineStr">
        <is>
          <t>Report This Ad</t>
        </is>
      </c>
      <c r="D56" s="149" t="inlineStr">
        <is>
          <t>Veris</t>
        </is>
      </c>
      <c r="E56" s="149" t="inlineStr">
        <is>
          <t>Online Mental Health Institution</t>
        </is>
      </c>
      <c r="F56" s="149" t="inlineStr">
        <is>
          <t>Paradais DDB Guayaquil</t>
        </is>
      </c>
      <c r="G56" s="149" t="inlineStr">
        <is>
          <t>Ecuador</t>
        </is>
      </c>
      <c r="H56" s="152" t="inlineStr">
        <is>
          <t>D02 - Guerrilla Marketing</t>
        </is>
      </c>
      <c r="I56" s="153" t="inlineStr">
        <is>
          <t>https://ascentialcdn.filespin.io/api/v1/conversion/acbb86d466734cc4890607c8d8d33696</t>
        </is>
      </c>
      <c r="J56" s="127" t="inlineStr">
        <is>
          <t>hyWYqBMUTk8</t>
        </is>
      </c>
      <c r="K56" s="127" t="n"/>
      <c r="L56" s="128" t="inlineStr">
        <is>
          <t>https://www.lovethework.com/work/entries/report-this-ad-747650</t>
        </is>
      </c>
      <c r="M56" s="113" t="inlineStr">
        <is>
          <t>An ad campaign engineered to be reported by social-media users — over 500 deliberately flag-bait ads uploaded across platforms. When the content moderator behind the report opened the post for review, they were the one being addressed, with a hidden message offering free, anonymous psychological support from Ecuadorian health network Veris.</t>
        </is>
      </c>
      <c r="N56" s="113" t="inlineStr">
        <is>
          <t>healthcare, mental-health, medical, social-media, hidden-message, ecuador, social-good, content-moderation, guerrilla</t>
        </is>
      </c>
    </row>
    <row r="57" ht="34.5" customHeight="1" s="34">
      <c r="A57" s="149" t="n">
        <v>2025</v>
      </c>
      <c r="B57" s="157" t="inlineStr">
        <is>
          <t>Bronze</t>
        </is>
      </c>
      <c r="C57" s="151" t="inlineStr">
        <is>
          <t>Returning Creativity</t>
        </is>
      </c>
      <c r="D57" s="149" t="inlineStr">
        <is>
          <t>Crayola</t>
        </is>
      </c>
      <c r="E57" s="149" t="inlineStr">
        <is>
          <t>Crayola Crayons</t>
        </is>
      </c>
      <c r="F57" s="149" t="inlineStr">
        <is>
          <t>Dentsu Creative New York</t>
        </is>
      </c>
      <c r="G57" s="149" t="inlineStr">
        <is>
          <t>United States</t>
        </is>
      </c>
      <c r="H57" s="152" t="inlineStr">
        <is>
          <t>D06 - 360 Integrated</t>
        </is>
      </c>
      <c r="I57" s="153" t="inlineStr">
        <is>
          <t>https://ascentialcdn.filespin.io/api/v1/conversion/17be9285972743a1b234168fb6440ddb</t>
        </is>
      </c>
      <c r="J57" s="127" t="inlineStr">
        <is>
          <t>p8IHkizfvVE</t>
        </is>
      </c>
      <c r="K57" s="127" t="n"/>
      <c r="L57" s="128" t="inlineStr">
        <is>
          <t>https://www.lovethework.com/work/entries/returning-creativity-747841</t>
        </is>
      </c>
      <c r="M57" s="113" t="inlineStr">
        <is>
          <t>A documentary project that opened Crayola's archive of decades-old children's drawings and physically returned each piece to its now-adult creator. The film followed reunions across the country — including one staged on a Times Square billboard with the artist's former teacher — to argue that creativity is a habit adults stop practicing.</t>
        </is>
      </c>
      <c r="N57" s="113" t="inlineStr">
        <is>
          <t>consumer-goods, cpg, fmcg, art, integrated, documentary, film, entertainment, cinema, ooh, united-states, partnership, social-engagement</t>
        </is>
      </c>
    </row>
    <row r="58" ht="34.5" customHeight="1" s="34">
      <c r="A58" s="149" t="n">
        <v>2025</v>
      </c>
      <c r="B58" s="157" t="inlineStr">
        <is>
          <t>Bronze</t>
        </is>
      </c>
      <c r="C58" s="151" t="inlineStr">
        <is>
          <t>Shades of Red</t>
        </is>
      </c>
      <c r="D58" s="149" t="inlineStr">
        <is>
          <t>Coca-Cola</t>
        </is>
      </c>
      <c r="E58" s="149" t="inlineStr">
        <is>
          <t>Coca-Cola</t>
        </is>
      </c>
      <c r="F58" s="149" t="inlineStr">
        <is>
          <t>DAVID Madrid</t>
        </is>
      </c>
      <c r="G58" s="149" t="inlineStr">
        <is>
          <t>Spain</t>
        </is>
      </c>
      <c r="H58" s="152" t="inlineStr">
        <is>
          <t>E03 - Single-Market</t>
        </is>
      </c>
      <c r="I58" s="153" t="inlineStr">
        <is>
          <t>https://ascentialcdn.filespin.io/api/v1/conversion/6823017bae93485e8872b6f02baedf4b</t>
        </is>
      </c>
      <c r="J58" s="127" t="inlineStr">
        <is>
          <t>vimeo:1083484983</t>
        </is>
      </c>
      <c r="K58" s="127" t="n"/>
      <c r="L58" s="128" t="inlineStr">
        <is>
          <t>https://www.lovethework.com/work/entries/shades-of-red-748102</t>
        </is>
      </c>
      <c r="M58" s="113" t="inlineStr">
        <is>
          <t>A program that retired 12,700 sun-faded red awnings from Mexico's small 'tiendita' corner stores and replaced them. Each shop's old awning was repurposed into branded billboards and merch, and Coca-Cola pressed a limited run of cans whose label color matched the exact, faded shade of red on each shop's awning.</t>
        </is>
      </c>
      <c r="N58" s="113" t="inlineStr">
        <is>
          <t>retail, ooh, packaging, partnership, small-business, mexico, beverage, drinks, single-market</t>
        </is>
      </c>
    </row>
    <row r="59" ht="34.5" customHeight="1" s="34">
      <c r="A59" s="149" t="n">
        <v>2025</v>
      </c>
      <c r="B59" s="157" t="inlineStr">
        <is>
          <t>Bronze</t>
        </is>
      </c>
      <c r="C59" s="151" t="inlineStr">
        <is>
          <t>Sights of Tomorrow</t>
        </is>
      </c>
      <c r="D59" s="149" t="inlineStr">
        <is>
          <t>Letzte Generation Austria</t>
        </is>
      </c>
      <c r="E59" s="149" t="inlineStr">
        <is>
          <t>Letzte Generation Austria</t>
        </is>
      </c>
      <c r="F59" s="149" t="inlineStr">
        <is>
          <t>Demner Merlicek &amp; Bergmann Vienna</t>
        </is>
      </c>
      <c r="G59" s="149" t="inlineStr">
        <is>
          <t>Austria</t>
        </is>
      </c>
      <c r="H59" s="152" t="inlineStr">
        <is>
          <t>E06 - Breakthrough on a Budget</t>
        </is>
      </c>
      <c r="I59" s="153" t="inlineStr">
        <is>
          <t>https://ascentialcdn.filespin.io/api/v1/conversion/a542046c9e4a4704b0c1f7f075a95f4c</t>
        </is>
      </c>
      <c r="J59" s="127" t="inlineStr">
        <is>
          <t>vimeo:1152835840</t>
        </is>
      </c>
      <c r="K59" s="127" t="n"/>
      <c r="L59" s="128" t="inlineStr">
        <is>
          <t>https://www.lovethework.com/work/entries/sights-of-tomorrow-748200</t>
        </is>
      </c>
      <c r="M59" s="113" t="inlineStr">
        <is>
          <t>A climate protest staged inside Google Maps, exploiting a moderation gap that let activists upload AI-generated images of Austrian landmarks — the Alps, Hallstatt, the Wienerwald — as they're projected to appear in 2070, snowless and stripped. Anyone searching the locations encountered the future-state photos alongside the present-day ones.</t>
        </is>
      </c>
      <c r="N59" s="113" t="inlineStr">
        <is>
          <t>activism, social-good, climate, sustainability, environment, ai, technology, digital-installation, austria, not-for-profit, charity, ngo, low-budget</t>
        </is>
      </c>
    </row>
    <row r="60" ht="34.5" customHeight="1" s="34">
      <c r="A60" s="149" t="n">
        <v>2025</v>
      </c>
      <c r="B60" s="157" t="inlineStr">
        <is>
          <t>Bronze</t>
        </is>
      </c>
      <c r="C60" s="151" t="inlineStr">
        <is>
          <t>SupportBelt</t>
        </is>
      </c>
      <c r="D60" s="149" t="inlineStr">
        <is>
          <t>Ford</t>
        </is>
      </c>
      <c r="E60" s="149" t="inlineStr">
        <is>
          <t>Ford SupportBelt</t>
        </is>
      </c>
      <c r="F60" s="149" t="inlineStr">
        <is>
          <t>VML Detroit</t>
        </is>
      </c>
      <c r="G60" s="149" t="inlineStr">
        <is>
          <t>United States</t>
        </is>
      </c>
      <c r="H60" s="152" t="inlineStr">
        <is>
          <t>A03 - Automotive</t>
        </is>
      </c>
      <c r="I60" s="153" t="inlineStr">
        <is>
          <t>https://ascentialcdn.filespin.io/api/v1/conversion/325a5a7b867c43a7a400829c3a94a862</t>
        </is>
      </c>
      <c r="J60" s="127" t="inlineStr">
        <is>
          <t>BU0WI3A9bKQ</t>
        </is>
      </c>
      <c r="K60" s="127" t="n"/>
      <c r="L60" s="128" t="inlineStr">
        <is>
          <t>https://www.lovethework.com/work/entries/supportbelt-746697</t>
        </is>
      </c>
      <c r="M60" s="113" t="inlineStr">
        <is>
          <t>A free seat-belt accessory engineered to relieve the pressure of a standard shoulder belt across a mastectomy surgical site. Designed by VML creative director Lynn Simoncini after her own double mastectomy, and distributed at no cost through Ford's 3,200 U.S. dealerships and partner hospital networks.</t>
        </is>
      </c>
      <c r="N60" s="113" t="inlineStr">
        <is>
          <t>automotive, cars, transport, healthcare, product-innovation, breast-cancer, cancer, medical, corporate-purpose, united-states, social-good, partnership</t>
        </is>
      </c>
    </row>
    <row r="61" ht="34.5" customHeight="1" s="34">
      <c r="A61" s="149" t="n">
        <v>2025</v>
      </c>
      <c r="B61" s="157" t="inlineStr">
        <is>
          <t>Bronze</t>
        </is>
      </c>
      <c r="C61" s="151" t="inlineStr">
        <is>
          <t>Thanks for Coke-Creating</t>
        </is>
      </c>
      <c r="D61" s="149" t="inlineStr">
        <is>
          <t>Coca-Cola</t>
        </is>
      </c>
      <c r="E61" s="149" t="inlineStr">
        <is>
          <t>Coca-Cola</t>
        </is>
      </c>
      <c r="F61" s="149" t="inlineStr">
        <is>
          <t>VML New York</t>
        </is>
      </c>
      <c r="G61" s="149" t="inlineStr">
        <is>
          <t>United States</t>
        </is>
      </c>
      <c r="H61" s="152" t="inlineStr">
        <is>
          <t>E04 - Social Behaviour</t>
        </is>
      </c>
      <c r="I61" s="153" t="inlineStr">
        <is>
          <t>https://ascentialcdn.filespin.io/api/v1/conversion/e2d391a076394851ad0376152ece61bb</t>
        </is>
      </c>
      <c r="J61" s="127" t="inlineStr">
        <is>
          <t>gFQUmcwgoMg</t>
        </is>
      </c>
      <c r="K61" s="127" t="n"/>
      <c r="L61" s="128" t="inlineStr">
        <is>
          <t>https://www.lovethework.com/work/entries/thanks-for-coke-creating-748058</t>
        </is>
      </c>
      <c r="M61" s="113" t="inlineStr">
        <is>
          <t>A global campaign that surfaced the hand-painted, often imperfect versions of the Coca-Cola logo that shopkeepers and bodega owners around the world paint onto their own storefronts. Rather than enforce brand guidelines, Coca-Cola elevated those vernacular interpretations to its own out-of-home — including Times Square — as a tribute to the local craft that brings the brand to life.</t>
        </is>
      </c>
      <c r="N61" s="113" t="inlineStr">
        <is>
          <t>ooh, brand-identity, social-behavior, integrated, partnership, beverage, drinks, global, social-engagement</t>
        </is>
      </c>
    </row>
    <row r="62" ht="34.5" customHeight="1" s="34">
      <c r="A62" s="149" t="n">
        <v>2025</v>
      </c>
      <c r="B62" s="157" t="inlineStr">
        <is>
          <t>Bronze</t>
        </is>
      </c>
      <c r="C62" s="151" t="inlineStr">
        <is>
          <t>The Athletes Code</t>
        </is>
      </c>
      <c r="D62" s="149" t="inlineStr">
        <is>
          <t>Powerade</t>
        </is>
      </c>
      <c r="E62" s="149" t="inlineStr">
        <is>
          <t>Powerade</t>
        </is>
      </c>
      <c r="F62" s="149" t="inlineStr">
        <is>
          <t>Ogilvy New York</t>
        </is>
      </c>
      <c r="G62" s="149" t="inlineStr">
        <is>
          <t>United States</t>
        </is>
      </c>
      <c r="H62" s="152" t="inlineStr">
        <is>
          <t>D04 - Sponsorship</t>
        </is>
      </c>
      <c r="I62" s="153" t="inlineStr">
        <is>
          <t>https://ascentialcdn.filespin.io/api/v1/conversion/fb3c12787a614e6380d825b91a317ee9</t>
        </is>
      </c>
      <c r="J62" s="127" t="inlineStr">
        <is>
          <t>z7EwJIUlr-g</t>
        </is>
      </c>
      <c r="K62" s="127" t="n"/>
      <c r="L62" s="128" t="inlineStr">
        <is>
          <t>https://www.lovethework.com/work/entries/the-athletes-code-747839</t>
        </is>
      </c>
      <c r="M62" s="113" t="inlineStr">
        <is>
          <t>A new clause Powerade added to every athlete sponsorship contract that legally protects the athlete's right to pause their career — for mental health, injury, or family reasons — without losing the deal. Built with the IOC, mental-health advocates, and contract lawyers, and rolled out across Powerade's full roster.</t>
        </is>
      </c>
      <c r="N62" s="113" t="inlineStr">
        <is>
          <t>sports-drink, drinks, beverage, cpg, fmcg, sport, sponsorship, mental-health, healthcare, medical, contract, partnership, corporate-purpose, united-states, integrated</t>
        </is>
      </c>
    </row>
    <row r="63" ht="34.5" customHeight="1" s="34">
      <c r="A63" s="149" t="n">
        <v>2025</v>
      </c>
      <c r="B63" s="157" t="inlineStr">
        <is>
          <t>Bronze</t>
        </is>
      </c>
      <c r="C63" s="151" t="inlineStr">
        <is>
          <t>The Final Exam</t>
        </is>
      </c>
      <c r="D63" s="149" t="inlineStr">
        <is>
          <t>Change the Ref</t>
        </is>
      </c>
      <c r="E63" s="149" t="inlineStr">
        <is>
          <t>Pro Bono</t>
        </is>
      </c>
      <c r="F63" s="149" t="inlineStr">
        <is>
          <t>Energy BBDO Chicago</t>
        </is>
      </c>
      <c r="G63" s="149" t="inlineStr">
        <is>
          <t>United States</t>
        </is>
      </c>
      <c r="H63" s="152" t="inlineStr">
        <is>
          <t>A07 - Not-for-Profit</t>
        </is>
      </c>
      <c r="I63" s="153" t="inlineStr">
        <is>
          <t>https://ascentialcdn.filespin.io/api/v1/conversion/ccce75b37e6345528c0db780024c9818</t>
        </is>
      </c>
      <c r="J63" s="127" t="inlineStr">
        <is>
          <t>Ljsstj4eiko</t>
        </is>
      </c>
      <c r="K63" s="127" t="n"/>
      <c r="L63" s="128" t="inlineStr">
        <is>
          <t>https://www.lovethework.com/work/entries/the-final-exam-761168</t>
        </is>
      </c>
      <c r="M63" s="113" t="inlineStr">
        <is>
          <t>A playable PC game in which the player tries to survive a U.S. school shooting. Every level is reconstructed from real architectural layouts and eyewitness accounts from Columbine, Parkland, and Sandy Hook; survival depends on finding five actual U.S. gun-safety bills hidden as in-game items. Premiered at TwitchCon.</t>
        </is>
      </c>
      <c r="N63" s="113" t="inlineStr">
        <is>
          <t>gaming, video-games, entertainment, gun-violence, social-good, not-for-profit, charity, ngo, activism, united-states, twitch, advocacy</t>
        </is>
      </c>
    </row>
    <row r="64" ht="34.5" customHeight="1" s="34">
      <c r="A64" s="149" t="n">
        <v>2025</v>
      </c>
      <c r="B64" s="157" t="inlineStr">
        <is>
          <t>Bronze</t>
        </is>
      </c>
      <c r="C64" s="151" t="inlineStr">
        <is>
          <t>The Flame That Wasn't a Flame</t>
        </is>
      </c>
      <c r="D64" s="149" t="inlineStr">
        <is>
          <t>EDF</t>
        </is>
      </c>
      <c r="E64" s="149" t="inlineStr">
        <is>
          <t>EDF</t>
        </is>
      </c>
      <c r="F64" s="149" t="inlineStr">
        <is>
          <t>BETC Paris</t>
        </is>
      </c>
      <c r="G64" s="149" t="inlineStr">
        <is>
          <t>France</t>
        </is>
      </c>
      <c r="H64" s="152" t="inlineStr">
        <is>
          <t>D01 - Live Brand Experience</t>
        </is>
      </c>
      <c r="I64" s="153" t="inlineStr">
        <is>
          <t>https://ascentialcdn.filespin.io/api/v1/conversion/309901ab87bb4eabaa1bae30d983f38c</t>
        </is>
      </c>
      <c r="J64" s="127" t="inlineStr">
        <is>
          <t>sXFFpanPbNE</t>
        </is>
      </c>
      <c r="K64" s="127" t="n"/>
      <c r="L64" s="128" t="inlineStr">
        <is>
          <t>https://www.lovethework.com/work/entries/the-flame-that-wasnt-a-flame-747506</t>
        </is>
      </c>
      <c r="M64" s="113" t="inlineStr">
        <is>
          <t>The Paris 2024 Olympic cauldron reimagined as an entirely electric flame — a halo of vapor and light driven by EDF's grid, with no combustion at all. Part of Paris 2024's commitment to halve the Games' carbon footprint, the cauldron rose above the Tuileries on a hot-air balloon for the run of the Olympics and Paralympics.</t>
        </is>
      </c>
      <c r="N64" s="113" t="inlineStr">
        <is>
          <t>olympics, sport, sustainability, energy, ceremony, paris, partnership, live-event, corporate-purpose</t>
        </is>
      </c>
    </row>
    <row r="65" ht="34.5" customHeight="1" s="34">
      <c r="A65" s="149" t="n">
        <v>2025</v>
      </c>
      <c r="B65" s="157" t="inlineStr">
        <is>
          <t>Bronze</t>
        </is>
      </c>
      <c r="C65" s="151" t="inlineStr">
        <is>
          <t>The Meal</t>
        </is>
      </c>
      <c r="D65" s="149" t="inlineStr">
        <is>
          <t>McDonald's</t>
        </is>
      </c>
      <c r="E65" s="149" t="inlineStr">
        <is>
          <t>Happy Meal</t>
        </is>
      </c>
      <c r="F65" s="149" t="inlineStr">
        <is>
          <t>Leo London</t>
        </is>
      </c>
      <c r="G65" s="149" t="inlineStr">
        <is>
          <t>United Kingdom</t>
        </is>
      </c>
      <c r="H65" s="152" t="inlineStr">
        <is>
          <t>E07 - Corporate Purpose</t>
        </is>
      </c>
      <c r="I65" s="153" t="inlineStr">
        <is>
          <t>https://ascentialcdn.filespin.io/api/v1/conversion/5e2b835a636345e0a9110a3076d31dca</t>
        </is>
      </c>
      <c r="J65" s="127" t="inlineStr">
        <is>
          <t>YEPttzbn0Z0</t>
        </is>
      </c>
      <c r="K65" s="127" t="n"/>
      <c r="L65" s="128" t="inlineStr">
        <is>
          <t>https://www.lovethework.com/work/entries/the-meal-748307</t>
        </is>
      </c>
      <c r="M65" s="113" t="inlineStr">
        <is>
          <t>For UK Mental Health Awareness Week, McDonald's stripped the smile off the Happy Meal box — and renamed it simply 'The Meal' — to acknowledge it's normal for kids not to feel happy. Each box came with a strip of emotion stickers for children to express how they actually felt, with footballer Rio Ferdinand fronting the campaign in partnership with BBC Children in Need.</t>
        </is>
      </c>
      <c r="N65" s="113" t="inlineStr">
        <is>
          <t>qsr, fast-food, restaurant, food, mental-health, healthcare, medical, packaging, kids, partnership, united-kingdom, corporate-purpose, integrated</t>
        </is>
      </c>
    </row>
    <row r="66" ht="34.5" customHeight="1" s="34">
      <c r="A66" s="149" t="n">
        <v>2025</v>
      </c>
      <c r="B66" s="157" t="inlineStr">
        <is>
          <t>Bronze</t>
        </is>
      </c>
      <c r="C66" s="151" t="inlineStr">
        <is>
          <t>The Parental Leave Mortgage</t>
        </is>
      </c>
      <c r="D66" s="149" t="inlineStr">
        <is>
          <t>Nordea</t>
        </is>
      </c>
      <c r="E66" s="149" t="inlineStr">
        <is>
          <t>The Parental Leave Mortgage</t>
        </is>
      </c>
      <c r="F66" s="149" t="inlineStr">
        <is>
          <t>Nord DDB Stockholm</t>
        </is>
      </c>
      <c r="G66" s="149" t="inlineStr">
        <is>
          <t>Sweden</t>
        </is>
      </c>
      <c r="H66" s="152" t="inlineStr">
        <is>
          <t>C03 - Customer Acquisition</t>
        </is>
      </c>
      <c r="I66" s="153" t="inlineStr">
        <is>
          <t>https://ascentialcdn.filespin.io/api/v1/conversion/a8b9edfd44de47b893b950770030cf54</t>
        </is>
      </c>
      <c r="J66" s="127" t="inlineStr">
        <is>
          <t>9xzGRtPDwCU</t>
        </is>
      </c>
      <c r="K66" s="127" t="n"/>
      <c r="L66" s="128" t="inlineStr">
        <is>
          <t>https://www.lovethework.com/work/entries/the-parental-leave-mortgage-747202</t>
        </is>
      </c>
      <c r="M66" s="113" t="inlineStr">
        <is>
          <t>A Nordea mortgage product across Denmark, Norway, Finland, and Sweden that fully pauses payments — interest and principal, with no fees — for the duration of either parent's parental leave. Designed to remove the financial reason fathers in Finland, where 88% of leave days are taken by women, skip their statutory share.</t>
        </is>
      </c>
      <c r="N66" s="113" t="inlineStr">
        <is>
          <t>banking, financial-services, finance, parental-leave, gender-equality, social-good, mortgage, nordic, customer-acquisition, product-innovation</t>
        </is>
      </c>
    </row>
    <row r="67" ht="34.5" customHeight="1" s="34">
      <c r="A67" s="149" t="n">
        <v>2025</v>
      </c>
      <c r="B67" s="157" t="inlineStr">
        <is>
          <t>Bronze</t>
        </is>
      </c>
      <c r="C67" s="151" t="inlineStr">
        <is>
          <t>The Social Feed</t>
        </is>
      </c>
      <c r="D67" s="149" t="inlineStr">
        <is>
          <t>Hungerstation</t>
        </is>
      </c>
      <c r="E67" s="149" t="inlineStr">
        <is>
          <t>Food Delivery App</t>
        </is>
      </c>
      <c r="F67" s="149" t="inlineStr">
        <is>
          <t>VML Dubai</t>
        </is>
      </c>
      <c r="G67" s="149" t="inlineStr">
        <is>
          <t>United Arab Emirates</t>
        </is>
      </c>
      <c r="H67" s="152" t="inlineStr">
        <is>
          <t>B01 - Social Engagement</t>
        </is>
      </c>
      <c r="I67" s="153" t="inlineStr">
        <is>
          <t>https://ascentialcdn.filespin.io/api/v1/conversion/eb0ad333e56946e5a9a52aed1980943d</t>
        </is>
      </c>
      <c r="J67" s="127" t="inlineStr">
        <is>
          <t>pPJWz8RBsoo</t>
        </is>
      </c>
      <c r="K67" s="127" t="n"/>
      <c r="L67" s="128" t="inlineStr">
        <is>
          <t>https://www.lovethework.com/work/entries/the-social-feed-746763</t>
        </is>
      </c>
      <c r="M67"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67" s="113" t="inlineStr">
        <is>
          <t>food-delivery, food, restaurant, ecommerce, retail, online-shopping, ai, technology, social-media, mobile-app, saudi-arabia, partnership, mena</t>
        </is>
      </c>
    </row>
    <row r="68" ht="34.5" customHeight="1" s="34">
      <c r="A68" s="149" t="n">
        <v>2025</v>
      </c>
      <c r="B68" s="157" t="inlineStr">
        <is>
          <t>Bronze</t>
        </is>
      </c>
      <c r="C68" s="151" t="inlineStr">
        <is>
          <t>Worst Children's Library</t>
        </is>
      </c>
      <c r="D68" s="149" t="inlineStr">
        <is>
          <t>Samsung</t>
        </is>
      </c>
      <c r="E68" s="149" t="inlineStr">
        <is>
          <t>Samsung</t>
        </is>
      </c>
      <c r="F68" s="149" t="inlineStr">
        <is>
          <t>DDB New Zealand Auckland</t>
        </is>
      </c>
      <c r="G68" s="149" t="inlineStr">
        <is>
          <t>New Zealand</t>
        </is>
      </c>
      <c r="H68" s="152" t="inlineStr">
        <is>
          <t>E04 - Social Behaviour</t>
        </is>
      </c>
      <c r="I68" s="153" t="inlineStr">
        <is>
          <t>https://ascentialcdn.filespin.io/api/v1/conversion/24a4ad960f3c4ac8a1a86823848e8d17</t>
        </is>
      </c>
      <c r="J68" s="127" t="inlineStr">
        <is>
          <t>vimeo:1105993323</t>
        </is>
      </c>
      <c r="K68" s="127" t="n"/>
      <c r="L68" s="128" t="inlineStr">
        <is>
          <t>https://www.lovethework.com/work/entries/worst-childrens-library-748079</t>
        </is>
      </c>
      <c r="M68" s="113" t="inlineStr">
        <is>
          <t>A real school library at Auckland Normal Intermediate stripped of its usual books and replaced with 1,160 hand-bound titles — each one a piece of harmful digital content that children have actually encountered online. Topics ranged from toxic masculinity to self-harm to animal cruelty, catalogued in a custom 'Dewey Decimal System of Harm,' with parents invited to walk the shelves.</t>
        </is>
      </c>
      <c r="N68" s="113" t="inlineStr">
        <is>
          <t>social-good, online-safety, education, exhibition, kids, new-zealand, partnership, behaviour-change</t>
        </is>
      </c>
    </row>
  </sheetData>
  <autoFilter ref="A1:N6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L21" r:id="rId39"/>
    <hyperlink xmlns:r="http://schemas.openxmlformats.org/officeDocument/2006/relationships" ref="I22" r:id="rId40"/>
    <hyperlink xmlns:r="http://schemas.openxmlformats.org/officeDocument/2006/relationships" ref="L22" r:id="rId41"/>
    <hyperlink xmlns:r="http://schemas.openxmlformats.org/officeDocument/2006/relationships" ref="I23" r:id="rId42"/>
    <hyperlink xmlns:r="http://schemas.openxmlformats.org/officeDocument/2006/relationships" ref="L23" r:id="rId43"/>
    <hyperlink xmlns:r="http://schemas.openxmlformats.org/officeDocument/2006/relationships" ref="I24" r:id="rId44"/>
    <hyperlink xmlns:r="http://schemas.openxmlformats.org/officeDocument/2006/relationships" ref="L24" r:id="rId45"/>
    <hyperlink xmlns:r="http://schemas.openxmlformats.org/officeDocument/2006/relationships" ref="I25" r:id="rId46"/>
    <hyperlink xmlns:r="http://schemas.openxmlformats.org/officeDocument/2006/relationships" ref="L25" r:id="rId47"/>
    <hyperlink xmlns:r="http://schemas.openxmlformats.org/officeDocument/2006/relationships" ref="I26" r:id="rId48"/>
    <hyperlink xmlns:r="http://schemas.openxmlformats.org/officeDocument/2006/relationships" ref="L26" r:id="rId49"/>
    <hyperlink xmlns:r="http://schemas.openxmlformats.org/officeDocument/2006/relationships" ref="I27" r:id="rId50"/>
    <hyperlink xmlns:r="http://schemas.openxmlformats.org/officeDocument/2006/relationships" ref="L27" r:id="rId51"/>
    <hyperlink xmlns:r="http://schemas.openxmlformats.org/officeDocument/2006/relationships" ref="I28" r:id="rId52"/>
    <hyperlink xmlns:r="http://schemas.openxmlformats.org/officeDocument/2006/relationships" ref="L28" r:id="rId53"/>
    <hyperlink xmlns:r="http://schemas.openxmlformats.org/officeDocument/2006/relationships" ref="I29" r:id="rId54"/>
    <hyperlink xmlns:r="http://schemas.openxmlformats.org/officeDocument/2006/relationships" ref="L29" r:id="rId55"/>
    <hyperlink xmlns:r="http://schemas.openxmlformats.org/officeDocument/2006/relationships" ref="I30" r:id="rId56"/>
    <hyperlink xmlns:r="http://schemas.openxmlformats.org/officeDocument/2006/relationships" ref="L30" r:id="rId57"/>
    <hyperlink xmlns:r="http://schemas.openxmlformats.org/officeDocument/2006/relationships" ref="I31" r:id="rId58"/>
    <hyperlink xmlns:r="http://schemas.openxmlformats.org/officeDocument/2006/relationships" ref="L31" r:id="rId59"/>
    <hyperlink xmlns:r="http://schemas.openxmlformats.org/officeDocument/2006/relationships" ref="I32" r:id="rId60"/>
    <hyperlink xmlns:r="http://schemas.openxmlformats.org/officeDocument/2006/relationships" ref="L32" r:id="rId61"/>
    <hyperlink xmlns:r="http://schemas.openxmlformats.org/officeDocument/2006/relationships" ref="I33" r:id="rId62"/>
    <hyperlink xmlns:r="http://schemas.openxmlformats.org/officeDocument/2006/relationships" ref="L33" r:id="rId63"/>
    <hyperlink xmlns:r="http://schemas.openxmlformats.org/officeDocument/2006/relationships" ref="I34" r:id="rId64"/>
    <hyperlink xmlns:r="http://schemas.openxmlformats.org/officeDocument/2006/relationships" ref="L34" r:id="rId65"/>
    <hyperlink xmlns:r="http://schemas.openxmlformats.org/officeDocument/2006/relationships" ref="I35" r:id="rId66"/>
    <hyperlink xmlns:r="http://schemas.openxmlformats.org/officeDocument/2006/relationships" ref="L35" r:id="rId67"/>
    <hyperlink xmlns:r="http://schemas.openxmlformats.org/officeDocument/2006/relationships" ref="I36" r:id="rId68"/>
    <hyperlink xmlns:r="http://schemas.openxmlformats.org/officeDocument/2006/relationships" ref="L36" r:id="rId69"/>
    <hyperlink xmlns:r="http://schemas.openxmlformats.org/officeDocument/2006/relationships" ref="I37" r:id="rId70"/>
    <hyperlink xmlns:r="http://schemas.openxmlformats.org/officeDocument/2006/relationships" ref="L37" r:id="rId71"/>
    <hyperlink xmlns:r="http://schemas.openxmlformats.org/officeDocument/2006/relationships" ref="I38" r:id="rId72"/>
    <hyperlink xmlns:r="http://schemas.openxmlformats.org/officeDocument/2006/relationships" ref="L38" r:id="rId73"/>
    <hyperlink xmlns:r="http://schemas.openxmlformats.org/officeDocument/2006/relationships" ref="I39" r:id="rId74"/>
    <hyperlink xmlns:r="http://schemas.openxmlformats.org/officeDocument/2006/relationships" ref="L39" r:id="rId75"/>
    <hyperlink xmlns:r="http://schemas.openxmlformats.org/officeDocument/2006/relationships" ref="I40" r:id="rId76"/>
    <hyperlink xmlns:r="http://schemas.openxmlformats.org/officeDocument/2006/relationships" ref="L40" r:id="rId77"/>
    <hyperlink xmlns:r="http://schemas.openxmlformats.org/officeDocument/2006/relationships" ref="I41" r:id="rId78"/>
    <hyperlink xmlns:r="http://schemas.openxmlformats.org/officeDocument/2006/relationships" ref="L41" r:id="rId79"/>
    <hyperlink xmlns:r="http://schemas.openxmlformats.org/officeDocument/2006/relationships" ref="I42" r:id="rId80"/>
    <hyperlink xmlns:r="http://schemas.openxmlformats.org/officeDocument/2006/relationships" ref="L42" r:id="rId81"/>
    <hyperlink xmlns:r="http://schemas.openxmlformats.org/officeDocument/2006/relationships" ref="I43" r:id="rId82"/>
    <hyperlink xmlns:r="http://schemas.openxmlformats.org/officeDocument/2006/relationships" ref="L43" r:id="rId83"/>
    <hyperlink xmlns:r="http://schemas.openxmlformats.org/officeDocument/2006/relationships" ref="I44" r:id="rId84"/>
    <hyperlink xmlns:r="http://schemas.openxmlformats.org/officeDocument/2006/relationships" ref="L44" r:id="rId85"/>
    <hyperlink xmlns:r="http://schemas.openxmlformats.org/officeDocument/2006/relationships" ref="I45" r:id="rId86"/>
    <hyperlink xmlns:r="http://schemas.openxmlformats.org/officeDocument/2006/relationships" ref="L45" r:id="rId87"/>
    <hyperlink xmlns:r="http://schemas.openxmlformats.org/officeDocument/2006/relationships" ref="I46" r:id="rId88"/>
    <hyperlink xmlns:r="http://schemas.openxmlformats.org/officeDocument/2006/relationships" ref="L46" r:id="rId89"/>
    <hyperlink xmlns:r="http://schemas.openxmlformats.org/officeDocument/2006/relationships" ref="I47" r:id="rId90"/>
    <hyperlink xmlns:r="http://schemas.openxmlformats.org/officeDocument/2006/relationships" ref="L47" r:id="rId91"/>
    <hyperlink xmlns:r="http://schemas.openxmlformats.org/officeDocument/2006/relationships" ref="I48" r:id="rId92"/>
    <hyperlink xmlns:r="http://schemas.openxmlformats.org/officeDocument/2006/relationships" ref="L48" r:id="rId93"/>
    <hyperlink xmlns:r="http://schemas.openxmlformats.org/officeDocument/2006/relationships" ref="L49" r:id="rId94"/>
    <hyperlink xmlns:r="http://schemas.openxmlformats.org/officeDocument/2006/relationships" ref="I50" r:id="rId95"/>
    <hyperlink xmlns:r="http://schemas.openxmlformats.org/officeDocument/2006/relationships" ref="L50" r:id="rId96"/>
    <hyperlink xmlns:r="http://schemas.openxmlformats.org/officeDocument/2006/relationships" ref="I51" r:id="rId97"/>
    <hyperlink xmlns:r="http://schemas.openxmlformats.org/officeDocument/2006/relationships" ref="L51" r:id="rId98"/>
    <hyperlink xmlns:r="http://schemas.openxmlformats.org/officeDocument/2006/relationships" ref="I52" r:id="rId99"/>
    <hyperlink xmlns:r="http://schemas.openxmlformats.org/officeDocument/2006/relationships" ref="L52" r:id="rId100"/>
    <hyperlink xmlns:r="http://schemas.openxmlformats.org/officeDocument/2006/relationships" ref="I53" r:id="rId101"/>
    <hyperlink xmlns:r="http://schemas.openxmlformats.org/officeDocument/2006/relationships" ref="L53" r:id="rId102"/>
    <hyperlink xmlns:r="http://schemas.openxmlformats.org/officeDocument/2006/relationships" ref="I54" r:id="rId103"/>
    <hyperlink xmlns:r="http://schemas.openxmlformats.org/officeDocument/2006/relationships" ref="L54" r:id="rId104"/>
    <hyperlink xmlns:r="http://schemas.openxmlformats.org/officeDocument/2006/relationships" ref="I55" r:id="rId105"/>
    <hyperlink xmlns:r="http://schemas.openxmlformats.org/officeDocument/2006/relationships" ref="L55" r:id="rId106"/>
    <hyperlink xmlns:r="http://schemas.openxmlformats.org/officeDocument/2006/relationships" ref="I56" r:id="rId107"/>
    <hyperlink xmlns:r="http://schemas.openxmlformats.org/officeDocument/2006/relationships" ref="L56" r:id="rId108"/>
    <hyperlink xmlns:r="http://schemas.openxmlformats.org/officeDocument/2006/relationships" ref="I57" r:id="rId109"/>
    <hyperlink xmlns:r="http://schemas.openxmlformats.org/officeDocument/2006/relationships" ref="L57" r:id="rId110"/>
    <hyperlink xmlns:r="http://schemas.openxmlformats.org/officeDocument/2006/relationships" ref="I58" r:id="rId111"/>
    <hyperlink xmlns:r="http://schemas.openxmlformats.org/officeDocument/2006/relationships" ref="L58" r:id="rId112"/>
    <hyperlink xmlns:r="http://schemas.openxmlformats.org/officeDocument/2006/relationships" ref="I59" r:id="rId113"/>
    <hyperlink xmlns:r="http://schemas.openxmlformats.org/officeDocument/2006/relationships" ref="L59" r:id="rId114"/>
    <hyperlink xmlns:r="http://schemas.openxmlformats.org/officeDocument/2006/relationships" ref="I60" r:id="rId115"/>
    <hyperlink xmlns:r="http://schemas.openxmlformats.org/officeDocument/2006/relationships" ref="L60" r:id="rId116"/>
    <hyperlink xmlns:r="http://schemas.openxmlformats.org/officeDocument/2006/relationships" ref="I61" r:id="rId117"/>
    <hyperlink xmlns:r="http://schemas.openxmlformats.org/officeDocument/2006/relationships" ref="L61" r:id="rId118"/>
    <hyperlink xmlns:r="http://schemas.openxmlformats.org/officeDocument/2006/relationships" ref="I62" r:id="rId119"/>
    <hyperlink xmlns:r="http://schemas.openxmlformats.org/officeDocument/2006/relationships" ref="L62" r:id="rId120"/>
    <hyperlink xmlns:r="http://schemas.openxmlformats.org/officeDocument/2006/relationships" ref="I63" r:id="rId121"/>
    <hyperlink xmlns:r="http://schemas.openxmlformats.org/officeDocument/2006/relationships" ref="L63" r:id="rId122"/>
    <hyperlink xmlns:r="http://schemas.openxmlformats.org/officeDocument/2006/relationships" ref="I64" r:id="rId123"/>
    <hyperlink xmlns:r="http://schemas.openxmlformats.org/officeDocument/2006/relationships" ref="L64" r:id="rId124"/>
    <hyperlink xmlns:r="http://schemas.openxmlformats.org/officeDocument/2006/relationships" ref="I65" r:id="rId125"/>
    <hyperlink xmlns:r="http://schemas.openxmlformats.org/officeDocument/2006/relationships" ref="L65" r:id="rId126"/>
    <hyperlink xmlns:r="http://schemas.openxmlformats.org/officeDocument/2006/relationships" ref="I66" r:id="rId127"/>
    <hyperlink xmlns:r="http://schemas.openxmlformats.org/officeDocument/2006/relationships" ref="L66" r:id="rId128"/>
    <hyperlink xmlns:r="http://schemas.openxmlformats.org/officeDocument/2006/relationships" ref="I67" r:id="rId129"/>
    <hyperlink xmlns:r="http://schemas.openxmlformats.org/officeDocument/2006/relationships" ref="L67" r:id="rId130"/>
    <hyperlink xmlns:r="http://schemas.openxmlformats.org/officeDocument/2006/relationships" ref="I68" r:id="rId131"/>
    <hyperlink xmlns:r="http://schemas.openxmlformats.org/officeDocument/2006/relationships" ref="L68" r:id="rId13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AXA - Three Words</t>
        </is>
      </c>
      <c r="D2" s="127" t="inlineStr">
        <is>
          <t>AXA</t>
        </is>
      </c>
      <c r="E2" s="127" t="inlineStr">
        <is>
          <t>Insurance</t>
        </is>
      </c>
      <c r="F2" s="127" t="inlineStr">
        <is>
          <t>Publicis Conseil</t>
        </is>
      </c>
      <c r="G2" s="127" t="inlineStr">
        <is>
          <t>France</t>
        </is>
      </c>
      <c r="H2" s="113" t="inlineStr">
        <is>
          <t>Transformative Strategy</t>
        </is>
      </c>
      <c r="I2" s="127" t="inlineStr">
        <is>
          <t>digital-presentation-images/creative-business-transformation-axa-axa-three-words.webp</t>
        </is>
      </c>
      <c r="J2" s="127" t="inlineStr">
        <is>
          <t>pY-03zuV7mE</t>
        </is>
      </c>
      <c r="K2" s="127" t="n"/>
      <c r="L2" s="128" t="inlineStr">
        <is>
          <t>https://www.lovethework.com/work/entries/axa-three-words-757718</t>
        </is>
      </c>
      <c r="M2"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2" s="113" t="inlineStr">
        <is>
          <t>insurance, financial-services, finance, france, domestic-violence, public-service, digital-platform, consumer-services, housing, publicis-conseil</t>
        </is>
      </c>
    </row>
    <row r="3">
      <c r="A3" s="127" t="n">
        <v>2025</v>
      </c>
      <c r="B3" s="140" t="inlineStr">
        <is>
          <t>Gold</t>
        </is>
      </c>
      <c r="C3" s="127" t="inlineStr">
        <is>
          <t>Lucky Yatra</t>
        </is>
      </c>
      <c r="D3" s="127" t="inlineStr">
        <is>
          <t>Indian Railways</t>
        </is>
      </c>
      <c r="E3" s="127" t="inlineStr">
        <is>
          <t>Railway Service</t>
        </is>
      </c>
      <c r="F3" s="127" t="inlineStr">
        <is>
          <t>FCB India</t>
        </is>
      </c>
      <c r="G3" s="127" t="inlineStr">
        <is>
          <t>India</t>
        </is>
      </c>
      <c r="H3" s="113" t="inlineStr">
        <is>
          <t>Targeting, Insights &amp; Personalisation</t>
        </is>
      </c>
      <c r="I3" s="127" t="inlineStr">
        <is>
          <t>digital-presentation-images/creative-business-transformation-indian-railways-lucky-yatra.webp</t>
        </is>
      </c>
      <c r="J3" s="127" t="inlineStr">
        <is>
          <t>19fzAvuFq0I</t>
        </is>
      </c>
      <c r="K3" s="127" t="n"/>
      <c r="L3" s="128" t="inlineStr">
        <is>
          <t>https://www.lovethework.com/work/entries/lucky-yatra-757794</t>
        </is>
      </c>
      <c r="M3"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3" s="113" t="inlineStr">
        <is>
          <t>railway-service, loyalty-program, public-service, mobile-app, india, gamification, ticketing</t>
        </is>
      </c>
    </row>
    <row r="4">
      <c r="A4" s="127" t="n">
        <v>2025</v>
      </c>
      <c r="B4" s="132" t="inlineStr">
        <is>
          <t>Silver</t>
        </is>
      </c>
      <c r="C4" s="127" t="inlineStr">
        <is>
          <t>Building a More Resilient Australia</t>
        </is>
      </c>
      <c r="D4" s="127" t="inlineStr">
        <is>
          <t>Suncorp</t>
        </is>
      </c>
      <c r="E4" s="127" t="inlineStr">
        <is>
          <t>Insurance</t>
        </is>
      </c>
      <c r="F4" s="127" t="inlineStr">
        <is>
          <t>Leo</t>
        </is>
      </c>
      <c r="G4" s="127" t="inlineStr">
        <is>
          <t>Australia</t>
        </is>
      </c>
      <c r="H4" s="113" t="inlineStr">
        <is>
          <t>Long-Term Brand Platform</t>
        </is>
      </c>
      <c r="I4" s="127" t="inlineStr">
        <is>
          <t>digital-presentation-images/creative-business-transformation-suncorp-building-a-more-resilient-australia.webp</t>
        </is>
      </c>
      <c r="J4" s="127" t="inlineStr">
        <is>
          <t>vimeo:1094885092/740ca01ef6</t>
        </is>
      </c>
      <c r="K4" s="127" t="n"/>
      <c r="L4" s="128" t="inlineStr">
        <is>
          <t>https://www.lovethework.com/work/entries/building-a-more-resilient-australia-757856</t>
        </is>
      </c>
      <c r="M4" s="113" t="inlineStr">
        <is>
          <t>A five-year brand platform through which Suncorp Insurance shifted its public position from post-disaster recovery to pre-disaster resilience, rolling out a sequenced series of products, tools, and brand acts across Australia: a premium-reduction benefit for homeowners who add resilience features, a prototype home scientifically built to withstand extreme weather, a post-disaster rebuild product that folds resilience upgrades into insurance payouts, an education hub, a live street-level broadcast on one of Australia's most flood-vulnerable roads, a live insurance-update service during active weather events, and a digital risk platform that uses property-level data to surface each home's specific vulnerabilities. The programme was developed with Leo Sydney in response to the increasing frequency of extreme weather events making Australian homes progressively harder to insure.</t>
        </is>
      </c>
      <c r="N4" s="113" t="inlineStr">
        <is>
          <t>insurance, financial-services, finance, long-term-brand-platform, australia, climate-resilience, public-education, digital-platform, branded-content, product-innovation, home-insurance</t>
        </is>
      </c>
    </row>
    <row r="5">
      <c r="A5" s="127" t="n">
        <v>2025</v>
      </c>
      <c r="B5" s="132" t="inlineStr">
        <is>
          <t>Silver</t>
        </is>
      </c>
      <c r="C5" s="127" t="inlineStr">
        <is>
          <t>Renault - Long-Term</t>
        </is>
      </c>
      <c r="D5" s="127" t="inlineStr">
        <is>
          <t>Renault</t>
        </is>
      </c>
      <c r="E5" s="127" t="inlineStr">
        <is>
          <t>Automotive</t>
        </is>
      </c>
      <c r="F5" s="127" t="inlineStr">
        <is>
          <t>Publicis Conseil</t>
        </is>
      </c>
      <c r="G5" s="127" t="inlineStr">
        <is>
          <t>France</t>
        </is>
      </c>
      <c r="H5" s="113" t="inlineStr">
        <is>
          <t>Long-Term Brand Platform</t>
        </is>
      </c>
      <c r="I5" s="128" t="inlineStr">
        <is>
          <t>https://ascentialcdn.filespin.io/api/v1/storyboard/f4d05b0940354e91afbb9acbfc09d056/storyboard_000008.jpg</t>
        </is>
      </c>
      <c r="J5" s="127" t="inlineStr">
        <is>
          <t>GYWg2HktW-0</t>
        </is>
      </c>
      <c r="K5" s="127" t="n"/>
      <c r="L5" s="128" t="inlineStr">
        <is>
          <t>https://www.lovethework.com/work/entries/renault-long-term-757900</t>
        </is>
      </c>
      <c r="M5" s="113" t="inlineStr">
        <is>
          <t>Renault turned its 2020 crisis into an all-in electric transformation, using the five years before its new EV range launched to grow the market by attacking every barrier to adoption. From proving EVs could work in rural France to creating a shared charging network and making electric cars accessible to people with no income, Renault reframed electric mobility as practical, available and for everyone. The result: stronger brand love, 200,000+ EVs sold, market leadership in France and proof that the turnaround was only just beginning.</t>
        </is>
      </c>
      <c r="N5" s="113" t="inlineStr">
        <is>
          <t>automotive, cars, transport, ev, electric-vehicle, sustainability, business-transformation, france, brand-platform</t>
        </is>
      </c>
    </row>
    <row r="6">
      <c r="A6" s="127" t="n">
        <v>2025</v>
      </c>
      <c r="B6" s="133" t="inlineStr">
        <is>
          <t>Bronze</t>
        </is>
      </c>
      <c r="C6" s="127" t="inlineStr">
        <is>
          <t>Recipe for Growth</t>
        </is>
      </c>
      <c r="D6" s="127" t="inlineStr">
        <is>
          <t>Ifood</t>
        </is>
      </c>
      <c r="E6" s="127" t="inlineStr">
        <is>
          <t>Ifood B2b</t>
        </is>
      </c>
      <c r="F6" s="127" t="inlineStr">
        <is>
          <t>DM9</t>
        </is>
      </c>
      <c r="G6" s="127" t="inlineStr">
        <is>
          <t>Brazil</t>
        </is>
      </c>
      <c r="H6" s="113" t="inlineStr">
        <is>
          <t>Transformative Strategy</t>
        </is>
      </c>
      <c r="I6" s="127" t="inlineStr">
        <is>
          <t>digital-presentation-images/creative-business-transformation-ifood-recipe-for-growth.webp</t>
        </is>
      </c>
      <c r="J6" s="127" t="inlineStr">
        <is>
          <t>vimeo:1080197730</t>
        </is>
      </c>
      <c r="K6" s="127" t="n"/>
      <c r="L6" s="128" t="inlineStr">
        <is>
          <t>https://www.lovethework.com/work/entries/recipe-for-growth-757609</t>
        </is>
      </c>
      <c r="M6"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6" s="113" t="inlineStr">
        <is>
          <t>food-delivery, food, restaurant, ecommerce, retail, online-shopping, b2b, business, mobile-app, data-driven, small-business, brazil, product-design</t>
        </is>
      </c>
    </row>
    <row r="7">
      <c r="A7" s="127" t="n">
        <v>2025</v>
      </c>
      <c r="B7" s="133" t="inlineStr">
        <is>
          <t>Bronze</t>
        </is>
      </c>
      <c r="C7" s="127" t="inlineStr">
        <is>
          <t>It's a Cheetos Thing</t>
        </is>
      </c>
      <c r="D7" s="127" t="inlineStr">
        <is>
          <t>Cheetos | Pepsico</t>
        </is>
      </c>
      <c r="E7" s="127" t="inlineStr">
        <is>
          <t>Cheetos</t>
        </is>
      </c>
      <c r="F7" s="127" t="inlineStr">
        <is>
          <t>Goodby Silverstein &amp; Partners</t>
        </is>
      </c>
      <c r="G7" s="127" t="inlineStr">
        <is>
          <t>United States</t>
        </is>
      </c>
      <c r="H7" s="113" t="inlineStr">
        <is>
          <t>Long-Term Brand Platform</t>
        </is>
      </c>
      <c r="I7" s="127" t="inlineStr">
        <is>
          <t>digital-presentation-images/creative-business-transformation-cheetos-pepsico-its-a-cheetos-thing.webp</t>
        </is>
      </c>
      <c r="J7" s="127" t="inlineStr">
        <is>
          <t>vimeo:1094791063/08d1ef48b6</t>
        </is>
      </c>
      <c r="K7" s="127" t="n"/>
      <c r="L7" s="128" t="inlineStr">
        <is>
          <t>https://www.lovethework.com/work/entries/its-a-cheetos-thing-765189</t>
        </is>
      </c>
      <c r="M7" s="113" t="inlineStr">
        <is>
          <t>A long-term brand platform built around the orange dust — "Cheetle" — that coats fingers after eating Cheetos, repositioning the mess as the reason fans eat with their non-dominant hand and leave orange prints on everything they touch. The platform spans Super Bowl TV spots featuring MC Hammer and Simu Liu, OOH highlighting left-handed Cheetos eaters, a hands-free experience at SXSW, and a courtside celebrity stunt, all anchored to the shared behavior as a badge of fandom.</t>
        </is>
      </c>
      <c r="N7" s="113" t="inlineStr">
        <is>
          <t>snack, food, packaged-goods, cpg, fmcg, brand-platform, television, ooh, experiential, united-states, celebrity, integrated-campaign, long-term-platform</t>
        </is>
      </c>
    </row>
    <row r="8">
      <c r="A8" s="127" t="n">
        <v>2025</v>
      </c>
      <c r="B8" s="133" t="inlineStr">
        <is>
          <t>Bronze</t>
        </is>
      </c>
      <c r="C8" s="127" t="inlineStr">
        <is>
          <t>Backing the Bars</t>
        </is>
      </c>
      <c r="D8" s="127" t="inlineStr">
        <is>
          <t>Heineken</t>
        </is>
      </c>
      <c r="E8" s="127" t="inlineStr">
        <is>
          <t>Heineken</t>
        </is>
      </c>
      <c r="F8" s="127" t="inlineStr">
        <is>
          <t>Lepub</t>
        </is>
      </c>
      <c r="G8" s="127" t="inlineStr">
        <is>
          <t>Italy</t>
        </is>
      </c>
      <c r="H8" s="113" t="inlineStr">
        <is>
          <t>Long-Term Brand Platform</t>
        </is>
      </c>
      <c r="I8" s="128" t="inlineStr">
        <is>
          <t>https://ascentialcdn.filespin.io/api/v1/conversion/9d89a2d0441e4f1498beb7e41712ebbf</t>
        </is>
      </c>
      <c r="J8" s="127" t="inlineStr">
        <is>
          <t>r2mR8LV53PE</t>
        </is>
      </c>
      <c r="K8" s="127" t="n"/>
      <c r="L8" s="128" t="inlineStr">
        <is>
          <t>https://www.lovethework.com/work/entries/backing-the-bars-762510</t>
        </is>
      </c>
      <c r="M8" s="113" t="inlineStr">
        <is>
          <t>A long-term brand platform Heineken built to financially support bars during Covid-19 lockdowns, when on-premise venues were forced to close across multiple markets. Run across offices including LePub Milan, LePub São Paulo, LePub Amsterdam, Publicis Dublin, and Publicis Argentina, the program tied Heineken's brand activity directly to the survival of the bar industry it depends on.</t>
        </is>
      </c>
      <c r="N8" s="113" t="inlineStr">
        <is>
          <t>beer, alcohol, long-term-platform, brand-platform, covid-19, bars-and-hospitality, italy, multi-market, b2b, business</t>
        </is>
      </c>
    </row>
  </sheetData>
  <autoFilter ref="A1:N8"/>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I5" r:id="rId4"/>
    <hyperlink xmlns:r="http://schemas.openxmlformats.org/officeDocument/2006/relationships" ref="L5" r:id="rId5"/>
    <hyperlink xmlns:r="http://schemas.openxmlformats.org/officeDocument/2006/relationships" ref="L6" r:id="rId6"/>
    <hyperlink xmlns:r="http://schemas.openxmlformats.org/officeDocument/2006/relationships" ref="L7" r:id="rId7"/>
    <hyperlink xmlns:r="http://schemas.openxmlformats.org/officeDocument/2006/relationships" ref="I8" r:id="rId8"/>
    <hyperlink xmlns:r="http://schemas.openxmlformats.org/officeDocument/2006/relationships" ref="L8" r:id="rId9"/>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Preserved Promos</t>
        </is>
      </c>
      <c r="D2" s="127" t="inlineStr">
        <is>
          <t>Ziploc</t>
        </is>
      </c>
      <c r="E2" s="127" t="inlineStr">
        <is>
          <t>Ziploc</t>
        </is>
      </c>
      <c r="F2" s="127" t="inlineStr">
        <is>
          <t>VML</t>
        </is>
      </c>
      <c r="G2" s="127" t="inlineStr">
        <is>
          <t>United States</t>
        </is>
      </c>
      <c r="H2" s="113" t="inlineStr">
        <is>
          <t>Brand Strategy</t>
        </is>
      </c>
      <c r="I2" s="128" t="inlineStr">
        <is>
          <t>https://ascentialcdn.filespin.io/api/v1/conversion/8223f25b769b40e3b665c4ec19e2e12c</t>
        </is>
      </c>
      <c r="J2" s="127" t="inlineStr">
        <is>
          <t>F9CTRsV3N7k</t>
        </is>
      </c>
      <c r="K2" s="127" t="n"/>
      <c r="L2" s="128" t="inlineStr">
        <is>
          <t>https://www.lovethework.com/work/entries/preserved-promos-756451</t>
        </is>
      </c>
      <c r="M2" s="113" t="inlineStr">
        <is>
          <t>A retail promotion mechanic that accepted expired food coupons as valid discounts on Ziploc products — shoppers uploaded a photo of any out-of-date food coupon and received savings on Ziploc bags in return. The mechanic ties directly to the brand's core proposition: if Ziploc preserves food, it can preserve a coupon's value too.</t>
        </is>
      </c>
      <c r="N2" s="113" t="inlineStr">
        <is>
          <t>food-storage, retail-media, coupon, commerce, mobile, united-states, sc-johnson, promotion</t>
        </is>
      </c>
    </row>
    <row r="3">
      <c r="A3" s="127" t="n">
        <v>2025</v>
      </c>
      <c r="B3" s="140" t="inlineStr">
        <is>
          <t>Gold</t>
        </is>
      </c>
      <c r="C3" s="127" t="inlineStr">
        <is>
          <t>Recipe for Growth</t>
        </is>
      </c>
      <c r="D3" s="127" t="inlineStr">
        <is>
          <t>Ifood</t>
        </is>
      </c>
      <c r="E3" s="127" t="inlineStr">
        <is>
          <t>Ifood B2b</t>
        </is>
      </c>
      <c r="F3" s="127" t="inlineStr">
        <is>
          <t>DM9</t>
        </is>
      </c>
      <c r="G3" s="127" t="inlineStr">
        <is>
          <t>Brazil</t>
        </is>
      </c>
      <c r="H3" s="113" t="inlineStr">
        <is>
          <t>Consumer Services/Business to Business</t>
        </is>
      </c>
      <c r="I3" s="128" t="inlineStr">
        <is>
          <t>https://ascentialcdn.filespin.io/api/v1/conversion/06ac79ad1b9840bdb3df3269a42d0933</t>
        </is>
      </c>
      <c r="J3" s="127" t="inlineStr">
        <is>
          <t>vimeo:1080197730</t>
        </is>
      </c>
      <c r="K3" s="127" t="n"/>
      <c r="L3" s="128" t="inlineStr">
        <is>
          <t>https://www.lovethework.com/work/entries/recipe-for-growth-756123</t>
        </is>
      </c>
      <c r="M3" s="113" t="inlineStr">
        <is>
          <t>A dashboard built into iFood's existing restaurant partner interface that converts the platform's order data — 120 million monthly transactions — into daily plain-language recommendations on pricing, menu positioning, ingredient purchasing, and local demand trends. Designed for the 64% of Brazilian restaurants that are family-owned and run by people with cooking skills but no formal business training, the tool surfaces geo-targeted insights directly in the app owners already use, with no separate login or technical setup required.</t>
        </is>
      </c>
      <c r="N3" s="113" t="inlineStr">
        <is>
          <t>food-delivery, food, restaurant, ecommerce, retail, online-shopping, b2b, business, mobile-app, data-driven, small-business, brazil, product-design</t>
        </is>
      </c>
    </row>
    <row r="4">
      <c r="A4" s="127" t="n">
        <v>2025</v>
      </c>
      <c r="B4" s="140" t="inlineStr">
        <is>
          <t>Gold</t>
        </is>
      </c>
      <c r="C4" s="127" t="inlineStr">
        <is>
          <t>Sad Kama-Chan</t>
        </is>
      </c>
      <c r="D4" s="127" t="inlineStr">
        <is>
          <t>B&amp;Q</t>
        </is>
      </c>
      <c r="E4" s="127" t="inlineStr">
        <is>
          <t>Bar B Q Plaza</t>
        </is>
      </c>
      <c r="F4" s="127" t="inlineStr">
        <is>
          <t>Grey Thailand</t>
        </is>
      </c>
      <c r="G4" s="127" t="inlineStr">
        <is>
          <t>Thailand</t>
        </is>
      </c>
      <c r="H4" s="113" t="inlineStr">
        <is>
          <t>Customer Acquisition &amp; Retention</t>
        </is>
      </c>
      <c r="I4" s="128" t="inlineStr">
        <is>
          <t>https://ascentialcdn.filespin.io/api/v1/conversion/b1a090f7c816487f8dcee01d4c656df9</t>
        </is>
      </c>
      <c r="J4" s="127" t="inlineStr">
        <is>
          <t>h7MYlQFAKMg</t>
        </is>
      </c>
      <c r="K4" s="127" t="n"/>
      <c r="L4" s="128" t="inlineStr">
        <is>
          <t>https://www.lovethework.com/work/entries/sad-kama-chan-756446</t>
        </is>
      </c>
      <c r="M4" s="113" t="inlineStr">
        <is>
          <t>A loyalty mechanic built around heartbreak: Bar B Q Plaza, a Thai barbecue restaurant chain, let customers who had just been through a breakup unlock exclusive discounts and offers by proving their sad status — turning post-breakup wallowing into a reason to visit the restaurant. "Kama-Chan" (กามะจัน) is a Thai term of endearment used by couples, so the campaign reframed the saddest moment of losing a partner as Bar B Q Plaza's prime acquisition window.</t>
        </is>
      </c>
      <c r="N4" s="113" t="inlineStr">
        <is>
          <t>restaurant, food, customer-acquisition, loyalty, thailand, creative-commerce, social, brand-design, emotional-targeting</t>
        </is>
      </c>
    </row>
    <row r="5">
      <c r="A5" s="127" t="n">
        <v>2025</v>
      </c>
      <c r="B5" s="140" t="inlineStr">
        <is>
          <t>Gold</t>
        </is>
      </c>
      <c r="C5" s="127" t="inlineStr">
        <is>
          <t>Lucky Yatra</t>
        </is>
      </c>
      <c r="D5" s="127" t="inlineStr">
        <is>
          <t>Indian Railways</t>
        </is>
      </c>
      <c r="E5" s="127" t="inlineStr">
        <is>
          <t>Railway Service</t>
        </is>
      </c>
      <c r="F5" s="127" t="inlineStr">
        <is>
          <t>FCB India</t>
        </is>
      </c>
      <c r="G5" s="127" t="inlineStr">
        <is>
          <t>India</t>
        </is>
      </c>
      <c r="H5" s="113" t="inlineStr">
        <is>
          <t>Customer Acquisition &amp; Retention</t>
        </is>
      </c>
      <c r="I5" s="128" t="inlineStr">
        <is>
          <t>https://ascentialcdn.filespin.io/api/v1/conversion/81cf5ad6f9074f6589edcf4736a3552b</t>
        </is>
      </c>
      <c r="J5" s="127" t="inlineStr">
        <is>
          <t>19fzAvuFq0I</t>
        </is>
      </c>
      <c r="K5" s="127" t="n"/>
      <c r="L5" s="128" t="inlineStr">
        <is>
          <t>https://www.lovethework.com/work/entries/lucky-yatra-756377</t>
        </is>
      </c>
      <c r="M5" s="113" t="inlineStr">
        <is>
          <t>A loyalty program built into the ticketing system of Indian Railways: every valid ticket carries a unique number that's auto-entered into daily and weekly cash prize draws. Designed to turn ticketless travel — an entrenched habit on one of the world's largest rail networks — into a paid behavior worth doing.</t>
        </is>
      </c>
      <c r="N5" s="113" t="inlineStr">
        <is>
          <t>railway-service, loyalty-program, public-service, mobile-app, india, gamification, ticketing</t>
        </is>
      </c>
    </row>
    <row r="6">
      <c r="A6" s="127" t="n">
        <v>2025</v>
      </c>
      <c r="B6" s="132" t="inlineStr">
        <is>
          <t>Silver</t>
        </is>
      </c>
      <c r="C6" s="127" t="inlineStr">
        <is>
          <t>Football Is for Food</t>
        </is>
      </c>
      <c r="D6" s="127" t="inlineStr">
        <is>
          <t>Uber Eats</t>
        </is>
      </c>
      <c r="E6" s="127" t="inlineStr">
        <is>
          <t>Uber Eats</t>
        </is>
      </c>
      <c r="F6" s="127" t="inlineStr">
        <is>
          <t>Special</t>
        </is>
      </c>
      <c r="G6" s="127" t="inlineStr">
        <is>
          <t>United States</t>
        </is>
      </c>
      <c r="H6" s="113" t="inlineStr">
        <is>
          <t>Travel, Leisure, Retail, Restaurants &amp; Fast-Food Chains</t>
        </is>
      </c>
      <c r="I6" s="128" t="inlineStr">
        <is>
          <t>https://ascentialcdn.filespin.io/api/v1/conversion/23d7c7eb3b1845ab821b2444f4366440</t>
        </is>
      </c>
      <c r="J6" s="127" t="inlineStr">
        <is>
          <t>Mi_cxUyqH4Q</t>
        </is>
      </c>
      <c r="K6" s="127" t="n"/>
      <c r="L6" s="128" t="inlineStr">
        <is>
          <t>https://www.lovethework.com/work/entries/football-is-for-food-756070</t>
        </is>
      </c>
      <c r="M6"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6" s="113" t="inlineStr">
        <is>
          <t>food-delivery, food, restaurant, ecommerce, retail, online-shopping, television, brand-integration, nfl, united-states, conspiracy, humor, sports-sponsorship</t>
        </is>
      </c>
    </row>
    <row r="7">
      <c r="A7" s="127" t="n">
        <v>2025</v>
      </c>
      <c r="B7" s="132" t="inlineStr">
        <is>
          <t>Silver</t>
        </is>
      </c>
      <c r="C7" s="127" t="inlineStr">
        <is>
          <t>Makeup Payment</t>
        </is>
      </c>
      <c r="D7" s="127" t="inlineStr">
        <is>
          <t>Mastercard</t>
        </is>
      </c>
      <c r="E7" s="127" t="inlineStr">
        <is>
          <t>Mastercard</t>
        </is>
      </c>
      <c r="F7" s="127" t="inlineStr">
        <is>
          <t>MRM</t>
        </is>
      </c>
      <c r="G7" s="127" t="inlineStr">
        <is>
          <t>Brazil</t>
        </is>
      </c>
      <c r="H7" s="113" t="inlineStr">
        <is>
          <t>Innovative use of Commerce Channel</t>
        </is>
      </c>
      <c r="I7" s="128" t="inlineStr">
        <is>
          <t>https://ascentialcdn.filespin.io/api/v1/conversion/65f21a7641c4411ab901d5cc5854564a</t>
        </is>
      </c>
      <c r="J7" s="127" t="inlineStr">
        <is>
          <t>izZ-HPCDzy4</t>
        </is>
      </c>
      <c r="K7" s="127" t="n"/>
      <c r="L7" s="128" t="inlineStr">
        <is>
          <t>https://www.lovethework.com/work/entries/makeup-payment-756226</t>
        </is>
      </c>
      <c r="M7" s="113" t="inlineStr">
        <is>
          <t>A wearable payment mechanic built for Brazilian Carnival 2025, in which Mastercard embedded contactless payment technology into rhinestones designed to be applied directly as body makeup — turning a standard Carnival cosmetic into a tap-to-pay device for foliões with no pockets. Created with MRM Brazil, the activation addressed the gap between Carnival's near-total lack of pocket space and the billions of reais in transactions the festival generates each year.</t>
        </is>
      </c>
      <c r="N7" s="113" t="inlineStr">
        <is>
          <t>credit-card, credit, payments, fintech, financial-services, finance, wearable-tech, contactless-payment, carnival, brazil, experiential, fashion-beauty, commerce</t>
        </is>
      </c>
    </row>
    <row r="8">
      <c r="A8" s="127" t="n">
        <v>2025</v>
      </c>
      <c r="B8" s="132" t="inlineStr">
        <is>
          <t>Silver</t>
        </is>
      </c>
      <c r="C8" s="127" t="inlineStr">
        <is>
          <t>Coupon Rain</t>
        </is>
      </c>
      <c r="D8" s="127" t="inlineStr">
        <is>
          <t>Mercado Livre</t>
        </is>
      </c>
      <c r="E8" s="127" t="inlineStr">
        <is>
          <t>Mercado Livre</t>
        </is>
      </c>
      <c r="F8" s="127" t="inlineStr">
        <is>
          <t>Gut</t>
        </is>
      </c>
      <c r="G8" s="127" t="inlineStr">
        <is>
          <t>Brazil</t>
        </is>
      </c>
      <c r="H8" s="113" t="inlineStr">
        <is>
          <t>Travel, Leisure, Retail, Restaurants &amp; Fast-Food Chains</t>
        </is>
      </c>
      <c r="I8" s="128" t="inlineStr">
        <is>
          <t>https://ascentialcdn.filespin.io/api/v1/conversion/8782875c907847289e66a9d52a2b2ec8</t>
        </is>
      </c>
      <c r="J8" s="127" t="inlineStr">
        <is>
          <t>vimeo:1093414319</t>
        </is>
      </c>
      <c r="K8" s="127" t="n"/>
      <c r="L8" s="128" t="inlineStr">
        <is>
          <t>https://www.lovethework.com/work/entries/coupon-rain-756095</t>
        </is>
      </c>
      <c r="M8" s="113" t="inlineStr">
        <is>
          <t>Mercado Livre sponsored the trophy lift at the final of one of Brazil's major football championships and replaced the customary confetti with thousands of branded discount coupons. The moment the winning captain raised the cup, the field rained with redeemable codes — putting the brand directly inside the photograph that ran on every front page.</t>
        </is>
      </c>
      <c r="N8" s="113" t="inlineStr">
        <is>
          <t>ecommerce, retail, online-shopping, sponsorship, football, soccer, sport, retail-promo, stunt, brazil, partnership</t>
        </is>
      </c>
    </row>
    <row r="9">
      <c r="A9" s="127" t="n">
        <v>2025</v>
      </c>
      <c r="B9" s="132" t="inlineStr">
        <is>
          <t>Silver</t>
        </is>
      </c>
      <c r="C9" s="127" t="inlineStr">
        <is>
          <t>The Social Feed</t>
        </is>
      </c>
      <c r="D9" s="127" t="inlineStr">
        <is>
          <t>Hungerstation</t>
        </is>
      </c>
      <c r="E9" s="127" t="inlineStr">
        <is>
          <t>Food Delivery App</t>
        </is>
      </c>
      <c r="F9" s="127" t="inlineStr">
        <is>
          <t>VML</t>
        </is>
      </c>
      <c r="G9" s="127" t="inlineStr">
        <is>
          <t>United Arab Emirates</t>
        </is>
      </c>
      <c r="H9" s="113" t="inlineStr">
        <is>
          <t>Social Behaviour</t>
        </is>
      </c>
      <c r="I9" s="128" t="inlineStr">
        <is>
          <t>https://ascentialcdn.filespin.io/api/v1/conversion/ed346dbf026441888562409343c9c149</t>
        </is>
      </c>
      <c r="J9" s="127" t="inlineStr">
        <is>
          <t>vimeo:1075735593</t>
        </is>
      </c>
      <c r="K9" s="127" t="n"/>
      <c r="L9" s="128" t="inlineStr">
        <is>
          <t>https://www.lovethework.com/work/entries/the-social-feed-756367</t>
        </is>
      </c>
      <c r="M9" s="113" t="inlineStr">
        <is>
          <t>A direct-message feature on Saudi food-delivery app HungerStation that lets users forward any food photo from Instagram, TikTok, or Snapchat into the app. AI identifies the dish, finds the nearest restaurant on the platform that serves it, and opens an order — converting a 135-times-a-day social-media food crave into a tap.</t>
        </is>
      </c>
      <c r="N9" s="113" t="inlineStr">
        <is>
          <t>food-delivery, food, restaurant, ecommerce, retail, online-shopping, ai, technology, social-media, mobile-app, saudi-arabia, partnership, mena</t>
        </is>
      </c>
    </row>
    <row r="10">
      <c r="A10" s="127" t="n">
        <v>2025</v>
      </c>
      <c r="B10" s="132" t="inlineStr">
        <is>
          <t>Silver</t>
        </is>
      </c>
      <c r="C10" s="127" t="inlineStr">
        <is>
          <t>Prize on the Bone</t>
        </is>
      </c>
      <c r="D10" s="127" t="inlineStr">
        <is>
          <t>KFC</t>
        </is>
      </c>
      <c r="E10" s="127" t="inlineStr">
        <is>
          <t>KFC Ice-Cream</t>
        </is>
      </c>
      <c r="F10" s="127" t="inlineStr">
        <is>
          <t>DM9</t>
        </is>
      </c>
      <c r="G10" s="127" t="inlineStr">
        <is>
          <t>Brazil</t>
        </is>
      </c>
      <c r="H10" s="113" t="inlineStr">
        <is>
          <t>Social Behaviour</t>
        </is>
      </c>
      <c r="I10" s="128" t="inlineStr">
        <is>
          <t>https://ascentialcdn.filespin.io/api/v1/conversion/32ef7021bdbd4c4392fa51fb240d45e6</t>
        </is>
      </c>
      <c r="J10" s="127" t="inlineStr">
        <is>
          <t>h4Kl5THlsYw</t>
        </is>
      </c>
      <c r="K10" s="127" t="n"/>
      <c r="L10" s="128" t="inlineStr">
        <is>
          <t>https://www.lovethework.com/work/entries/prize-on-the-bone-756514</t>
        </is>
      </c>
      <c r="M10" s="113" t="inlineStr">
        <is>
          <t>A launch promotion for KFC's then-unknown Brazilian ice-cream product that laser-etched 'Você ganhou um sorvete' — 'You won an ice cream' — into the bones of 3,000 chicken pieces served across São Paulo. The hidden prize, revealed only after the bone was cleaned, deliberately echoed a beloved Brazilian ice-cream-stick promo from the 90s.</t>
        </is>
      </c>
      <c r="N10" s="113" t="inlineStr">
        <is>
          <t>qsr, fast-food, restaurant, food, product-launch, retail-promo, packaging, integrated, brazil, partnership</t>
        </is>
      </c>
    </row>
    <row r="11">
      <c r="A11" s="127" t="n">
        <v>2025</v>
      </c>
      <c r="B11" s="132" t="inlineStr">
        <is>
          <t>Silver</t>
        </is>
      </c>
      <c r="C11" s="127" t="inlineStr">
        <is>
          <t>Price Packs</t>
        </is>
      </c>
      <c r="D11" s="127" t="inlineStr">
        <is>
          <t>Penny</t>
        </is>
      </c>
      <c r="E11" s="127" t="inlineStr">
        <is>
          <t>Food/non-Food</t>
        </is>
      </c>
      <c r="F11" s="127" t="inlineStr">
        <is>
          <t>Serviceplan Germany</t>
        </is>
      </c>
      <c r="G11" s="127" t="inlineStr">
        <is>
          <t>Germany</t>
        </is>
      </c>
      <c r="H11" s="113" t="inlineStr">
        <is>
          <t>Retail Media</t>
        </is>
      </c>
      <c r="I11" s="128" t="inlineStr">
        <is>
          <t>https://ascentialcdn.filespin.io/api/v1/conversion/67b6df2a0fe64deeb274c91d50040c54</t>
        </is>
      </c>
      <c r="J11" s="127" t="inlineStr">
        <is>
          <t>wXx6z3mDnVc</t>
        </is>
      </c>
      <c r="K11" s="127" t="n"/>
      <c r="L11" s="128" t="inlineStr">
        <is>
          <t>https://www.lovethework.com/work/entries/price-packs-756267</t>
        </is>
      </c>
      <c r="M11" s="113" t="inlineStr">
        <is>
          <t>A packaging redesign for five Penny staples — oatmeal, toast, salt, crisps, mayonnaise — that swaps standard product graphics for the locked-in low price rendered enormous on the front of the pack. The shelf becomes its own price-stability ad, with the same visual extended to outdoor across all 2,100 stores.</t>
        </is>
      </c>
      <c r="N11" s="113" t="inlineStr">
        <is>
          <t>packaging, retail, ooh, supermarket, grocery, design, price, germany, market-disruption</t>
        </is>
      </c>
    </row>
    <row r="12">
      <c r="A12" s="127" t="n">
        <v>2025</v>
      </c>
      <c r="B12" s="132" t="inlineStr">
        <is>
          <t>Silver</t>
        </is>
      </c>
      <c r="C12" s="127" t="inlineStr">
        <is>
          <t>Orange - Safer Phone</t>
        </is>
      </c>
      <c r="D12" s="127" t="inlineStr">
        <is>
          <t>Orange</t>
        </is>
      </c>
      <c r="E12" s="127" t="inlineStr">
        <is>
          <t>Safer Phones</t>
        </is>
      </c>
      <c r="F12" s="127" t="inlineStr">
        <is>
          <t>Publicis Conseil</t>
        </is>
      </c>
      <c r="G12" s="127" t="inlineStr">
        <is>
          <t>France</t>
        </is>
      </c>
      <c r="H12" s="113" t="inlineStr">
        <is>
          <t>Consumer Services/Business to Business</t>
        </is>
      </c>
      <c r="I12" s="128" t="inlineStr">
        <is>
          <t>https://ascentialcdn.filespin.io/api/v1/conversion/cb56a9988125417f960278fdeea26a5f</t>
        </is>
      </c>
      <c r="J12" s="127" t="inlineStr">
        <is>
          <t>fvFMlQwQJNk</t>
        </is>
      </c>
      <c r="K12" s="127" t="n"/>
      <c r="L12" s="128" t="inlineStr">
        <is>
          <t>https://www.lovethework.com/work/entries/orange-safer-phone-756150</t>
        </is>
      </c>
      <c r="M12" s="113" t="inlineStr">
        <is>
          <t>A phone offer from Orange, launched at Christmas in France, that packages parental controls and usage limits into a teen's plan — framed as a gift that parents and teenagers could agree on. Developed with Publicis Conseil, Paris, it positions safe-usage features as a selling point rather than a hidden restriction.</t>
        </is>
      </c>
      <c r="N12" s="113" t="inlineStr">
        <is>
          <t>telecom, consumer-services, parental-controls, christmas, france, mobile-app, youth-audience, publicis-conseil</t>
        </is>
      </c>
    </row>
    <row r="13">
      <c r="A13" s="127" t="n">
        <v>2025</v>
      </c>
      <c r="B13" s="132" t="inlineStr">
        <is>
          <t>Silver</t>
        </is>
      </c>
      <c r="C13" s="127" t="inlineStr">
        <is>
          <t>U Up?</t>
        </is>
      </c>
      <c r="D13" s="127" t="inlineStr">
        <is>
          <t>IKEA</t>
        </is>
      </c>
      <c r="E13" s="127" t="inlineStr">
        <is>
          <t>IKEA</t>
        </is>
      </c>
      <c r="F13" s="127" t="inlineStr">
        <is>
          <t>Rethink</t>
        </is>
      </c>
      <c r="G13" s="127" t="inlineStr">
        <is>
          <t>Canada</t>
        </is>
      </c>
      <c r="H13" s="113" t="inlineStr">
        <is>
          <t>Use of Humour</t>
        </is>
      </c>
      <c r="I13" s="128" t="inlineStr">
        <is>
          <t>https://ascentialcdn.filespin.io/api/v1/conversion/1d6f8cfcad1b47c9beaa5f403844ec8a</t>
        </is>
      </c>
      <c r="J13" s="127" t="inlineStr">
        <is>
          <t>VT02JDQuMxM</t>
        </is>
      </c>
      <c r="K13" s="127" t="n"/>
      <c r="L13" s="128" t="inlineStr">
        <is>
          <t>https://www.lovethework.com/work/entries/u-up-756513</t>
        </is>
      </c>
      <c r="M13" s="113" t="inlineStr">
        <is>
          <t>A late-night Instagram DM campaign that sent the message "u up?" to Canadians detected to be awake between 10 p.m. and 5 a.m., then offered anyone who replied a discounted or free mattress. The mechanic mimicked a late-night booty-call text to position IKEA as the reason you're still scrolling — and the solution to it.</t>
        </is>
      </c>
      <c r="N13" s="113" t="inlineStr">
        <is>
          <t>ikea, home-furnishings, social-media, instagram, direct-message, ooh, canada, use-of-humour, late-night</t>
        </is>
      </c>
    </row>
    <row r="14">
      <c r="A14" s="127" t="n">
        <v>2025</v>
      </c>
      <c r="B14" s="133" t="inlineStr">
        <is>
          <t>Bronze</t>
        </is>
      </c>
      <c r="C14" s="127" t="inlineStr">
        <is>
          <t>Bad Luck Reverser</t>
        </is>
      </c>
      <c r="D14" s="127" t="inlineStr">
        <is>
          <t>Refisal</t>
        </is>
      </c>
      <c r="E14" s="127" t="inlineStr">
        <is>
          <t>Refisal</t>
        </is>
      </c>
      <c r="F14" s="127" t="inlineStr">
        <is>
          <t>Name</t>
        </is>
      </c>
      <c r="G14" s="127" t="inlineStr">
        <is>
          <t>Colombia</t>
        </is>
      </c>
      <c r="H14" s="113" t="inlineStr">
        <is>
          <t>Targeting, Insights and Personalisation</t>
        </is>
      </c>
      <c r="I14" s="128" t="inlineStr">
        <is>
          <t>https://ascentialcdn.filespin.io/api/v1/conversion/7e95f656b693443d8d4e60f0a4c9b853</t>
        </is>
      </c>
      <c r="J14" s="127" t="inlineStr">
        <is>
          <t>4OaN00EWwWg</t>
        </is>
      </c>
      <c r="K14" s="127" t="n"/>
      <c r="L14" s="128" t="inlineStr">
        <is>
          <t>https://www.lovethework.com/work/entries/bad-luck-reverser-756277</t>
        </is>
      </c>
      <c r="M14" s="113" t="inlineStr">
        <is>
          <t>A line of team-branded salt packets — one for each of Colombia's 20 top-flight football clubs, plus a national-team edition — built around the local superstition of tossing salt over your shoulder to reverse bad luck. Distributed through bodegas and stadiums, the pack put a pantry staple inside the matchday ritual.</t>
        </is>
      </c>
      <c r="N14" s="113" t="inlineStr">
        <is>
          <t>packaging, sport, football, soccer, packaged-goods, cpg, fmcg, retail, colombia, partnership, social-behaviour</t>
        </is>
      </c>
    </row>
    <row r="15">
      <c r="A15" s="127" t="n">
        <v>2025</v>
      </c>
      <c r="B15" s="133" t="inlineStr">
        <is>
          <t>Bronze</t>
        </is>
      </c>
      <c r="C15" s="127" t="inlineStr">
        <is>
          <t>Certified Toasters</t>
        </is>
      </c>
      <c r="D15" s="127" t="inlineStr">
        <is>
          <t>Goodman Fielder Baking</t>
        </is>
      </c>
      <c r="E15" s="127" t="inlineStr">
        <is>
          <t>Vogel's</t>
        </is>
      </c>
      <c r="F15" s="127" t="inlineStr">
        <is>
          <t>DDB New Zealand</t>
        </is>
      </c>
      <c r="G15" s="127" t="inlineStr">
        <is>
          <t>New Zealand</t>
        </is>
      </c>
      <c r="H15" s="113" t="inlineStr">
        <is>
          <t>Social Behaviour</t>
        </is>
      </c>
      <c r="I15" s="128" t="inlineStr">
        <is>
          <t>https://ascentialcdn.filespin.io/api/v1/conversion/30f06e4e4ef440009490ba98305ec513</t>
        </is>
      </c>
      <c r="J15" s="127" t="inlineStr">
        <is>
          <t>S_gE7H2X8zw</t>
        </is>
      </c>
      <c r="K15" s="127" t="n"/>
      <c r="L15" s="128" t="inlineStr">
        <is>
          <t>https://www.lovethework.com/work/entries/certified-toasters-756382</t>
        </is>
      </c>
      <c r="M15" s="113" t="inlineStr">
        <is>
          <t>A product certification program Vogel's ran with The Warehouse, New Zealand's largest retailer, testing every Living &amp; Co and Kensington toaster model sold in-store and online to determine the optimal toasting setting for Vogel's bread on each specific unit. Each certified toaster was labeled with its verified Vogel's toasting method, giving shoppers a bread-specific guide at the point of purchase.</t>
        </is>
      </c>
      <c r="N15" s="113" t="inlineStr">
        <is>
          <t>bread, food, packaged-goods, cpg, fmcg, retail, in-store, new-zealand, product-certification, social-behaviour, partnership, packaging-adjacent</t>
        </is>
      </c>
    </row>
    <row r="16">
      <c r="A16" s="127" t="n">
        <v>2025</v>
      </c>
      <c r="B16" s="133" t="inlineStr">
        <is>
          <t>Bronze</t>
        </is>
      </c>
      <c r="C16" s="127" t="inlineStr">
        <is>
          <t>Gamepay</t>
        </is>
      </c>
      <c r="D16" s="127" t="inlineStr">
        <is>
          <t>Elgiganten</t>
        </is>
      </c>
      <c r="E16" s="127" t="inlineStr">
        <is>
          <t>Gamepay Payment Solution</t>
        </is>
      </c>
      <c r="F16" s="127" t="inlineStr">
        <is>
          <t>Leo Stockholm</t>
        </is>
      </c>
      <c r="G16" s="127" t="inlineStr">
        <is>
          <t>Sweden</t>
        </is>
      </c>
      <c r="H16" s="113" t="inlineStr">
        <is>
          <t>In-Store Experiences</t>
        </is>
      </c>
      <c r="I16" s="128" t="inlineStr">
        <is>
          <t>https://ascentialcdn.filespin.io/api/v1/conversion/0dd066245fc34dabbdcefcd302d6dec0</t>
        </is>
      </c>
      <c r="J16" s="127" t="inlineStr">
        <is>
          <t>yR9xtq0UcRQ</t>
        </is>
      </c>
      <c r="K16" s="127" t="n"/>
      <c r="L16" s="128" t="inlineStr">
        <is>
          <t>https://www.lovethework.com/work/entries/gamepay-756300</t>
        </is>
      </c>
      <c r="M16" s="113" t="inlineStr">
        <is>
          <t>A payment solution built for Elgiganten stores that lets customers buy physical products using in-game assets — skins, currency, and other gaming inventory — directly at checkout with no fees. It launched live at DreamHack Stockholm 2024 before rolling out to selected stores in Sweden, with expansion planned across Finland, Denmark, and Norway in 2025.</t>
        </is>
      </c>
      <c r="N16" s="113" t="inlineStr">
        <is>
          <t>electronics-retail, in-store-experience, fintech, financial-services, finance, gaming, video-games, entertainment, sweden, nordic, payment, dreamhack</t>
        </is>
      </c>
    </row>
    <row r="17">
      <c r="A17" s="127" t="n">
        <v>2025</v>
      </c>
      <c r="B17" s="133" t="inlineStr">
        <is>
          <t>Bronze</t>
        </is>
      </c>
      <c r="C17" s="127" t="inlineStr">
        <is>
          <t>Emoji Coke</t>
        </is>
      </c>
      <c r="D17" s="127" t="inlineStr">
        <is>
          <t>Coca-Cola</t>
        </is>
      </c>
      <c r="E17" s="127" t="inlineStr">
        <is>
          <t>Coca-Cola</t>
        </is>
      </c>
      <c r="F17" s="127" t="inlineStr">
        <is>
          <t>VML</t>
        </is>
      </c>
      <c r="G17" s="127" t="inlineStr">
        <is>
          <t>United States</t>
        </is>
      </c>
      <c r="H17" s="113" t="inlineStr">
        <is>
          <t>Consumer Goods</t>
        </is>
      </c>
      <c r="I17" s="128" t="inlineStr">
        <is>
          <t>https://ascentialcdn.filespin.io/api/v1/conversion/2feb6d1ff52a478c9a984b587364f7e7</t>
        </is>
      </c>
      <c r="J17" s="127" t="inlineStr">
        <is>
          <t>vimeo:1095764716</t>
        </is>
      </c>
      <c r="K17" s="127" t="n"/>
      <c r="L17" s="128" t="inlineStr">
        <is>
          <t>https://www.lovethework.com/work/entries/emoji-coke-755966</t>
        </is>
      </c>
      <c r="M17" s="113" t="inlineStr">
        <is>
          <t>A custom microsite where typing any combination of food and drink emojis generates a unique Coca-Cola pairing suggestion, unlocking redeemable vouchers from Coca-Cola's food and entertainment partners in Saudi Arabia. A limited-edition physical "Emoji Coke" cup — shaped like the generic soda cup emoji — was produced as a real-world prize, effectively staking a claim on the 🥤 emoji as a Coca-Cola signifier among Gen Z.</t>
        </is>
      </c>
      <c r="N17" s="113" t="inlineStr">
        <is>
          <t>soft-drink, mobile-web, gamification, gen-z, saudi-arabia, loyalty, limited-edition-packaging, consumer-goods, cpg, fmcg</t>
        </is>
      </c>
    </row>
    <row r="18">
      <c r="A18" s="127" t="n">
        <v>2025</v>
      </c>
      <c r="B18" s="133" t="inlineStr">
        <is>
          <t>Bronze</t>
        </is>
      </c>
      <c r="C18" s="127" t="inlineStr">
        <is>
          <t>Trash Talk Codes</t>
        </is>
      </c>
      <c r="D18" s="127" t="inlineStr">
        <is>
          <t>Brahma</t>
        </is>
      </c>
      <c r="E18" s="127" t="inlineStr">
        <is>
          <t>Beer</t>
        </is>
      </c>
      <c r="F18" s="127" t="inlineStr">
        <is>
          <t>Africa Creative DDB</t>
        </is>
      </c>
      <c r="G18" s="127" t="inlineStr">
        <is>
          <t>Brazil</t>
        </is>
      </c>
      <c r="H18" s="113" t="inlineStr">
        <is>
          <t>Innovative use of Commerce Channel</t>
        </is>
      </c>
      <c r="I18" s="128" t="inlineStr">
        <is>
          <t>https://ascentialcdn.filespin.io/api/v1/conversion/33bdcd0b6d9f488bb4f5fc588536ffbd</t>
        </is>
      </c>
      <c r="J18" s="127" t="inlineStr">
        <is>
          <t>vimeo:1090489924</t>
        </is>
      </c>
      <c r="K18" s="127" t="n"/>
      <c r="L18" s="128" t="inlineStr">
        <is>
          <t>https://www.lovethework.com/work/entries/trash-talk-codes-756163</t>
        </is>
      </c>
      <c r="M18" s="113" t="inlineStr">
        <is>
          <t>QR codes printed on Brahma beer packaging that, when scanned, unlock exclusive content or commerce rewards triggered by trash talk — insults exchanged between rival football fans in Brazil. The codes activate only in response to specific taunting language, turning the ritual of football banter into a purchase mechanic tied directly to the product.</t>
        </is>
      </c>
      <c r="N18" s="113" t="inlineStr">
        <is>
          <t>beer, alcohol, packaging, qr-code, football, soccer, sport, commerce, brazil, mobile, sports-culture</t>
        </is>
      </c>
    </row>
    <row r="19">
      <c r="A19" s="127" t="n">
        <v>2025</v>
      </c>
      <c r="B19" s="133" t="inlineStr">
        <is>
          <t>Bronze</t>
        </is>
      </c>
      <c r="C19" s="127" t="inlineStr">
        <is>
          <t>Bar Dating – Powered by Hei!</t>
        </is>
      </c>
      <c r="D19" s="127" t="inlineStr">
        <is>
          <t>Heineken</t>
        </is>
      </c>
      <c r="E19" s="127" t="inlineStr">
        <is>
          <t>Heineken</t>
        </is>
      </c>
      <c r="F19" s="127" t="inlineStr">
        <is>
          <t>Lepub</t>
        </is>
      </c>
      <c r="G19" s="127" t="inlineStr">
        <is>
          <t>Brazil</t>
        </is>
      </c>
      <c r="H19" s="113" t="inlineStr">
        <is>
          <t>Social Behaviour</t>
        </is>
      </c>
      <c r="I19" s="128" t="inlineStr">
        <is>
          <t>https://ascentialcdn.filespin.io/api/v1/conversion/6e35bee1ed324003aa2a205fcdfecf12</t>
        </is>
      </c>
      <c r="J19" s="127" t="inlineStr">
        <is>
          <t>vimeo:1094166672</t>
        </is>
      </c>
      <c r="K19" s="127" t="n"/>
      <c r="L19" s="128" t="inlineStr">
        <is>
          <t>https://www.lovethework.com/work/entries/bar-dating-powered-by-hei-764307</t>
        </is>
      </c>
      <c r="M19" s="113" t="inlineStr">
        <is>
          <t>A feature built into Heineken's Hei! app that works like a dating app for bars — matching first-time visitors to venues they haven't tried before, based on their preferences. The mechanic was designed around the insight that regulars spend 35% less per visit than first-time customers, giving bars a direct tool to attract new foot traffic.</t>
        </is>
      </c>
      <c r="N19" s="113" t="inlineStr">
        <is>
          <t>beer, alcohol, mobile-app, bar-discovery, social-behaviour, brazil, dating-mechanic, out-of-home</t>
        </is>
      </c>
    </row>
    <row r="20">
      <c r="A20" s="127" t="n">
        <v>2025</v>
      </c>
      <c r="B20" s="133" t="inlineStr">
        <is>
          <t>Bronze</t>
        </is>
      </c>
      <c r="C20" s="127" t="inlineStr">
        <is>
          <t>Minefield Honey: Harvesting Hope</t>
        </is>
      </c>
      <c r="D20" s="127" t="inlineStr">
        <is>
          <t>Kernel, Ministry of Foreign Affairs of Ukraine</t>
        </is>
      </c>
      <c r="E20" s="127" t="inlineStr">
        <is>
          <t>Agriculture</t>
        </is>
      </c>
      <c r="F20" s="127" t="inlineStr">
        <is>
          <t>Saatchi &amp; Saatchi Ukraine</t>
        </is>
      </c>
      <c r="G20" s="127" t="inlineStr">
        <is>
          <t>Ukraine</t>
        </is>
      </c>
      <c r="H20" s="113" t="inlineStr">
        <is>
          <t>Corporate Purpose &amp; Social Responsibility</t>
        </is>
      </c>
      <c r="I20" s="128" t="inlineStr">
        <is>
          <t>https://ascentialcdn.filespin.io/api/v1/conversion/e943553f2152499c8182bfce20e7355d</t>
        </is>
      </c>
      <c r="J20" s="127" t="inlineStr">
        <is>
          <t>ABV3K_N7a7k</t>
        </is>
      </c>
      <c r="K20" s="127" t="n"/>
      <c r="L20" s="128" t="inlineStr">
        <is>
          <t>https://www.lovethework.com/work/entries/minefield-honey-harvesting-hope-762159</t>
        </is>
      </c>
      <c r="M20" s="113" t="inlineStr">
        <is>
          <t>A honey product harvested from beehives placed on Ukrainian agricultural land actively being cleared of landmines — the bees' foraging range maps safe corridors, and the act of selling the honey funds continued demining work. Produced by Kernel, Ukraine's largest agricultural company, in partnership with the Ministry of Foreign Affairs of Ukraine, the initiative links commercial food export to the reclamation of farmland rendered unusable by the war.</t>
        </is>
      </c>
      <c r="N20" s="113" t="inlineStr">
        <is>
          <t>agriculture, public-service, ukraine, demining, packaging, humanitarian, food-product, war-recovery</t>
        </is>
      </c>
    </row>
    <row r="21">
      <c r="A21" s="127" t="n">
        <v>2025</v>
      </c>
      <c r="B21" s="133" t="inlineStr">
        <is>
          <t>Bronze</t>
        </is>
      </c>
      <c r="C21" s="127" t="inlineStr">
        <is>
          <t>Kleenex Score</t>
        </is>
      </c>
      <c r="D21" s="127" t="inlineStr">
        <is>
          <t>Kimberly-Clark</t>
        </is>
      </c>
      <c r="E21" s="127" t="inlineStr">
        <is>
          <t>Kleenex</t>
        </is>
      </c>
      <c r="F21" s="127" t="inlineStr">
        <is>
          <t>VML</t>
        </is>
      </c>
      <c r="G21" s="127" t="inlineStr">
        <is>
          <t>United States</t>
        </is>
      </c>
      <c r="H21" s="113" t="inlineStr">
        <is>
          <t>Innovative use of Commerce Channel</t>
        </is>
      </c>
      <c r="I21" s="128" t="inlineStr">
        <is>
          <t>https://ascentialcdn.filespin.io/api/v1/conversion/b71f0dff73f3455abef2899f0b1aeb49</t>
        </is>
      </c>
      <c r="J21" s="127" t="inlineStr">
        <is>
          <t>hKBNKbhMwZw</t>
        </is>
      </c>
      <c r="K21" s="127" t="n"/>
      <c r="L21" s="128" t="inlineStr">
        <is>
          <t>https://www.lovethework.com/work/entries/kleenex-score-756290</t>
        </is>
      </c>
      <c r="M21" s="113" t="inlineStr">
        <is>
          <t>A rating system built into IMDb, in partnership with VML, that assigns each film a "Kleenex Score" indicating how likely it is to make viewers cry. The score appears alongside standard IMDb ratings, placing Kleenex directly inside the moment moviegoers decide what to watch.</t>
        </is>
      </c>
      <c r="N21" s="113" t="inlineStr">
        <is>
          <t>tissue, digital-platform, imdb, branded-utility, film, cinema, entertainment, united-states, rating-system</t>
        </is>
      </c>
    </row>
  </sheetData>
  <autoFilter ref="A1:N21"/>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I17" r:id="rId31"/>
    <hyperlink xmlns:r="http://schemas.openxmlformats.org/officeDocument/2006/relationships" ref="L17" r:id="rId32"/>
    <hyperlink xmlns:r="http://schemas.openxmlformats.org/officeDocument/2006/relationships" ref="I18" r:id="rId33"/>
    <hyperlink xmlns:r="http://schemas.openxmlformats.org/officeDocument/2006/relationships" ref="L18" r:id="rId34"/>
    <hyperlink xmlns:r="http://schemas.openxmlformats.org/officeDocument/2006/relationships" ref="I19" r:id="rId35"/>
    <hyperlink xmlns:r="http://schemas.openxmlformats.org/officeDocument/2006/relationships" ref="L19" r:id="rId36"/>
    <hyperlink xmlns:r="http://schemas.openxmlformats.org/officeDocument/2006/relationships" ref="I20" r:id="rId37"/>
    <hyperlink xmlns:r="http://schemas.openxmlformats.org/officeDocument/2006/relationships" ref="L20" r:id="rId38"/>
    <hyperlink xmlns:r="http://schemas.openxmlformats.org/officeDocument/2006/relationships" ref="I21" r:id="rId39"/>
    <hyperlink xmlns:r="http://schemas.openxmlformats.org/officeDocument/2006/relationships" ref="L21" r:id="rId40"/>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Sounds Right</t>
        </is>
      </c>
      <c r="D2" s="127" t="inlineStr">
        <is>
          <t>Museum for the United Nations - UN Live, Spotify</t>
        </is>
      </c>
      <c r="E2" s="127" t="inlineStr">
        <is>
          <t>Music</t>
        </is>
      </c>
      <c r="F2" s="127" t="inlineStr">
        <is>
          <t>AKQA</t>
        </is>
      </c>
      <c r="G2" s="127" t="inlineStr">
        <is>
          <t>Denmark</t>
        </is>
      </c>
      <c r="H2" s="113" t="inlineStr">
        <is>
          <t>Environmental Innovation</t>
        </is>
      </c>
      <c r="I2" s="128" t="inlineStr">
        <is>
          <t>https://ascentialcdn.filespin.io/api/v1/conversion/5015b68d24bd481a8fcfefc326f5b154</t>
        </is>
      </c>
      <c r="J2" s="127" t="inlineStr">
        <is>
          <t>vimeo:1094746280</t>
        </is>
      </c>
      <c r="K2" s="127" t="n"/>
      <c r="L2" s="128" t="inlineStr">
        <is>
          <t>https://www.lovethework.com/work/entries/sounds-right-761761</t>
        </is>
      </c>
      <c r="M2"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 s="113" t="inlineStr">
        <is>
          <t>music, entertainment, streaming, tv, spotify, mobile-app, conservation, public-service, corporate-social-responsibility, denmark, akqa</t>
        </is>
      </c>
    </row>
    <row r="3">
      <c r="A3" s="127" t="n">
        <v>2025</v>
      </c>
      <c r="B3" s="140" t="inlineStr">
        <is>
          <t>Gold</t>
        </is>
      </c>
      <c r="C3" s="127" t="inlineStr">
        <is>
          <t>Caption with Intention</t>
        </is>
      </c>
      <c r="D3" s="127" t="inlineStr">
        <is>
          <t>Academy of Motion Picture Arts &amp; Sciences - Rakish - Chicago Hearing Society</t>
        </is>
      </c>
      <c r="E3" s="127" t="inlineStr">
        <is>
          <t>Closed Captioning</t>
        </is>
      </c>
      <c r="F3" s="127" t="inlineStr">
        <is>
          <t>FCB Chicago</t>
        </is>
      </c>
      <c r="G3" s="127" t="inlineStr">
        <is>
          <t>United States</t>
        </is>
      </c>
      <c r="H3" s="113" t="inlineStr">
        <is>
          <t>Societal Innovation</t>
        </is>
      </c>
      <c r="I3" s="128" t="inlineStr">
        <is>
          <t>https://ascentialcdn.filespin.io/api/v1/conversion/bcb995632e51401e9bb1c27a8f759215</t>
        </is>
      </c>
      <c r="J3" s="127" t="inlineStr">
        <is>
          <t>F48khKZhKHM</t>
        </is>
      </c>
      <c r="K3" s="127" t="n"/>
      <c r="L3" s="128" t="inlineStr">
        <is>
          <t>https://www.lovethework.com/work/entries/caption-with-intention-752614</t>
        </is>
      </c>
      <c r="M3"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3" s="113" t="inlineStr">
        <is>
          <t>closed-captioning, accessibility, typography, film, cinema, entertainment, societal-innovation, united-states, design-system, deaf-hard-of-hearing</t>
        </is>
      </c>
    </row>
    <row r="4">
      <c r="A4" s="127" t="n">
        <v>2025</v>
      </c>
      <c r="B4" s="132" t="inlineStr">
        <is>
          <t>Silver</t>
        </is>
      </c>
      <c r="C4" s="127" t="inlineStr">
        <is>
          <t>Baby Minder</t>
        </is>
      </c>
      <c r="D4" s="127" t="inlineStr">
        <is>
          <t>Eurofarma</t>
        </is>
      </c>
      <c r="E4" s="127" t="inlineStr">
        <is>
          <t>Baby Minder</t>
        </is>
      </c>
      <c r="F4" s="127" t="inlineStr">
        <is>
          <t>Ogilvy Health</t>
        </is>
      </c>
      <c r="G4" s="127" t="inlineStr">
        <is>
          <t>United States</t>
        </is>
      </c>
      <c r="H4" s="113" t="inlineStr">
        <is>
          <t>Early-Stage Technology</t>
        </is>
      </c>
      <c r="I4" s="128" t="inlineStr">
        <is>
          <t>https://ascentialcdn.filespin.io/api/v1/conversion/57def036fd3c4c41912d570ec8706239</t>
        </is>
      </c>
      <c r="J4" s="127" t="inlineStr">
        <is>
          <t>vimeo:1081167145</t>
        </is>
      </c>
      <c r="K4" s="127" t="n"/>
      <c r="L4" s="128" t="inlineStr">
        <is>
          <t>https://www.lovethework.com/work/entries/baby-minder-760278</t>
        </is>
      </c>
      <c r="M4" s="113" t="inlineStr">
        <is>
          <t>A baby monitor that uses AI-powered computer vision to scan infant movements for subtle neurological symptoms that parents lack the clinical training to recognize. Developed by Ogilvy Health New York for Eurofarma, it is designed to flag early warning signs of neurological conditions during the developmental window when intervention is most effective.</t>
        </is>
      </c>
      <c r="N4" s="113" t="inlineStr">
        <is>
          <t>baby-monitor, ai, technology, computer-vision, early-stage-technology, pediatric-health, mobile-app, united-states, pharma</t>
        </is>
      </c>
    </row>
    <row r="5">
      <c r="A5" s="127" t="n">
        <v>2025</v>
      </c>
      <c r="B5" s="132" t="inlineStr">
        <is>
          <t>Silver</t>
        </is>
      </c>
      <c r="C5" s="127" t="inlineStr">
        <is>
          <t>Beer Retirement Account</t>
        </is>
      </c>
      <c r="D5" s="127" t="inlineStr">
        <is>
          <t>Poker Beer</t>
        </is>
      </c>
      <c r="E5" s="127" t="inlineStr">
        <is>
          <t>Poker</t>
        </is>
      </c>
      <c r="F5" s="127" t="inlineStr">
        <is>
          <t>Monks</t>
        </is>
      </c>
      <c r="G5" s="127" t="inlineStr">
        <is>
          <t>Colombia</t>
        </is>
      </c>
      <c r="H5" s="113" t="inlineStr">
        <is>
          <t>Societal Innovation</t>
        </is>
      </c>
      <c r="I5" s="128" t="inlineStr">
        <is>
          <t>https://ascentialcdn.filespin.io/api/v1/conversion/9c0dd0aaa6f044518e70e7d63c0c78dd</t>
        </is>
      </c>
      <c r="J5" s="127" t="inlineStr">
        <is>
          <t>YTUf_mLc_5U</t>
        </is>
      </c>
      <c r="K5" s="127" t="n"/>
      <c r="L5" s="128" t="inlineStr">
        <is>
          <t>https://www.lovethework.com/work/entries/beer-retirement-account-752712</t>
        </is>
      </c>
      <c r="M5" s="113" t="inlineStr">
        <is>
          <t>A loyalty program built into Poker Beer's existing vendor network that converts points earned by beer sellers — mostly informal workers excluded from Colombia's pension system, where only 18% of citizens access a full pension — into verified retirement fund contributions. Monks, Bogotá partnered with Poker, Colombia's second-largest beer brand, to route the mechanics of a standard beer loyalty scheme directly into the formal savings infrastructure vendors would otherwise never reach.</t>
        </is>
      </c>
      <c r="N5" s="113" t="inlineStr">
        <is>
          <t>beer, alcohol, loyalty-program, retirement, colombia, societal-innovation, fintech, financial-services, finance, informal-economy, b2b, business</t>
        </is>
      </c>
    </row>
    <row r="6">
      <c r="A6" s="127" t="n">
        <v>2025</v>
      </c>
      <c r="B6" s="133" t="inlineStr">
        <is>
          <t>Bronze</t>
        </is>
      </c>
      <c r="C6" s="127" t="inlineStr">
        <is>
          <t>Painvisible</t>
        </is>
      </c>
      <c r="D6" s="127" t="inlineStr">
        <is>
          <t>Aritium</t>
        </is>
      </c>
      <c r="E6" s="127" t="inlineStr">
        <is>
          <t>Painvisible</t>
        </is>
      </c>
      <c r="F6" s="127" t="inlineStr">
        <is>
          <t>VML</t>
        </is>
      </c>
      <c r="G6" s="127" t="inlineStr">
        <is>
          <t>Spain</t>
        </is>
      </c>
      <c r="H6" s="113" t="inlineStr">
        <is>
          <t>Product Innovation</t>
        </is>
      </c>
      <c r="I6" s="128" t="inlineStr">
        <is>
          <t>https://ascentialcdn.filespin.io/api/v1/conversion/5a1c3d291d1b4a428ebb261bc24b249b</t>
        </is>
      </c>
      <c r="J6" s="127" t="inlineStr">
        <is>
          <t>_BKTmzriqgs</t>
        </is>
      </c>
      <c r="K6" s="127" t="n"/>
      <c r="L6" s="128" t="inlineStr">
        <is>
          <t>https://www.lovethework.com/work/entries/painvisible-752585</t>
        </is>
      </c>
      <c r="M6" s="113" t="inlineStr">
        <is>
          <t>A medical diagnostic tool developed by Aritium and VML Madrid and VML New York that uses thermal imaging cameras and AI to produce an objective, quantified read of a patient's pain level — addressing the core clinical problem that pain self-reporting is impossible for non-verbal patients such as infants, people with dementia, or those under sedation. The system is currently deployed in hospitals across Spain, with rollout planned for Europe, Latin America, and the United States.</t>
        </is>
      </c>
      <c r="N6" s="113" t="inlineStr">
        <is>
          <t>medical-technology, product-innovation, ai, technology, thermal-imaging, healthcare, spain, non-verbal-patients, b2b, business</t>
        </is>
      </c>
    </row>
    <row r="7">
      <c r="A7" s="127" t="n">
        <v>2025</v>
      </c>
      <c r="B7" s="133" t="inlineStr">
        <is>
          <t>Bronze</t>
        </is>
      </c>
      <c r="C7" s="127" t="inlineStr">
        <is>
          <t>Drops of Hope</t>
        </is>
      </c>
      <c r="D7" s="127" t="inlineStr">
        <is>
          <t>Kimberly-Clark</t>
        </is>
      </c>
      <c r="E7" s="127" t="inlineStr">
        <is>
          <t>Poise</t>
        </is>
      </c>
      <c r="F7" s="127" t="inlineStr">
        <is>
          <t>FCB New York</t>
        </is>
      </c>
      <c r="G7" s="127" t="inlineStr">
        <is>
          <t>United States</t>
        </is>
      </c>
      <c r="H7" s="113" t="inlineStr">
        <is>
          <t>Early-Stage Technology</t>
        </is>
      </c>
      <c r="I7" s="128" t="inlineStr">
        <is>
          <t>https://ascentialcdn.filespin.io/api/v1/conversion/98d0bf51b7764f41a17afc9759c91bfa</t>
        </is>
      </c>
      <c r="J7" s="127" t="inlineStr">
        <is>
          <t>MnF0kip489Y</t>
        </is>
      </c>
      <c r="K7" s="127" t="n"/>
      <c r="L7" s="128" t="inlineStr">
        <is>
          <t>https://www.lovethework.com/work/entries/drops-of-hope-761643</t>
        </is>
      </c>
      <c r="M7"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7" s="113" t="inlineStr">
        <is>
          <t>healthcare, diagnostics, medical, womens-health, mail-back, product-innovation, social-good, rural, united-states</t>
        </is>
      </c>
    </row>
    <row r="8">
      <c r="A8" s="127" t="n">
        <v>2025</v>
      </c>
      <c r="B8" s="133" t="inlineStr">
        <is>
          <t>Bronze</t>
        </is>
      </c>
      <c r="C8" s="127" t="inlineStr">
        <is>
          <t>Living Fabric</t>
        </is>
      </c>
      <c r="D8" s="127" t="inlineStr">
        <is>
          <t>Universidad De Los Andes &amp; Atratus</t>
        </is>
      </c>
      <c r="E8" s="127" t="inlineStr">
        <is>
          <t>Living Fabric</t>
        </is>
      </c>
      <c r="F8" s="127" t="inlineStr">
        <is>
          <t>VML</t>
        </is>
      </c>
      <c r="G8" s="127" t="inlineStr">
        <is>
          <t>Colombia</t>
        </is>
      </c>
      <c r="H8" s="113" t="inlineStr">
        <is>
          <t>Environmental Innovation</t>
        </is>
      </c>
      <c r="I8" s="128" t="inlineStr">
        <is>
          <t>https://ascentialcdn.filespin.io/api/v1/conversion/9f8364b5c9b847aa83fb8ea7b62628d8</t>
        </is>
      </c>
      <c r="J8" s="127" t="inlineStr">
        <is>
          <t>eAqaciBGz3k</t>
        </is>
      </c>
      <c r="K8" s="127" t="n"/>
      <c r="L8" s="128" t="inlineStr">
        <is>
          <t>https://www.lovethework.com/work/entries/living-fabric-759716</t>
        </is>
      </c>
      <c r="M8" s="113" t="inlineStr">
        <is>
          <t>A 100% biodegradable textile developed by VML Bogotá with Atratus and Universidad de los Andes that absorbs oil spills and then restores the contaminated land beneath them. The fabric is designed to address oil contamination in Colombia, where spills from aging pipelines are a recurring cause of soil and ecosystem damage.</t>
        </is>
      </c>
      <c r="N8" s="113" t="inlineStr">
        <is>
          <t>textile, environmental-innovation, biodegradable, product-design, colombia, oil-spill, sustainability, university-partnership</t>
        </is>
      </c>
    </row>
  </sheetData>
  <autoFilter ref="A1:N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The Partnership That Changed Everything</t>
        </is>
      </c>
      <c r="D2" s="127" t="inlineStr">
        <is>
          <t>LVMH</t>
        </is>
      </c>
      <c r="E2" s="127" t="inlineStr">
        <is>
          <t>LVMH</t>
        </is>
      </c>
      <c r="F2" s="127" t="inlineStr">
        <is>
          <t>Havas Play</t>
        </is>
      </c>
      <c r="G2" s="127" t="inlineStr">
        <is>
          <t>France</t>
        </is>
      </c>
      <c r="H2" s="113" t="inlineStr">
        <is>
          <t>Partnerships/Collaborations</t>
        </is>
      </c>
      <c r="I2" s="128" t="inlineStr">
        <is>
          <t>https://ascentialcdn.filespin.io/api/v1/conversion/618cd520f9a24294b091f0641b1abd65</t>
        </is>
      </c>
      <c r="J2" s="127" t="inlineStr">
        <is>
          <t>vpsibWyRnKw</t>
        </is>
      </c>
      <c r="K2" s="127" t="n"/>
      <c r="L2" s="128" t="inlineStr">
        <is>
          <t>https://www.lovethework.com/work/entries/the-partnership-that-changed-everything-758515</t>
        </is>
      </c>
      <c r="M2" s="113" t="inlineStr">
        <is>
          <t>A co-creation partnership between LVMH and the Paris 2024 Olympic Games in which each Maison contributed its craftsmanship directly to the event's design and experience — medals, uniforms, ceremonies, and venues — rather than appearing as a traditional sponsor. Havas Play, Paris structured the arrangement so that individual LVMH houses each found a specific role inside the Games, making luxury artistry part of the Olympic fabric itself.</t>
        </is>
      </c>
      <c r="N2" s="113" t="inlineStr">
        <is>
          <t>luxury-goods, sponsorship, partnerships-collaborations, live-event, france, olympic-games, craft, experiential</t>
        </is>
      </c>
    </row>
    <row r="3">
      <c r="A3" s="127" t="n">
        <v>2025</v>
      </c>
      <c r="B3" s="140" t="inlineStr">
        <is>
          <t>Gold</t>
        </is>
      </c>
      <c r="C3" s="127" t="inlineStr">
        <is>
          <t>Late Checkout: a Ritz-Carlton Story</t>
        </is>
      </c>
      <c r="D3" s="127" t="inlineStr">
        <is>
          <t>The Ritz-Carlton, Late Checkout</t>
        </is>
      </c>
      <c r="E3" s="127" t="inlineStr">
        <is>
          <t>Late Checkout Collection, Ritz-Carlton Hotels</t>
        </is>
      </c>
      <c r="F3" s="127" t="inlineStr">
        <is>
          <t>Little Spain</t>
        </is>
      </c>
      <c r="G3" s="127" t="inlineStr">
        <is>
          <t>Spain</t>
        </is>
      </c>
      <c r="H3" s="113" t="inlineStr">
        <is>
          <t>Brand Storytelling</t>
        </is>
      </c>
      <c r="I3" s="128" t="inlineStr">
        <is>
          <t>https://ascentialcdn.filespin.io/api/v1/conversion/ba8c7874143548279ee2ef8936cfee6d</t>
        </is>
      </c>
      <c r="J3" s="127" t="inlineStr">
        <is>
          <t>vimeo:1094659374</t>
        </is>
      </c>
      <c r="K3" s="127" t="n"/>
      <c r="L3" s="128" t="inlineStr">
        <is>
          <t>https://www.lovethework.com/work/entries/late-checkout-a-ritz-carlton-story-758432</t>
        </is>
      </c>
      <c r="M3" s="113" t="inlineStr">
        <is>
          <t>A short film and fashion collection co-created by The Ritz-Carlton and streetwear label Late Checkout, starring Josh Hutcherson and directed by Rogelio González through Little Spain. The film uses the hotel itself as a narrative stage — blending the property's formal luxury aesthetic with Late Checkout's irreverent sensibility to anchor a wearable merchandise line.</t>
        </is>
      </c>
      <c r="N3" s="113" t="inlineStr">
        <is>
          <t>hotel, fashion-collaboration, short-film, brand-storytelling, luxury, spain, merchandise, branded-content</t>
        </is>
      </c>
    </row>
    <row r="4">
      <c r="A4" s="127" t="n">
        <v>2025</v>
      </c>
      <c r="B4" s="132" t="inlineStr">
        <is>
          <t>Silver</t>
        </is>
      </c>
      <c r="C4" s="127" t="inlineStr">
        <is>
          <t>1837 Tiffany Blue Conservation</t>
        </is>
      </c>
      <c r="D4" s="127" t="inlineStr">
        <is>
          <t>Tiffany &amp; Co.</t>
        </is>
      </c>
      <c r="E4" s="127" t="inlineStr">
        <is>
          <t>Tiffany &amp; Co.</t>
        </is>
      </c>
      <c r="F4" s="127" t="inlineStr">
        <is>
          <t>L&amp;C</t>
        </is>
      </c>
      <c r="G4" s="127" t="inlineStr">
        <is>
          <t>United States</t>
        </is>
      </c>
      <c r="H4" s="113" t="inlineStr">
        <is>
          <t>Sustainable Luxury</t>
        </is>
      </c>
      <c r="I4" s="128" t="inlineStr">
        <is>
          <t>https://ascentialcdn.filespin.io/api/v1/conversion/a9e8fdb5892d441587b7c4c55eb3d5fb</t>
        </is>
      </c>
      <c r="J4" s="127" t="inlineStr">
        <is>
          <t>_JhBOf0OJrQ</t>
        </is>
      </c>
      <c r="K4" s="127" t="n"/>
      <c r="L4" s="128" t="inlineStr">
        <is>
          <t>https://www.lovethework.com/work/entries/1837-tiffany-blue-conservation-758489</t>
        </is>
      </c>
      <c r="M4" s="113" t="inlineStr">
        <is>
          <t>A photography and awareness campaign built around the natural occurrence of Tiffany Blue® in ocean waters across Africa, Australia, and the Caribbean — documenting those specific bodies of water as living proof that the brand's signature color exists in nature. Created with L&amp;C New York, the work ties the 1837 founding color to ocean conservation by treating the shade itself as the thing worth protecting.</t>
        </is>
      </c>
      <c r="N4" s="113" t="inlineStr">
        <is>
          <t>luxury-jewelry, sustainability, photography, ocean-conservation, united-states, africa, australia, caribbean, brand-identity</t>
        </is>
      </c>
    </row>
    <row r="5">
      <c r="A5" s="127" t="n">
        <v>2025</v>
      </c>
      <c r="B5" s="133" t="inlineStr">
        <is>
          <t>Bronze</t>
        </is>
      </c>
      <c r="C5" s="127" t="inlineStr">
        <is>
          <t>Don't Call It Love</t>
        </is>
      </c>
      <c r="D5" s="127" t="inlineStr">
        <is>
          <t>Yves Saint Laurent Beaute</t>
        </is>
      </c>
      <c r="E5" s="127" t="inlineStr">
        <is>
          <t>Abuse Is Not Love</t>
        </is>
      </c>
      <c r="F5" s="127" t="inlineStr">
        <is>
          <t>BETC</t>
        </is>
      </c>
      <c r="G5" s="127" t="inlineStr">
        <is>
          <t>France</t>
        </is>
      </c>
      <c r="H5" s="113" t="inlineStr">
        <is>
          <t>Social Campaign</t>
        </is>
      </c>
      <c r="I5" s="128" t="inlineStr">
        <is>
          <t>https://ascentialcdn.filespin.io/api/v1/conversion/b28805c7458d487cbf93d349fcf83dd2</t>
        </is>
      </c>
      <c r="J5" s="127" t="inlineStr">
        <is>
          <t>eBnKDL57i7Y</t>
        </is>
      </c>
      <c r="K5" s="127" t="n"/>
      <c r="L5" s="128" t="inlineStr">
        <is>
          <t>https://www.lovethework.com/work/entries/dont-call-it-love-762992</t>
        </is>
      </c>
      <c r="M5" s="113" t="inlineStr">
        <is>
          <t>A campaign film shot in the style of a luxury perfume commercial — a seemingly idyllic Parisian romance — in which the warning signs of intimate partner abuse are embedded in plain sight throughout the footage. Created by BETC under YSL Beauty's Abuse Is Not Love program, it works from the premise that toxic relationship behavior is so normalized in film, music, advertising, and literature that audiences no longer register it as harm. Released for International Women's Day 2025.</t>
        </is>
      </c>
      <c r="N5" s="113" t="inlineStr">
        <is>
          <t>beauty, social-campaign, film, cinema, entertainment, domestic-violence, public-awareness, france, perfume, international-womens-day</t>
        </is>
      </c>
    </row>
    <row r="6">
      <c r="A6" s="127" t="n">
        <v>2025</v>
      </c>
      <c r="B6" s="133" t="inlineStr">
        <is>
          <t>Bronze</t>
        </is>
      </c>
      <c r="C6" s="127" t="inlineStr">
        <is>
          <t>Prada: Beyond the Line</t>
        </is>
      </c>
      <c r="D6" s="127" t="inlineStr">
        <is>
          <t>Prada Beauté</t>
        </is>
      </c>
      <c r="E6" s="127" t="inlineStr">
        <is>
          <t>Prada Luna Rossa Ocean</t>
        </is>
      </c>
      <c r="F6" s="127" t="inlineStr">
        <is>
          <t>McCANN</t>
        </is>
      </c>
      <c r="G6" s="127" t="inlineStr">
        <is>
          <t>France</t>
        </is>
      </c>
      <c r="H6" s="113" t="inlineStr">
        <is>
          <t>Brand Storytelling</t>
        </is>
      </c>
      <c r="I6" s="128" t="inlineStr">
        <is>
          <t>https://ascentialcdn.filespin.io/api/v1/conversion/d6d662c2af9b477e9d70359dc900be0f</t>
        </is>
      </c>
      <c r="J6" s="127" t="inlineStr">
        <is>
          <t>rXF9wl0BCWE</t>
        </is>
      </c>
      <c r="K6" s="127" t="n"/>
      <c r="L6" s="128" t="inlineStr">
        <is>
          <t>https://www.lovethework.com/work/entries/prada-beyond-the-line-758381</t>
        </is>
      </c>
      <c r="M6" s="113" t="inlineStr">
        <is>
          <t>To launch a fragrance inspired by Prada's decades-long connection to sailing, the brand rejected the polished fantasy of traditional perfume ads for something more real. Jake Gyllenhaal trained with the Luna Rossa Prada Pirelli team and took the helm of one of the fastest sailboats on Earth, turning the campaign into a raw nine-minute documentary and VR experience about performance under pressure.</t>
        </is>
      </c>
      <c r="N6" s="113" t="inlineStr">
        <is>
          <t>fragrance, personal-care, beauty, luxury, branded-content, sailing, sport, partnership, italy</t>
        </is>
      </c>
    </row>
    <row r="7">
      <c r="A7" s="127" t="n">
        <v>2025</v>
      </c>
      <c r="B7" s="133" t="inlineStr">
        <is>
          <t>Bronze</t>
        </is>
      </c>
      <c r="C7" s="127" t="inlineStr">
        <is>
          <t>The Everlasting Logo</t>
        </is>
      </c>
      <c r="D7" s="127" t="inlineStr">
        <is>
          <t>Bottega Veneta</t>
        </is>
      </c>
      <c r="E7" s="127" t="inlineStr">
        <is>
          <t>Bottega Veneta</t>
        </is>
      </c>
      <c r="F7" s="127" t="inlineStr">
        <is>
          <t>Lepub</t>
        </is>
      </c>
      <c r="G7" s="127" t="inlineStr">
        <is>
          <t>Italy</t>
        </is>
      </c>
      <c r="H7" s="113" t="inlineStr">
        <is>
          <t>Experience</t>
        </is>
      </c>
      <c r="I7" s="128" t="inlineStr">
        <is>
          <t>https://ascentialcdn.filespin.io/api/v1/conversion/f0ac97dd3a4547da87ada6ad61058cc1</t>
        </is>
      </c>
      <c r="J7" s="127" t="inlineStr">
        <is>
          <t>ZzT1nS6DJqc</t>
        </is>
      </c>
      <c r="K7" s="127" t="n"/>
      <c r="L7" s="128" t="inlineStr">
        <is>
          <t>https://www.lovethework.com/work/entries/the-everlasting-logo-758398</t>
        </is>
      </c>
      <c r="M7" s="113" t="inlineStr">
        <is>
          <t>An installation at Shanghai's historic Rowing Club built from 20,000 copies of a poetry collection written specifically for the event by Chinese poet Yu Xiuhua — the stacked volumes arranged to form Bottega Veneta's logo. The books were both the structure and the distribution object, making the brand mark out of literature rather than signage.</t>
        </is>
      </c>
      <c r="N7" s="113" t="inlineStr">
        <is>
          <t>luxury-fashion, installation, experiential, china, publishing, ooh, branded-event</t>
        </is>
      </c>
    </row>
    <row r="8">
      <c r="A8" s="127" t="n">
        <v>2025</v>
      </c>
      <c r="B8" s="133" t="inlineStr">
        <is>
          <t>Bronze</t>
        </is>
      </c>
      <c r="C8" s="127" t="inlineStr">
        <is>
          <t>Loewe TikTok</t>
        </is>
      </c>
      <c r="D8" s="127" t="inlineStr">
        <is>
          <t>Loewe</t>
        </is>
      </c>
      <c r="E8" s="127" t="inlineStr">
        <is>
          <t>Loewe</t>
        </is>
      </c>
      <c r="F8" s="127" t="inlineStr">
        <is>
          <t>Loewe</t>
        </is>
      </c>
      <c r="G8" s="127" t="inlineStr">
        <is>
          <t>Spain</t>
        </is>
      </c>
      <c r="H8" s="113" t="inlineStr">
        <is>
          <t>Social Campaign</t>
        </is>
      </c>
      <c r="I8" s="128" t="inlineStr">
        <is>
          <t>https://ascentialcdn.filespin.io/api/v1/conversion/d2cfdb97c2fc40fd9ab74040e3daa0a2</t>
        </is>
      </c>
      <c r="J8" s="127" t="inlineStr">
        <is>
          <t>vimeo:1094660435</t>
        </is>
      </c>
      <c r="K8" s="127" t="n"/>
      <c r="L8" s="128" t="inlineStr">
        <is>
          <t>https://www.lovethework.com/work/entries/loewe-tiktok-762978</t>
        </is>
      </c>
      <c r="M8" s="113" t="inlineStr">
        <is>
          <t>Loewe rewrote the luxury TikTok playbook by trading polished product posts for creator-led content built on humor, authenticity and internet culture. By partnering with niche creators and joining trends without taking itself too seriously, the brand made luxury feel native to Gen Z's feed—and earned hundreds of millions of views in the process.</t>
        </is>
      </c>
      <c r="N8" s="113" t="inlineStr">
        <is>
          <t>fashion, luxury, social-media, tiktok, partnership, gen-z, creator-led, content-strategy, spain</t>
        </is>
      </c>
    </row>
  </sheetData>
  <autoFilter ref="A1:N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9"/>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Real Beauty: How a Soap Brand Created a Global Self-Esteem Movement</t>
        </is>
      </c>
      <c r="D2" s="127" t="inlineStr">
        <is>
          <t>Dove</t>
        </is>
      </c>
      <c r="E2" s="127" t="inlineStr">
        <is>
          <t>Dove</t>
        </is>
      </c>
      <c r="F2" s="127" t="inlineStr">
        <is>
          <t>Ogilvy UK</t>
        </is>
      </c>
      <c r="G2" s="127" t="inlineStr">
        <is>
          <t>United Kingdom</t>
        </is>
      </c>
      <c r="H2" s="113" t="inlineStr">
        <is>
          <t>Long-Term Brand Platform</t>
        </is>
      </c>
      <c r="I2" s="128" t="inlineStr">
        <is>
          <t>https://ascentialcdn.filespin.io/api/v1/conversion/f68a5a2f3d844f2b9e241462ec640c44</t>
        </is>
      </c>
      <c r="J2" s="127" t="inlineStr">
        <is>
          <t>puQ0PNZ1W-A</t>
        </is>
      </c>
      <c r="K2" s="127" t="n"/>
      <c r="L2" s="128" t="inlineStr">
        <is>
          <t>https://www.lovethework.com/work/entries/real-beauty-how-a-soap-brand-created-a-global-self-esteem-movement-754479</t>
        </is>
      </c>
      <c r="M2"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2" s="113" t="inlineStr">
        <is>
          <t>personal-care, long-term-platform, ooh, social-media, self-esteem, united-kingdom, united-states, education, brand-purpose</t>
        </is>
      </c>
    </row>
    <row r="3">
      <c r="A3" s="127" t="n">
        <v>2025</v>
      </c>
      <c r="B3" s="140" t="inlineStr">
        <is>
          <t>Gold</t>
        </is>
      </c>
      <c r="C3" s="127" t="inlineStr">
        <is>
          <t>Heralbony</t>
        </is>
      </c>
      <c r="D3" s="127" t="inlineStr">
        <is>
          <t>Heralbony, Heralbony Co.</t>
        </is>
      </c>
      <c r="E3" s="127" t="inlineStr">
        <is>
          <t>Heralbony</t>
        </is>
      </c>
      <c r="F3" s="127" t="inlineStr">
        <is>
          <t>Ltd.</t>
        </is>
      </c>
      <c r="G3" s="127" t="inlineStr">
        <is>
          <t>Japan</t>
        </is>
      </c>
      <c r="H3" s="113" t="inlineStr">
        <is>
          <t>Product/Service</t>
        </is>
      </c>
      <c r="I3" s="128" t="inlineStr">
        <is>
          <t>https://ascentialcdn.filespin.io/api/v1/conversion/88e24a7cf24b40a590af455059ceeaf9</t>
        </is>
      </c>
      <c r="J3" s="127" t="inlineStr">
        <is>
          <t>3ur8Gor_h-4</t>
        </is>
      </c>
      <c r="K3" s="127" t="n"/>
      <c r="L3" s="128" t="inlineStr">
        <is>
          <t>https://www.lovethework.com/work/entries/heralbony-754170</t>
        </is>
      </c>
      <c r="M3" s="113" t="inlineStr">
        <is>
          <t>A Japanese agency that exclusively represents artists with intellectual disabilities, licensing their artwork to brands, fashion labels, and public spaces to generate professional income for the artists. Founded on the belief that the mainstream art and licensing industry structurally excludes people with intellectual disabilities, HERALBONY operates as both a for-profit company and a channel that routes commercial art deals directly back to the artists who created the work.</t>
        </is>
      </c>
      <c r="N3" s="113" t="inlineStr">
        <is>
          <t>art-licensing, disability-inclusion, social-enterprise, japan, product-service, diversity</t>
        </is>
      </c>
    </row>
    <row r="4">
      <c r="A4" s="127" t="n">
        <v>2025</v>
      </c>
      <c r="B4" s="132" t="inlineStr">
        <is>
          <t>Silver</t>
        </is>
      </c>
      <c r="C4" s="127" t="inlineStr">
        <is>
          <t>The Pen to Right History</t>
        </is>
      </c>
      <c r="D4" s="127" t="inlineStr">
        <is>
          <t>Last Prisoner Project</t>
        </is>
      </c>
      <c r="E4" s="127" t="inlineStr">
        <is>
          <t>Non-For-Profit</t>
        </is>
      </c>
      <c r="F4" s="127" t="inlineStr">
        <is>
          <t>McCANN</t>
        </is>
      </c>
      <c r="G4" s="127" t="inlineStr">
        <is>
          <t>United States</t>
        </is>
      </c>
      <c r="H4" s="113" t="inlineStr">
        <is>
          <t>Initiatives</t>
        </is>
      </c>
      <c r="I4" s="128" t="inlineStr">
        <is>
          <t>https://ascentialcdn.filespin.io/api/v1/conversion/5c13816c86fa4023933a56ac6d5c3593</t>
        </is>
      </c>
      <c r="J4" s="127" t="inlineStr">
        <is>
          <t>SDME83-pHnQ</t>
        </is>
      </c>
      <c r="K4" s="127" t="n"/>
      <c r="L4" s="128" t="inlineStr">
        <is>
          <t>https://www.lovethework.com/work/entries/the-pen-to-right-history-762088</t>
        </is>
      </c>
      <c r="M4" s="113" t="inlineStr">
        <is>
          <t>A physical pen crafted from documents — real incarceration records, clemency pleas, and public calls for reform — and presented to elected officials who hold the power to release people serving time for non-violent cannabis convictions with a single signature. Developed by McCann New York for the Last Prisoner Project, the object functions as a non-partisan symbol of the gap between the ease of granting clemency and the reality of those still incarcerated after widespread cannabis legalization.</t>
        </is>
      </c>
      <c r="N4" s="113" t="inlineStr">
        <is>
          <t>non-profit, public-service, cannabis-justice, clemency, experiential, direct, united-states, social-justice, craft-object</t>
        </is>
      </c>
    </row>
    <row r="5">
      <c r="A5" s="127" t="n">
        <v>2025</v>
      </c>
      <c r="B5" s="132" t="inlineStr">
        <is>
          <t>Silver</t>
        </is>
      </c>
      <c r="C5" s="127" t="inlineStr">
        <is>
          <t>AXA - Three Words</t>
        </is>
      </c>
      <c r="D5" s="127" t="inlineStr">
        <is>
          <t>AXA</t>
        </is>
      </c>
      <c r="E5" s="127" t="inlineStr">
        <is>
          <t>Insurance</t>
        </is>
      </c>
      <c r="F5" s="127" t="inlineStr">
        <is>
          <t>Publicis Conseil</t>
        </is>
      </c>
      <c r="G5" s="127" t="inlineStr">
        <is>
          <t>France</t>
        </is>
      </c>
      <c r="H5" s="113" t="inlineStr">
        <is>
          <t>Product/Service</t>
        </is>
      </c>
      <c r="I5" s="128" t="inlineStr">
        <is>
          <t>https://ascentialcdn.filespin.io/api/v1/conversion/e1a85ff134e545c7b049791151432028</t>
        </is>
      </c>
      <c r="J5" s="127" t="inlineStr">
        <is>
          <t>pY-03zuV7mE</t>
        </is>
      </c>
      <c r="K5" s="127" t="n"/>
      <c r="L5" s="128" t="inlineStr">
        <is>
          <t>https://www.lovethework.com/work/entries/axa-three-words-754295</t>
        </is>
      </c>
      <c r="M5"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5" s="113" t="inlineStr">
        <is>
          <t>insurance, financial-services, finance, france, domestic-violence, public-service, digital-platform, consumer-services, housing, publicis-conseil</t>
        </is>
      </c>
    </row>
    <row r="6">
      <c r="A6" s="127" t="n">
        <v>2025</v>
      </c>
      <c r="B6" s="133" t="inlineStr">
        <is>
          <t>Bronze</t>
        </is>
      </c>
      <c r="C6" s="127" t="inlineStr">
        <is>
          <t>Dove Love Your Hair</t>
        </is>
      </c>
      <c r="D6" s="127" t="inlineStr">
        <is>
          <t>Unilever</t>
        </is>
      </c>
      <c r="E6" s="127" t="inlineStr">
        <is>
          <t>Dove Hair Care</t>
        </is>
      </c>
      <c r="F6" s="127" t="inlineStr">
        <is>
          <t>Edelman</t>
        </is>
      </c>
      <c r="G6" s="127" t="inlineStr">
        <is>
          <t>United States</t>
        </is>
      </c>
      <c r="H6" s="113" t="inlineStr">
        <is>
          <t>Long-Term Brand Platform</t>
        </is>
      </c>
      <c r="I6" s="128" t="inlineStr">
        <is>
          <t>https://ascentialcdn.filespin.io/api/v1/conversion/bb0973df9f0d4e1e83e3c9ef7dc4d714</t>
        </is>
      </c>
      <c r="J6" s="127" t="inlineStr">
        <is>
          <t>vimeo:1093399067</t>
        </is>
      </c>
      <c r="K6" s="127" t="n"/>
      <c r="L6" s="128" t="inlineStr">
        <is>
          <t>https://www.lovethework.com/work/entries/dove-love-your-hair-760237</t>
        </is>
      </c>
      <c r="M6" s="113" t="inlineStr">
        <is>
          <t>A long-term brand platform from Dove Hair Care and Edelman that extended Dove's self-esteem positioning into the hair care aisle, encouraging women to embrace and care for their natural hair rather than conform to narrow standards of beauty. The platform combined product launches under the Love Your Hair collection — with tailored formulas for natural, color-treated, short, and long hair — with PR-led media relations, sweepstakes, and branded events in the United States.</t>
        </is>
      </c>
      <c r="N6" s="113" t="inlineStr">
        <is>
          <t>hair-care, brand-platform, public-relations, beauty, united-states, integrated-campaign, events, self-esteem</t>
        </is>
      </c>
    </row>
    <row r="7">
      <c r="A7" s="127" t="n">
        <v>2025</v>
      </c>
      <c r="B7" s="133" t="inlineStr">
        <is>
          <t>Bronze</t>
        </is>
      </c>
      <c r="C7" s="127" t="inlineStr">
        <is>
          <t>Livefearless</t>
        </is>
      </c>
      <c r="D7" s="127" t="inlineStr">
        <is>
          <t>Bodyform</t>
        </is>
      </c>
      <c r="E7" s="127" t="inlineStr">
        <is>
          <t>Bodyform</t>
        </is>
      </c>
      <c r="F7" s="127" t="inlineStr">
        <is>
          <t>AMV BBDO</t>
        </is>
      </c>
      <c r="G7" s="127" t="inlineStr">
        <is>
          <t>United Kingdom</t>
        </is>
      </c>
      <c r="H7" s="113" t="inlineStr">
        <is>
          <t>Long-Term Brand Platform</t>
        </is>
      </c>
      <c r="I7" s="128" t="inlineStr">
        <is>
          <t>https://ascentialcdn.filespin.io/api/v1/conversion/fdf9d053919448b2bf6bc7e2604789c5</t>
        </is>
      </c>
      <c r="J7" s="127" t="inlineStr">
        <is>
          <t>vimeo:1093400188</t>
        </is>
      </c>
      <c r="K7" s="127" t="n"/>
      <c r="L7" s="128" t="inlineStr">
        <is>
          <t>https://www.lovethework.com/work/entries/livefearless-754488</t>
        </is>
      </c>
      <c r="M7" s="113" t="inlineStr">
        <is>
          <t>A long-term brand platform from Bodyform and AMV BBDO built around social media content encouraging women to pursue physically active, risk-taking lives without letting their periods hold them back. The platform ran across multiple campaign waves — including a second iteration launched in 2015 — using real women's stories to challenge the convention of period advertising that portrays menstruation as a time for quiet retreat.</t>
        </is>
      </c>
      <c r="N7" s="113" t="inlineStr">
        <is>
          <t>feminine-hygiene, long-term-platform, social-media, united-kingdom, womens-health, film, cinema, entertainment, amv-bbdo</t>
        </is>
      </c>
    </row>
    <row r="8">
      <c r="A8" s="127" t="n">
        <v>2025</v>
      </c>
      <c r="B8" s="133" t="inlineStr">
        <is>
          <t>Bronze</t>
        </is>
      </c>
      <c r="C8" s="127" t="inlineStr">
        <is>
          <t>Her Dome</t>
        </is>
      </c>
      <c r="D8" s="127" t="inlineStr">
        <is>
          <t>Government of the State of Sao Paulo</t>
        </is>
      </c>
      <c r="E8" s="127" t="inlineStr">
        <is>
          <t>Government of the State of São Paulo - Women's Safety</t>
        </is>
      </c>
      <c r="F8" s="127" t="inlineStr">
        <is>
          <t>DPZ</t>
        </is>
      </c>
      <c r="G8" s="127" t="inlineStr">
        <is>
          <t>Brazil</t>
        </is>
      </c>
      <c r="H8" s="113" t="inlineStr">
        <is>
          <t>Technology</t>
        </is>
      </c>
      <c r="I8" s="128" t="inlineStr">
        <is>
          <t>https://ascentialcdn.filespin.io/api/v1/conversion/785860d791fe410495aecad052809d64</t>
        </is>
      </c>
      <c r="J8" s="127" t="inlineStr">
        <is>
          <t>vimeo:1093399045</t>
        </is>
      </c>
      <c r="K8" s="127" t="n"/>
      <c r="L8" s="128" t="inlineStr">
        <is>
          <t>https://www.lovethework.com/work/entries/her-dome-754187</t>
        </is>
      </c>
      <c r="M8" s="113" t="inlineStr">
        <is>
          <t>A geofenced mobile safety system built by DPZ for the Government of São Paulo that creates a virtual "dome" around women who activate it — triggering location-based alerts to trusted contacts and authorities if the user doesn't check in or signals distress. Part of the broader SP por Todas movement, launched in 2024 to give visibility to São Paulo's public policies on women's protection and autonomy.</t>
        </is>
      </c>
      <c r="N8" s="113" t="inlineStr">
        <is>
          <t>government, womens-safety, mobile-app, geofencing, technology, public-service, brazil, location-based</t>
        </is>
      </c>
    </row>
    <row r="9">
      <c r="A9" s="127" t="n">
        <v>2025</v>
      </c>
      <c r="B9" s="133" t="inlineStr">
        <is>
          <t>Bronze</t>
        </is>
      </c>
      <c r="C9" s="127" t="inlineStr">
        <is>
          <t>Grad in Black</t>
        </is>
      </c>
      <c r="D9" s="127" t="inlineStr">
        <is>
          <t>Vult</t>
        </is>
      </c>
      <c r="E9" s="127" t="inlineStr">
        <is>
          <t>Hair Product Line</t>
        </is>
      </c>
      <c r="F9" s="127" t="inlineStr">
        <is>
          <t>Gut</t>
        </is>
      </c>
      <c r="G9" s="127" t="inlineStr">
        <is>
          <t>Brazil</t>
        </is>
      </c>
      <c r="H9" s="113" t="inlineStr">
        <is>
          <t>Product/Service</t>
        </is>
      </c>
      <c r="I9" s="128" t="inlineStr">
        <is>
          <t>https://ascentialcdn.filespin.io/api/v1/conversion/2488030bdfa840c99e3568fe7b1001d2</t>
        </is>
      </c>
      <c r="J9" s="127" t="inlineStr">
        <is>
          <t>vimeo:1033200856</t>
        </is>
      </c>
      <c r="K9" s="127" t="n"/>
      <c r="L9" s="128" t="inlineStr">
        <is>
          <t>https://www.lovethework.com/work/entries/grad-in-black-762134</t>
        </is>
      </c>
      <c r="M9" s="113" t="inlineStr">
        <is>
          <t>Four graduation cap models redesigned by Vult to fit natural Black hairstyles — locs, afros, braids, and twists — distributed to graduating students in Brazil, where 48% of college students are Black but the standard cap was never shaped to accommodate their hair. The caps were produced and released as a product line by Vult, the leading shampoo brand for Black hair in Brazil, developed with GUT São Paulo.</t>
        </is>
      </c>
      <c r="N9" s="113" t="inlineStr">
        <is>
          <t>hair-product, product-design, brazil, black-culture, graduation, inclusion, packaging, gut-sao-paulo</t>
        </is>
      </c>
    </row>
  </sheetData>
  <autoFilter ref="A1:N9"/>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The Best Place in the World to Have Herpes</t>
        </is>
      </c>
      <c r="D2" s="127" t="inlineStr">
        <is>
          <t>New Zealand Herpes Foundation</t>
        </is>
      </c>
      <c r="E2" s="127" t="inlineStr">
        <is>
          <t>New Zealand Herpes Foundation</t>
        </is>
      </c>
      <c r="F2" s="127" t="inlineStr">
        <is>
          <t>Finch</t>
        </is>
      </c>
      <c r="G2" s="127" t="inlineStr">
        <is>
          <t>Australia</t>
        </is>
      </c>
      <c r="H2" s="113" t="inlineStr">
        <is>
          <t>Grand Prix for Good</t>
        </is>
      </c>
      <c r="I2" s="127" t="inlineStr">
        <is>
          <t>digital-presentation-images/grand-prix-for-good-new-zealand-herpes-foundation-the-best-place-in-the-world-to-have-herpes.webp</t>
        </is>
      </c>
      <c r="J2" s="127" t="inlineStr">
        <is>
          <t>vimeo:1083074994</t>
        </is>
      </c>
      <c r="K2" s="127" t="n"/>
      <c r="L2" s="128" t="inlineStr">
        <is>
          <t>https://www.lovethework.com/work/entries/the-best-place-in-the-world-to-have-herpes-767497</t>
        </is>
      </c>
      <c r="M2"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2" s="113" t="inlineStr">
        <is>
          <t>public-health, digital, health-education, humour, new-zealand, australia, e-learning, website, stigma, ooh</t>
        </is>
      </c>
    </row>
  </sheetData>
  <autoFilter ref="A1:N2"/>
  <hyperlinks>
    <hyperlink xmlns:r="http://schemas.openxmlformats.org/officeDocument/2006/relationships" ref="L2" r:id="rId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The Amazon Greenventory</t>
        </is>
      </c>
      <c r="D2" s="127" t="inlineStr">
        <is>
          <t>Natura</t>
        </is>
      </c>
      <c r="E2" s="127" t="inlineStr">
        <is>
          <t>Instituto Nattura</t>
        </is>
      </c>
      <c r="F2" s="127" t="inlineStr">
        <is>
          <t>Africa Creative DDB</t>
        </is>
      </c>
      <c r="G2" s="127" t="inlineStr">
        <is>
          <t>Brazil</t>
        </is>
      </c>
      <c r="H2" s="113" t="inlineStr">
        <is>
          <t>Life on Land</t>
        </is>
      </c>
      <c r="I2" s="128" t="inlineStr">
        <is>
          <t>https://ascentialcdn.filespin.io/api/v1/conversion/8f27d4982c9f44a0ae99fa41531bda8e</t>
        </is>
      </c>
      <c r="J2" s="127" t="inlineStr">
        <is>
          <t>vimeo:1096001831</t>
        </is>
      </c>
      <c r="K2" s="127" t="n"/>
      <c r="L2" s="128" t="inlineStr">
        <is>
          <t>https://www.lovethework.com/work/entries/the-amazon-greenventory-755993</t>
        </is>
      </c>
      <c r="M2" s="113" t="inlineStr">
        <is>
          <t>An inventory system built inside the Amazon rainforest that catalogues biodiversity data — species, ecosystems, and environmental assets — as a structured, browsable resource for conservation and research. Developed by Africa Creative DDB, São Paulo for Instituto Natura, the project treats the Amazon's biological wealth as accountable stock, assigning documented value to what is typically left unmeasured.</t>
        </is>
      </c>
      <c r="N2" s="113" t="inlineStr">
        <is>
          <t>nonprofit, environmental, data-visualization, biodiversity, amazon, brazil, conservation, sustainability, life-on-land</t>
        </is>
      </c>
    </row>
    <row r="3">
      <c r="A3" s="127" t="n">
        <v>2025</v>
      </c>
      <c r="B3" s="140" t="inlineStr">
        <is>
          <t>Gold</t>
        </is>
      </c>
      <c r="C3" s="127" t="inlineStr">
        <is>
          <t>Minefield Honey: Harvesting Hope</t>
        </is>
      </c>
      <c r="D3" s="127" t="inlineStr">
        <is>
          <t>Kernel, Ministry of Foreign Affairs of Ukraine</t>
        </is>
      </c>
      <c r="E3" s="127" t="inlineStr">
        <is>
          <t>Agriculture</t>
        </is>
      </c>
      <c r="F3" s="127" t="inlineStr">
        <is>
          <t>Saatchi &amp; Saatchi Ukraine</t>
        </is>
      </c>
      <c r="G3" s="127" t="inlineStr">
        <is>
          <t>Ukraine</t>
        </is>
      </c>
      <c r="H3" s="113" t="inlineStr">
        <is>
          <t>Decent Work and Economic Growth</t>
        </is>
      </c>
      <c r="I3" s="128" t="inlineStr">
        <is>
          <t>https://ascentialcdn.filespin.io/api/v1/conversion/e943553f2152499c8182bfce20e7355d</t>
        </is>
      </c>
      <c r="J3" s="127" t="inlineStr">
        <is>
          <t>ABV3K_N7a7k</t>
        </is>
      </c>
      <c r="K3" s="127" t="n"/>
      <c r="L3" s="128" t="inlineStr">
        <is>
          <t>https://www.lovethework.com/work/entries/minefield-honey-harvesting-hope-755960</t>
        </is>
      </c>
      <c r="M3" s="113" t="inlineStr">
        <is>
          <t>A honey product harvested from beehives placed on Ukrainian agricultural land actively being cleared of landmines — the bees' foraging range maps safe corridors, and the act of selling the honey funds continued demining work. Produced by Kernel, Ukraine's largest agricultural company, in partnership with the Ministry of Foreign Affairs of Ukraine, the initiative links commercial food export to the reclamation of farmland rendered unusable by the war.</t>
        </is>
      </c>
      <c r="N3" s="113" t="inlineStr">
        <is>
          <t>agriculture, public-service, ukraine, demining, packaging, humanitarian, food-product, war-recovery</t>
        </is>
      </c>
    </row>
    <row r="4">
      <c r="A4" s="127" t="n">
        <v>2025</v>
      </c>
      <c r="B4" s="140" t="inlineStr">
        <is>
          <t>Gold</t>
        </is>
      </c>
      <c r="C4" s="127" t="inlineStr">
        <is>
          <t>Research My Body</t>
        </is>
      </c>
      <c r="D4" s="127" t="inlineStr">
        <is>
          <t>Grupo Boticário</t>
        </is>
      </c>
      <c r="E4" s="127" t="inlineStr">
        <is>
          <t>WOMEN'S RESEARCH CENTER\t</t>
        </is>
      </c>
      <c r="F4" s="127" t="inlineStr">
        <is>
          <t>Gut</t>
        </is>
      </c>
      <c r="G4" s="127" t="inlineStr">
        <is>
          <t>Brazil</t>
        </is>
      </c>
      <c r="H4" s="113" t="inlineStr">
        <is>
          <t>Good Health and Well-being</t>
        </is>
      </c>
      <c r="I4" s="128" t="inlineStr">
        <is>
          <t>https://ascentialcdn.filespin.io/api/v1/conversion/01a0aba05ed745cf8b40b9f6719fff6a</t>
        </is>
      </c>
      <c r="J4" s="127" t="inlineStr">
        <is>
          <t>vimeo:1091039142</t>
        </is>
      </c>
      <c r="K4" s="127" t="n"/>
      <c r="L4" s="128" t="inlineStr">
        <is>
          <t>https://www.lovethework.com/work/entries/research-my-body-755612</t>
        </is>
      </c>
      <c r="M4" s="113" t="inlineStr">
        <is>
          <t>Grupo Boticário's Research My Body exposed the contradiction that women's bodies are endlessly searched and objectified, yet historically under-researched by science. The campaign featured highly searched Brazilian actresses using X-ray imagery to reframe their bodies as subjects of medical study, ultimately helping spark a movement and a $13 million investment into women's health research.</t>
        </is>
      </c>
      <c r="N4" s="113" t="inlineStr">
        <is>
          <t>beauty, personal-care, social-good, healthcare, womens-health, partnership, brazil, integrated</t>
        </is>
      </c>
    </row>
    <row r="5">
      <c r="A5" s="127" t="n">
        <v>2025</v>
      </c>
      <c r="B5" s="140" t="inlineStr">
        <is>
          <t>Gold</t>
        </is>
      </c>
      <c r="C5" s="127" t="inlineStr">
        <is>
          <t>Recipe for Change</t>
        </is>
      </c>
      <c r="D5" s="127" t="inlineStr">
        <is>
          <t>Arla</t>
        </is>
      </c>
      <c r="E5" s="127" t="inlineStr">
        <is>
          <t>Puck</t>
        </is>
      </c>
      <c r="F5" s="127" t="inlineStr">
        <is>
          <t>FP7 McCANN</t>
        </is>
      </c>
      <c r="G5" s="127" t="inlineStr">
        <is>
          <t>United Arab Emirates</t>
        </is>
      </c>
      <c r="H5" s="113" t="inlineStr">
        <is>
          <t>Poverty</t>
        </is>
      </c>
      <c r="I5" s="128" t="inlineStr">
        <is>
          <t>https://ascentialcdn.filespin.io/api/v1/conversion/d51c95f53aaf474ba9faba5a10094bd0</t>
        </is>
      </c>
      <c r="J5" s="127" t="inlineStr">
        <is>
          <t>vimeo:1078926878</t>
        </is>
      </c>
      <c r="K5" s="127" t="n"/>
      <c r="L5" s="128" t="inlineStr">
        <is>
          <t>https://www.lovethework.com/work/entries/recipe-for-change-755679</t>
        </is>
      </c>
      <c r="M5" s="113" t="inlineStr">
        <is>
          <t>A licensing program that turned Lebanese women's family recipes into restaurant intellectual property. Lebanese and fusion restaurants across the UAE served the dishes through March 2025 with half of each dish's profit flowing back to the cook, framing home cooking as an export and a source of income for displaced families.</t>
        </is>
      </c>
      <c r="N5" s="113" t="inlineStr">
        <is>
          <t>food, sdg, partnership, restaurant, social-good, middle-east, lebanon, licensing</t>
        </is>
      </c>
    </row>
    <row r="6">
      <c r="A6" s="127" t="n">
        <v>2025</v>
      </c>
      <c r="B6" s="140" t="inlineStr">
        <is>
          <t>Gold</t>
        </is>
      </c>
      <c r="C6" s="127" t="inlineStr">
        <is>
          <t>Sounds Right</t>
        </is>
      </c>
      <c r="D6" s="127" t="inlineStr">
        <is>
          <t>Museum for the United Nations - UN Live, Spotify</t>
        </is>
      </c>
      <c r="E6" s="127" t="inlineStr">
        <is>
          <t>Music</t>
        </is>
      </c>
      <c r="F6" s="127" t="inlineStr">
        <is>
          <t>AKQA</t>
        </is>
      </c>
      <c r="G6" s="127" t="inlineStr">
        <is>
          <t>Denmark</t>
        </is>
      </c>
      <c r="H6" s="113" t="inlineStr">
        <is>
          <t>Climate Action</t>
        </is>
      </c>
      <c r="I6" s="128" t="inlineStr">
        <is>
          <t>https://ascentialcdn.filespin.io/api/v1/conversion/10360044a9be467286965f70b39a984b</t>
        </is>
      </c>
      <c r="J6" s="127" t="inlineStr">
        <is>
          <t>vimeo:1094746280</t>
        </is>
      </c>
      <c r="K6" s="127" t="n"/>
      <c r="L6" s="128" t="inlineStr">
        <is>
          <t>https://www.lovethework.com/work/entries/sounds-right-755775</t>
        </is>
      </c>
      <c r="M6"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6" s="113" t="inlineStr">
        <is>
          <t>music, entertainment, streaming, tv, spotify, mobile-app, conservation, public-service, corporate-social-responsibility, denmark, akqa</t>
        </is>
      </c>
    </row>
    <row r="7">
      <c r="A7" s="127" t="n">
        <v>2025</v>
      </c>
      <c r="B7" s="132" t="inlineStr">
        <is>
          <t>Silver</t>
        </is>
      </c>
      <c r="C7" s="127" t="inlineStr">
        <is>
          <t>Ariel #sharetheload (10 Years)</t>
        </is>
      </c>
      <c r="D7" s="127" t="inlineStr">
        <is>
          <t>Ariel</t>
        </is>
      </c>
      <c r="E7" s="127" t="inlineStr">
        <is>
          <t>Ariel Laundry Detergent</t>
        </is>
      </c>
      <c r="F7" s="127" t="inlineStr">
        <is>
          <t>BBDO India</t>
        </is>
      </c>
      <c r="G7" s="127" t="inlineStr">
        <is>
          <t>India</t>
        </is>
      </c>
      <c r="H7" s="113" t="inlineStr">
        <is>
          <t>Long-Term Brand Platform</t>
        </is>
      </c>
      <c r="I7" s="128" t="inlineStr">
        <is>
          <t>https://ascentialcdn.filespin.io/api/v1/conversion/1e1df1c7a74a4897a3f75a7a38e60d27</t>
        </is>
      </c>
      <c r="J7" s="127" t="inlineStr">
        <is>
          <t>AL88aQPBlnU</t>
        </is>
      </c>
      <c r="K7" s="127" t="n"/>
      <c r="L7" s="128" t="inlineStr">
        <is>
          <t>https://www.lovethework.com/work/entries/ariel-sharetheload-10-years-759693</t>
        </is>
      </c>
      <c r="M7" s="113" t="inlineStr">
        <is>
          <t>A decade-long film and social platform built around the unequal division of domestic labour in Indian households, in which successive yearly chapters reframe the same brief — laundry as a proxy for shared responsibility — by introducing new characters and relationship dynamics while keeping the hashtag #ShareTheLoad as the connective thread. Each annual installment pairs a narrative film with social prompts designed to spark household conversations about who does the washing, and why. Developed by BBDO India for Ariel, the platform spans ten years of continuous creative output under a single strategic idea.</t>
        </is>
      </c>
      <c r="N7" s="113" t="inlineStr">
        <is>
          <t>laundry-detergent, long-term-platform, social, film, cinema, entertainment, gender-equality, social-good, india, bbdo-india, hashtag-campaign</t>
        </is>
      </c>
    </row>
    <row r="8">
      <c r="A8" s="127" t="n">
        <v>2025</v>
      </c>
      <c r="B8" s="132" t="inlineStr">
        <is>
          <t>Silver</t>
        </is>
      </c>
      <c r="C8" s="127" t="inlineStr">
        <is>
          <t>The Dove Code</t>
        </is>
      </c>
      <c r="D8" s="127" t="inlineStr">
        <is>
          <t>Dove, Droga5</t>
        </is>
      </c>
      <c r="E8" s="127" t="inlineStr">
        <is>
          <t>Dove</t>
        </is>
      </c>
      <c r="F8" s="127" t="inlineStr">
        <is>
          <t>Part of Accenture Song</t>
        </is>
      </c>
      <c r="G8" s="127" t="inlineStr">
        <is>
          <t>Brazil</t>
        </is>
      </c>
      <c r="H8" s="113" t="inlineStr">
        <is>
          <t>Gender Equality</t>
        </is>
      </c>
      <c r="I8" s="128" t="inlineStr">
        <is>
          <t>https://ascentialcdn.filespin.io/api/v1/conversion/aab2b49f4bde4aef88d22006ef903d54</t>
        </is>
      </c>
      <c r="J8" s="127" t="inlineStr">
        <is>
          <t>L4o03Hrxgzg</t>
        </is>
      </c>
      <c r="K8" s="127" t="n"/>
      <c r="L8" s="128" t="inlineStr">
        <is>
          <t>https://www.lovethework.com/work/entries/the-dove-code-755937</t>
        </is>
      </c>
      <c r="M8" s="113" t="inlineStr">
        <is>
          <t>A legal code embedded into Dove's product terms and conditions in Brazil that formally commits the brand to never using AI-generated or AI-altered images of women's bodies in its advertising. The clause was written to create a binding, enforceable standard — rather than a voluntary pledge — at a moment when AI image generation was rapidly entering beauty marketing.</t>
        </is>
      </c>
      <c r="N8" s="113" t="inlineStr">
        <is>
          <t>personal-care, gender-equality, social-good, brazil, legal-mechanic, ai, technology, terms-and-conditions, public-relations, brand-voice</t>
        </is>
      </c>
    </row>
    <row r="9">
      <c r="A9" s="127" t="n">
        <v>2025</v>
      </c>
      <c r="B9" s="132" t="inlineStr">
        <is>
          <t>Silver</t>
        </is>
      </c>
      <c r="C9" s="127" t="inlineStr">
        <is>
          <t>Omnilivery</t>
        </is>
      </c>
      <c r="D9" s="127" t="inlineStr">
        <is>
          <t>Omni</t>
        </is>
      </c>
      <c r="E9" s="127" t="inlineStr">
        <is>
          <t>Mobility System for Wheelchair</t>
        </is>
      </c>
      <c r="F9" s="127" t="inlineStr">
        <is>
          <t>Saatchi &amp; Saatchi France</t>
        </is>
      </c>
      <c r="G9" s="127" t="inlineStr">
        <is>
          <t>France</t>
        </is>
      </c>
      <c r="H9" s="113" t="inlineStr">
        <is>
          <t>Reduced Inequalities</t>
        </is>
      </c>
      <c r="I9" s="128" t="inlineStr">
        <is>
          <t>https://ascentialcdn.filespin.io/api/v1/conversion/38cbe1a6ee444db186b748c9da630bdc</t>
        </is>
      </c>
      <c r="J9" s="127" t="inlineStr">
        <is>
          <t>vimeo:1158377325</t>
        </is>
      </c>
      <c r="K9" s="127" t="n"/>
      <c r="L9" s="128" t="inlineStr">
        <is>
          <t>https://www.lovethework.com/work/entries/omnilivery-756098</t>
        </is>
      </c>
      <c r="M9"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9" s="113" t="inlineStr">
        <is>
          <t>mobility-system, wheelchair, experiential, public-relations, disability, france, reduced-inequalities, health-wellness</t>
        </is>
      </c>
    </row>
    <row r="10">
      <c r="A10" s="127" t="n">
        <v>2025</v>
      </c>
      <c r="B10" s="132" t="inlineStr">
        <is>
          <t>Silver</t>
        </is>
      </c>
      <c r="C10" s="127" t="inlineStr">
        <is>
          <t>Animal Alerts</t>
        </is>
      </c>
      <c r="D10" s="127" t="inlineStr">
        <is>
          <t>Petpace</t>
        </is>
      </c>
      <c r="E10" s="127" t="inlineStr">
        <is>
          <t>Animal Alerts</t>
        </is>
      </c>
      <c r="F10" s="127" t="inlineStr">
        <is>
          <t>Serviceplan Germany</t>
        </is>
      </c>
      <c r="G10" s="127" t="inlineStr">
        <is>
          <t>Germany</t>
        </is>
      </c>
      <c r="H10" s="113" t="inlineStr">
        <is>
          <t>Good Health and Well-being</t>
        </is>
      </c>
      <c r="I10" s="128" t="inlineStr">
        <is>
          <t>https://ascentialcdn.filespin.io/api/v1/conversion/4c7f3fc5e9e844a883cf1d4bc94c9d58</t>
        </is>
      </c>
      <c r="J10" s="127" t="inlineStr">
        <is>
          <t>vimeo:1094309286</t>
        </is>
      </c>
      <c r="K10" s="127" t="n"/>
      <c r="L10" s="128" t="inlineStr">
        <is>
          <t>https://www.lovethework.com/work/entries/animal-alerts-755614</t>
        </is>
      </c>
      <c r="M10" s="113" t="inlineStr">
        <is>
          <t>A system that repurposes the biometric health sensors PetPace fits to domestic pets — tracking heart rate, temperature, and activity — to generate real-time wildlife distress alerts for animals in surrounding areas. When a pet's sensor detects unusual physiological stress patterns consistent with nearby environmental threats (wildfires, floods, or toxic events), the data is aggregated and broadcast as public alerts, extending the monitoring network into ecosystems beyond the household. The campaign was developed with Serviceplan Innovation, Creative Board, Mediaplus, and L&amp;C New York.</t>
        </is>
      </c>
      <c r="N10" s="113" t="inlineStr">
        <is>
          <t>pet-tech, data, wearable, corporate-purpose, animal-welfare, environmental, integrated, germany</t>
        </is>
      </c>
    </row>
    <row r="11">
      <c r="A11" s="127" t="n">
        <v>2025</v>
      </c>
      <c r="B11" s="133" t="inlineStr">
        <is>
          <t>Bronze</t>
        </is>
      </c>
      <c r="C11" s="127" t="inlineStr">
        <is>
          <t>The Best Place in the World to Have Herpes</t>
        </is>
      </c>
      <c r="D11" s="127" t="inlineStr">
        <is>
          <t>New Zealand Herpes Foundation</t>
        </is>
      </c>
      <c r="E11" s="127" t="inlineStr">
        <is>
          <t>New Zealand Herpes Foundation</t>
        </is>
      </c>
      <c r="F11" s="127" t="inlineStr">
        <is>
          <t>Finch</t>
        </is>
      </c>
      <c r="G11" s="127" t="inlineStr">
        <is>
          <t>Australia</t>
        </is>
      </c>
      <c r="H11" s="113" t="inlineStr">
        <is>
          <t>Good Health and Well-being</t>
        </is>
      </c>
      <c r="I11" s="128" t="inlineStr">
        <is>
          <t>https://ascentialcdn.filespin.io/api/v1/conversion/5d4b1b0582c5428bafb14fcc9670d1dc</t>
        </is>
      </c>
      <c r="J11" s="127" t="inlineStr">
        <is>
          <t>vimeo:1083074994</t>
        </is>
      </c>
      <c r="K11" s="127" t="n"/>
      <c r="L11" s="128" t="inlineStr">
        <is>
          <t>https://www.lovethework.com/work/entries/the-best-place-in-the-world-to-have-herpes-755748</t>
        </is>
      </c>
      <c r="M11"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11" s="113" t="inlineStr">
        <is>
          <t>public-health, digital, health-education, humour, new-zealand, australia, e-learning, website, stigma, ooh</t>
        </is>
      </c>
    </row>
    <row r="12">
      <c r="A12" s="127" t="n">
        <v>2025</v>
      </c>
      <c r="B12" s="133" t="inlineStr">
        <is>
          <t>Bronze</t>
        </is>
      </c>
      <c r="C12" s="127" t="inlineStr">
        <is>
          <t>Reef Protection Factor</t>
        </is>
      </c>
      <c r="D12" s="127" t="inlineStr">
        <is>
          <t>Stream2sea</t>
        </is>
      </c>
      <c r="E12" s="127" t="inlineStr">
        <is>
          <t>Coral Care &amp; Rpf</t>
        </is>
      </c>
      <c r="F12" s="127" t="inlineStr">
        <is>
          <t>McCANN DEMAND</t>
        </is>
      </c>
      <c r="G12" s="127" t="inlineStr">
        <is>
          <t>United Kingdom</t>
        </is>
      </c>
      <c r="H12" s="113" t="inlineStr">
        <is>
          <t>Life Below Water</t>
        </is>
      </c>
      <c r="I12" s="128" t="inlineStr">
        <is>
          <t>https://ascentialcdn.filespin.io/api/v1/conversion/632753c2e0e444898a416c5bbd6272fb</t>
        </is>
      </c>
      <c r="J12" s="127" t="inlineStr">
        <is>
          <t>vimeo:1083456679</t>
        </is>
      </c>
      <c r="K12" s="127" t="n"/>
      <c r="L12" s="128" t="inlineStr">
        <is>
          <t>https://www.lovethework.com/work/entries/reef-protection-factor-755941</t>
        </is>
      </c>
      <c r="M12" s="113" t="inlineStr">
        <is>
          <t>A certification standard — the Reef Protection Factor (RPF) — developed by Stream2Sea, McCann Demand, and the University of Derby to identify genuinely reef-safe sunscreens, modeled on the familiar SPF labeling system consumers already read on packaging. The standard launched alongside the world's first reef-nourishing sunscreen, with the certification rolled out across Malaysia, Thailand, and the United Kingdom.</t>
        </is>
      </c>
      <c r="N12" s="113" t="inlineStr">
        <is>
          <t>sunscreen, certification, packaging, coral-reef, ocean-conservation, united-kingdom, malaysia, thailand, life-below-water</t>
        </is>
      </c>
    </row>
    <row r="13">
      <c r="A13" s="127" t="n">
        <v>2025</v>
      </c>
      <c r="B13" s="133" t="inlineStr">
        <is>
          <t>Bronze</t>
        </is>
      </c>
      <c r="C13" s="127" t="inlineStr">
        <is>
          <t>Wildfire Watchtowers</t>
        </is>
      </c>
      <c r="D13" s="127" t="inlineStr">
        <is>
          <t>Rogers</t>
        </is>
      </c>
      <c r="E13" s="127" t="inlineStr">
        <is>
          <t>Rogers</t>
        </is>
      </c>
      <c r="F13" s="127" t="inlineStr">
        <is>
          <t>Publicis Canada</t>
        </is>
      </c>
      <c r="G13" s="127" t="inlineStr">
        <is>
          <t>Canada</t>
        </is>
      </c>
      <c r="H13" s="113" t="inlineStr">
        <is>
          <t>Climate Action</t>
        </is>
      </c>
      <c r="I13" s="128" t="inlineStr">
        <is>
          <t>https://ascentialcdn.filespin.io/api/v1/conversion/5cc44dd478364c8f89e74997da34c416</t>
        </is>
      </c>
      <c r="J13" s="127" t="n"/>
      <c r="K13" s="127" t="n"/>
      <c r="L13" s="128" t="inlineStr">
        <is>
          <t>https://www.lovethework.com/work/entries/wildfire-watchtowers-755880</t>
        </is>
      </c>
      <c r="M13" s="113" t="inlineStr">
        <is>
          <t>A network of AI-powered wildfire detection sensors mounted on Rogers 5G towers across Canada, repurposing existing cellular infrastructure as a real-time environmental monitoring system. Publicis Canada developed the program to extend early wildfire detection into remote areas where dedicated watchtower coverage is sparse.</t>
        </is>
      </c>
      <c r="N13" s="113" t="inlineStr">
        <is>
          <t>telecommunications, climate-action, ai, technology, public-safety, ooh, canada, 5g, environmental</t>
        </is>
      </c>
    </row>
    <row r="14">
      <c r="A14" s="127" t="n">
        <v>2025</v>
      </c>
      <c r="B14" s="133" t="inlineStr">
        <is>
          <t>Bronze</t>
        </is>
      </c>
      <c r="C14" s="127" t="inlineStr">
        <is>
          <t>Sos Bees</t>
        </is>
      </c>
      <c r="D14" s="127" t="inlineStr">
        <is>
          <t>AB InBev</t>
        </is>
      </c>
      <c r="E14" s="127" t="inlineStr">
        <is>
          <t>Consumer Goods</t>
        </is>
      </c>
      <c r="F14" s="127" t="inlineStr">
        <is>
          <t>Africa Creative DDB</t>
        </is>
      </c>
      <c r="G14" s="127" t="inlineStr">
        <is>
          <t>Brazil</t>
        </is>
      </c>
      <c r="H14" s="113" t="inlineStr">
        <is>
          <t>Sustainable Cities and Communities</t>
        </is>
      </c>
      <c r="I14" s="128" t="inlineStr">
        <is>
          <t>https://ascentialcdn.filespin.io/api/v1/conversion/43c463221a2f4400b93862d1c5538078</t>
        </is>
      </c>
      <c r="J14" s="127" t="inlineStr">
        <is>
          <t>vimeo:1095117362/9d5a6fba02</t>
        </is>
      </c>
      <c r="K14" s="127" t="n"/>
      <c r="L14" s="128" t="inlineStr">
        <is>
          <t>https://www.lovethework.com/work/entries/sos-bees-755943</t>
        </is>
      </c>
      <c r="M14" s="113" t="inlineStr">
        <is>
          <t>When devastating floods hit Rio Grande do Sul, BEES turned its B2B beverage delivery app into an emergency support platform for affected bars. Within 24 hours, the app shifted from delivering drinks to coordinating donations, repair materials and recovery support, helping thousands of businesses reopen and creating a permanent crisis-response feature for future disasters.</t>
        </is>
      </c>
      <c r="N14" s="113" t="inlineStr">
        <is>
          <t>beer, alcohol, b2b, business, mobile-app, social-good, disaster-relief, brazil, partnership, platform</t>
        </is>
      </c>
    </row>
    <row r="15">
      <c r="A15" s="127" t="n">
        <v>2025</v>
      </c>
      <c r="B15" s="133" t="inlineStr">
        <is>
          <t>Bronze</t>
        </is>
      </c>
      <c r="C15" s="127" t="inlineStr">
        <is>
          <t>Saltanat Light</t>
        </is>
      </c>
      <c r="D15" s="127" t="inlineStr">
        <is>
          <t>Citix</t>
        </is>
      </c>
      <c r="E15" s="127" t="inlineStr">
        <is>
          <t>Citix</t>
        </is>
      </c>
      <c r="F15" s="127" t="inlineStr">
        <is>
          <t>GForce</t>
        </is>
      </c>
      <c r="G15" s="127" t="inlineStr">
        <is>
          <t>Kazakhstan</t>
        </is>
      </c>
      <c r="H15" s="113" t="inlineStr">
        <is>
          <t>Gender Equality</t>
        </is>
      </c>
      <c r="I15" s="128" t="inlineStr">
        <is>
          <t>https://ascentialcdn.filespin.io/api/v1/conversion/68f2c53ebcea42bd9ab7b58852b5aa95</t>
        </is>
      </c>
      <c r="J15" s="127" t="inlineStr">
        <is>
          <t>POZJDa6y23g</t>
        </is>
      </c>
      <c r="K15" s="127" t="n"/>
      <c r="L15" s="128" t="inlineStr">
        <is>
          <t>https://www.lovethework.com/work/entries/saltanat-light-758763</t>
        </is>
      </c>
      <c r="M15" s="113" t="inlineStr">
        <is>
          <t>A network of digital out-of-home screens across Kazakhstan that dims its brightness in real time whenever a domestic violence call is made nearby — each darkening panel a live signal of an incident in that location. The campaign is named after Saltanat Nukenova, who was killed by her husband, former minister Kuandyk Bishimbayev, who was sentenced to 24 years in prison in May 2024. A companion Telegram bot extends the system, connecting people to available support resources.</t>
        </is>
      </c>
      <c r="N15" s="113" t="inlineStr">
        <is>
          <t>digital-out-of-home, ai, technology, domestic-violence, gender-equality, social-good, telegram, ambient, real-time, kazakhstan, citix</t>
        </is>
      </c>
    </row>
    <row r="16">
      <c r="A16" s="127" t="n">
        <v>2025</v>
      </c>
      <c r="B16" s="133" t="inlineStr">
        <is>
          <t>Bronze</t>
        </is>
      </c>
      <c r="C16" s="127" t="inlineStr">
        <is>
          <t>Nobody Should Die at Xmas</t>
        </is>
      </c>
      <c r="D16" s="127" t="inlineStr">
        <is>
          <t>Open Arms</t>
        </is>
      </c>
      <c r="E16" s="127" t="inlineStr">
        <is>
          <t>Christmas Campaign</t>
        </is>
      </c>
      <c r="F16" s="127" t="inlineStr">
        <is>
          <t>DoubleYou</t>
        </is>
      </c>
      <c r="G16" s="127" t="inlineStr">
        <is>
          <t>Spain</t>
        </is>
      </c>
      <c r="H16" s="113" t="inlineStr">
        <is>
          <t>Peace, Justice and Strong Institutions</t>
        </is>
      </c>
      <c r="I16" s="128" t="inlineStr">
        <is>
          <t>https://ascentialcdn.filespin.io/api/v1/conversion/1b883e0ec2f648dea7bf17849408f188</t>
        </is>
      </c>
      <c r="J16" s="127" t="inlineStr">
        <is>
          <t>zBQtfBKPuYU</t>
        </is>
      </c>
      <c r="K16" s="127" t="n"/>
      <c r="L16" s="128" t="inlineStr">
        <is>
          <t>https://www.lovethework.com/work/entries/nobody-should-die-at-xmas-756056</t>
        </is>
      </c>
      <c r="M16" s="113" t="inlineStr">
        <is>
          <t>A Christmas campaign for Open Arms that replaces traditional holiday aesthetics with imagery of Mediterranean migrant deaths, reframing the season's "nobody should die" sentiment as a demand applied to the sea crossings happening at the same time. Created by DoubleYou Barcelona, it uses the visual and emotional language of Christmas advertising to confront the ongoing drownings off Europe's southern coast.</t>
        </is>
      </c>
      <c r="N16" s="113" t="inlineStr">
        <is>
          <t>ngo, not-for-profit, charity, social-good, christmas, mediterranean, spain, film, cinema, entertainment, humanitarian, peace-and-justice, ooh</t>
        </is>
      </c>
    </row>
    <row r="17">
      <c r="A17" s="127" t="n">
        <v>2025</v>
      </c>
      <c r="B17" s="133" t="inlineStr">
        <is>
          <t>Bronze</t>
        </is>
      </c>
      <c r="C17" s="127" t="inlineStr">
        <is>
          <t>How Dove Took on a New Era of Toxic Beauty</t>
        </is>
      </c>
      <c r="D17" s="127" t="inlineStr">
        <is>
          <t>Dove</t>
        </is>
      </c>
      <c r="E17" s="127" t="inlineStr">
        <is>
          <t>Dove</t>
        </is>
      </c>
      <c r="F17" s="127" t="inlineStr">
        <is>
          <t>Ogilvy UK</t>
        </is>
      </c>
      <c r="G17" s="127" t="inlineStr">
        <is>
          <t>United Kingdom</t>
        </is>
      </c>
      <c r="H17" s="113" t="inlineStr">
        <is>
          <t>Long-Term Brand Platform</t>
        </is>
      </c>
      <c r="I17" s="127" t="inlineStr">
        <is>
          <t>digital-presentation-images/sustainable-development-goals-dove-how-dove-took-on-a-new-era-of-toxic-beauty.webp</t>
        </is>
      </c>
      <c r="J17" s="127" t="n"/>
      <c r="K17" s="127" t="n"/>
      <c r="L17" s="128" t="inlineStr">
        <is>
          <t>https://www.lovethework.com/work/entries/how-dove-took-on-a-new-era-of-toxic-beauty-765307</t>
        </is>
      </c>
      <c r="M17" s="113" t="inlineStr">
        <is>
          <t>Dove refreshed its long-running Real Beauty platform for a harsher, more toxic beauty landscape shaped by social media and impossible standards. Campaigns like Reverse Selfie, Toxic Influence and Cost of Beauty moved Dove from celebrating real beauty to actively fighting the forces damaging girls' self-esteem—reigniting the brand's relevance and growth.</t>
        </is>
      </c>
      <c r="N17" s="113" t="inlineStr">
        <is>
          <t>personal-care, beauty, social-good, body-confidence, integrated, brand-platform, partnership, global</t>
        </is>
      </c>
    </row>
  </sheetData>
  <autoFilter ref="A1:N17"/>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 xmlns:r="http://schemas.openxmlformats.org/officeDocument/2006/relationships" ref="I6" r:id="rId9"/>
    <hyperlink xmlns:r="http://schemas.openxmlformats.org/officeDocument/2006/relationships" ref="L6" r:id="rId10"/>
    <hyperlink xmlns:r="http://schemas.openxmlformats.org/officeDocument/2006/relationships" ref="I7" r:id="rId11"/>
    <hyperlink xmlns:r="http://schemas.openxmlformats.org/officeDocument/2006/relationships" ref="L7" r:id="rId12"/>
    <hyperlink xmlns:r="http://schemas.openxmlformats.org/officeDocument/2006/relationships" ref="I8" r:id="rId13"/>
    <hyperlink xmlns:r="http://schemas.openxmlformats.org/officeDocument/2006/relationships" ref="L8" r:id="rId14"/>
    <hyperlink xmlns:r="http://schemas.openxmlformats.org/officeDocument/2006/relationships" ref="I9" r:id="rId15"/>
    <hyperlink xmlns:r="http://schemas.openxmlformats.org/officeDocument/2006/relationships" ref="L9" r:id="rId16"/>
    <hyperlink xmlns:r="http://schemas.openxmlformats.org/officeDocument/2006/relationships" ref="I10" r:id="rId17"/>
    <hyperlink xmlns:r="http://schemas.openxmlformats.org/officeDocument/2006/relationships" ref="L10" r:id="rId18"/>
    <hyperlink xmlns:r="http://schemas.openxmlformats.org/officeDocument/2006/relationships" ref="I11" r:id="rId19"/>
    <hyperlink xmlns:r="http://schemas.openxmlformats.org/officeDocument/2006/relationships" ref="L11" r:id="rId20"/>
    <hyperlink xmlns:r="http://schemas.openxmlformats.org/officeDocument/2006/relationships" ref="I12" r:id="rId21"/>
    <hyperlink xmlns:r="http://schemas.openxmlformats.org/officeDocument/2006/relationships" ref="L12" r:id="rId22"/>
    <hyperlink xmlns:r="http://schemas.openxmlformats.org/officeDocument/2006/relationships" ref="I13" r:id="rId23"/>
    <hyperlink xmlns:r="http://schemas.openxmlformats.org/officeDocument/2006/relationships" ref="L13" r:id="rId24"/>
    <hyperlink xmlns:r="http://schemas.openxmlformats.org/officeDocument/2006/relationships" ref="I14" r:id="rId25"/>
    <hyperlink xmlns:r="http://schemas.openxmlformats.org/officeDocument/2006/relationships" ref="L14" r:id="rId26"/>
    <hyperlink xmlns:r="http://schemas.openxmlformats.org/officeDocument/2006/relationships" ref="I15" r:id="rId27"/>
    <hyperlink xmlns:r="http://schemas.openxmlformats.org/officeDocument/2006/relationships" ref="L15" r:id="rId28"/>
    <hyperlink xmlns:r="http://schemas.openxmlformats.org/officeDocument/2006/relationships" ref="I16" r:id="rId29"/>
    <hyperlink xmlns:r="http://schemas.openxmlformats.org/officeDocument/2006/relationships" ref="L16" r:id="rId30"/>
    <hyperlink xmlns:r="http://schemas.openxmlformats.org/officeDocument/2006/relationships" ref="L17" r:id="rId31"/>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N34"/>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Vaseline Verified</t>
        </is>
      </c>
      <c r="D2" s="127" t="inlineStr">
        <is>
          <t>Unilever</t>
        </is>
      </c>
      <c r="E2" s="127" t="inlineStr">
        <is>
          <t>Vaseline</t>
        </is>
      </c>
      <c r="F2" s="127" t="inlineStr">
        <is>
          <t>Ogilvy</t>
        </is>
      </c>
      <c r="G2" s="127" t="inlineStr">
        <is>
          <t>Singapore</t>
        </is>
      </c>
      <c r="H2" s="113" t="inlineStr">
        <is>
          <t>Social &amp; Creator - OTC Applications</t>
        </is>
      </c>
      <c r="I2" s="128" t="inlineStr">
        <is>
          <t>https://ascentialcdn.filespin.io/api/v1/conversion/faf0755b0d4e4594ad93cb75d6288e3d</t>
        </is>
      </c>
      <c r="J2" s="127" t="inlineStr">
        <is>
          <t>vimeo:1082798104</t>
        </is>
      </c>
      <c r="K2" s="127" t="n"/>
      <c r="L2" s="128" t="inlineStr">
        <is>
          <t>https://www.lovethework.com/work/entries/vaseline-verified-753151</t>
        </is>
      </c>
      <c r="M2"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2" s="113" t="inlineStr">
        <is>
          <t>skincare, personal-care, beauty, community-management, social-media, user-generated-content, ooh, singapore, health-wellness, dermatology</t>
        </is>
      </c>
    </row>
    <row r="3">
      <c r="A3" s="127" t="n">
        <v>2025</v>
      </c>
      <c r="B3" s="140" t="inlineStr">
        <is>
          <t>Gold</t>
        </is>
      </c>
      <c r="C3" s="127" t="inlineStr">
        <is>
          <t>The Count</t>
        </is>
      </c>
      <c r="D3" s="127" t="inlineStr">
        <is>
          <t>Sickkids Foundation</t>
        </is>
      </c>
      <c r="E3" s="127" t="inlineStr">
        <is>
          <t>Sickkids Foundation</t>
        </is>
      </c>
      <c r="F3" s="127" t="inlineStr">
        <is>
          <t>FCB Toronto</t>
        </is>
      </c>
      <c r="G3" s="127" t="inlineStr">
        <is>
          <t>Canada</t>
        </is>
      </c>
      <c r="H3" s="113" t="inlineStr">
        <is>
          <t>Film Craft: Use of Music/Sound Design - Fundraising &amp; Advocacy</t>
        </is>
      </c>
      <c r="I3" s="127" t="inlineStr">
        <is>
          <t>digital-presentation-images/health-and-wellness-sickkids-foundation-the-count.webp</t>
        </is>
      </c>
      <c r="J3" s="127" t="inlineStr">
        <is>
          <t>qNF34ZROR8s</t>
        </is>
      </c>
      <c r="K3" s="127" t="n"/>
      <c r="L3" s="128" t="inlineStr">
        <is>
          <t>https://www.lovethework.com/work/entries/the-count-759678</t>
        </is>
      </c>
      <c r="M3"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 s="113" t="inlineStr">
        <is>
          <t>charity, film, cinema, entertainment, healthcare, canada, music, fundraising, children, orchestral, sickkids-foundation</t>
        </is>
      </c>
    </row>
    <row r="4">
      <c r="A4" s="127" t="n">
        <v>2025</v>
      </c>
      <c r="B4" s="140" t="inlineStr">
        <is>
          <t>Gold</t>
        </is>
      </c>
      <c r="C4" s="127" t="inlineStr">
        <is>
          <t>Group Therapy</t>
        </is>
      </c>
      <c r="D4" s="127" t="inlineStr">
        <is>
          <t>AXA</t>
        </is>
      </c>
      <c r="E4" s="127" t="inlineStr">
        <is>
          <t>AXA</t>
        </is>
      </c>
      <c r="F4" s="127" t="inlineStr">
        <is>
          <t>VML</t>
        </is>
      </c>
      <c r="G4" s="127" t="inlineStr">
        <is>
          <t>France</t>
        </is>
      </c>
      <c r="H4" s="113" t="inlineStr">
        <is>
          <t>Entertainment - Brand-Led Education &amp; Awareness</t>
        </is>
      </c>
      <c r="I4" s="127" t="inlineStr">
        <is>
          <t>digital-presentation-images/health-and-wellness-axa-group-therapy.webp</t>
        </is>
      </c>
      <c r="J4" s="127" t="inlineStr">
        <is>
          <t>cH8-sNMfrOM</t>
        </is>
      </c>
      <c r="K4" s="127" t="n"/>
      <c r="L4" s="128" t="inlineStr">
        <is>
          <t>https://www.lovethework.com/work/entries/group-therapy-753332</t>
        </is>
      </c>
      <c r="M4" s="113" t="inlineStr">
        <is>
          <t>A feature-length documentary produced with Kevin Hart's Hartbeat company, in which six comedians — Mike Birbiglia, Nicole Byer, Gary Gulman, London Hughes, Tig Notaro, and Atsuko Okatsuka — participate in a candid group therapy session led by Neil Patrick Harris, built on the insight that comedians routinely process personal pain in front of audiences. Released on Prime Video and supported by a multimedia campaign across Twitch, Fire TV, and Meta, it anchors a global AXA initiative directing viewers to a free Mind Health Self-Check tool — motivated by survey findings that only 4 in 10 people with preventable mental health conditions seek professional help, and that 39% of 18–24 year-olds experience severe anxiety, stress, or depression.</t>
        </is>
      </c>
      <c r="N4" s="113" t="inlineStr">
        <is>
          <t>health-insurance, documentary, film, entertainment, cinema, mental-health, healthcare, medical, comedy, prime-video, streaming, tv, global, public-health, branded-content</t>
        </is>
      </c>
    </row>
    <row r="5">
      <c r="A5" s="127" t="n">
        <v>2025</v>
      </c>
      <c r="B5" s="140" t="inlineStr">
        <is>
          <t>Gold</t>
        </is>
      </c>
      <c r="C5" s="127" t="inlineStr">
        <is>
          <t>Sightwalks</t>
        </is>
      </c>
      <c r="D5" s="127" t="inlineStr">
        <is>
          <t>Cemento Sol</t>
        </is>
      </c>
      <c r="E5" s="127" t="inlineStr">
        <is>
          <t>Cement</t>
        </is>
      </c>
      <c r="F5" s="127" t="inlineStr">
        <is>
          <t>Circus Grey</t>
        </is>
      </c>
      <c r="G5" s="127" t="inlineStr">
        <is>
          <t>Peru</t>
        </is>
      </c>
      <c r="H5" s="113" t="inlineStr">
        <is>
          <t>Outdoor: Ambient - Brand-Led Education &amp; Awareness</t>
        </is>
      </c>
      <c r="I5" s="128" t="inlineStr">
        <is>
          <t>https://ascentialcdn.filespin.io/api/v1/conversion/96cab410285c45ed905a8377e0cc25f5</t>
        </is>
      </c>
      <c r="J5" s="127" t="inlineStr">
        <is>
          <t>IRuDOllWc-E</t>
        </is>
      </c>
      <c r="K5" s="127" t="n"/>
      <c r="L5" s="128" t="inlineStr">
        <is>
          <t>https://www.lovethework.com/work/entries/sightwalks-758841</t>
        </is>
      </c>
      <c r="M5" s="113" t="inlineStr">
        <is>
          <t>A system of tactile tiles installed on sidewalks across Lima, Peru, designed to help visually impaired pedestrians navigate their surroundings — built using Cemento Sol's own cement product as the construction material. The tiles were embedded directly into existing urban infrastructure by Circus Grey, making the brand's core product the medium for an accessibility intervention in public space.</t>
        </is>
      </c>
      <c r="N5" s="113" t="inlineStr">
        <is>
          <t>cement, urban-infrastructure, accessibility, ooh, peru, tactile-design, public-space, disability, latin-america</t>
        </is>
      </c>
    </row>
    <row r="6">
      <c r="A6" s="127" t="n">
        <v>2025</v>
      </c>
      <c r="B6" s="140" t="inlineStr">
        <is>
          <t>Gold</t>
        </is>
      </c>
      <c r="C6" s="127" t="inlineStr">
        <is>
          <t>Zip Code Exam</t>
        </is>
      </c>
      <c r="D6" s="127" t="inlineStr">
        <is>
          <t>Zip Code Exam , Area 23</t>
        </is>
      </c>
      <c r="E6" s="127" t="inlineStr">
        <is>
          <t>Zip Code Exam</t>
        </is>
      </c>
      <c r="F6" s="127" t="inlineStr">
        <is>
          <t>An IPG Health Company</t>
        </is>
      </c>
      <c r="G6" s="127" t="inlineStr">
        <is>
          <t>United States</t>
        </is>
      </c>
      <c r="H6" s="113" t="inlineStr">
        <is>
          <t>Creative Data - Non-profit/Foundation-led Education &amp; Awareness</t>
        </is>
      </c>
      <c r="I6" s="128" t="inlineStr">
        <is>
          <t>https://ascentialcdn.filespin.io/api/v1/conversion/fcac93d33c3d4b1c93da6b13d3e32b5e</t>
        </is>
      </c>
      <c r="J6" s="127" t="inlineStr">
        <is>
          <t>2f0k9hGHLuA</t>
        </is>
      </c>
      <c r="K6" s="127" t="n"/>
      <c r="L6" s="128" t="inlineStr">
        <is>
          <t>https://www.lovethework.com/work/entries/zip-code-exam-763308</t>
        </is>
      </c>
      <c r="M6"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6" s="113" t="inlineStr">
        <is>
          <t>health-foundation, data-platform, public-health, health-equity, research-and-analytics, digital, united-states, social-determinants, community-health</t>
        </is>
      </c>
    </row>
    <row r="7">
      <c r="A7" s="127" t="n">
        <v>2025</v>
      </c>
      <c r="B7" s="140" t="inlineStr">
        <is>
          <t>Gold</t>
        </is>
      </c>
      <c r="C7" s="127" t="inlineStr">
        <is>
          <t>The Best Place in the World to Have Herpes</t>
        </is>
      </c>
      <c r="D7" s="127" t="inlineStr">
        <is>
          <t>New Zealand Herpes Foundation</t>
        </is>
      </c>
      <c r="E7" s="127" t="inlineStr">
        <is>
          <t>New Zealand Herpes Foundation</t>
        </is>
      </c>
      <c r="F7" s="127" t="inlineStr">
        <is>
          <t>Finch</t>
        </is>
      </c>
      <c r="G7" s="127" t="inlineStr">
        <is>
          <t>Australia</t>
        </is>
      </c>
      <c r="H7" s="113" t="inlineStr">
        <is>
          <t>Entertainment - Non-profit/Foundation-led Education &amp; Awareness</t>
        </is>
      </c>
      <c r="I7" s="128" t="inlineStr">
        <is>
          <t>https://ascentialcdn.filespin.io/api/v1/conversion/5d4b1b0582c5428bafb14fcc9670d1dc</t>
        </is>
      </c>
      <c r="J7" s="127" t="inlineStr">
        <is>
          <t>vimeo:1083074994</t>
        </is>
      </c>
      <c r="K7" s="127" t="n"/>
      <c r="L7" s="128" t="inlineStr">
        <is>
          <t>https://www.lovethework.com/work/entries/the-best-place-in-the-world-to-have-herpes-753429</t>
        </is>
      </c>
      <c r="M7"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7" s="113" t="inlineStr">
        <is>
          <t>public-health, digital, health-education, humour, new-zealand, australia, e-learning, website, stigma, ooh</t>
        </is>
      </c>
    </row>
    <row r="8">
      <c r="A8" s="127" t="n">
        <v>2025</v>
      </c>
      <c r="B8" s="140" t="inlineStr">
        <is>
          <t>Gold</t>
        </is>
      </c>
      <c r="C8" s="127" t="inlineStr">
        <is>
          <t>Nigrum Corpus</t>
        </is>
      </c>
      <c r="D8" s="127" t="inlineStr">
        <is>
          <t>Idomed</t>
        </is>
      </c>
      <c r="E8" s="127" t="inlineStr">
        <is>
          <t>Nigrum Corpus</t>
        </is>
      </c>
      <c r="F8" s="127" t="inlineStr">
        <is>
          <t>Artplan</t>
        </is>
      </c>
      <c r="G8" s="127" t="inlineStr">
        <is>
          <t>Brazil</t>
        </is>
      </c>
      <c r="H8" s="113" t="inlineStr">
        <is>
          <t>Industry Craft: Art Direction - Brand-Led Education &amp; Awareness</t>
        </is>
      </c>
      <c r="I8" s="128" t="inlineStr">
        <is>
          <t>https://ascentialcdn.filespin.io/api/v1/conversion/2a553b0447c74fe5a2affb443a416633</t>
        </is>
      </c>
      <c r="J8" s="127" t="inlineStr">
        <is>
          <t>vimeo:1089083708</t>
        </is>
      </c>
      <c r="K8" s="127" t="n"/>
      <c r="L8" s="128" t="inlineStr">
        <is>
          <t>https://www.lovethework.com/work/entries/nigrum-corpus-759635</t>
        </is>
      </c>
      <c r="M8"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8" s="113" t="inlineStr">
        <is>
          <t>medical-education, book, illustration, typography, brazil, health-equity, racial-inclusion, print</t>
        </is>
      </c>
    </row>
    <row r="9">
      <c r="A9" s="127" t="n">
        <v>2025</v>
      </c>
      <c r="B9" s="132" t="inlineStr">
        <is>
          <t>Silver</t>
        </is>
      </c>
      <c r="C9" s="127" t="inlineStr">
        <is>
          <t>Zip Code Exam</t>
        </is>
      </c>
      <c r="D9" s="127" t="inlineStr">
        <is>
          <t>Zip Code Exam , Area 23</t>
        </is>
      </c>
      <c r="E9" s="127" t="inlineStr">
        <is>
          <t>Zip Code Exam</t>
        </is>
      </c>
      <c r="F9" s="127" t="inlineStr">
        <is>
          <t>An IPG Health Company</t>
        </is>
      </c>
      <c r="G9" s="127" t="inlineStr">
        <is>
          <t>United States</t>
        </is>
      </c>
      <c r="H9" s="113" t="inlineStr">
        <is>
          <t>Integrated - Non-profit/Foundation-led Education &amp; Awareness</t>
        </is>
      </c>
      <c r="I9" s="128" t="inlineStr">
        <is>
          <t>https://ascentialcdn.filespin.io/api/v1/conversion/ab087ed95b3a43e88ff6b9ef28d02df5</t>
        </is>
      </c>
      <c r="J9" s="127" t="inlineStr">
        <is>
          <t>2f0k9hGHLuA</t>
        </is>
      </c>
      <c r="K9" s="127" t="n"/>
      <c r="L9" s="128" t="inlineStr">
        <is>
          <t>https://www.lovethework.com/work/entries/zip-code-exam-765197</t>
        </is>
      </c>
      <c r="M9" s="113" t="inlineStr">
        <is>
          <t>A data platform built by Area 23 for Equality Health Foundation that generates a personalized health risk report based solely on a person's U.S. zip code — drawing on community-level data to surface the specific diseases, environmental hazards, and social determinants most likely to affect people in that area. The platform reframes standard preventive health screening around geography rather than individual symptoms, making systemic health inequalities visible at a hyperlocal level.</t>
        </is>
      </c>
      <c r="N9" s="113" t="inlineStr">
        <is>
          <t>health-foundation, data-platform, public-health, health-equity, research-and-analytics, digital, united-states, social-determinants, community-health</t>
        </is>
      </c>
    </row>
    <row r="10">
      <c r="A10" s="127" t="n">
        <v>2025</v>
      </c>
      <c r="B10" s="132" t="inlineStr">
        <is>
          <t>Silver</t>
        </is>
      </c>
      <c r="C10" s="127" t="inlineStr">
        <is>
          <t>Memento Beer</t>
        </is>
      </c>
      <c r="D10" s="127" t="inlineStr">
        <is>
          <t>Abracerva</t>
        </is>
      </c>
      <c r="E10" s="127" t="inlineStr">
        <is>
          <t>Non-Alcoholic Beer</t>
        </is>
      </c>
      <c r="F10" s="127" t="inlineStr">
        <is>
          <t>Ogilvy Health</t>
        </is>
      </c>
      <c r="G10" s="127" t="inlineStr">
        <is>
          <t>United States</t>
        </is>
      </c>
      <c r="H10" s="113" t="inlineStr">
        <is>
          <t>Healthcare Product Innovation - Nutraceuticals</t>
        </is>
      </c>
      <c r="I10" s="128" t="inlineStr">
        <is>
          <t>https://ascentialcdn.filespin.io/api/v1/conversion/976392be2e5d4a0fbac33fda02182549</t>
        </is>
      </c>
      <c r="J10" s="127" t="inlineStr">
        <is>
          <t>vimeo:1099664585</t>
        </is>
      </c>
      <c r="K10" s="127" t="n"/>
      <c r="L10" s="128" t="inlineStr">
        <is>
          <t>https://www.lovethework.com/work/entries/memento-beer-752967</t>
        </is>
      </c>
      <c r="M10" s="113" t="inlineStr">
        <is>
          <t>A line of craft beers brewed by ABRACERVA to surface Alzheimer's disease awareness by anchoring each beer to a specific positive memory — the flavor, name, and label of every bottle tied to a recollection that the disease erodes. Developed with Ogilvy Health in New York, the project uses the sensory ritual of drinking beer as a vehicle to prompt conversation about memory loss.</t>
        </is>
      </c>
      <c r="N10" s="113" t="inlineStr">
        <is>
          <t>non-alcoholic-beer, healthcare, packaging, craft-beer, alzheimers, memory, nutraceuticals, brazil, united-states</t>
        </is>
      </c>
    </row>
    <row r="11">
      <c r="A11" s="127" t="n">
        <v>2025</v>
      </c>
      <c r="B11" s="132" t="inlineStr">
        <is>
          <t>Silver</t>
        </is>
      </c>
      <c r="C11" s="127" t="inlineStr">
        <is>
          <t>Naga Saint Eye Test</t>
        </is>
      </c>
      <c r="D11" s="127" t="inlineStr">
        <is>
          <t>Eyebetes Foundation</t>
        </is>
      </c>
      <c r="E11" s="127" t="inlineStr">
        <is>
          <t>Eye Test Services</t>
        </is>
      </c>
      <c r="F11" s="127" t="inlineStr">
        <is>
          <t>Godrej Creative Lab</t>
        </is>
      </c>
      <c r="G11" s="127" t="inlineStr">
        <is>
          <t>India</t>
        </is>
      </c>
      <c r="H11" s="113" t="inlineStr">
        <is>
          <t>Direct - Non-profit/Foundation-led Education &amp; Awareness</t>
        </is>
      </c>
      <c r="I11" s="128" t="inlineStr">
        <is>
          <t>https://ascentialcdn.filespin.io/api/v1/conversion/5097b08d039c468999082882e3dc18f4</t>
        </is>
      </c>
      <c r="J11" s="127" t="inlineStr">
        <is>
          <t>mp4:videos/naga-saint-eye-test.mp4</t>
        </is>
      </c>
      <c r="K11" s="127" t="n"/>
      <c r="L11" s="128" t="inlineStr">
        <is>
          <t>https://www.lovethework.com/work/entries/naga-saint-eye-test-753527</t>
        </is>
      </c>
      <c r="M11" s="113" t="inlineStr">
        <is>
          <t>In India, where diabetes-related blindness often goes undetected and access to healthcare is limited, the Eyebetes Foundation turned a moment of faith into a moment of screening. At the Maha Kumbh, vision charts were painted on the backs of revered Naga Saints, transforming devotees' gazes into eye tests and guiding those at risk to free diabetes and eye check-up camps.</t>
        </is>
      </c>
      <c r="N11" s="113" t="inlineStr">
        <is>
          <t>healthcare, eye-care, optometry, medical, diabetes, social-good, india, ngo, not-for-profit, charity, ambient, public-service, religious-engagement</t>
        </is>
      </c>
    </row>
    <row r="12">
      <c r="A12" s="127" t="n">
        <v>2025</v>
      </c>
      <c r="B12" s="132" t="inlineStr">
        <is>
          <t>Silver</t>
        </is>
      </c>
      <c r="C12" s="127" t="inlineStr">
        <is>
          <t>The Mind Guardian</t>
        </is>
      </c>
      <c r="D12" s="127" t="inlineStr">
        <is>
          <t>Samsung</t>
        </is>
      </c>
      <c r="E12" s="127" t="inlineStr">
        <is>
          <t>Samsung</t>
        </is>
      </c>
      <c r="F12" s="127" t="inlineStr">
        <is>
          <t>Cheil Worldwide</t>
        </is>
      </c>
      <c r="G12" s="127" t="inlineStr">
        <is>
          <t>Spain</t>
        </is>
      </c>
      <c r="H12" s="113" t="inlineStr">
        <is>
          <t>Use of Technology - Health &amp; Wellness Tech</t>
        </is>
      </c>
      <c r="I12" s="128" t="inlineStr">
        <is>
          <t>https://ascentialcdn.filespin.io/api/v1/conversion/006b57346ea04abda2e417e9ec9c5e39</t>
        </is>
      </c>
      <c r="J12" s="127" t="inlineStr">
        <is>
          <t>UeoOgsVrEE4</t>
        </is>
      </c>
      <c r="K12" s="127" t="n"/>
      <c r="L12" s="128" t="inlineStr">
        <is>
          <t>https://www.lovethework.com/work/entries/the-mind-guardian-753085</t>
        </is>
      </c>
      <c r="M12" s="113" t="inlineStr">
        <is>
          <t>An open-world POV video game in which players explore a city built from everyday scenarios while an AI model analyzes their in-game decisions and actions in real time to flag early signs of cognitive decline. Developed by Samsung Spain and Cheil Worldwide as part of Samsung's 'Technology with Purpose' platform, it reframes a standard cognitive screening into an experience indistinguishable from ordinary play.</t>
        </is>
      </c>
      <c r="N12" s="113" t="inlineStr">
        <is>
          <t>samsung, consumer-electronics, mobile-app, video-game, ai, technology, health-wellness, alzheimers, cognitive-screening, spain</t>
        </is>
      </c>
    </row>
    <row r="13">
      <c r="A13" s="127" t="n">
        <v>2025</v>
      </c>
      <c r="B13" s="132" t="inlineStr">
        <is>
          <t>Silver</t>
        </is>
      </c>
      <c r="C13" s="127" t="inlineStr">
        <is>
          <t>The Rarest Stars Shine Brightest</t>
        </is>
      </c>
      <c r="D13" s="127" t="inlineStr">
        <is>
          <t>Montefiore Einstein</t>
        </is>
      </c>
      <c r="E13" s="127" t="inlineStr">
        <is>
          <t>Montefiore Einstein</t>
        </is>
      </c>
      <c r="F13" s="127" t="inlineStr">
        <is>
          <t>Alto</t>
        </is>
      </c>
      <c r="G13" s="127" t="inlineStr">
        <is>
          <t>United States</t>
        </is>
      </c>
      <c r="H13" s="113" t="inlineStr">
        <is>
          <t>Film: Cinema, TV and Digital Film Content - Health Services &amp; Facilities</t>
        </is>
      </c>
      <c r="I13" s="127" t="inlineStr">
        <is>
          <t>digital-presentation-images/health-and-wellness-montefiore-einstein-the-rarest-stars-shine-brightest.webp</t>
        </is>
      </c>
      <c r="J13" s="127" t="inlineStr">
        <is>
          <t>vimeo:1056957344</t>
        </is>
      </c>
      <c r="K13" s="127" t="n"/>
      <c r="L13" s="128" t="inlineStr">
        <is>
          <t>https://www.lovethework.com/work/entries/the-rarest-stars-shine-brightest-753653</t>
        </is>
      </c>
      <c r="M13" s="113" t="inlineStr">
        <is>
          <t>A three-minute holiday short film, shot by Biscuit Filmworks and directed by Steve Rogers, in which five real children — each living with a rare disease such as piebaldism, AMPS, and Ehlers-Danlos syndrome — build a rocket, travel to space, and save the holidays in a narrative modeled on classic adventure films like The Goonies and E.T. The film was created by Alto NY for Montefiore Einstein to surface the "diagnostic odyssey" facing rare disease patients, whose conditions take an average of 5–7 years to diagnose.</t>
        </is>
      </c>
      <c r="N13" s="113" t="inlineStr">
        <is>
          <t>healthcare, film, cinema, entertainment, rare-disease, children, holiday, united-states, short-film, public-awareness</t>
        </is>
      </c>
    </row>
    <row r="14">
      <c r="A14" s="127" t="n">
        <v>2025</v>
      </c>
      <c r="B14" s="132" t="inlineStr">
        <is>
          <t>Silver</t>
        </is>
      </c>
      <c r="C14" s="127" t="inlineStr">
        <is>
          <t>Breastmilk Money</t>
        </is>
      </c>
      <c r="D14" s="127" t="inlineStr">
        <is>
          <t>Herconomy</t>
        </is>
      </c>
      <c r="E14" s="127" t="inlineStr">
        <is>
          <t>Herconomy</t>
        </is>
      </c>
      <c r="F14" s="127" t="inlineStr">
        <is>
          <t>Serviceplan Germany</t>
        </is>
      </c>
      <c r="G14" s="127" t="inlineStr">
        <is>
          <t>Germany</t>
        </is>
      </c>
      <c r="H14" s="113" t="inlineStr">
        <is>
          <t>Direct - Brand-Led Education &amp; Awareness</t>
        </is>
      </c>
      <c r="I14" s="128" t="inlineStr">
        <is>
          <t>https://ascentialcdn.filespin.io/api/v1/conversion/73ea0e639f6747c68cf8460abe2f02bb</t>
        </is>
      </c>
      <c r="J14" s="127" t="inlineStr">
        <is>
          <t>vimeo:1094309200</t>
        </is>
      </c>
      <c r="K14" s="127" t="n"/>
      <c r="L14" s="128" t="inlineStr">
        <is>
          <t>https://www.lovethework.com/work/entries/breastmilk-money-753277</t>
        </is>
      </c>
      <c r="M14" s="113" t="inlineStr">
        <is>
          <t>A financial product built for breastfeeding mothers in Nigeria that converts expressed breast milk into a measurable economic unit — quantifying the unpaid labor of nursing and linking it to savings, investments, or financial services within the Herconomy platform. The product addresses the gap in women's financial participation during maternity, a period when income typically stalls while caregiving labor intensifies.</t>
        </is>
      </c>
      <c r="N14" s="113" t="inlineStr">
        <is>
          <t>fintech, financial-services, finance, womens-finance, breastfeeding, nigeria, single-market-campaign, mobile-app, health-and-wellness, creative-data, unpaid-labor</t>
        </is>
      </c>
    </row>
    <row r="15">
      <c r="A15" s="127" t="n">
        <v>2025</v>
      </c>
      <c r="B15" s="132" t="inlineStr">
        <is>
          <t>Silver</t>
        </is>
      </c>
      <c r="C15" s="127" t="inlineStr">
        <is>
          <t>Creamotherapy</t>
        </is>
      </c>
      <c r="D15" s="127" t="inlineStr">
        <is>
          <t>My Doctors Recipe</t>
        </is>
      </c>
      <c r="E15" s="127" t="inlineStr">
        <is>
          <t>Nutri Ice</t>
        </is>
      </c>
      <c r="F15" s="127" t="inlineStr">
        <is>
          <t>Havas Lynx</t>
        </is>
      </c>
      <c r="G15" s="127" t="inlineStr">
        <is>
          <t>United Kingdom</t>
        </is>
      </c>
      <c r="H15" s="113" t="inlineStr">
        <is>
          <t>Healthcare Product Innovation - Nutraceuticals</t>
        </is>
      </c>
      <c r="I15" s="128" t="inlineStr">
        <is>
          <t>https://ascentialcdn.filespin.io/api/v1/conversion/58801b8585ed4774878a11441091b7d8</t>
        </is>
      </c>
      <c r="J15" s="127" t="inlineStr">
        <is>
          <t>mD27VWqfj5g</t>
        </is>
      </c>
      <c r="K15" s="127" t="n"/>
      <c r="L15" s="128" t="inlineStr">
        <is>
          <t>https://www.lovethework.com/work/entries/creamotherapy-753157</t>
        </is>
      </c>
      <c r="M15" s="113" t="inlineStr">
        <is>
          <t>A nutritional ice cream developed for cancer patients using micro-encapsulation technology to deliver essential vitamins and minerals without changing the product's taste or smell. The product addresses a gap in cancer care nutrition, where conventional supplement formats are often difficult for patients to tolerate, by delivering nutrients through a familiar, palatable food.</t>
        </is>
      </c>
      <c r="N15" s="113" t="inlineStr">
        <is>
          <t>nutraceutical, healthcare, product-innovation, food, design, micro-encapsulation, cancer-care, united-kingdom</t>
        </is>
      </c>
    </row>
    <row r="16">
      <c r="A16" s="127" t="n">
        <v>2025</v>
      </c>
      <c r="B16" s="132" t="inlineStr">
        <is>
          <t>Silver</t>
        </is>
      </c>
      <c r="C16" s="127" t="inlineStr">
        <is>
          <t>Don't Sleep on Saquon</t>
        </is>
      </c>
      <c r="D16" s="127" t="inlineStr">
        <is>
          <t>Unisom</t>
        </is>
      </c>
      <c r="E16" s="127" t="inlineStr">
        <is>
          <t>Unisom</t>
        </is>
      </c>
      <c r="F16" s="127" t="inlineStr">
        <is>
          <t>The Martin Agency</t>
        </is>
      </c>
      <c r="G16" s="127" t="inlineStr">
        <is>
          <t>United States</t>
        </is>
      </c>
      <c r="H16" s="113" t="inlineStr">
        <is>
          <t>PR - OTC Oral Medicines</t>
        </is>
      </c>
      <c r="I16" s="128" t="inlineStr">
        <is>
          <t>https://ascentialcdn.filespin.io/api/v1/conversion/ac0ba2cefb2d4319a2897836bac8e95b</t>
        </is>
      </c>
      <c r="J16" s="127" t="inlineStr">
        <is>
          <t>ozI9PGCR_Fw</t>
        </is>
      </c>
      <c r="K16" s="127" t="n"/>
      <c r="L16" s="128" t="inlineStr">
        <is>
          <t>https://www.lovethework.com/work/entries/dont-sleep-on-saquon-753018</t>
        </is>
      </c>
      <c r="M16"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16" s="113" t="inlineStr">
        <is>
          <t>sleep-aid, healthcare, real-time-marketing, sports, ooh, united-states, nfl, social-media</t>
        </is>
      </c>
    </row>
    <row r="17">
      <c r="A17" s="127" t="n">
        <v>2025</v>
      </c>
      <c r="B17" s="132" t="inlineStr">
        <is>
          <t>Silver</t>
        </is>
      </c>
      <c r="C17" s="127" t="inlineStr">
        <is>
          <t>Drops of Hope</t>
        </is>
      </c>
      <c r="D17" s="127" t="inlineStr">
        <is>
          <t>Kimberly-Clark</t>
        </is>
      </c>
      <c r="E17" s="127" t="inlineStr">
        <is>
          <t>Poise</t>
        </is>
      </c>
      <c r="F17" s="127" t="inlineStr">
        <is>
          <t>FCB New York</t>
        </is>
      </c>
      <c r="G17" s="127" t="inlineStr">
        <is>
          <t>United States</t>
        </is>
      </c>
      <c r="H17" s="113" t="inlineStr">
        <is>
          <t>Brand Experience &amp; Activation - Brand-Led Education &amp; Awareness</t>
        </is>
      </c>
      <c r="I17" s="128" t="inlineStr">
        <is>
          <t>https://ascentialcdn.filespin.io/api/v1/conversion/2b33d598710842f6973f6726a77d3be8</t>
        </is>
      </c>
      <c r="J17" s="127" t="inlineStr">
        <is>
          <t>MnF0kip489Y</t>
        </is>
      </c>
      <c r="K17" s="127" t="n"/>
      <c r="L17" s="128" t="inlineStr">
        <is>
          <t>https://www.lovethework.com/work/entries/drops-of-hope-753269</t>
        </is>
      </c>
      <c r="M17"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17" s="113" t="inlineStr">
        <is>
          <t>healthcare, diagnostics, medical, womens-health, mail-back, product-innovation, social-good, rural, united-states</t>
        </is>
      </c>
    </row>
    <row r="18">
      <c r="A18" s="127" t="n">
        <v>2025</v>
      </c>
      <c r="B18" s="132" t="inlineStr">
        <is>
          <t>Silver</t>
        </is>
      </c>
      <c r="C18" s="127" t="inlineStr">
        <is>
          <t>Omnilivery</t>
        </is>
      </c>
      <c r="D18" s="127" t="inlineStr">
        <is>
          <t>Omni</t>
        </is>
      </c>
      <c r="E18" s="127" t="inlineStr">
        <is>
          <t>Mobility System for Wheelchair</t>
        </is>
      </c>
      <c r="F18" s="127" t="inlineStr">
        <is>
          <t>Saatchi &amp; Saatchi France</t>
        </is>
      </c>
      <c r="G18" s="127" t="inlineStr">
        <is>
          <t>France</t>
        </is>
      </c>
      <c r="H18" s="113" t="inlineStr">
        <is>
          <t>Healthcare Product Innovation - Health &amp; Wellness Tech</t>
        </is>
      </c>
      <c r="I18" s="128" t="inlineStr">
        <is>
          <t>https://ascentialcdn.filespin.io/api/v1/conversion/38cbe1a6ee444db186b748c9da630bdc</t>
        </is>
      </c>
      <c r="J18" s="127" t="inlineStr">
        <is>
          <t>vimeo:1158377325</t>
        </is>
      </c>
      <c r="K18" s="127" t="n"/>
      <c r="L18" s="128" t="inlineStr">
        <is>
          <t>https://www.lovethework.com/work/entries/omnilivery-753052</t>
        </is>
      </c>
      <c r="M18" s="113" t="inlineStr">
        <is>
          <t>A one-day live event in which wheelchair users equipped with Omni's mobility scooter attachment completed food delivery shifts across a city — the job category typically considered most demanding of physical mobility. Produced by Prodigious Paris for Saatchi &amp; Saatchi France, the stunt challenged the assumption that wheelchair users cannot perform high-mobility work.</t>
        </is>
      </c>
      <c r="N18" s="113" t="inlineStr">
        <is>
          <t>mobility-system, wheelchair, experiential, public-relations, disability, france, reduced-inequalities, health-wellness</t>
        </is>
      </c>
    </row>
    <row r="19">
      <c r="A19" s="127" t="n">
        <v>2025</v>
      </c>
      <c r="B19" s="132" t="inlineStr">
        <is>
          <t>Silver</t>
        </is>
      </c>
      <c r="C19" s="127" t="inlineStr">
        <is>
          <t>Missed Birthdays</t>
        </is>
      </c>
      <c r="D19" s="127" t="inlineStr">
        <is>
          <t>Itv X Calm</t>
        </is>
      </c>
      <c r="E19" s="127" t="inlineStr">
        <is>
          <t>Itv X Calm</t>
        </is>
      </c>
      <c r="F19" s="127" t="inlineStr">
        <is>
          <t>adam&amp;eveDDB</t>
        </is>
      </c>
      <c r="G19" s="127" t="inlineStr">
        <is>
          <t>United Kingdom</t>
        </is>
      </c>
      <c r="H19" s="113" t="inlineStr">
        <is>
          <t>Integrated - Brand-Led Education &amp; Awareness</t>
        </is>
      </c>
      <c r="I19" s="128" t="inlineStr">
        <is>
          <t>https://ascentialcdn.filespin.io/api/v1/conversion/3d5f05527b0c4cd6b9752f323f566c63</t>
        </is>
      </c>
      <c r="J19" s="127" t="inlineStr">
        <is>
          <t>ifZVZ4fX4gg</t>
        </is>
      </c>
      <c r="K19" s="127" t="n"/>
      <c r="L19" s="128" t="inlineStr">
        <is>
          <t>https://www.lovethework.com/work/entries/missed-birthdays-753149</t>
        </is>
      </c>
      <c r="M19" s="113" t="inlineStr">
        <is>
          <t>A live television moment built around a birthday cake — on what would have been Evelyn's 18th birthday, ITV broadcast a real-time celebration of a young person who died by suicide, with the candles, the cake, and the empty chair making visible the birthdays that families of suicide victims never get to mark. Created with mental health charity CALM (Campaign Against Living Miserably), the broadcast directed viewers to CALM's tools for supporting young people who may be struggling.</t>
        </is>
      </c>
      <c r="N19" s="113" t="inlineStr">
        <is>
          <t>live-advertising, television, mental-health, healthcare, medical, suicide-prevention, public-service, united-kingdom, charity, broadcast, entertainment</t>
        </is>
      </c>
    </row>
    <row r="20">
      <c r="A20" s="127" t="n">
        <v>2025</v>
      </c>
      <c r="B20" s="133" t="inlineStr">
        <is>
          <t>Bronze</t>
        </is>
      </c>
      <c r="C20" s="127" t="inlineStr">
        <is>
          <t>Interface of Humanity Powered by Ntt</t>
        </is>
      </c>
      <c r="D20" s="127" t="inlineStr">
        <is>
          <t>Ntt Human Informatics Laboratories</t>
        </is>
      </c>
      <c r="E20" s="127" t="inlineStr">
        <is>
          <t>Ntt Human Informatics Laboratories</t>
        </is>
      </c>
      <c r="F20" s="127" t="inlineStr">
        <is>
          <t>Dentsu Inc.</t>
        </is>
      </c>
      <c r="G20" s="127" t="inlineStr">
        <is>
          <t>Japan</t>
        </is>
      </c>
      <c r="H20" s="113" t="inlineStr">
        <is>
          <t>Use of Technology - Health &amp; Wellness Tech</t>
        </is>
      </c>
      <c r="I20" s="128" t="inlineStr">
        <is>
          <t>https://ascentialcdn.filespin.io/api/v1/conversion/15acf37ec83847ee82067e734a40a3de</t>
        </is>
      </c>
      <c r="J20" s="127" t="inlineStr">
        <is>
          <t>9Yv1aq_N-Ss</t>
        </is>
      </c>
      <c r="K20" s="127" t="n"/>
      <c r="L20" s="128" t="inlineStr">
        <is>
          <t>https://www.lovethework.com/work/entries/interface-of-humanity-powered-by-ntt-753027</t>
        </is>
      </c>
      <c r="M20" s="113" t="inlineStr">
        <is>
          <t>An interface system built by NTT Human Informatics Laboratories and Dentsu Inc. that enables bedridden people to operate devices and participate as active players — using new sensing and control technologies to work around the physical limitations of being confined to bed. The system is designed as an ongoing development platform, continuously expanding the tools available to people with severely restricted mobility.</t>
        </is>
      </c>
      <c r="N20" s="113" t="inlineStr">
        <is>
          <t>health-wellness-tech, assistive-technology, interface, gaming, video-games, entertainment, mobile-app, japan, disability, research-and-development</t>
        </is>
      </c>
    </row>
    <row r="21">
      <c r="A21" s="127" t="n">
        <v>2025</v>
      </c>
      <c r="B21" s="133" t="inlineStr">
        <is>
          <t>Bronze</t>
        </is>
      </c>
      <c r="C21" s="127" t="inlineStr">
        <is>
          <t>Her Dome</t>
        </is>
      </c>
      <c r="D21" s="127" t="inlineStr">
        <is>
          <t>Government of the State of Sao Paulo</t>
        </is>
      </c>
      <c r="E21" s="127" t="inlineStr">
        <is>
          <t>Government of the State of São Paulo - Women's Safety</t>
        </is>
      </c>
      <c r="F21" s="127" t="inlineStr">
        <is>
          <t>DPZ</t>
        </is>
      </c>
      <c r="G21" s="127" t="inlineStr">
        <is>
          <t>Brazil</t>
        </is>
      </c>
      <c r="H21" s="113" t="inlineStr">
        <is>
          <t>Use of Technology - Health &amp; Wellness Tech</t>
        </is>
      </c>
      <c r="I21" s="128" t="inlineStr">
        <is>
          <t>https://ascentialcdn.filespin.io/api/v1/conversion/3712e2a622444a32895dce6764b60a64</t>
        </is>
      </c>
      <c r="J21" s="127" t="inlineStr">
        <is>
          <t>vimeo:1093399045</t>
        </is>
      </c>
      <c r="K21" s="127" t="n"/>
      <c r="L21" s="128" t="inlineStr">
        <is>
          <t>https://www.lovethework.com/work/entries/her-dome-753056</t>
        </is>
      </c>
      <c r="M21" s="113" t="inlineStr">
        <is>
          <t>A geofenced mobile safety system built by DPZ for the Government of São Paulo that creates a virtual "dome" around women who activate it — triggering location-based alerts to trusted contacts and authorities if the user doesn't check in or signals distress. Part of the broader SP por Todas movement, launched in 2024 to give visibility to São Paulo's public policies on women's protection and autonomy.</t>
        </is>
      </c>
      <c r="N21" s="113" t="inlineStr">
        <is>
          <t>government, womens-safety, mobile-app, geofencing, technology, public-service, brazil, location-based</t>
        </is>
      </c>
    </row>
    <row r="22">
      <c r="A22" s="127" t="n">
        <v>2025</v>
      </c>
      <c r="B22" s="133" t="inlineStr">
        <is>
          <t>Bronze</t>
        </is>
      </c>
      <c r="C22" s="127" t="inlineStr">
        <is>
          <t>Nigrum Corpus</t>
        </is>
      </c>
      <c r="D22" s="127" t="inlineStr">
        <is>
          <t>Idomed</t>
        </is>
      </c>
      <c r="E22" s="127" t="inlineStr">
        <is>
          <t>Nigrum Corpus</t>
        </is>
      </c>
      <c r="F22" s="127" t="inlineStr">
        <is>
          <t>Artplan</t>
        </is>
      </c>
      <c r="G22" s="127" t="inlineStr">
        <is>
          <t>Brazil</t>
        </is>
      </c>
      <c r="H22" s="113" t="inlineStr">
        <is>
          <t>Industry Craft: Illustration - Brand-Led Education &amp; Awareness</t>
        </is>
      </c>
      <c r="I22" s="128" t="inlineStr">
        <is>
          <t>https://ascentialcdn.filespin.io/api/v1/conversion/72c8c8ae63834151a80593fcde332afb</t>
        </is>
      </c>
      <c r="J22" s="127" t="inlineStr">
        <is>
          <t>vimeo:1089083708</t>
        </is>
      </c>
      <c r="K22" s="127" t="n"/>
      <c r="L22" s="128" t="inlineStr">
        <is>
          <t>https://www.lovethework.com/work/entries/nigrum-corpus-759644</t>
        </is>
      </c>
      <c r="M22" s="113" t="inlineStr">
        <is>
          <t>A medical anatomy book created for Instituto de Educação Médica (IDOMED) that replaces the white-body illustrations standard in medical education with Black bodies, pairing anatomical diagrams with floral patterns to celebrate Black beauty. The book addresses the medical racism embedded in curricula that has historically treated white anatomy as the default human reference.</t>
        </is>
      </c>
      <c r="N22" s="113" t="inlineStr">
        <is>
          <t>medical-education, book, illustration, typography, brazil, health-equity, racial-inclusion, print</t>
        </is>
      </c>
    </row>
    <row r="23">
      <c r="A23" s="127" t="n">
        <v>2025</v>
      </c>
      <c r="B23" s="133" t="inlineStr">
        <is>
          <t>Bronze</t>
        </is>
      </c>
      <c r="C23" s="127" t="inlineStr">
        <is>
          <t>Visiongram</t>
        </is>
      </c>
      <c r="D23" s="127" t="inlineStr">
        <is>
          <t>Japan Blind Judo Federation</t>
        </is>
      </c>
      <c r="E23" s="127" t="inlineStr">
        <is>
          <t>Visiongram</t>
        </is>
      </c>
      <c r="F23" s="127" t="inlineStr">
        <is>
          <t>Dentsu Inc.</t>
        </is>
      </c>
      <c r="G23" s="127" t="inlineStr">
        <is>
          <t>Japan</t>
        </is>
      </c>
      <c r="H23" s="113" t="inlineStr">
        <is>
          <t>Use of Technology - Non-profit/Foundation-led Education &amp; Awareness</t>
        </is>
      </c>
      <c r="I23" s="128" t="inlineStr">
        <is>
          <t>https://ascentialcdn.filespin.io/api/v1/conversion/1d90874d49d049ef919f6ac01a22dfa3</t>
        </is>
      </c>
      <c r="J23" s="127" t="inlineStr">
        <is>
          <t>vimeo:1178670307</t>
        </is>
      </c>
      <c r="K23" s="127" t="n"/>
      <c r="L23" s="128" t="inlineStr">
        <is>
          <t>https://www.lovethework.com/work/entries/visiongram-753110</t>
        </is>
      </c>
      <c r="M23" s="113" t="inlineStr">
        <is>
          <t>A system developed for the Japan Blind Judo Federation that lets visually impaired individuals generate a personal visual map — called a VISIONGRAM — representing the specific way they perceive the world, from total darkness to partial light and color. The tool gives each person a shareable visual language for their own vision, allowing sighted coaches, teammates, and the public to understand conditions that are otherwise described only in words.</t>
        </is>
      </c>
      <c r="N23" s="113" t="inlineStr">
        <is>
          <t>nonprofit, use-of-technology, data-visualization, accessibility, blind-judo, japan, sports, awareness, dentsu</t>
        </is>
      </c>
    </row>
    <row r="24">
      <c r="A24" s="127" t="n">
        <v>2025</v>
      </c>
      <c r="B24" s="133" t="inlineStr">
        <is>
          <t>Bronze</t>
        </is>
      </c>
      <c r="C24" s="127" t="inlineStr">
        <is>
          <t>Sickle Cell Ball</t>
        </is>
      </c>
      <c r="D24" s="127" t="inlineStr">
        <is>
          <t>Newyork-Presbyterian</t>
        </is>
      </c>
      <c r="E24" s="127" t="inlineStr">
        <is>
          <t>Sickle Cell Ball</t>
        </is>
      </c>
      <c r="F24" s="127" t="inlineStr">
        <is>
          <t>Havas</t>
        </is>
      </c>
      <c r="G24" s="127" t="inlineStr">
        <is>
          <t>United States</t>
        </is>
      </c>
      <c r="H24" s="113" t="inlineStr">
        <is>
          <t>Brand Experience &amp; Activation - Non-profit/Foundation-led Education &amp; Awareness</t>
        </is>
      </c>
      <c r="I24" s="128" t="inlineStr">
        <is>
          <t>https://ascentialcdn.filespin.io/api/v1/conversion/cddc5ccda6a24baeaf4e5cb205c9bb46</t>
        </is>
      </c>
      <c r="J24" s="127" t="inlineStr">
        <is>
          <t>vimeo:1082598227</t>
        </is>
      </c>
      <c r="K24" s="127" t="n"/>
      <c r="L24" s="128" t="inlineStr">
        <is>
          <t>https://www.lovethework.com/work/entries/sickle-cell-ball-753415</t>
        </is>
      </c>
      <c r="M24" s="113" t="inlineStr">
        <is>
          <t>A special-edition basketball redesigned by NewYork-Presbyterian and Havas New York to carry a medical message: its standard black panels are joined by a single crescent-shaped red panel representing the sickle cell shape. The ball was used in a live basketball tournament — the Sickle Cell Ball — co-organized with One Brooklyn Health to raise awareness of sickle cell disease through the sport's existing community.</t>
        </is>
      </c>
      <c r="N24" s="113" t="inlineStr">
        <is>
          <t>hospital, product-design, packaging, sports, health-awareness, non-profit, united-states, brand-experience</t>
        </is>
      </c>
    </row>
    <row r="25">
      <c r="A25" s="127" t="n">
        <v>2025</v>
      </c>
      <c r="B25" s="133" t="inlineStr">
        <is>
          <t>Bronze</t>
        </is>
      </c>
      <c r="C25" s="127" t="inlineStr">
        <is>
          <t>The Shaded Route</t>
        </is>
      </c>
      <c r="D25" s="127" t="inlineStr">
        <is>
          <t>Hungerstation</t>
        </is>
      </c>
      <c r="E25" s="127" t="inlineStr">
        <is>
          <t>Hungerstation Delivery App</t>
        </is>
      </c>
      <c r="F25" s="127" t="inlineStr">
        <is>
          <t>VML</t>
        </is>
      </c>
      <c r="G25" s="127" t="inlineStr">
        <is>
          <t>Saudi Arabia</t>
        </is>
      </c>
      <c r="H25" s="113" t="inlineStr">
        <is>
          <t>Mobile - Health &amp; Wellness Tech</t>
        </is>
      </c>
      <c r="I25" s="128" t="inlineStr">
        <is>
          <t>https://ascentialcdn.filespin.io/api/v1/conversion/a5387631458b48648c6dba4b21efb3d0</t>
        </is>
      </c>
      <c r="J25" s="127" t="inlineStr">
        <is>
          <t>5cGxg-wRzsE</t>
        </is>
      </c>
      <c r="K25" s="127" t="n"/>
      <c r="L25" s="128" t="inlineStr">
        <is>
          <t>https://www.lovethework.com/work/entries/the-shaded-route-753005</t>
        </is>
      </c>
      <c r="M25" s="113" t="inlineStr">
        <is>
          <t>A routing feature built into the HungerStation delivery app that calculates the shadiest path between pickup and drop-off points across Saudi Arabia — plotting roads and turns that maximize shade cover during each journey. The feature uses real-time sun position data alongside mapped building and infrastructure footprints to dynamically update routes as conditions change throughout the day.</t>
        </is>
      </c>
      <c r="N25" s="113" t="inlineStr">
        <is>
          <t>delivery-app, mobile-app, technology, data, real-time, rider-welfare, saudi-arabia, navigation, heat</t>
        </is>
      </c>
    </row>
    <row r="26">
      <c r="A26" s="127" t="n">
        <v>2025</v>
      </c>
      <c r="B26" s="133" t="inlineStr">
        <is>
          <t>Bronze</t>
        </is>
      </c>
      <c r="C26" s="127" t="inlineStr">
        <is>
          <t>Don't Sleep on Saquon</t>
        </is>
      </c>
      <c r="D26" s="127" t="inlineStr">
        <is>
          <t>Unisom</t>
        </is>
      </c>
      <c r="E26" s="127" t="inlineStr">
        <is>
          <t>Unisom</t>
        </is>
      </c>
      <c r="F26" s="127" t="inlineStr">
        <is>
          <t>The Martin Agency</t>
        </is>
      </c>
      <c r="G26" s="127" t="inlineStr">
        <is>
          <t>United States</t>
        </is>
      </c>
      <c r="H26" s="113" t="inlineStr">
        <is>
          <t>Social &amp; Creator - OTC Oral Medicines</t>
        </is>
      </c>
      <c r="I26" s="128" t="inlineStr">
        <is>
          <t>https://ascentialcdn.filespin.io/api/v1/conversion/ac0ba2cefb2d4319a2897836bac8e95b</t>
        </is>
      </c>
      <c r="J26" s="127" t="inlineStr">
        <is>
          <t>ozI9PGCR_Fw</t>
        </is>
      </c>
      <c r="K26" s="127" t="n"/>
      <c r="L26" s="128" t="inlineStr">
        <is>
          <t>https://www.lovethework.com/work/entries/dont-sleep-on-saquon-753135</t>
        </is>
      </c>
      <c r="M26" s="113" t="inlineStr">
        <is>
          <t>A targeted media placement directed at New York Giants owner John Mara after he publicly said he'd "have trouble sleeping" if star running back Saquon Barkley left the team — and Barkley promptly signed with the rival Philadelphia Eagles. Unisom ran the campaign at the moment Mara's nightmare peaked: the January 5, 2025 Giants vs. Eagles matchup, positioning the sleep aid as a remedy for the intrusive thoughts keeping him up at night.</t>
        </is>
      </c>
      <c r="N26" s="113" t="inlineStr">
        <is>
          <t>sleep-aid, healthcare, real-time-marketing, sports, ooh, united-states, nfl, social-media</t>
        </is>
      </c>
    </row>
    <row r="27">
      <c r="A27" s="127" t="n">
        <v>2025</v>
      </c>
      <c r="B27" s="133" t="inlineStr">
        <is>
          <t>Bronze</t>
        </is>
      </c>
      <c r="C27" s="127" t="inlineStr">
        <is>
          <t>The University of Dyslexic Thinking</t>
        </is>
      </c>
      <c r="D27" s="127" t="inlineStr">
        <is>
          <t>Made by Dyslexia X Virgin</t>
        </is>
      </c>
      <c r="E27" s="127" t="inlineStr">
        <is>
          <t>Dyslexicu</t>
        </is>
      </c>
      <c r="F27" s="127" t="inlineStr">
        <is>
          <t>DDB Melbourne</t>
        </is>
      </c>
      <c r="G27" s="127" t="inlineStr">
        <is>
          <t>Australia</t>
        </is>
      </c>
      <c r="H27" s="113" t="inlineStr">
        <is>
          <t>Integrated - Non-profit/Foundation-led Education &amp; Awareness</t>
        </is>
      </c>
      <c r="I27" s="128" t="inlineStr">
        <is>
          <t>https://ascentialcdn.filespin.io/api/v1/conversion/d72ef2fa1ff64f98933e1d3fcb040726</t>
        </is>
      </c>
      <c r="J27" s="127" t="inlineStr">
        <is>
          <t>vimeo:1106636655</t>
        </is>
      </c>
      <c r="K27" s="127" t="n"/>
      <c r="L27" s="128" t="inlineStr">
        <is>
          <t>https://www.lovethework.com/work/entries/the-university-of-dyslexic-thinking-753452</t>
        </is>
      </c>
      <c r="M27" s="113" t="inlineStr">
        <is>
          <t>A university — DyslexicU, housed on Open University — built by Made By Dyslexia, Virgin, and Sir Richard Branson to teach Dyslexic Thinking as a formal skill set. Created by DDB Melbourne, adam&amp;eveDDB New York, and Collider Sydney, the institution offers structured coursework designed to reposition the cognitive traits associated with dyslexia as professionally valuable rather than remedial.</t>
        </is>
      </c>
      <c r="N27" s="113" t="inlineStr">
        <is>
          <t>non-profit, education, integrated, awareness, dyslexia, e-learning, australia, foundation</t>
        </is>
      </c>
    </row>
    <row r="28">
      <c r="A28" s="127" t="n">
        <v>2025</v>
      </c>
      <c r="B28" s="133" t="inlineStr">
        <is>
          <t>Bronze</t>
        </is>
      </c>
      <c r="C28" s="127" t="inlineStr">
        <is>
          <t>Diary of a Head Injury</t>
        </is>
      </c>
      <c r="D28" s="127" t="inlineStr">
        <is>
          <t>Headway</t>
        </is>
      </c>
      <c r="E28" s="127" t="inlineStr">
        <is>
          <t>Brain Injury Prevention Awareness</t>
        </is>
      </c>
      <c r="F28" s="127" t="inlineStr">
        <is>
          <t>Assembly</t>
        </is>
      </c>
      <c r="G28" s="127" t="inlineStr">
        <is>
          <t>New Zealand</t>
        </is>
      </c>
      <c r="H28" s="113" t="inlineStr">
        <is>
          <t>Film Craft: Animation/Visual Effects - Non-profit/Foundation-led Education &amp; Awareness</t>
        </is>
      </c>
      <c r="I28" s="127" t="inlineStr">
        <is>
          <t>digital-presentation-images/health-and-wellness-headway-diary-of-a-head-injury.webp</t>
        </is>
      </c>
      <c r="J28" s="127" t="inlineStr">
        <is>
          <t>vimeo:1065270658</t>
        </is>
      </c>
      <c r="K28" s="127" t="n"/>
      <c r="L28" s="128" t="inlineStr">
        <is>
          <t>https://www.lovethework.com/work/entries/diary-of-a-head-injury-753514</t>
        </is>
      </c>
      <c r="M28" s="113" t="inlineStr">
        <is>
          <t>A short animated documentary, written by Nick Worthington and directed by Jonny Kofoed, told through the perspective of a crash victim who sustains a concussion and brain bleed — and the disorienting loss of connection that follows. Produced by Assembly and The Tuesday Club for Headway and the AUT Traumatic Brain Injury Network in New Zealand, the film uses VHS cassette aesthetics and fragmented visual effects to externalize the cognitive experience of traumatic brain injury.</t>
        </is>
      </c>
      <c r="N28" s="113" t="inlineStr">
        <is>
          <t>non-profit, animation, short-film, brain-injury-awareness, health-and-wellness, new-zealand, visual-effects, documentary, film, entertainment, cinema</t>
        </is>
      </c>
    </row>
    <row r="29">
      <c r="A29" s="127" t="n">
        <v>2025</v>
      </c>
      <c r="B29" s="133" t="inlineStr">
        <is>
          <t>Bronze</t>
        </is>
      </c>
      <c r="C29" s="127" t="inlineStr">
        <is>
          <t>The Trial (film)</t>
        </is>
      </c>
      <c r="D29" s="127" t="inlineStr">
        <is>
          <t>All in Action Fund</t>
        </is>
      </c>
      <c r="E29" s="127" t="inlineStr">
        <is>
          <t>Reproductive Rights Awareness</t>
        </is>
      </c>
      <c r="F29" s="127" t="inlineStr">
        <is>
          <t>Klick Health</t>
        </is>
      </c>
      <c r="G29" s="127" t="inlineStr">
        <is>
          <t>Canada</t>
        </is>
      </c>
      <c r="H29" s="113" t="inlineStr">
        <is>
          <t>Film Craft: Script - Fundraising &amp; Advocacy</t>
        </is>
      </c>
      <c r="I29" s="127" t="inlineStr">
        <is>
          <t>digital-presentation-images/health-and-wellness-all-in-action-fund-the-trial-film.webp</t>
        </is>
      </c>
      <c r="J29" s="127" t="inlineStr">
        <is>
          <t>PDJ3ZaDr0R0</t>
        </is>
      </c>
      <c r="K29" s="127" t="n"/>
      <c r="L29" s="128" t="inlineStr">
        <is>
          <t>https://www.lovethework.com/work/entries/the-trial-film-753432</t>
        </is>
      </c>
      <c r="M29" s="113" t="inlineStr">
        <is>
          <t>A short film scripted entirely from verbatim quotes by present-day U.S. politicians and reproductive justice leaders, staging those words as dialogue in a 17th-century Salem Witch Trial courtroom. The script was built by cross-referencing anti-abortion rhetoric from current policymakers against historical trial transcripts, letting the direct textual overlap carry the argument.</t>
        </is>
      </c>
      <c r="N29" s="113" t="inlineStr">
        <is>
          <t>reproductive-rights, short-film, advocacy, script, united-states, public-health, political, historical</t>
        </is>
      </c>
    </row>
    <row r="30">
      <c r="A30" s="127" t="n">
        <v>2025</v>
      </c>
      <c r="B30" s="133" t="inlineStr">
        <is>
          <t>Bronze</t>
        </is>
      </c>
      <c r="C30" s="127" t="inlineStr">
        <is>
          <t>The Count</t>
        </is>
      </c>
      <c r="D30" s="127" t="inlineStr">
        <is>
          <t>Sickkids Foundation</t>
        </is>
      </c>
      <c r="E30" s="127" t="inlineStr">
        <is>
          <t>Sickkids Foundation</t>
        </is>
      </c>
      <c r="F30" s="127" t="inlineStr">
        <is>
          <t>FCB Toronto</t>
        </is>
      </c>
      <c r="G30" s="127" t="inlineStr">
        <is>
          <t>Canada</t>
        </is>
      </c>
      <c r="H30" s="113" t="inlineStr">
        <is>
          <t>Film: Cinema, TV and Digital Film Content - Fundraising &amp; Advocacy</t>
        </is>
      </c>
      <c r="I30" s="127" t="inlineStr">
        <is>
          <t>digital-presentation-images/health-and-wellness-sickkids-foundation-the-count.webp</t>
        </is>
      </c>
      <c r="J30" s="127" t="inlineStr">
        <is>
          <t>qNF34ZROR8s</t>
        </is>
      </c>
      <c r="K30" s="127" t="n"/>
      <c r="L30" s="128" t="inlineStr">
        <is>
          <t>https://www.lovethework.com/work/entries/the-count-759685</t>
        </is>
      </c>
      <c r="M30" s="113" t="inlineStr">
        <is>
          <t>A two-minute film built around "How Old Are You," the counting chant sung at children's birthday parties after "Happy Birthday" — rerecorded as a full orchestral anthem by real SickKids patients whose birthdays are uncertain, counting not to their current age but into their forties, fifties, and beyond, toward the hospital's own age of 150. Each child is identified on screen by name, age, and diagnosis — Aurora, 6, VACTERL Syndrome and Liver Transplant; Jaxon, 4, born premature at 23 weeks — so the familiar song carries the weight of each child's fight to reach the next number. Created by FCB Toronto with production company Iconoclast to mark SickKids Hospital's 150th anniversary.</t>
        </is>
      </c>
      <c r="N30" s="113" t="inlineStr">
        <is>
          <t>charity, film, cinema, entertainment, healthcare, canada, music, fundraising, children, orchestral, sickkids-foundation</t>
        </is>
      </c>
    </row>
    <row r="31">
      <c r="A31" s="127" t="n">
        <v>2025</v>
      </c>
      <c r="B31" s="133" t="inlineStr">
        <is>
          <t>Bronze</t>
        </is>
      </c>
      <c r="C31" s="127" t="inlineStr">
        <is>
          <t>This Is Not a Game</t>
        </is>
      </c>
      <c r="D31" s="127" t="inlineStr">
        <is>
          <t>Movistar</t>
        </is>
      </c>
      <c r="E31" s="127" t="inlineStr">
        <is>
          <t>Telco</t>
        </is>
      </c>
      <c r="F31" s="127" t="inlineStr">
        <is>
          <t>VML</t>
        </is>
      </c>
      <c r="G31" s="127" t="inlineStr">
        <is>
          <t>Mexico</t>
        </is>
      </c>
      <c r="H31" s="113" t="inlineStr">
        <is>
          <t>Film Craft: Direction - Brand-Led Education &amp; Awareness</t>
        </is>
      </c>
      <c r="I31" s="127" t="inlineStr">
        <is>
          <t>digital-presentation-images/health-and-wellness-movistar-this-is-not-a-game.webp</t>
        </is>
      </c>
      <c r="J31" s="127" t="inlineStr">
        <is>
          <t>qKqi8uMMr6c</t>
        </is>
      </c>
      <c r="K31" s="127" t="n"/>
      <c r="L31" s="128" t="inlineStr">
        <is>
          <t>https://www.lovethework.com/work/entries/this-is-not-a-game-763210</t>
        </is>
      </c>
      <c r="M31" s="113" t="inlineStr">
        <is>
          <t>A film for Movistar Mexico that uses the visual language and narrative conventions of video games — UI overlays, glitch effects, in-game framing — to depict how drug cartels recruit teenage players through popular online games. The campaign responds to research showing that over 80% of young players in Mexico prefer gaming as their primary online medium, making them a concentrated target for narco recruitment via in-game chat.</t>
        </is>
      </c>
      <c r="N31" s="113" t="inlineStr">
        <is>
          <t>telco, film, cinema, entertainment, mexico, online-safety, youth, gaming, video-games, public-awareness, health-and-wellness, direction</t>
        </is>
      </c>
    </row>
    <row r="32">
      <c r="A32" s="127" t="n">
        <v>2025</v>
      </c>
      <c r="B32" s="133" t="inlineStr">
        <is>
          <t>Bronze</t>
        </is>
      </c>
      <c r="C32" s="127" t="inlineStr">
        <is>
          <t>Never Just a Period</t>
        </is>
      </c>
      <c r="D32" s="127" t="inlineStr">
        <is>
          <t>Bodyform</t>
        </is>
      </c>
      <c r="E32" s="127" t="inlineStr">
        <is>
          <t>Bodyform</t>
        </is>
      </c>
      <c r="F32" s="127" t="inlineStr">
        <is>
          <t>AMV BBDO</t>
        </is>
      </c>
      <c r="G32" s="127" t="inlineStr">
        <is>
          <t>United Kingdom</t>
        </is>
      </c>
      <c r="H32" s="113" t="inlineStr">
        <is>
          <t>Film Craft: Production Design/Art Direction - Brand-Led Education &amp; Awareness</t>
        </is>
      </c>
      <c r="I32" s="127" t="inlineStr">
        <is>
          <t>digital-presentation-images/health-and-wellness-bodyform-never-just-a-period.webp</t>
        </is>
      </c>
      <c r="J32" s="127" t="inlineStr">
        <is>
          <t>EQW59KR3c4U</t>
        </is>
      </c>
      <c r="K32" s="127" t="n"/>
      <c r="L32" s="128" t="inlineStr">
        <is>
          <t>https://www.lovethework.com/work/entries/never-just-a-period-753006</t>
        </is>
      </c>
      <c r="M32" s="113" t="inlineStr">
        <is>
          <t>A film and integrated campaign for Bodyform/Libresse, created by AMV BBDO London, that dramatises the gap between what women are told about their bodies and what they actually experience — staging rarely discussed moments like getting a period while breastfeeding, large perimenopausal clots, and periods that disappear for months after stopping contraception. An online conversation thread prompted audiences with "What do you wish you'd been told?", opening a space for women+ to share experiences spanning first period to last.</t>
        </is>
      </c>
      <c r="N32" s="113" t="inlineStr">
        <is>
          <t>femcare, film, cinema, entertainment, integrated-campaign, healthcare, womens-health, social, united-kingdom, menstrual-health, amv-bbdo</t>
        </is>
      </c>
    </row>
    <row r="33">
      <c r="A33" s="127" t="n">
        <v>2025</v>
      </c>
      <c r="B33" s="133" t="inlineStr">
        <is>
          <t>Bronze</t>
        </is>
      </c>
      <c r="C33" s="127" t="inlineStr">
        <is>
          <t>Drops of Hope</t>
        </is>
      </c>
      <c r="D33" s="127" t="inlineStr">
        <is>
          <t>Kimberly-Clark</t>
        </is>
      </c>
      <c r="E33" s="127" t="inlineStr">
        <is>
          <t>Poise</t>
        </is>
      </c>
      <c r="F33" s="127" t="inlineStr">
        <is>
          <t>FCB New York</t>
        </is>
      </c>
      <c r="G33" s="127" t="inlineStr">
        <is>
          <t>United States</t>
        </is>
      </c>
      <c r="H33" s="113" t="inlineStr">
        <is>
          <t>Direct - Brand-Led Education &amp; Awareness</t>
        </is>
      </c>
      <c r="I33" s="128" t="inlineStr">
        <is>
          <t>https://ascentialcdn.filespin.io/api/v1/conversion/622c651b611b41e88a708572da8762a5</t>
        </is>
      </c>
      <c r="J33" s="127" t="inlineStr">
        <is>
          <t>MnF0kip489Y</t>
        </is>
      </c>
      <c r="K33" s="127" t="n"/>
      <c r="L33" s="128" t="inlineStr">
        <is>
          <t>https://www.lovethework.com/work/entries/drops-of-hope-753250</t>
        </is>
      </c>
      <c r="M33" s="113" t="inlineStr">
        <is>
          <t>A mail-back diagnostic service that turns Poise's incontinence pads into a preventive-health tool. Women in U.S. healthcare deserts can send a used pad to a doctor, who extracts urine for screening — extending basic check-ups to people who don't live near a clinic.</t>
        </is>
      </c>
      <c r="N33" s="113" t="inlineStr">
        <is>
          <t>healthcare, diagnostics, medical, womens-health, mail-back, product-innovation, social-good, rural, united-states</t>
        </is>
      </c>
    </row>
    <row r="34">
      <c r="A34" s="127" t="n">
        <v>2025</v>
      </c>
      <c r="B34" s="133" t="inlineStr">
        <is>
          <t>Bronze</t>
        </is>
      </c>
      <c r="C34" s="127" t="inlineStr">
        <is>
          <t>The Rarest Stars Shine Brightest</t>
        </is>
      </c>
      <c r="D34" s="127" t="inlineStr">
        <is>
          <t>Montefiore Einstein</t>
        </is>
      </c>
      <c r="E34" s="127" t="inlineStr">
        <is>
          <t>Montefiore Einstein</t>
        </is>
      </c>
      <c r="F34" s="127" t="inlineStr">
        <is>
          <t>Alto</t>
        </is>
      </c>
      <c r="G34" s="127" t="inlineStr">
        <is>
          <t>United States</t>
        </is>
      </c>
      <c r="H34" s="113" t="inlineStr">
        <is>
          <t>Film Craft: Script - Health Services &amp; Facilities</t>
        </is>
      </c>
      <c r="I34" s="127" t="inlineStr">
        <is>
          <t>digital-presentation-images/health-and-wellness-montefiore-einstein-the-rarest-stars-shine-brightest.webp</t>
        </is>
      </c>
      <c r="J34" s="127" t="inlineStr">
        <is>
          <t>vimeo:1056957344</t>
        </is>
      </c>
      <c r="K34" s="127" t="n"/>
      <c r="L34" s="128" t="inlineStr">
        <is>
          <t>https://www.lovethework.com/work/entries/the-rarest-stars-shine-brightest-753581</t>
        </is>
      </c>
      <c r="M34" s="113" t="inlineStr">
        <is>
          <t>A three-minute holiday short film, shot by Biscuit Filmworks and directed by Steve Rogers, in which five real children — each living with a rare disease such as piebaldism, AMPS, and Ehlers-Danlos syndrome — build a rocket, travel to space, and save the holidays in a narrative modeled on classic adventure films like The Goonies and E.T. The film was created by Alto NY for Montefiore Einstein to surface the "diagnostic odyssey" facing rare disease patients, whose conditions take an average of 5–7 years to diagnose.</t>
        </is>
      </c>
      <c r="N34" s="113" t="inlineStr">
        <is>
          <t>healthcare, film, cinema, entertainment, rare-disease, children, holiday, united-states, short-film, public-awareness</t>
        </is>
      </c>
    </row>
  </sheetData>
  <autoFilter ref="A1:N34"/>
  <hyperlinks>
    <hyperlink xmlns:r="http://schemas.openxmlformats.org/officeDocument/2006/relationships" ref="I2" r:id="rId1"/>
    <hyperlink xmlns:r="http://schemas.openxmlformats.org/officeDocument/2006/relationships" ref="L2" r:id="rId2"/>
    <hyperlink xmlns:r="http://schemas.openxmlformats.org/officeDocument/2006/relationships" ref="L3" r:id="rId3"/>
    <hyperlink xmlns:r="http://schemas.openxmlformats.org/officeDocument/2006/relationships" ref="L4" r:id="rId4"/>
    <hyperlink xmlns:r="http://schemas.openxmlformats.org/officeDocument/2006/relationships" ref="I5" r:id="rId5"/>
    <hyperlink xmlns:r="http://schemas.openxmlformats.org/officeDocument/2006/relationships" ref="L5" r:id="rId6"/>
    <hyperlink xmlns:r="http://schemas.openxmlformats.org/officeDocument/2006/relationships" ref="I6" r:id="rId7"/>
    <hyperlink xmlns:r="http://schemas.openxmlformats.org/officeDocument/2006/relationships" ref="L6" r:id="rId8"/>
    <hyperlink xmlns:r="http://schemas.openxmlformats.org/officeDocument/2006/relationships" ref="I7" r:id="rId9"/>
    <hyperlink xmlns:r="http://schemas.openxmlformats.org/officeDocument/2006/relationships" ref="L7" r:id="rId10"/>
    <hyperlink xmlns:r="http://schemas.openxmlformats.org/officeDocument/2006/relationships" ref="I8" r:id="rId11"/>
    <hyperlink xmlns:r="http://schemas.openxmlformats.org/officeDocument/2006/relationships" ref="L8" r:id="rId12"/>
    <hyperlink xmlns:r="http://schemas.openxmlformats.org/officeDocument/2006/relationships" ref="I9" r:id="rId13"/>
    <hyperlink xmlns:r="http://schemas.openxmlformats.org/officeDocument/2006/relationships" ref="L9" r:id="rId14"/>
    <hyperlink xmlns:r="http://schemas.openxmlformats.org/officeDocument/2006/relationships" ref="I10" r:id="rId15"/>
    <hyperlink xmlns:r="http://schemas.openxmlformats.org/officeDocument/2006/relationships" ref="L10" r:id="rId16"/>
    <hyperlink xmlns:r="http://schemas.openxmlformats.org/officeDocument/2006/relationships" ref="I11" r:id="rId17"/>
    <hyperlink xmlns:r="http://schemas.openxmlformats.org/officeDocument/2006/relationships" ref="L11" r:id="rId18"/>
    <hyperlink xmlns:r="http://schemas.openxmlformats.org/officeDocument/2006/relationships" ref="I12" r:id="rId19"/>
    <hyperlink xmlns:r="http://schemas.openxmlformats.org/officeDocument/2006/relationships" ref="L12" r:id="rId20"/>
    <hyperlink xmlns:r="http://schemas.openxmlformats.org/officeDocument/2006/relationships" ref="L13" r:id="rId21"/>
    <hyperlink xmlns:r="http://schemas.openxmlformats.org/officeDocument/2006/relationships" ref="I14" r:id="rId22"/>
    <hyperlink xmlns:r="http://schemas.openxmlformats.org/officeDocument/2006/relationships" ref="L14" r:id="rId23"/>
    <hyperlink xmlns:r="http://schemas.openxmlformats.org/officeDocument/2006/relationships" ref="I15" r:id="rId24"/>
    <hyperlink xmlns:r="http://schemas.openxmlformats.org/officeDocument/2006/relationships" ref="L15" r:id="rId25"/>
    <hyperlink xmlns:r="http://schemas.openxmlformats.org/officeDocument/2006/relationships" ref="I16" r:id="rId26"/>
    <hyperlink xmlns:r="http://schemas.openxmlformats.org/officeDocument/2006/relationships" ref="L16" r:id="rId27"/>
    <hyperlink xmlns:r="http://schemas.openxmlformats.org/officeDocument/2006/relationships" ref="I17" r:id="rId28"/>
    <hyperlink xmlns:r="http://schemas.openxmlformats.org/officeDocument/2006/relationships" ref="L17" r:id="rId29"/>
    <hyperlink xmlns:r="http://schemas.openxmlformats.org/officeDocument/2006/relationships" ref="I18" r:id="rId30"/>
    <hyperlink xmlns:r="http://schemas.openxmlformats.org/officeDocument/2006/relationships" ref="L18" r:id="rId31"/>
    <hyperlink xmlns:r="http://schemas.openxmlformats.org/officeDocument/2006/relationships" ref="I19" r:id="rId32"/>
    <hyperlink xmlns:r="http://schemas.openxmlformats.org/officeDocument/2006/relationships" ref="L19" r:id="rId33"/>
    <hyperlink xmlns:r="http://schemas.openxmlformats.org/officeDocument/2006/relationships" ref="I20" r:id="rId34"/>
    <hyperlink xmlns:r="http://schemas.openxmlformats.org/officeDocument/2006/relationships" ref="L20" r:id="rId35"/>
    <hyperlink xmlns:r="http://schemas.openxmlformats.org/officeDocument/2006/relationships" ref="I21" r:id="rId36"/>
    <hyperlink xmlns:r="http://schemas.openxmlformats.org/officeDocument/2006/relationships" ref="L21" r:id="rId37"/>
    <hyperlink xmlns:r="http://schemas.openxmlformats.org/officeDocument/2006/relationships" ref="I22" r:id="rId38"/>
    <hyperlink xmlns:r="http://schemas.openxmlformats.org/officeDocument/2006/relationships" ref="L22" r:id="rId39"/>
    <hyperlink xmlns:r="http://schemas.openxmlformats.org/officeDocument/2006/relationships" ref="I23" r:id="rId40"/>
    <hyperlink xmlns:r="http://schemas.openxmlformats.org/officeDocument/2006/relationships" ref="L23" r:id="rId41"/>
    <hyperlink xmlns:r="http://schemas.openxmlformats.org/officeDocument/2006/relationships" ref="I24" r:id="rId42"/>
    <hyperlink xmlns:r="http://schemas.openxmlformats.org/officeDocument/2006/relationships" ref="L24" r:id="rId43"/>
    <hyperlink xmlns:r="http://schemas.openxmlformats.org/officeDocument/2006/relationships" ref="I25" r:id="rId44"/>
    <hyperlink xmlns:r="http://schemas.openxmlformats.org/officeDocument/2006/relationships" ref="L25" r:id="rId45"/>
    <hyperlink xmlns:r="http://schemas.openxmlformats.org/officeDocument/2006/relationships" ref="I26" r:id="rId46"/>
    <hyperlink xmlns:r="http://schemas.openxmlformats.org/officeDocument/2006/relationships" ref="L26" r:id="rId47"/>
    <hyperlink xmlns:r="http://schemas.openxmlformats.org/officeDocument/2006/relationships" ref="I27" r:id="rId48"/>
    <hyperlink xmlns:r="http://schemas.openxmlformats.org/officeDocument/2006/relationships" ref="L27" r:id="rId49"/>
    <hyperlink xmlns:r="http://schemas.openxmlformats.org/officeDocument/2006/relationships" ref="L28" r:id="rId50"/>
    <hyperlink xmlns:r="http://schemas.openxmlformats.org/officeDocument/2006/relationships" ref="L29" r:id="rId51"/>
    <hyperlink xmlns:r="http://schemas.openxmlformats.org/officeDocument/2006/relationships" ref="L30" r:id="rId52"/>
    <hyperlink xmlns:r="http://schemas.openxmlformats.org/officeDocument/2006/relationships" ref="L31" r:id="rId53"/>
    <hyperlink xmlns:r="http://schemas.openxmlformats.org/officeDocument/2006/relationships" ref="L32" r:id="rId54"/>
    <hyperlink xmlns:r="http://schemas.openxmlformats.org/officeDocument/2006/relationships" ref="I33" r:id="rId55"/>
    <hyperlink xmlns:r="http://schemas.openxmlformats.org/officeDocument/2006/relationships" ref="L33" r:id="rId56"/>
    <hyperlink xmlns:r="http://schemas.openxmlformats.org/officeDocument/2006/relationships" ref="L34" r:id="rId57"/>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The Best Place in the World to Have Herpes</t>
        </is>
      </c>
      <c r="D2" s="127" t="inlineStr">
        <is>
          <t>New Zealand Herpes Foundation</t>
        </is>
      </c>
      <c r="E2" s="127" t="inlineStr">
        <is>
          <t>New Zealand Herpes Foundation</t>
        </is>
      </c>
      <c r="F2" s="127" t="inlineStr">
        <is>
          <t>Finch</t>
        </is>
      </c>
      <c r="G2" s="127" t="inlineStr">
        <is>
          <t>Australia</t>
        </is>
      </c>
      <c r="H2" s="113" t="inlineStr">
        <is>
          <t>Lions Health Grand Prix for Good</t>
        </is>
      </c>
      <c r="I2" s="127" t="inlineStr">
        <is>
          <t>digital-presentation-images/lions-health-grand-prix-for-good-new-zealand-herpes-foundation-the-best-place-in-the-world-to-have-herpes.webp</t>
        </is>
      </c>
      <c r="J2" s="127" t="inlineStr">
        <is>
          <t>vimeo:1083074994</t>
        </is>
      </c>
      <c r="K2" s="127" t="n"/>
      <c r="L2" s="128" t="inlineStr">
        <is>
          <t>https://www.lovethework.com/work/entries/the-best-place-in-the-world-to-have-herpes-767496</t>
        </is>
      </c>
      <c r="M2" s="113" t="inlineStr">
        <is>
          <t>A tourism-style campaign for the New Zealand Herpes Foundation, created by Finch in Sydney and Motion Sickness in Auckland, that repositioned herpes stigma reduction as a matter of national pride — framing it as a competition New Zealand could win. A live Herpes Stigma Index on the campaign website tracked New Zealand's ranking against 77 other countries, while a five-lesson "Herpes Destigmatisation Course" used humour to walk participants through misconceptions, awarding points that contributed to the national leaderboard position. The work drew on the fact that 30% of New Zealanders diagnosed with herpes experience depressive or suicidal thoughts, and that the virus — despite being common and largely harmless — is rarely discussed openly.</t>
        </is>
      </c>
      <c r="N2" s="113" t="inlineStr">
        <is>
          <t>public-health, digital, health-education, humour, new-zealand, australia, e-learning, website, stigma, ooh</t>
        </is>
      </c>
    </row>
  </sheetData>
  <autoFilter ref="A1:N2"/>
  <hyperlinks>
    <hyperlink xmlns:r="http://schemas.openxmlformats.org/officeDocument/2006/relationships" ref="L2" r:id="rId1"/>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Make Love Last - Bedroom</t>
        </is>
      </c>
      <c r="D2" s="127" t="inlineStr">
        <is>
          <t>Viatris</t>
        </is>
      </c>
      <c r="E2" s="127" t="inlineStr">
        <is>
          <t>Viagra</t>
        </is>
      </c>
      <c r="F2" s="127" t="inlineStr">
        <is>
          <t>Ogilvy</t>
        </is>
      </c>
      <c r="G2" s="127" t="inlineStr">
        <is>
          <t>China</t>
        </is>
      </c>
      <c r="H2" s="113" t="inlineStr">
        <is>
          <t>Film Craft: Cinematography - Unbranded Product or Service Promotion</t>
        </is>
      </c>
      <c r="I2" s="127" t="inlineStr">
        <is>
          <t>digital-presentation-images/pharma-viatris-make-love-last-bedroom.webp</t>
        </is>
      </c>
      <c r="J2" s="127" t="inlineStr">
        <is>
          <t>vimeo:1086963204</t>
        </is>
      </c>
      <c r="K2" s="127" t="n"/>
      <c r="L2" s="128" t="inlineStr">
        <is>
          <t>https://www.lovethework.com/work/entries/make-love-last-bedroom-752901</t>
        </is>
      </c>
      <c r="M2" s="113" t="inlineStr">
        <is>
          <t>A time-lapse film series made for China, where direct-to-consumer pharmaceutical advertising is prohibited and sex remains a heavily regulated topic, in which three real couples shared their stories about intimacy and were then left alone with a camera — their unscripted closeness captured in long, compressed takes by a renowned artist collaborating with Ogilvy Shanghai. The films were released on Chinese Valentine's Day and amplified through medical experts and relationship KOLs to open conversations about intimacy without making explicit product claims.</t>
        </is>
      </c>
      <c r="N2" s="113" t="inlineStr">
        <is>
          <t>pharmaceutical, film, cinema, entertainment, cinematography, time-lapse, china, sexual-health, healthcare, medical, branded-content, social, couples</t>
        </is>
      </c>
    </row>
    <row r="3">
      <c r="A3" s="127" t="n">
        <v>2025</v>
      </c>
      <c r="B3" s="140" t="inlineStr">
        <is>
          <t>Gold</t>
        </is>
      </c>
      <c r="C3" s="127" t="inlineStr">
        <is>
          <t>Friedreich's Back</t>
        </is>
      </c>
      <c r="D3" s="127" t="inlineStr">
        <is>
          <t>Biogen</t>
        </is>
      </c>
      <c r="E3" s="127" t="inlineStr">
        <is>
          <t>Skyclaris</t>
        </is>
      </c>
      <c r="F3" s="127" t="inlineStr">
        <is>
          <t>21GRAMS</t>
        </is>
      </c>
      <c r="G3" s="127" t="inlineStr">
        <is>
          <t>United States</t>
        </is>
      </c>
      <c r="H3" s="113" t="inlineStr">
        <is>
          <t>Entertainment - Product or Service Promotion: Direct to Patient</t>
        </is>
      </c>
      <c r="I3" s="128" t="inlineStr">
        <is>
          <t>https://ascentialcdn.filespin.io/api/v1/conversion/fd234ce7b17e4ff083175e878a0dcc9e</t>
        </is>
      </c>
      <c r="J3" s="127" t="inlineStr">
        <is>
          <t>vimeo:1097204731</t>
        </is>
      </c>
      <c r="K3" s="127" t="n"/>
      <c r="L3" s="128" t="inlineStr">
        <is>
          <t>https://www.lovethework.com/work/entries/friedreichs-back-752797</t>
        </is>
      </c>
      <c r="M3" s="113" t="inlineStr">
        <is>
          <t>A direct-to-patient campaign for Skyclaris, Biogen's treatment for Friedreich's ataxia, built around the phrase "Friedreich's Back" — a double meaning that reframes the rare, progressive neurological disease as something returnable to life rather than a life sentence. Created by 21GRAMS, the work targets the small, historically underserved Friedreich's ataxia patient community in the United States with branded messaging designed to signal that an FDA-approved treatment now exists.</t>
        </is>
      </c>
      <c r="N3" s="113" t="inlineStr">
        <is>
          <t>pharmaceutical, rare-disease, direct-to-patient, branded-content, united-states, neurology, entertainment, wordplay</t>
        </is>
      </c>
    </row>
    <row r="4">
      <c r="A4" s="127" t="n">
        <v>2025</v>
      </c>
      <c r="B4" s="132" t="inlineStr">
        <is>
          <t>Silver</t>
        </is>
      </c>
      <c r="C4" s="127" t="inlineStr">
        <is>
          <t>Glowing Relief</t>
        </is>
      </c>
      <c r="D4" s="127" t="inlineStr">
        <is>
          <t>Alivia Health</t>
        </is>
      </c>
      <c r="E4" s="127" t="inlineStr">
        <is>
          <t>Glowing Relief</t>
        </is>
      </c>
      <c r="F4" s="127" t="inlineStr">
        <is>
          <t>De La Cruz Ogilvy</t>
        </is>
      </c>
      <c r="G4" s="127" t="inlineStr">
        <is>
          <t>Puerto Rico</t>
        </is>
      </c>
      <c r="H4" s="113" t="inlineStr">
        <is>
          <t>Brand Experience &amp; Activation - Branded Product or Service Promotion</t>
        </is>
      </c>
      <c r="I4" s="128" t="inlineStr">
        <is>
          <t>https://ascentialcdn.filespin.io/api/v1/conversion/890f5040eb2d4dbdbaa5b4f333e85719</t>
        </is>
      </c>
      <c r="J4" s="127" t="inlineStr">
        <is>
          <t>VqmIS4FkLP0</t>
        </is>
      </c>
      <c r="K4" s="127" t="n"/>
      <c r="L4" s="128" t="inlineStr">
        <is>
          <t>https://www.lovethework.com/work/entries/glowing-relief-764131</t>
        </is>
      </c>
      <c r="M4" s="113" t="inlineStr">
        <is>
          <t>Glow-in-the-dark prescription labels developed by Alivia Health and its Farmacias Plaza pharmacy chain in Puerto Rico — designed so patients can read medication names and dosages during power outages, which are frequent across the island. The labels specifically address the risk of medication errors among elderly patients and those with vision impairments navigating low-light conditions.</t>
        </is>
      </c>
      <c r="N4" s="113" t="inlineStr">
        <is>
          <t>pharmacy, packaging, healthcare, glow-in-the-dark, puerto-rico, elderly-audience, medication-safety, branded-product</t>
        </is>
      </c>
    </row>
    <row r="5">
      <c r="A5" s="127" t="n">
        <v>2025</v>
      </c>
      <c r="B5" s="132" t="inlineStr">
        <is>
          <t>Silver</t>
        </is>
      </c>
      <c r="C5" s="127" t="inlineStr">
        <is>
          <t>Dawai Reader</t>
        </is>
      </c>
      <c r="D5" s="127" t="inlineStr">
        <is>
          <t>Alkem Laboratories</t>
        </is>
      </c>
      <c r="E5" s="127" t="inlineStr">
        <is>
          <t>The Dawai Reader</t>
        </is>
      </c>
      <c r="F5" s="127" t="inlineStr">
        <is>
          <t>Lowe Lintas</t>
        </is>
      </c>
      <c r="G5" s="127" t="inlineStr">
        <is>
          <t>India</t>
        </is>
      </c>
      <c r="H5" s="113" t="inlineStr">
        <is>
          <t>Healthcare Product Innovation - Healthcare Professional Engagement</t>
        </is>
      </c>
      <c r="I5" s="128" t="inlineStr">
        <is>
          <t>https://ascentialcdn.filespin.io/api/v1/conversion/762f141aa6fc442dad023f1af28469d8</t>
        </is>
      </c>
      <c r="J5" s="127" t="inlineStr">
        <is>
          <t>8bisb8K-apg</t>
        </is>
      </c>
      <c r="K5" s="127" t="n"/>
      <c r="L5" s="128" t="inlineStr">
        <is>
          <t>https://www.lovethework.com/work/entries/dawai-reader-752957</t>
        </is>
      </c>
      <c r="M5" s="113" t="inlineStr">
        <is>
          <t>An AI-powered tool developed by Alkem Laboratories with Lowe Lintas and Doceree that photographs and decodes handwritten doctor's prescriptions, converting illegible script into readable medication instructions for patients in rural and remote regions of India. Designed to address the gap between a doctor's handwriting and a patient's ability to correctly follow a prescription — a problem particularly acute in areas with low health literacy and limited pharmacist access.</t>
        </is>
      </c>
      <c r="N5" s="113" t="inlineStr">
        <is>
          <t>healthcare, mobile-app, ai, technology, pharma, rural, india, prescription, healthcare-professional-engagement, patient-tool</t>
        </is>
      </c>
    </row>
    <row r="6">
      <c r="A6" s="127" t="n">
        <v>2025</v>
      </c>
      <c r="B6" s="132" t="inlineStr">
        <is>
          <t>Silver</t>
        </is>
      </c>
      <c r="C6" s="127" t="inlineStr">
        <is>
          <t>No More Hippocrites</t>
        </is>
      </c>
      <c r="D6" s="127" t="inlineStr">
        <is>
          <t>Wisp</t>
        </is>
      </c>
      <c r="E6" s="127" t="inlineStr">
        <is>
          <t>Sexual Healthcare</t>
        </is>
      </c>
      <c r="F6" s="127" t="inlineStr">
        <is>
          <t>Eversana Intouch</t>
        </is>
      </c>
      <c r="G6" s="127" t="inlineStr">
        <is>
          <t>United States</t>
        </is>
      </c>
      <c r="H6" s="113" t="inlineStr">
        <is>
          <t>Integrated - Healthcare Professional Engagement</t>
        </is>
      </c>
      <c r="I6" s="128" t="inlineStr">
        <is>
          <t>https://ascentialcdn.filespin.io/api/v1/conversion/823ab3c84f2544f5ba3ad5839f2d5e4b</t>
        </is>
      </c>
      <c r="J6" s="127" t="inlineStr">
        <is>
          <t>vimeo:1093833225</t>
        </is>
      </c>
      <c r="K6" s="127" t="n"/>
      <c r="L6" s="128" t="inlineStr">
        <is>
          <t>https://www.lovethework.com/work/entries/no-more-hippocrites-752770</t>
        </is>
      </c>
      <c r="M6" s="113" t="inlineStr">
        <is>
          <t>A campaign built around a deliberate misspelling — "Hippocrites" fusing "Hippocratic" and "hypocrites" — to spotlight the ethical bind U.S. physicians face when abortion restrictions force them to choose between the law and the Hippocratic oath. Created by EVERSANA INTOUCH for WISP, the sexual healthcare telehealth company, the work addresses healthcare professionals navigating the gap between their medical obligations and state-level legal constraints.</t>
        </is>
      </c>
      <c r="N6" s="113" t="inlineStr">
        <is>
          <t>sexual-healthcare, telehealth, healthcare-professional, integrated, wordplay, united-states, reproductive-health, hcp-engagement</t>
        </is>
      </c>
    </row>
    <row r="7">
      <c r="A7" s="127" t="n">
        <v>2025</v>
      </c>
      <c r="B7" s="133" t="inlineStr">
        <is>
          <t>Bronze</t>
        </is>
      </c>
      <c r="C7" s="127" t="inlineStr">
        <is>
          <t>Don't Stop Motion</t>
        </is>
      </c>
      <c r="D7" s="127" t="inlineStr">
        <is>
          <t>Cenabast</t>
        </is>
      </c>
      <c r="E7" s="127" t="inlineStr">
        <is>
          <t>Gobierno De Chile</t>
        </is>
      </c>
      <c r="F7" s="127" t="inlineStr">
        <is>
          <t>VML</t>
        </is>
      </c>
      <c r="G7" s="127" t="inlineStr">
        <is>
          <t>Chile</t>
        </is>
      </c>
      <c r="H7" s="113" t="inlineStr">
        <is>
          <t>Brand Experience &amp; Activation - Disease Awareness &amp; Understanding: Direct to Patient or Healthcare Professional</t>
        </is>
      </c>
      <c r="I7" s="128" t="inlineStr">
        <is>
          <t>https://ascentialcdn.filespin.io/api/v1/conversion/624a82c03eb34a1e8a6359e0f28b8b71</t>
        </is>
      </c>
      <c r="J7" s="127" t="inlineStr">
        <is>
          <t>vimeo:1186233105</t>
        </is>
      </c>
      <c r="K7" s="127" t="n"/>
      <c r="L7" s="128" t="inlineStr">
        <is>
          <t>https://www.lovethework.com/work/entries/dont-stop-motion-752912</t>
        </is>
      </c>
      <c r="M7" s="113" t="inlineStr">
        <is>
          <t>A stop-motion film co-created with rheumatoid arthritis patients for CENABAST, Chile's national medicine procurement and distribution body, in which patients' own movements and physical limitations shaped the animation technique — making the condition's characteristic stiffness and interrupted motion visible through the craft itself. The film was distributed directly to patients and healthcare professionals across Chile to build understanding of the disease's daily reality.</t>
        </is>
      </c>
      <c r="N7" s="113" t="inlineStr">
        <is>
          <t>government-health-agency, film, cinema, entertainment, stop-motion, disease-awareness, rheumatoid-arthritis, chile, patient-co-creation, healthcare-professional, pharma</t>
        </is>
      </c>
    </row>
    <row r="8">
      <c r="A8" s="127" t="n">
        <v>2025</v>
      </c>
      <c r="B8" s="133" t="inlineStr">
        <is>
          <t>Bronze</t>
        </is>
      </c>
      <c r="C8" s="127" t="inlineStr">
        <is>
          <t>Painvisible</t>
        </is>
      </c>
      <c r="D8" s="127" t="inlineStr">
        <is>
          <t>Aritium</t>
        </is>
      </c>
      <c r="E8" s="127" t="inlineStr">
        <is>
          <t>Painvisible</t>
        </is>
      </c>
      <c r="F8" s="127" t="inlineStr">
        <is>
          <t>VML</t>
        </is>
      </c>
      <c r="G8" s="127" t="inlineStr">
        <is>
          <t>Spain</t>
        </is>
      </c>
      <c r="H8" s="113" t="inlineStr">
        <is>
          <t>Mobile - Innovative Use of Technology: Patient or Healthcare Professional</t>
        </is>
      </c>
      <c r="I8" s="128" t="inlineStr">
        <is>
          <t>https://ascentialcdn.filespin.io/api/v1/conversion/36a5e9332fc143ed9a375ed95c71f5d7</t>
        </is>
      </c>
      <c r="J8" s="127" t="inlineStr">
        <is>
          <t>_BKTmzriqgs</t>
        </is>
      </c>
      <c r="K8" s="127" t="n"/>
      <c r="L8" s="128" t="inlineStr">
        <is>
          <t>https://www.lovethework.com/work/entries/painvisible-752908</t>
        </is>
      </c>
      <c r="M8" s="113" t="inlineStr">
        <is>
          <t>A medical diagnostic tool developed by Aritium and VML Madrid and VML New York that uses thermal imaging cameras and AI to produce an objective, quantified read of a patient's pain level — addressing the core clinical problem that pain self-reporting is impossible for non-verbal patients such as infants, people with dementia, or those under sedation. The system is currently deployed in hospitals across Spain, with rollout planned for Europe, Latin America, and the United States.</t>
        </is>
      </c>
      <c r="N8" s="113" t="inlineStr">
        <is>
          <t>medical-technology, product-innovation, ai, technology, thermal-imaging, healthcare, spain, non-verbal-patients, b2b, business</t>
        </is>
      </c>
    </row>
    <row r="9">
      <c r="A9" s="127" t="n">
        <v>2025</v>
      </c>
      <c r="B9" s="133" t="inlineStr">
        <is>
          <t>Bronze</t>
        </is>
      </c>
      <c r="C9" s="127" t="inlineStr">
        <is>
          <t>Scratched Out</t>
        </is>
      </c>
      <c r="D9" s="127" t="inlineStr">
        <is>
          <t>Patient Activation for Prurigo Nodularis</t>
        </is>
      </c>
      <c r="E9" s="127" t="inlineStr">
        <is>
          <t>Sanofi</t>
        </is>
      </c>
      <c r="F9" s="127" t="inlineStr">
        <is>
          <t>Havas Lynx</t>
        </is>
      </c>
      <c r="G9" s="127" t="inlineStr">
        <is>
          <t>United Kingdom</t>
        </is>
      </c>
      <c r="H9" s="113" t="inlineStr">
        <is>
          <t>Film Craft: Animation/Visual Effects - Product or Service Promotion: Direct to Patient</t>
        </is>
      </c>
      <c r="I9" s="127" t="inlineStr">
        <is>
          <t>digital-presentation-images/pharma-patient-activation-for-prurigo-nodularis-scratched-out.webp</t>
        </is>
      </c>
      <c r="J9" s="127" t="inlineStr">
        <is>
          <t>mp4:videos/scratched_out.mp4</t>
        </is>
      </c>
      <c r="K9" s="127" t="n"/>
      <c r="L9" s="128" t="inlineStr">
        <is>
          <t>https://www.lovethework.com/work/entries/scratched-out-752900</t>
        </is>
      </c>
      <c r="M9" s="113" t="inlineStr">
        <is>
          <t>A film about prurigo nodularis in which over 3,900 frames were hand-scratched — using fingernails, scalpels, and sandpaper at calibrated intensities — so that the patient protagonist appears to dissolve out of her own life, present but erased. The scratch scale was developed in consultation with PN patients, whose accounts of the condition's emotional toll shaped the story.</t>
        </is>
      </c>
      <c r="N9" s="113" t="inlineStr">
        <is>
          <t>pharma, film, cinema, entertainment, visual-effects, hand-craft, patient-activation, rare-disease, united-kingdom, direct-to-patient, typography</t>
        </is>
      </c>
    </row>
    <row r="10">
      <c r="A10" s="127" t="n">
        <v>2025</v>
      </c>
      <c r="B10" s="133" t="inlineStr">
        <is>
          <t>Bronze</t>
        </is>
      </c>
      <c r="C10" s="127" t="inlineStr">
        <is>
          <t>Pick Up Your Poop</t>
        </is>
      </c>
      <c r="D10" s="127" t="inlineStr">
        <is>
          <t>Cologuard</t>
        </is>
      </c>
      <c r="E10" s="127" t="inlineStr">
        <is>
          <t>Cologuard</t>
        </is>
      </c>
      <c r="F10" s="127" t="inlineStr">
        <is>
          <t>The Community</t>
        </is>
      </c>
      <c r="G10" s="127" t="inlineStr">
        <is>
          <t>United States</t>
        </is>
      </c>
      <c r="H10" s="113" t="inlineStr">
        <is>
          <t>Use of Technology - Branded Product or Service Promotion</t>
        </is>
      </c>
      <c r="I10" s="128" t="inlineStr">
        <is>
          <t>https://ascentialcdn.filespin.io/api/v1/conversion/cd58f44ccf4c418a98a0074ed522d7d6</t>
        </is>
      </c>
      <c r="J10" s="127" t="inlineStr">
        <is>
          <t>vimeo:1093348412</t>
        </is>
      </c>
      <c r="K10" s="127" t="n"/>
      <c r="L10" s="128" t="inlineStr">
        <is>
          <t>https://www.lovethework.com/work/entries/pick-up-your-poop-764312</t>
        </is>
      </c>
      <c r="M10" s="113" t="inlineStr">
        <is>
          <t>A public health campaign built around the behavioral overlap between walking a dog and taking the Cologuard at-home colon cancer screening test — both require collecting a stool sample. Created by The Community for Exact Sciences in partnership with F Cancer, the campaign used dog owners' existing habit as a low-barrier, humor-forward entry point to prompt colorectal cancer screening, a disease that kills around 53,000 people in the U.S. each year.</t>
        </is>
      </c>
      <c r="N10" s="113" t="inlineStr">
        <is>
          <t>at-home-screening, pharma, colorectal-cancer, health, social, united-states, humor, public-health</t>
        </is>
      </c>
    </row>
  </sheetData>
  <autoFilter ref="A1:N10"/>
  <hyperlinks>
    <hyperlink xmlns:r="http://schemas.openxmlformats.org/officeDocument/2006/relationships" ref="L2" r:id="rId1"/>
    <hyperlink xmlns:r="http://schemas.openxmlformats.org/officeDocument/2006/relationships" ref="I3" r:id="rId2"/>
    <hyperlink xmlns:r="http://schemas.openxmlformats.org/officeDocument/2006/relationships" ref="L3" r:id="rId3"/>
    <hyperlink xmlns:r="http://schemas.openxmlformats.org/officeDocument/2006/relationships" ref="I4" r:id="rId4"/>
    <hyperlink xmlns:r="http://schemas.openxmlformats.org/officeDocument/2006/relationships" ref="L4" r:id="rId5"/>
    <hyperlink xmlns:r="http://schemas.openxmlformats.org/officeDocument/2006/relationships" ref="I5"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I7"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L9" r:id="rId14"/>
    <hyperlink xmlns:r="http://schemas.openxmlformats.org/officeDocument/2006/relationships" ref="I10" r:id="rId15"/>
    <hyperlink xmlns:r="http://schemas.openxmlformats.org/officeDocument/2006/relationships" ref="L10" r:id="rId16"/>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Shot on iPhone</t>
        </is>
      </c>
      <c r="D2" s="127" t="inlineStr">
        <is>
          <t>Apple</t>
        </is>
      </c>
      <c r="E2" s="127" t="inlineStr">
        <is>
          <t>iPhone</t>
        </is>
      </c>
      <c r="F2" s="127" t="inlineStr">
        <is>
          <t>TBWA\Media Arts Lab</t>
        </is>
      </c>
      <c r="G2" s="127" t="inlineStr">
        <is>
          <t>United States</t>
        </is>
      </c>
      <c r="H2" s="113" t="inlineStr">
        <is>
          <t>Long-Term Brand Platform</t>
        </is>
      </c>
      <c r="I2" s="128" t="inlineStr">
        <is>
          <t>https://ascentialcdn.filespin.io/api/v1/conversion/c125657ef0f84557825eba78ef7e3d63</t>
        </is>
      </c>
      <c r="J2" s="127" t="inlineStr">
        <is>
          <t>S74jad3ZmUY</t>
        </is>
      </c>
      <c r="K2" s="127" t="n"/>
      <c r="L2" s="128" t="inlineStr">
        <is>
          <t>https://www.lovethework.com/work/entries/shot-on-iphone-765239</t>
        </is>
      </c>
      <c r="M2" s="113" t="inlineStr">
        <is>
          <t>A long-running OOH and media platform launched in 2015 to showcase the iPhone 6's camera, built entirely from photographs taken by real iPhone users — displayed on billboards, in print, and across digital surfaces worldwide without traditional art direction or studio production. TBWA\Media Arts Lab's central mechanic is the premise that the product demo is also the creative canvas: every execution is the output of the device being sold, sourced from the global user base rather than commissioned photographers.</t>
        </is>
      </c>
      <c r="N2" s="113" t="inlineStr">
        <is>
          <t>iphone, smartphone, ooh, long-term-platform, ugc, photography, united-states, brand-platform</t>
        </is>
      </c>
    </row>
    <row r="3">
      <c r="A3" s="127" t="n">
        <v>2025</v>
      </c>
      <c r="B3" s="140" t="inlineStr">
        <is>
          <t>Gold</t>
        </is>
      </c>
      <c r="C3" s="127" t="inlineStr">
        <is>
          <t>The Everyday Tactician: How Getting a Football Club Promoted Helped Xbox Take a Step Closer to the Future of Gaming</t>
        </is>
      </c>
      <c r="D3" s="127" t="inlineStr">
        <is>
          <t>Xbox</t>
        </is>
      </c>
      <c r="E3" s="127" t="inlineStr">
        <is>
          <t>Xbox Game Pass</t>
        </is>
      </c>
      <c r="F3" s="127" t="inlineStr">
        <is>
          <t>McCANN</t>
        </is>
      </c>
      <c r="G3" s="127" t="inlineStr">
        <is>
          <t>United Kingdom</t>
        </is>
      </c>
      <c r="H3" s="113" t="inlineStr">
        <is>
          <t>Launch</t>
        </is>
      </c>
      <c r="I3" s="128" t="inlineStr">
        <is>
          <t>https://ascentialcdn.filespin.io/api/v1/conversion/7c2d069dafe1485c9e355a842cdb238d</t>
        </is>
      </c>
      <c r="J3" s="127" t="inlineStr">
        <is>
          <t>Kb3nqqwihz0</t>
        </is>
      </c>
      <c r="K3" s="127" t="n"/>
      <c r="L3" s="128" t="inlineStr">
        <is>
          <t>https://www.lovethework.com/work/entries/the-everyday-tactician-how-getting-a-football-club-promoted-helped-xbox-take-a-step-closer-to-the-future-of-gaming-764812</t>
        </is>
      </c>
      <c r="M3" s="113" t="inlineStr">
        <is>
          <t>A real Football Manager player recruited by Xbox and McCann London to serve as a tactical analyst for Bromley FC — an actual English Football League club — using Xbox Game Pass as his primary tool. The partnership ran across a full competitive season, with the fan's in-game analysis feeding into real matchday decisions as Bromley won promotion.</t>
        </is>
      </c>
      <c r="N3" s="113" t="inlineStr">
        <is>
          <t>xbox-game-pass, gaming, video-games, entertainment, football, soccer, sport, experiential, branded-partnership, united-kingdom, launch, sports</t>
        </is>
      </c>
    </row>
    <row r="4">
      <c r="A4" s="127" t="n">
        <v>2025</v>
      </c>
      <c r="B4" s="140" t="inlineStr">
        <is>
          <t>Gold</t>
        </is>
      </c>
      <c r="C4" s="127" t="inlineStr">
        <is>
          <t>Don't Drink Hertog Jan</t>
        </is>
      </c>
      <c r="D4" s="127" t="inlineStr">
        <is>
          <t>Hertog Jan</t>
        </is>
      </c>
      <c r="E4" s="127" t="inlineStr">
        <is>
          <t>Hertog Jan</t>
        </is>
      </c>
      <c r="F4" s="127" t="inlineStr">
        <is>
          <t>Gut</t>
        </is>
      </c>
      <c r="G4" s="127" t="inlineStr">
        <is>
          <t>Netherlands</t>
        </is>
      </c>
      <c r="H4" s="113" t="inlineStr">
        <is>
          <t>Single Market</t>
        </is>
      </c>
      <c r="I4" s="127" t="inlineStr">
        <is>
          <t>digital-presentation-images/creative-effectiveness-hertog-jan-dont-drink-hertog-jan.webp</t>
        </is>
      </c>
      <c r="J4" s="127" t="inlineStr">
        <is>
          <t>pn80885I5OY</t>
        </is>
      </c>
      <c r="K4" s="127" t="n"/>
      <c r="L4" s="128" t="inlineStr">
        <is>
          <t>https://www.lovethework.com/work/entries/dont-drink-hertog-jan-761647</t>
        </is>
      </c>
      <c r="M4" s="113" t="inlineStr">
        <is>
          <t>A mobile app built by GUT Amsterdam that lets beer buyers remotely reserve a digitally-owned aging slot in one of 30,000 spaces under Hertog Jan's brewery — or set up a guided aging room at home — and then leave the bottle untouched for up to six years. Each season, the master brewer sends personalized updates tracking how that specific bottle is evolving, turning a purchase into a multi-year wait. The campaign positioned a small Dutch countryside brewery directly against Heineken by inverting the category's core call to action: don't drink it.</t>
        </is>
      </c>
      <c r="N4" s="113" t="inlineStr">
        <is>
          <t>beer, alcohol, mobile-app, aging-program, direct, netherlands, experiential, personalization, gut-amsterdam</t>
        </is>
      </c>
    </row>
    <row r="5">
      <c r="A5" s="127" t="n">
        <v>2025</v>
      </c>
      <c r="B5" s="140" t="inlineStr">
        <is>
          <t>Gold</t>
        </is>
      </c>
      <c r="C5" s="127" t="inlineStr">
        <is>
          <t>The Misheard Version</t>
        </is>
      </c>
      <c r="D5" s="127" t="inlineStr">
        <is>
          <t>Specsavers</t>
        </is>
      </c>
      <c r="E5" s="127" t="inlineStr">
        <is>
          <t>Audiology</t>
        </is>
      </c>
      <c r="F5" s="127" t="inlineStr">
        <is>
          <t>Golin</t>
        </is>
      </c>
      <c r="G5" s="127" t="inlineStr">
        <is>
          <t>United Kingdom</t>
        </is>
      </c>
      <c r="H5" s="113" t="inlineStr">
        <is>
          <t>Acquisition</t>
        </is>
      </c>
      <c r="I5" s="128" t="inlineStr">
        <is>
          <t>https://ascentialcdn.filespin.io/api/v1/conversion/907772d8708748d5b4087c68c1b6fdf9</t>
        </is>
      </c>
      <c r="J5" s="127" t="inlineStr">
        <is>
          <t>EgNb0LQxm84</t>
        </is>
      </c>
      <c r="K5" s="127" t="n"/>
      <c r="L5" s="128" t="inlineStr">
        <is>
          <t>https://www.lovethework.com/work/entries/the-misheard-version-751965</t>
        </is>
      </c>
      <c r="M5" s="113" t="inlineStr">
        <is>
          <t>A re-recorded version of Rick Astley's "Never Gonna Give You Up" in which every famously misheard lyric is replaced with what listeners actually thought they heard — released by Specsavers and Golin as a Rick-Roll to start a national conversation about hearing loss. The track was distributed as a genuine music release across streaming platforms in the United Kingdom.</t>
        </is>
      </c>
      <c r="N5" s="113" t="inlineStr">
        <is>
          <t>audiology, music, entertainment, public-relations, hearing-health, united-kingdom, audio, acquisition, content</t>
        </is>
      </c>
    </row>
    <row r="6">
      <c r="A6" s="127" t="n">
        <v>2025</v>
      </c>
      <c r="B6" s="132" t="inlineStr">
        <is>
          <t>Silver</t>
        </is>
      </c>
      <c r="C6" s="127" t="inlineStr">
        <is>
          <t>Samsung Throwback Deals</t>
        </is>
      </c>
      <c r="D6" s="127" t="inlineStr">
        <is>
          <t>Samsung Brazil</t>
        </is>
      </c>
      <c r="E6" s="127" t="inlineStr">
        <is>
          <t>E-Commerce</t>
        </is>
      </c>
      <c r="F6" s="127" t="inlineStr">
        <is>
          <t>MRM</t>
        </is>
      </c>
      <c r="G6" s="127" t="inlineStr">
        <is>
          <t>Brazil</t>
        </is>
      </c>
      <c r="H6" s="113" t="inlineStr">
        <is>
          <t>Breakthrough on a Budget</t>
        </is>
      </c>
      <c r="I6" s="128" t="inlineStr">
        <is>
          <t>https://ascentialcdn.filespin.io/api/v1/conversion/f046264282904c7b9cf6f37b69173ec2</t>
        </is>
      </c>
      <c r="J6" s="127" t="inlineStr">
        <is>
          <t>dlY3UOVF9OU</t>
        </is>
      </c>
      <c r="K6" s="127" t="n"/>
      <c r="L6" s="128" t="inlineStr">
        <is>
          <t>https://www.lovethework.com/work/entries/samsung-throwback-deals-752109</t>
        </is>
      </c>
      <c r="M6" s="113" t="inlineStr">
        <is>
          <t>An e-commerce promotion by Samsung Brazil that priced current products at the historic lower prices they sold for in previous years — turning the passage of time into a discount mechanic. Shoppers could claim deals based on what a device actually cost when it first launched, surfacing the gap between an older price point and today's catalog.</t>
        </is>
      </c>
      <c r="N6" s="113" t="inlineStr">
        <is>
          <t>e-commerce, retail, consumer-electronics, promotion, brazil, budget-campaign, pricing-mechanic</t>
        </is>
      </c>
    </row>
    <row r="7">
      <c r="A7" s="127" t="n">
        <v>2025</v>
      </c>
      <c r="B7" s="132" t="inlineStr">
        <is>
          <t>Silver</t>
        </is>
      </c>
      <c r="C7" s="127" t="inlineStr">
        <is>
          <t>Real Beauty: How a Soap Brand Created a Global Self-Esteem Movement</t>
        </is>
      </c>
      <c r="D7" s="127" t="inlineStr">
        <is>
          <t>Dove</t>
        </is>
      </c>
      <c r="E7" s="127" t="inlineStr">
        <is>
          <t>Dove</t>
        </is>
      </c>
      <c r="F7" s="127" t="inlineStr">
        <is>
          <t>Ogilvy UK</t>
        </is>
      </c>
      <c r="G7" s="127" t="inlineStr">
        <is>
          <t>United Kingdom</t>
        </is>
      </c>
      <c r="H7" s="113" t="inlineStr">
        <is>
          <t>Long-Term Brand Platform</t>
        </is>
      </c>
      <c r="I7" s="128" t="inlineStr">
        <is>
          <t>https://ascentialcdn.filespin.io/api/v1/conversion/1c2573f5cf2c4b78af5a4b42f75ac2c2</t>
        </is>
      </c>
      <c r="J7" s="127" t="inlineStr">
        <is>
          <t>puQ0PNZ1W-A</t>
        </is>
      </c>
      <c r="K7" s="127" t="n"/>
      <c r="L7" s="128" t="inlineStr">
        <is>
          <t>https://www.lovethework.com/work/entries/real-beauty-how-a-soap-brand-created-a-global-self-esteem-movement-765245</t>
        </is>
      </c>
      <c r="M7"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7" s="113" t="inlineStr">
        <is>
          <t>personal-care, long-term-platform, ooh, social-media, self-esteem, united-kingdom, united-states, education, brand-purpose</t>
        </is>
      </c>
    </row>
    <row r="8">
      <c r="A8" s="127" t="n">
        <v>2025</v>
      </c>
      <c r="B8" s="132" t="inlineStr">
        <is>
          <t>Silver</t>
        </is>
      </c>
      <c r="C8" s="127" t="inlineStr">
        <is>
          <t>No Smiles</t>
        </is>
      </c>
      <c r="D8" s="127" t="inlineStr">
        <is>
          <t>McDonald's</t>
        </is>
      </c>
      <c r="E8" s="127" t="inlineStr">
        <is>
          <t>Hiring</t>
        </is>
      </c>
      <c r="F8" s="127" t="inlineStr">
        <is>
          <t>TBWA\Hakuhodo</t>
        </is>
      </c>
      <c r="G8" s="127" t="inlineStr">
        <is>
          <t>Japan</t>
        </is>
      </c>
      <c r="H8" s="113" t="inlineStr">
        <is>
          <t>Market Disruption</t>
        </is>
      </c>
      <c r="I8" s="128" t="inlineStr">
        <is>
          <t>https://ascentialcdn.filespin.io/api/v1/conversion/8bd771cfe9f74489a6ecf874a92cac25</t>
        </is>
      </c>
      <c r="J8" s="127" t="inlineStr">
        <is>
          <t>vimeo:1129136785</t>
        </is>
      </c>
      <c r="K8" s="127" t="n"/>
      <c r="L8" s="128" t="inlineStr">
        <is>
          <t>https://www.lovethework.com/work/entries/no-smiles-752049</t>
        </is>
      </c>
      <c r="M8" s="113" t="inlineStr">
        <is>
          <t>A recruitment campaign for McDonald's Japan that listed "¥0 Smiles" — the chain's decades-old menu item of a free smile — as a benefit employees no longer have to give, responding to a growing conversation among Gen Z workers in Japan about emotional labor and the pressure to perform cheerfulness on the job. TBWA\Hakuhodo reframed the existing brand asset as a contractual workplace promise: staff are not required to smile.</t>
        </is>
      </c>
      <c r="N8" s="113" t="inlineStr">
        <is>
          <t>fast-food, recruitment, japan, gen-z, employer-branding, market-disruption, social</t>
        </is>
      </c>
    </row>
    <row r="9">
      <c r="A9" s="127" t="n">
        <v>2025</v>
      </c>
      <c r="B9" s="132" t="inlineStr">
        <is>
          <t>Silver</t>
        </is>
      </c>
      <c r="C9" s="127" t="inlineStr">
        <is>
          <t>Find Your Summer</t>
        </is>
      </c>
      <c r="D9" s="127" t="inlineStr">
        <is>
          <t>Magnum</t>
        </is>
      </c>
      <c r="E9" s="127" t="inlineStr">
        <is>
          <t>Magnum Ice Cream</t>
        </is>
      </c>
      <c r="F9" s="127" t="inlineStr">
        <is>
          <t>Lola MullenLowe</t>
        </is>
      </c>
      <c r="G9" s="127" t="inlineStr">
        <is>
          <t>Spain</t>
        </is>
      </c>
      <c r="H9" s="113" t="inlineStr">
        <is>
          <t>Market Disruption</t>
        </is>
      </c>
      <c r="I9" s="128" t="inlineStr">
        <is>
          <t>https://ascentialcdn.filespin.io/api/v1/conversion/fccf3dc65a7040fcbc382da62a1bcf0b</t>
        </is>
      </c>
      <c r="J9" s="127" t="inlineStr">
        <is>
          <t>jmf4xjZvwqs</t>
        </is>
      </c>
      <c r="K9" s="127" t="n"/>
      <c r="L9" s="128" t="inlineStr">
        <is>
          <t>https://www.lovethework.com/work/entries/find-your-summer-761700</t>
        </is>
      </c>
      <c r="M9" s="113" t="inlineStr">
        <is>
          <t>A film directed by Juan Cabral that follows the narrow, fleeting shafts of sunlight that appear in a cold winter city — the premise being that those brief warmth windows are the right moment to eat a Magnum. Shot to make a mid-winter ice cream purchase feel instinctive rather than seasonal, the campaign positions Magnum as the reason to chase a patch of light at 3:14 pm.</t>
        </is>
      </c>
      <c r="N9" s="113" t="inlineStr">
        <is>
          <t>ice-cream, film, cinema, entertainment, winter-campaign, spain, seasonal, brand-positioning, lola-mullenlowe</t>
        </is>
      </c>
    </row>
    <row r="10">
      <c r="A10" s="127" t="n">
        <v>2025</v>
      </c>
      <c r="B10" s="132" t="inlineStr">
        <is>
          <t>Silver</t>
        </is>
      </c>
      <c r="C10" s="127" t="inlineStr">
        <is>
          <t>Handshake Hunt</t>
        </is>
      </c>
      <c r="D10" s="127" t="inlineStr">
        <is>
          <t>Mercado Livre</t>
        </is>
      </c>
      <c r="E10" s="127" t="inlineStr">
        <is>
          <t>Mercado Livre</t>
        </is>
      </c>
      <c r="F10" s="127" t="inlineStr">
        <is>
          <t>Gut</t>
        </is>
      </c>
      <c r="G10" s="127" t="inlineStr">
        <is>
          <t>Brazil</t>
        </is>
      </c>
      <c r="H10" s="113" t="inlineStr">
        <is>
          <t>Multi-Market</t>
        </is>
      </c>
      <c r="I10" s="128" t="inlineStr">
        <is>
          <t>https://ascentialcdn.filespin.io/api/v1/conversion/79595be993234fda94d72414b4e673e2</t>
        </is>
      </c>
      <c r="J10" s="127" t="inlineStr">
        <is>
          <t>Uc6Xgiizi8Q</t>
        </is>
      </c>
      <c r="K10" s="127" t="n"/>
      <c r="L10" s="128" t="inlineStr">
        <is>
          <t>https://www.lovethework.com/work/entries/handshake-hunt-761683</t>
        </is>
      </c>
      <c r="M10" s="113" t="inlineStr">
        <is>
          <t>A media hunt built around Mercado Livre's handshake logo, planted inside organic programming on Globo — Brazil's largest TV network — rather than in commercial breaks. Viewers watching regular content were prompted to spot the handshake symbol when it appeared on screen and use it to unlock Black Friday deals on the platform, turning any Globo broadcast moment into a shopping trigger.</t>
        </is>
      </c>
      <c r="N10" s="113" t="inlineStr">
        <is>
          <t>online-marketplace, broadcast-tv, ai, technology, black-friday, brazil, logo, media-strategy, second-screen, gut</t>
        </is>
      </c>
    </row>
    <row r="11">
      <c r="A11" s="127" t="n">
        <v>2025</v>
      </c>
      <c r="B11" s="132" t="inlineStr">
        <is>
          <t>Silver</t>
        </is>
      </c>
      <c r="C11" s="127" t="inlineStr">
        <is>
          <t>Refurb</t>
        </is>
      </c>
      <c r="D11" s="127" t="inlineStr">
        <is>
          <t>Philips</t>
        </is>
      </c>
      <c r="E11" s="127" t="inlineStr">
        <is>
          <t>Philips</t>
        </is>
      </c>
      <c r="F11" s="127" t="inlineStr">
        <is>
          <t>Lepub</t>
        </is>
      </c>
      <c r="G11" s="127" t="inlineStr">
        <is>
          <t>Netherlands</t>
        </is>
      </c>
      <c r="H11" s="113" t="inlineStr">
        <is>
          <t>Consumer Goods</t>
        </is>
      </c>
      <c r="I11" s="128" t="inlineStr">
        <is>
          <t>https://ascentialcdn.filespin.io/api/v1/conversion/0f9e4316f9644aad87356635e8f39cf3</t>
        </is>
      </c>
      <c r="J11" s="127" t="inlineStr">
        <is>
          <t>sJXFLk5wvcQ</t>
        </is>
      </c>
      <c r="K11" s="127" t="n"/>
      <c r="L11" s="128" t="inlineStr">
        <is>
          <t>https://www.lovethework.com/work/entries/refurb-761714</t>
        </is>
      </c>
      <c r="M11" s="113" t="inlineStr">
        <is>
          <t>A refurbished product line launched by Philips — the Refurb Edition — repackaged and sold alongside new products, with campaign imagery shot by Italian image-only magazine Toiletpaper to position reconditioned electronics as a deliberate consumer choice rather than a compromise. The creative, developed by LePub Amsterdam, ran as an integrated campaign across the Netherlands challenging the assumption that new always means better.</t>
        </is>
      </c>
      <c r="N11" s="113" t="inlineStr">
        <is>
          <t>consumer-electronics, integrated, sustainability, refurbished, packaging, netherlands, print, experiential</t>
        </is>
      </c>
    </row>
    <row r="12">
      <c r="A12" s="127" t="n">
        <v>2025</v>
      </c>
      <c r="B12" s="133" t="inlineStr">
        <is>
          <t>Bronze</t>
        </is>
      </c>
      <c r="C12" s="127" t="inlineStr">
        <is>
          <t>A Piece of Me</t>
        </is>
      </c>
      <c r="D12" s="127" t="inlineStr">
        <is>
          <t>KPN</t>
        </is>
      </c>
      <c r="E12" s="127" t="inlineStr">
        <is>
          <t>KPN</t>
        </is>
      </c>
      <c r="F12" s="127" t="inlineStr">
        <is>
          <t>Dentsu Creative</t>
        </is>
      </c>
      <c r="G12" s="127" t="inlineStr">
        <is>
          <t>Netherlands</t>
        </is>
      </c>
      <c r="H12" s="113" t="inlineStr">
        <is>
          <t>Creative Effectiveness for Good</t>
        </is>
      </c>
      <c r="I12" s="128" t="inlineStr">
        <is>
          <t>https://ascentialcdn.filespin.io/api/v1/conversion/d2ae25cdfd9c418185c6cac4e75b98fe</t>
        </is>
      </c>
      <c r="J12" s="127" t="inlineStr">
        <is>
          <t>LwH85eFmveQ</t>
        </is>
      </c>
      <c r="K12" s="127" t="n"/>
      <c r="L12" s="128" t="inlineStr">
        <is>
          <t>https://www.lovethework.com/work/entries/a-piece-of-me-752147</t>
        </is>
      </c>
      <c r="M12" s="113" t="inlineStr">
        <is>
          <t>A pop single and music video, "A Piece of Me" (Stukje van Mij), released by Dutch telecom KPN in partnership with Dentsu Creative Amsterdam and pop artist MEAU, whose lyrics were drawn from real fan stories about the consequences of non-consensual intimate image sharing. The campaign was designed to open conversations between Dutch parents and their teenage children about online behavior — an audience that regularly shares intimate content but rarely discusses the risks at home.</t>
        </is>
      </c>
      <c r="N12" s="113" t="inlineStr">
        <is>
          <t>telecommunications, music-video, online-safety, gen-z, netherlands, public-service, youth, social-issues</t>
        </is>
      </c>
    </row>
    <row r="13">
      <c r="A13" s="127" t="n">
        <v>2025</v>
      </c>
      <c r="B13" s="133" t="inlineStr">
        <is>
          <t>Bronze</t>
        </is>
      </c>
      <c r="C13" s="127" t="inlineStr">
        <is>
          <t>Michael Cerave</t>
        </is>
      </c>
      <c r="D13" s="127" t="inlineStr">
        <is>
          <t>Cerave</t>
        </is>
      </c>
      <c r="E13" s="127" t="inlineStr">
        <is>
          <t>Cerave</t>
        </is>
      </c>
      <c r="F13" s="127" t="inlineStr">
        <is>
          <t>Ogilvy PR</t>
        </is>
      </c>
      <c r="G13" s="127" t="inlineStr">
        <is>
          <t>United States</t>
        </is>
      </c>
      <c r="H13" s="113" t="inlineStr">
        <is>
          <t>Healthcare</t>
        </is>
      </c>
      <c r="I13" s="128" t="inlineStr">
        <is>
          <t>https://ascentialcdn.filespin.io/api/v1/conversion/a30647b18cf146969ce30881a640aca9</t>
        </is>
      </c>
      <c r="J13" s="127" t="inlineStr">
        <is>
          <t>vimeo:924148167</t>
        </is>
      </c>
      <c r="K13" s="127" t="n"/>
      <c r="L13" s="128" t="inlineStr">
        <is>
          <t>https://www.lovethework.com/work/entries/michael-cerave-751766</t>
        </is>
      </c>
      <c r="M13" s="113" t="inlineStr">
        <is>
          <t>A months-long social media and influencer conspiracy seeding the false claim that actor Michael Cera had secretly developed CeraVe skincare, built across earned, paid, and owned channels before being formally debunked on live television by a boardroom of CeraVe dermatologists in a Super Bowl commercial. The campaign was developed by Ogilvy PR New York and WPP Onefluence, using the prank's escalating absurdity to draw audiences in before the brand's actual credential — dermatologist development — delivered the punchline.</t>
        </is>
      </c>
      <c r="N13" s="113" t="inlineStr">
        <is>
          <t>skincare, personal-care, beauty, social-media, influencer, super-bowl, television, healthcare, united-states, multi-platform, pr</t>
        </is>
      </c>
    </row>
    <row r="14">
      <c r="A14" s="127" t="n">
        <v>2025</v>
      </c>
      <c r="B14" s="133" t="inlineStr">
        <is>
          <t>Bronze</t>
        </is>
      </c>
      <c r="C14" s="127" t="inlineStr">
        <is>
          <t>Gravy Race</t>
        </is>
      </c>
      <c r="D14" s="127" t="inlineStr">
        <is>
          <t>Sheba</t>
        </is>
      </c>
      <c r="E14" s="127" t="inlineStr">
        <is>
          <t>Sheba Gravy Indulgence</t>
        </is>
      </c>
      <c r="F14" s="127" t="inlineStr">
        <is>
          <t>AMV BBDO</t>
        </is>
      </c>
      <c r="G14" s="127" t="inlineStr">
        <is>
          <t>United Kingdom</t>
        </is>
      </c>
      <c r="H14" s="113" t="inlineStr">
        <is>
          <t>Launch</t>
        </is>
      </c>
      <c r="I14" s="128" t="inlineStr">
        <is>
          <t>https://ascentialcdn.filespin.io/api/v1/conversion/038bde04baf641f5b86d5ffc16e16c00</t>
        </is>
      </c>
      <c r="J14" s="127" t="inlineStr">
        <is>
          <t>vimeo:992817876</t>
        </is>
      </c>
      <c r="K14" s="127" t="n"/>
      <c r="L14" s="128" t="inlineStr">
        <is>
          <t>https://www.lovethework.com/work/entries/gravy-race-752096</t>
        </is>
      </c>
      <c r="M14" s="113" t="inlineStr">
        <is>
          <t>A live-format product demo structured as a knockout licking competition: eight of the internet's most famous cats race to finish bowls of Sheba Gravy Indulgence, with sports broadcaster Ian Eagle calling every lap and lick from the sidelines. The fastest gravy licker in each round advances until one cat is crowned champion.</t>
        </is>
      </c>
      <c r="N14" s="113" t="inlineStr">
        <is>
          <t>cat-food, online-video, influencer, sports-format, launch, united-kingdom, united-states, pet-care, branded-content</t>
        </is>
      </c>
    </row>
    <row r="15">
      <c r="A15" s="127" t="n">
        <v>2025</v>
      </c>
      <c r="B15" s="133" t="inlineStr">
        <is>
          <t>Bronze</t>
        </is>
      </c>
      <c r="C15" s="127" t="inlineStr">
        <is>
          <t>Transition Body Lotion</t>
        </is>
      </c>
      <c r="D15" s="127" t="inlineStr">
        <is>
          <t>Unilever</t>
        </is>
      </c>
      <c r="E15" s="127" t="inlineStr">
        <is>
          <t>Vaseline Pro Derma Transition Body Lotion</t>
        </is>
      </c>
      <c r="F15" s="127" t="inlineStr">
        <is>
          <t>Ogilvy</t>
        </is>
      </c>
      <c r="G15" s="127" t="inlineStr">
        <is>
          <t>Singapore</t>
        </is>
      </c>
      <c r="H15" s="113" t="inlineStr">
        <is>
          <t>Market Disruption</t>
        </is>
      </c>
      <c r="I15" s="128" t="inlineStr">
        <is>
          <t>https://ascentialcdn.filespin.io/api/v1/conversion/d6e660ee3971457587da9b43b2d99c60</t>
        </is>
      </c>
      <c r="J15" s="127" t="inlineStr">
        <is>
          <t>adj2vS3ZLUw</t>
        </is>
      </c>
      <c r="K15" s="127" t="n"/>
      <c r="L15" s="128" t="inlineStr">
        <is>
          <t>https://www.lovethework.com/work/entries/transition-body-lotion-752021</t>
        </is>
      </c>
      <c r="M15" s="113" t="inlineStr">
        <is>
          <t>A body lotion developed by Vaseline and Ogilvy Singapore specifically for the skin changes transgender women experience during and after hormone therapy — dryness, sensitivity, and texture shifts that existing products weren't formulated to address. Vaseline Pro Derma Transition Body Lotion was sold as a retail product, making it both a piece of communication and a functional item on the shelf.</t>
        </is>
      </c>
      <c r="N15" s="113" t="inlineStr">
        <is>
          <t>body-lotion, skincare, personal-care, beauty, transgender, product-innovation, singapore, ogilvy, market-disruption, packaging</t>
        </is>
      </c>
    </row>
    <row r="16">
      <c r="A16" s="127" t="n">
        <v>2025</v>
      </c>
      <c r="B16" s="133" t="inlineStr">
        <is>
          <t>Bronze</t>
        </is>
      </c>
      <c r="C16" s="127" t="inlineStr">
        <is>
          <t>Sightwalks</t>
        </is>
      </c>
      <c r="D16" s="127" t="inlineStr">
        <is>
          <t>Cemento Sol</t>
        </is>
      </c>
      <c r="E16" s="127" t="inlineStr">
        <is>
          <t>Cement</t>
        </is>
      </c>
      <c r="F16" s="127" t="inlineStr">
        <is>
          <t>Circus Grey</t>
        </is>
      </c>
      <c r="G16" s="127" t="inlineStr">
        <is>
          <t>Peru</t>
        </is>
      </c>
      <c r="H16" s="113" t="inlineStr">
        <is>
          <t>Creative Effectiveness for Good</t>
        </is>
      </c>
      <c r="I16" s="128" t="inlineStr">
        <is>
          <t>https://ascentialcdn.filespin.io/api/v1/conversion/837c7b2b781b41c9b041f7afafd7a9b2</t>
        </is>
      </c>
      <c r="J16" s="127" t="inlineStr">
        <is>
          <t>IRuDOllWc-E</t>
        </is>
      </c>
      <c r="K16" s="127" t="n"/>
      <c r="L16" s="128" t="inlineStr">
        <is>
          <t>https://www.lovethework.com/work/entries/sightwalks-761736</t>
        </is>
      </c>
      <c r="M16" s="113" t="inlineStr">
        <is>
          <t>A system of tactile tiles installed on sidewalks across Lima, Peru, designed to help visually impaired pedestrians navigate their surroundings — built using Cemento Sol's own cement product as the construction material. The tiles were embedded directly into existing urban infrastructure by Circus Grey, making the brand's core product the medium for an accessibility intervention in public space.</t>
        </is>
      </c>
      <c r="N16" s="113" t="inlineStr">
        <is>
          <t>cement, urban-infrastructure, accessibility, ooh, peru, tactile-design, public-space, disability, latin-america</t>
        </is>
      </c>
    </row>
    <row r="17">
      <c r="A17" s="127" t="n">
        <v>2025</v>
      </c>
      <c r="B17" s="133" t="inlineStr">
        <is>
          <t>Bronze</t>
        </is>
      </c>
      <c r="C17" s="127" t="inlineStr">
        <is>
          <t>Heinz Ketchup &amp; Seemingly Ranch</t>
        </is>
      </c>
      <c r="D17" s="127" t="inlineStr">
        <is>
          <t>Kraft Heinz</t>
        </is>
      </c>
      <c r="E17" s="127" t="inlineStr">
        <is>
          <t>Heinz Kranch</t>
        </is>
      </c>
      <c r="F17" s="127" t="inlineStr">
        <is>
          <t>Rethink</t>
        </is>
      </c>
      <c r="G17" s="127" t="inlineStr">
        <is>
          <t>Canada</t>
        </is>
      </c>
      <c r="H17" s="113" t="inlineStr">
        <is>
          <t>Real-Time Response</t>
        </is>
      </c>
      <c r="I17" s="128" t="inlineStr">
        <is>
          <t>https://ascentialcdn.filespin.io/api/v1/conversion/989e071cb1954ab69e5f7405a82bdb43</t>
        </is>
      </c>
      <c r="J17" s="127" t="inlineStr">
        <is>
          <t>9HpJtpvtrhs</t>
        </is>
      </c>
      <c r="K17" s="127" t="n"/>
      <c r="L17" s="128" t="inlineStr">
        <is>
          <t>https://www.lovethework.com/work/entries/heinz-ketchup-seemingly-ranch-752139</t>
        </is>
      </c>
      <c r="M17" s="113" t="inlineStr">
        <is>
          <t>A real-time packaging and social response built around a viral moment: when a paparazzi photo of Taylor Swift eating what a reporter described as "seemingly ranch" dip at a Kansas City Chiefs game spread widely, Heinz rebranded an existing product — Kranch, its ketchup-ranch hybrid — as "Ketchup &amp; Seemingly Ranch" and rushed the relabeled bottle into market. The response beat out competing brands who chased the same cultural moment by leaning on a product that already existed, needing only a name swap.</t>
        </is>
      </c>
      <c r="N17" s="113" t="inlineStr">
        <is>
          <t>condiment, packaging, real-time-response, social-media, canada, pop-culture, limited-edition</t>
        </is>
      </c>
    </row>
    <row r="18">
      <c r="A18" s="127" t="n">
        <v>2025</v>
      </c>
      <c r="B18" s="133" t="inlineStr">
        <is>
          <t>Bronze</t>
        </is>
      </c>
      <c r="C18" s="127" t="inlineStr">
        <is>
          <t>The Everyday Tactician: How Getting a Football Club Promoted Helped Xbox Take a Step Closer to the Future of Gaming</t>
        </is>
      </c>
      <c r="D18" s="127" t="inlineStr">
        <is>
          <t>Xbox</t>
        </is>
      </c>
      <c r="E18" s="127" t="inlineStr">
        <is>
          <t>Xbox Game Pass</t>
        </is>
      </c>
      <c r="F18" s="127" t="inlineStr">
        <is>
          <t>McCANN</t>
        </is>
      </c>
      <c r="G18" s="127" t="inlineStr">
        <is>
          <t>United Kingdom</t>
        </is>
      </c>
      <c r="H18" s="113" t="inlineStr">
        <is>
          <t>Collaboration</t>
        </is>
      </c>
      <c r="I18" s="128" t="inlineStr">
        <is>
          <t>https://ascentialcdn.filespin.io/api/v1/conversion/7c2d069dafe1485c9e355a842cdb238d</t>
        </is>
      </c>
      <c r="J18" s="127" t="inlineStr">
        <is>
          <t>Kb3nqqwihz0</t>
        </is>
      </c>
      <c r="K18" s="127" t="n"/>
      <c r="L18" s="128" t="inlineStr">
        <is>
          <t>https://www.lovethework.com/work/entries/the-everyday-tactician-how-getting-a-football-club-promoted-helped-xbox-take-a-step-closer-to-the-future-of-gaming-764822</t>
        </is>
      </c>
      <c r="M18" s="113" t="inlineStr">
        <is>
          <t>A real Football Manager player recruited by Xbox and McCann London to serve as a tactical analyst for Bromley FC — an actual English Football League club — using Xbox Game Pass as his primary tool. The partnership ran across a full competitive season, with the fan's in-game analysis feeding into real matchday decisions as Bromley won promotion.</t>
        </is>
      </c>
      <c r="N18" s="113" t="inlineStr">
        <is>
          <t>xbox-game-pass, gaming, video-games, entertainment, football, soccer, sport, experiential, branded-partnership, united-kingdom, launch, sports</t>
        </is>
      </c>
    </row>
  </sheetData>
  <autoFilter ref="A1:N18"/>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L4" r:id="rId5"/>
    <hyperlink xmlns:r="http://schemas.openxmlformats.org/officeDocument/2006/relationships" ref="I5" r:id="rId6"/>
    <hyperlink xmlns:r="http://schemas.openxmlformats.org/officeDocument/2006/relationships" ref="L5" r:id="rId7"/>
    <hyperlink xmlns:r="http://schemas.openxmlformats.org/officeDocument/2006/relationships" ref="I6" r:id="rId8"/>
    <hyperlink xmlns:r="http://schemas.openxmlformats.org/officeDocument/2006/relationships" ref="L6" r:id="rId9"/>
    <hyperlink xmlns:r="http://schemas.openxmlformats.org/officeDocument/2006/relationships" ref="I7" r:id="rId10"/>
    <hyperlink xmlns:r="http://schemas.openxmlformats.org/officeDocument/2006/relationships" ref="L7" r:id="rId11"/>
    <hyperlink xmlns:r="http://schemas.openxmlformats.org/officeDocument/2006/relationships" ref="I8" r:id="rId12"/>
    <hyperlink xmlns:r="http://schemas.openxmlformats.org/officeDocument/2006/relationships" ref="L8" r:id="rId13"/>
    <hyperlink xmlns:r="http://schemas.openxmlformats.org/officeDocument/2006/relationships" ref="I9" r:id="rId14"/>
    <hyperlink xmlns:r="http://schemas.openxmlformats.org/officeDocument/2006/relationships" ref="L9" r:id="rId15"/>
    <hyperlink xmlns:r="http://schemas.openxmlformats.org/officeDocument/2006/relationships" ref="I10" r:id="rId16"/>
    <hyperlink xmlns:r="http://schemas.openxmlformats.org/officeDocument/2006/relationships" ref="L10" r:id="rId17"/>
    <hyperlink xmlns:r="http://schemas.openxmlformats.org/officeDocument/2006/relationships" ref="I11" r:id="rId18"/>
    <hyperlink xmlns:r="http://schemas.openxmlformats.org/officeDocument/2006/relationships" ref="L11" r:id="rId19"/>
    <hyperlink xmlns:r="http://schemas.openxmlformats.org/officeDocument/2006/relationships" ref="I12" r:id="rId20"/>
    <hyperlink xmlns:r="http://schemas.openxmlformats.org/officeDocument/2006/relationships" ref="L12" r:id="rId21"/>
    <hyperlink xmlns:r="http://schemas.openxmlformats.org/officeDocument/2006/relationships" ref="I13" r:id="rId22"/>
    <hyperlink xmlns:r="http://schemas.openxmlformats.org/officeDocument/2006/relationships" ref="L13" r:id="rId23"/>
    <hyperlink xmlns:r="http://schemas.openxmlformats.org/officeDocument/2006/relationships" ref="I14" r:id="rId24"/>
    <hyperlink xmlns:r="http://schemas.openxmlformats.org/officeDocument/2006/relationships" ref="L14" r:id="rId25"/>
    <hyperlink xmlns:r="http://schemas.openxmlformats.org/officeDocument/2006/relationships" ref="I15" r:id="rId26"/>
    <hyperlink xmlns:r="http://schemas.openxmlformats.org/officeDocument/2006/relationships" ref="L15" r:id="rId27"/>
    <hyperlink xmlns:r="http://schemas.openxmlformats.org/officeDocument/2006/relationships" ref="I16" r:id="rId28"/>
    <hyperlink xmlns:r="http://schemas.openxmlformats.org/officeDocument/2006/relationships" ref="L16" r:id="rId29"/>
    <hyperlink xmlns:r="http://schemas.openxmlformats.org/officeDocument/2006/relationships" ref="I17" r:id="rId30"/>
    <hyperlink xmlns:r="http://schemas.openxmlformats.org/officeDocument/2006/relationships" ref="L17" r:id="rId31"/>
    <hyperlink xmlns:r="http://schemas.openxmlformats.org/officeDocument/2006/relationships" ref="I18" r:id="rId32"/>
    <hyperlink xmlns:r="http://schemas.openxmlformats.org/officeDocument/2006/relationships" ref="L18" r:id="rId33"/>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N29"/>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Grand Prix</t>
        </is>
      </c>
      <c r="C2" s="127" t="inlineStr">
        <is>
          <t>Real Beauty: How a Soap Brand Created a Global Self-Esteem Movement</t>
        </is>
      </c>
      <c r="D2" s="127" t="inlineStr">
        <is>
          <t>Dove</t>
        </is>
      </c>
      <c r="E2" s="127" t="inlineStr">
        <is>
          <t>Dove</t>
        </is>
      </c>
      <c r="F2" s="127" t="inlineStr">
        <is>
          <t>Ogilvy UK</t>
        </is>
      </c>
      <c r="G2" s="127" t="inlineStr">
        <is>
          <t>United Kingdom</t>
        </is>
      </c>
      <c r="H2" s="113" t="inlineStr">
        <is>
          <t>Long-Term Brand Platform</t>
        </is>
      </c>
      <c r="I2" s="127" t="inlineStr">
        <is>
          <t>digital-presentation-images/creative-strategy-dove-real-beauty-how-a-soap-brand-created-a-global-self-esteem-movement.webp</t>
        </is>
      </c>
      <c r="J2" s="127" t="inlineStr">
        <is>
          <t>puQ0PNZ1W-A</t>
        </is>
      </c>
      <c r="K2" s="127" t="n"/>
      <c r="L2" s="128" t="inlineStr">
        <is>
          <t>https://www.lovethework.com/work/entries/real-beauty-how-a-soap-brand-created-a-global-self-esteem-movement-757207</t>
        </is>
      </c>
      <c r="M2" s="113" t="inlineStr">
        <is>
          <t>A long-term brand platform Ogilvy UK built for Dove over more than two decades, beginning with the 2004 "Real Beauty" campaign and expanding into a structured self-esteem education program delivered through schools, social media, and partnerships with organizations including the World Association of Girl Guides and Girl Scouts. The platform is rooted in research showing that the majority of women and girls opt out of activities — job applications, social situations, medical appointments — when they feel bad about their appearance, and it ties Dove's product positioning directly to a publicly stated goal of reaching young people with body-confidence curricula before those behaviors take hold.</t>
        </is>
      </c>
      <c r="N2" s="113" t="inlineStr">
        <is>
          <t>personal-care, long-term-platform, ooh, social-media, self-esteem, united-kingdom, united-states, education, brand-purpose</t>
        </is>
      </c>
    </row>
    <row r="3">
      <c r="A3" s="127" t="n">
        <v>2025</v>
      </c>
      <c r="B3" s="140" t="inlineStr">
        <is>
          <t>Gold</t>
        </is>
      </c>
      <c r="C3" s="127" t="inlineStr">
        <is>
          <t>Sato 2531</t>
        </is>
      </c>
      <c r="D3" s="127" t="inlineStr">
        <is>
          <t>Asuniwa</t>
        </is>
      </c>
      <c r="E3" s="127" t="inlineStr">
        <is>
          <t>Think Name Project</t>
        </is>
      </c>
      <c r="F3" s="127" t="inlineStr">
        <is>
          <t>Dentsu Digital</t>
        </is>
      </c>
      <c r="G3" s="127" t="inlineStr">
        <is>
          <t>Japan</t>
        </is>
      </c>
      <c r="H3" s="113" t="inlineStr">
        <is>
          <t>Data &amp; Analytics</t>
        </is>
      </c>
      <c r="I3" s="127" t="inlineStr">
        <is>
          <t>digital-presentation-images/creative-strategy-asuniwa-sato-2531.webp</t>
        </is>
      </c>
      <c r="J3" s="127" t="inlineStr">
        <is>
          <t>BW5T0gC6o3o</t>
        </is>
      </c>
      <c r="K3" s="127" t="n"/>
      <c r="L3" s="128" t="inlineStr">
        <is>
          <t>https://www.lovethework.com/work/entries/sato-2531-756616</t>
        </is>
      </c>
      <c r="M3"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3" s="113" t="inlineStr">
        <is>
          <t>gender-equality, social-good, data-visualization, public-awareness, research, nonprofit, japan, social-issue, naming, activation</t>
        </is>
      </c>
    </row>
    <row r="4">
      <c r="A4" s="127" t="n">
        <v>2025</v>
      </c>
      <c r="B4" s="140" t="inlineStr">
        <is>
          <t>Gold</t>
        </is>
      </c>
      <c r="C4" s="127" t="inlineStr">
        <is>
          <t>Humanimal Tourism</t>
        </is>
      </c>
      <c r="D4" s="127" t="inlineStr">
        <is>
          <t>Procolombia</t>
        </is>
      </c>
      <c r="E4" s="127" t="inlineStr">
        <is>
          <t>Colombia, the Country of Beauty</t>
        </is>
      </c>
      <c r="F4" s="127" t="inlineStr">
        <is>
          <t>DDB Colombia</t>
        </is>
      </c>
      <c r="G4" s="127" t="inlineStr">
        <is>
          <t>Colombia</t>
        </is>
      </c>
      <c r="H4" s="113" t="inlineStr">
        <is>
          <t>Data &amp; Analytics</t>
        </is>
      </c>
      <c r="I4" s="127" t="inlineStr">
        <is>
          <t>digital-presentation-images/creative-strategy-procolombia-humanimal-tourism.webp</t>
        </is>
      </c>
      <c r="J4" s="127" t="inlineStr">
        <is>
          <t>1r6DMx0FOYk</t>
        </is>
      </c>
      <c r="K4" s="127" t="n"/>
      <c r="L4" s="128" t="inlineStr">
        <is>
          <t>https://www.lovethework.com/work/entries/humanimal-tourism-756682</t>
        </is>
      </c>
      <c r="M4" s="113" t="inlineStr">
        <is>
          <t>A tourism model built on matching the migratory patterns, habitats, and behavioral data of Colombia's endemic animal species to travel itineraries — so visitors follow the same routes as humpback whales, spectacled bears, or poison dart frogs through the country's ecosystems. DDB Colombia developed the system for ProColombia as a data-driven alternative to conventional destination marketing, using biodiversity as the navigation layer for human travel.</t>
        </is>
      </c>
      <c r="N4" s="113" t="inlineStr">
        <is>
          <t>tourism, travel, data, colombia, wildlife, mobile-app, travel-marketing, biodiversity, creative-data</t>
        </is>
      </c>
    </row>
    <row r="5">
      <c r="A5" s="127" t="n">
        <v>2025</v>
      </c>
      <c r="B5" s="140" t="inlineStr">
        <is>
          <t>Gold</t>
        </is>
      </c>
      <c r="C5" s="127" t="inlineStr">
        <is>
          <t>AXA - Three Words</t>
        </is>
      </c>
      <c r="D5" s="127" t="inlineStr">
        <is>
          <t>AXA</t>
        </is>
      </c>
      <c r="E5" s="127" t="inlineStr">
        <is>
          <t>Insurance</t>
        </is>
      </c>
      <c r="F5" s="127" t="inlineStr">
        <is>
          <t>Publicis Conseil</t>
        </is>
      </c>
      <c r="G5" s="127" t="inlineStr">
        <is>
          <t>France</t>
        </is>
      </c>
      <c r="H5" s="113" t="inlineStr">
        <is>
          <t>Products/Services</t>
        </is>
      </c>
      <c r="I5" s="127" t="inlineStr">
        <is>
          <t>digital-presentation-images/creative-strategy-axa-axa-three-words.webp</t>
        </is>
      </c>
      <c r="J5" s="127" t="inlineStr">
        <is>
          <t>pY-03zuV7mE</t>
        </is>
      </c>
      <c r="K5" s="127" t="n"/>
      <c r="L5" s="128" t="inlineStr">
        <is>
          <t>https://www.lovethework.com/work/entries/axa-three-words-757080</t>
        </is>
      </c>
      <c r="M5"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5" s="113" t="inlineStr">
        <is>
          <t>insurance, financial-services, finance, france, domestic-violence, public-service, digital-platform, consumer-services, housing, publicis-conseil</t>
        </is>
      </c>
    </row>
    <row r="6">
      <c r="A6" s="127" t="n">
        <v>2025</v>
      </c>
      <c r="B6" s="140" t="inlineStr">
        <is>
          <t>Gold</t>
        </is>
      </c>
      <c r="C6" s="127" t="inlineStr">
        <is>
          <t>The New President</t>
        </is>
      </c>
      <c r="D6" s="127" t="inlineStr">
        <is>
          <t>Annahar Newspaper</t>
        </is>
      </c>
      <c r="E6" s="127" t="inlineStr">
        <is>
          <t>Annahar Newspaper</t>
        </is>
      </c>
      <c r="F6" s="127" t="inlineStr">
        <is>
          <t>Impact BBDO</t>
        </is>
      </c>
      <c r="G6" s="127" t="inlineStr">
        <is>
          <t>United Arab Emirates</t>
        </is>
      </c>
      <c r="H6" s="113" t="inlineStr">
        <is>
          <t>Media/Entertainment</t>
        </is>
      </c>
      <c r="I6" s="128" t="inlineStr">
        <is>
          <t>https://ascentialcdn.filespin.io/api/v1/conversion/04e3ef953a454b9da10f1982fa8553b3</t>
        </is>
      </c>
      <c r="J6" s="127" t="inlineStr">
        <is>
          <t>MeCjFylJMVo</t>
        </is>
      </c>
      <c r="K6" s="127" t="n"/>
      <c r="L6" s="128" t="inlineStr">
        <is>
          <t>https://www.lovethework.com/work/entries/the-new-president-756636</t>
        </is>
      </c>
      <c r="M6" s="113" t="inlineStr">
        <is>
          <t>An AI-generated head of state created by AnNahar Newspaper and IMPACT BBDO to fill Lebanon's presidential vacancy — a position left empty by years of political deadlock — and inserted into actual government cabinet sessions. The AI president was used as a functional stand-in during live proceedings, making it the first instance of an AI-generated head of state actively utilized in an official government context.</t>
        </is>
      </c>
      <c r="N6" s="113" t="inlineStr">
        <is>
          <t>newspaper, ai, technology, lebanon, media-entertainment, generative-ai, political, print-media, public-affairs</t>
        </is>
      </c>
    </row>
    <row r="7">
      <c r="A7" s="127" t="n">
        <v>2025</v>
      </c>
      <c r="B7" s="140" t="inlineStr">
        <is>
          <t>Gold</t>
        </is>
      </c>
      <c r="C7" s="127" t="inlineStr">
        <is>
          <t>Pedigree Caramelo</t>
        </is>
      </c>
      <c r="D7" s="127" t="inlineStr">
        <is>
          <t>Pedigree</t>
        </is>
      </c>
      <c r="E7" s="127" t="inlineStr">
        <is>
          <t>Pedigree</t>
        </is>
      </c>
      <c r="F7" s="127" t="inlineStr">
        <is>
          <t>AlmapBBDO</t>
        </is>
      </c>
      <c r="G7" s="127" t="inlineStr">
        <is>
          <t>Brazil</t>
        </is>
      </c>
      <c r="H7" s="113" t="inlineStr">
        <is>
          <t>Brand Strategy</t>
        </is>
      </c>
      <c r="I7" s="127" t="inlineStr">
        <is>
          <t>digital-presentation-images/creative-strategy-pedigree-caramelo.webp</t>
        </is>
      </c>
      <c r="J7" s="127" t="inlineStr">
        <is>
          <t>prMM0H9psRs</t>
        </is>
      </c>
      <c r="K7" s="127" t="n"/>
      <c r="L7" s="128" t="inlineStr">
        <is>
          <t>https://www.lovethework.com/work/entries/pedigree-caramelo-762215</t>
        </is>
      </c>
      <c r="M7"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7" s="113" t="inlineStr">
        <is>
          <t>dog-food, brazil, shelter-adoption, branded-experience, packaging, public-service, mixed-breed, brand-strategy, pet-care</t>
        </is>
      </c>
    </row>
    <row r="8">
      <c r="A8" s="127" t="n">
        <v>2025</v>
      </c>
      <c r="B8" s="132" t="inlineStr">
        <is>
          <t>Silver</t>
        </is>
      </c>
      <c r="C8" s="127" t="inlineStr">
        <is>
          <t>Choose Uber</t>
        </is>
      </c>
      <c r="D8" s="127" t="inlineStr">
        <is>
          <t>Heetch</t>
        </is>
      </c>
      <c r="E8" s="127" t="inlineStr">
        <is>
          <t>Heetch</t>
        </is>
      </c>
      <c r="F8" s="127" t="inlineStr">
        <is>
          <t>BETC</t>
        </is>
      </c>
      <c r="G8" s="127" t="inlineStr">
        <is>
          <t>France</t>
        </is>
      </c>
      <c r="H8" s="113" t="inlineStr">
        <is>
          <t>Brave Brands</t>
        </is>
      </c>
      <c r="I8" s="128" t="inlineStr">
        <is>
          <t>https://ascentialcdn.filespin.io/api/v1/conversion/fd2b448479ca41b7aa08b7d8a4bd8749</t>
        </is>
      </c>
      <c r="J8" s="127" t="inlineStr">
        <is>
          <t>l9rO0yGTLEM</t>
        </is>
      </c>
      <c r="K8" s="127" t="n"/>
      <c r="L8" s="128" t="inlineStr">
        <is>
          <t>https://www.lovethework.com/work/entries/choose-uber-762197</t>
        </is>
      </c>
      <c r="M8" s="113" t="inlineStr">
        <is>
          <t>An ad campaign across Paris hotels, airports, and tourist sites during the 2024 Olympics — in 12 languages — that explicitly told visitors to choose Uber, Heetch's biggest competitor, for their rides. The deliberate hand-off kept Heetch's small fleet available for Parisian regulars during the summer surge.</t>
        </is>
      </c>
      <c r="N8" s="113" t="inlineStr">
        <is>
          <t>ride-share, mobility, transport, ooh, multilingual, paris, olympics, sport, customer-retention, france</t>
        </is>
      </c>
    </row>
    <row r="9">
      <c r="A9" s="127" t="n">
        <v>2025</v>
      </c>
      <c r="B9" s="132" t="inlineStr">
        <is>
          <t>Silver</t>
        </is>
      </c>
      <c r="C9" s="127" t="inlineStr">
        <is>
          <t>Annahar's Active Journalism</t>
        </is>
      </c>
      <c r="D9" s="127" t="inlineStr">
        <is>
          <t>Annahar</t>
        </is>
      </c>
      <c r="E9" s="127" t="inlineStr">
        <is>
          <t>Annahar</t>
        </is>
      </c>
      <c r="F9" s="127" t="inlineStr">
        <is>
          <t>Impact BBDO</t>
        </is>
      </c>
      <c r="G9" s="127" t="inlineStr">
        <is>
          <t>United Arab Emirates</t>
        </is>
      </c>
      <c r="H9" s="113" t="inlineStr">
        <is>
          <t>Long-Term Brand Platform</t>
        </is>
      </c>
      <c r="I9" s="128" t="inlineStr">
        <is>
          <t>https://ascentialcdn.filespin.io/api/v1/conversion/b4e46a523b114724a7376a0c7e970774</t>
        </is>
      </c>
      <c r="J9" s="127" t="inlineStr">
        <is>
          <t>vimeo:1094885200/2225619ba7</t>
        </is>
      </c>
      <c r="K9" s="127" t="n"/>
      <c r="L9" s="128" t="inlineStr">
        <is>
          <t>https://www.lovethework.com/work/entries/annahars-active-journalism-757177</t>
        </is>
      </c>
      <c r="M9" s="113" t="inlineStr">
        <is>
          <t>An-Nahar revived its fading newspaper brand by transforming journalism from passive reporting into 'active journalism'—a five-year platform that used the paper itself to demand change in Lebanon. From printing a blank edition to protest government inaction, to donating its paper and ink for election ballots, reviving silenced newspapers and even creating an AI president from its archives, An-Nahar repeatedly turned journalism into civic action. The result was renewed relevance, major revenue growth, regional creative leadership and a powerful proof point that the press could still move a country.</t>
        </is>
      </c>
      <c r="N9" s="113" t="inlineStr">
        <is>
          <t>media, newspaper, journalism, social-good, activism, lebanon, brand-platform, public-affairs</t>
        </is>
      </c>
    </row>
    <row r="10">
      <c r="A10" s="127" t="n">
        <v>2025</v>
      </c>
      <c r="B10" s="132" t="inlineStr">
        <is>
          <t>Silver</t>
        </is>
      </c>
      <c r="C10" s="127" t="inlineStr">
        <is>
          <t>Daisy vs Scammers</t>
        </is>
      </c>
      <c r="D10" s="127" t="inlineStr">
        <is>
          <t>O2</t>
        </is>
      </c>
      <c r="E10" s="127" t="inlineStr">
        <is>
          <t>Daisy vs Scammers</t>
        </is>
      </c>
      <c r="F10" s="127" t="inlineStr">
        <is>
          <t>VCCP</t>
        </is>
      </c>
      <c r="G10" s="127" t="inlineStr">
        <is>
          <t>United Kingdom</t>
        </is>
      </c>
      <c r="H10" s="113" t="inlineStr">
        <is>
          <t>Breakthrough on a Budget</t>
        </is>
      </c>
      <c r="I10" s="127" t="inlineStr">
        <is>
          <t>digital-presentation-images/creative-strategy-o2-daisy-vs-scammers.webp</t>
        </is>
      </c>
      <c r="J10" s="127" t="inlineStr">
        <is>
          <t>tnfhe_XMg7U</t>
        </is>
      </c>
      <c r="K10" s="127" t="n"/>
      <c r="L10" s="128" t="inlineStr">
        <is>
          <t>https://www.lovethework.com/work/entries/daisy-vs-scammers-756893</t>
        </is>
      </c>
      <c r="M10" s="113" t="inlineStr">
        <is>
          <t>An AI-generated elderly woman named Daisy, built by O2 and VCCP to engage phone scammers in extended, rambling conversations — keeping them on the line and away from real potential victims. Daisy is deployed as a live phone persona, realistic enough to hold fraudsters in lengthy calls while collecting intelligence on active scam scripts, at a time when 7 in 10 people in the UK were being targeted by scammers.</t>
        </is>
      </c>
      <c r="N10" s="113" t="inlineStr">
        <is>
          <t>telecommunications, ai, technology, public-safety, conversational-ai, united-kingdom, use-of-technology, consumer-protection, voice</t>
        </is>
      </c>
    </row>
    <row r="11">
      <c r="A11" s="127" t="n">
        <v>2025</v>
      </c>
      <c r="B11" s="132" t="inlineStr">
        <is>
          <t>Silver</t>
        </is>
      </c>
      <c r="C11" s="127" t="inlineStr">
        <is>
          <t>Found in Translation</t>
        </is>
      </c>
      <c r="D11" s="127" t="inlineStr">
        <is>
          <t>Medalla Light</t>
        </is>
      </c>
      <c r="E11" s="127" t="inlineStr">
        <is>
          <t>Medalla Light</t>
        </is>
      </c>
      <c r="F11" s="127" t="inlineStr">
        <is>
          <t>DDB Latina Puerto Rico</t>
        </is>
      </c>
      <c r="G11" s="127" t="inlineStr">
        <is>
          <t>Puerto Rico</t>
        </is>
      </c>
      <c r="H11" s="113" t="inlineStr">
        <is>
          <t>Cultural Engagement</t>
        </is>
      </c>
      <c r="I11" s="127" t="inlineStr">
        <is>
          <t>digital-presentation-images/creative-strategy-medalla-light-found-in-translation.webp</t>
        </is>
      </c>
      <c r="J11" s="127" t="inlineStr">
        <is>
          <t>O_uAjIgBx2g</t>
        </is>
      </c>
      <c r="K11" s="127" t="n"/>
      <c r="L11" s="128" t="inlineStr">
        <is>
          <t>https://www.lovethework.com/work/entries/found-in-translation-757072</t>
        </is>
      </c>
      <c r="M11" s="113" t="inlineStr">
        <is>
          <t>A print and outdoor campaign for Medalla Light, Puerto Rico's local beer, that turned the Spanglish spoken by the Puerto Rican diaspora in the U.S. into the creative medium — blending Spanish and English mid-sentence to reflect how the community actually talks. The ads ran in U.S. markets where Puerto Ricans live, treating their hybrid language not as a barrier but as a distinct cultural identity worth celebrating.</t>
        </is>
      </c>
      <c r="N11" s="113" t="inlineStr">
        <is>
          <t>beer, alcohol, print, ooh, cultural-engagement, diaspora, spanglish, puerto-rico, united-states, language</t>
        </is>
      </c>
    </row>
    <row r="12">
      <c r="A12" s="127" t="n">
        <v>2025</v>
      </c>
      <c r="B12" s="132" t="inlineStr">
        <is>
          <t>Silver</t>
        </is>
      </c>
      <c r="C12" s="127" t="inlineStr">
        <is>
          <t>The Last Barf Bag</t>
        </is>
      </c>
      <c r="D12" s="127" t="inlineStr">
        <is>
          <t>Dramamine</t>
        </is>
      </c>
      <c r="E12" s="127" t="inlineStr">
        <is>
          <t>Dramamine</t>
        </is>
      </c>
      <c r="F12" s="127" t="inlineStr">
        <is>
          <t>FCB Chicago</t>
        </is>
      </c>
      <c r="G12" s="127" t="inlineStr">
        <is>
          <t>United States</t>
        </is>
      </c>
      <c r="H12" s="113" t="inlineStr">
        <is>
          <t>Healthcare</t>
        </is>
      </c>
      <c r="I12" s="127" t="inlineStr">
        <is>
          <t>digital-presentation-images/creative-strategy-dramamine-the-last-barf-bag.webp</t>
        </is>
      </c>
      <c r="J12" s="127" t="inlineStr">
        <is>
          <t>QEJe_2ygBzQ</t>
        </is>
      </c>
      <c r="K12" s="127" t="n"/>
      <c r="L12" s="128" t="inlineStr">
        <is>
          <t>https://www.lovethework.com/work/entries/the-last-barf-bag-756641</t>
        </is>
      </c>
      <c r="M12" s="113" t="inlineStr">
        <is>
          <t>A 12-minute documentary produced by FCB Chicago and The Shipyard, in which Dramamine — crediting its own effectiveness at preventing nausea — stages a grand farewell to the airline barf bag, an object it claims to be accidentally driving to extinction. The campaign extended into OOH movie-style posters, the first-ever barf bag museum on Broadway Avenue in New York City, and an e-commerce platform selling repurposed bags for every use except catching vomit.</t>
        </is>
      </c>
      <c r="N12" s="113" t="inlineStr">
        <is>
          <t>motion-sickness-medication, documentary, film, entertainment, cinema, ooh, pop-up, e-commerce, united-states, healthcare</t>
        </is>
      </c>
    </row>
    <row r="13">
      <c r="A13" s="127" t="n">
        <v>2025</v>
      </c>
      <c r="B13" s="132" t="inlineStr">
        <is>
          <t>Silver</t>
        </is>
      </c>
      <c r="C13" s="127" t="inlineStr">
        <is>
          <t>It's a Cheetos Thing</t>
        </is>
      </c>
      <c r="D13" s="127" t="inlineStr">
        <is>
          <t>Cheetos | Pepsico</t>
        </is>
      </c>
      <c r="E13" s="127" t="inlineStr">
        <is>
          <t>Cheetos</t>
        </is>
      </c>
      <c r="F13" s="127" t="inlineStr">
        <is>
          <t>Goodby Silverstein &amp; Partners</t>
        </is>
      </c>
      <c r="G13" s="127" t="inlineStr">
        <is>
          <t>United States</t>
        </is>
      </c>
      <c r="H13" s="113" t="inlineStr">
        <is>
          <t>Long-Term Brand Platform</t>
        </is>
      </c>
      <c r="I13" s="127" t="inlineStr">
        <is>
          <t>digital-presentation-images/creative-strategy-cheetos-pepsico-its-a-cheetos-thing.webp</t>
        </is>
      </c>
      <c r="J13" s="127" t="inlineStr">
        <is>
          <t>vimeo:1094791063/08d1ef48b6</t>
        </is>
      </c>
      <c r="K13" s="127" t="n"/>
      <c r="L13" s="128" t="inlineStr">
        <is>
          <t>https://www.lovethework.com/work/entries/its-a-cheetos-thing-757167</t>
        </is>
      </c>
      <c r="M13" s="113" t="inlineStr">
        <is>
          <t>A long-term brand platform built around the orange dust — "Cheetle" — that coats fingers after eating Cheetos, repositioning the mess as the reason fans eat with their non-dominant hand and leave orange prints on everything they touch. The platform spans Super Bowl TV spots featuring MC Hammer and Simu Liu, OOH highlighting left-handed Cheetos eaters, a hands-free experience at SXSW, and a courtside celebrity stunt, all anchored to the shared behavior as a badge of fandom.</t>
        </is>
      </c>
      <c r="N13" s="113" t="inlineStr">
        <is>
          <t>snack, food, packaged-goods, cpg, fmcg, brand-platform, television, ooh, experiential, united-states, celebrity, integrated-campaign, long-term-platform</t>
        </is>
      </c>
    </row>
    <row r="14">
      <c r="A14" s="127" t="n">
        <v>2025</v>
      </c>
      <c r="B14" s="132" t="inlineStr">
        <is>
          <t>Silver</t>
        </is>
      </c>
      <c r="C14" s="127" t="inlineStr">
        <is>
          <t>AXA - Three Words</t>
        </is>
      </c>
      <c r="D14" s="127" t="inlineStr">
        <is>
          <t>AXA</t>
        </is>
      </c>
      <c r="E14" s="127" t="inlineStr">
        <is>
          <t>Insurance</t>
        </is>
      </c>
      <c r="F14" s="127" t="inlineStr">
        <is>
          <t>Publicis Conseil</t>
        </is>
      </c>
      <c r="G14" s="127" t="inlineStr">
        <is>
          <t>France</t>
        </is>
      </c>
      <c r="H14" s="113" t="inlineStr">
        <is>
          <t>Corporate Purpose &amp; Social Responsibility</t>
        </is>
      </c>
      <c r="I14" s="127" t="inlineStr">
        <is>
          <t>digital-presentation-images/creative-strategy-axa-axa-three-words.webp</t>
        </is>
      </c>
      <c r="J14" s="127" t="inlineStr">
        <is>
          <t>pY-03zuV7mE</t>
        </is>
      </c>
      <c r="K14" s="127" t="n"/>
      <c r="L14" s="128" t="inlineStr">
        <is>
          <t>https://www.lovethework.com/work/entries/axa-three-words-756914</t>
        </is>
      </c>
      <c r="M14"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14" s="113" t="inlineStr">
        <is>
          <t>insurance, financial-services, finance, france, domestic-violence, public-service, digital-platform, consumer-services, housing, publicis-conseil</t>
        </is>
      </c>
    </row>
    <row r="15">
      <c r="A15" s="127" t="n">
        <v>2025</v>
      </c>
      <c r="B15" s="132" t="inlineStr">
        <is>
          <t>Silver</t>
        </is>
      </c>
      <c r="C15" s="127" t="inlineStr">
        <is>
          <t>Get Comfortable</t>
        </is>
      </c>
      <c r="D15" s="127" t="inlineStr">
        <is>
          <t>Andrex</t>
        </is>
      </c>
      <c r="E15" s="127" t="inlineStr">
        <is>
          <t>Andrex</t>
        </is>
      </c>
      <c r="F15" s="127" t="inlineStr">
        <is>
          <t>FCB London</t>
        </is>
      </c>
      <c r="G15" s="127" t="inlineStr">
        <is>
          <t>United Kingdom</t>
        </is>
      </c>
      <c r="H15" s="113" t="inlineStr">
        <is>
          <t>Consumer Goods</t>
        </is>
      </c>
      <c r="I15" s="127" t="inlineStr">
        <is>
          <t>digital-presentation-images/creative-strategy-andrex-get-comfortable.webp</t>
        </is>
      </c>
      <c r="J15" s="127" t="inlineStr">
        <is>
          <t>gGnarGs_icM</t>
        </is>
      </c>
      <c r="K15" s="127" t="n"/>
      <c r="L15" s="128" t="inlineStr">
        <is>
          <t>https://www.lovethework.com/work/entries/get-comfortable-756571</t>
        </is>
      </c>
      <c r="M15" s="113" t="inlineStr">
        <is>
          <t>A brand platform built around confronting British toileting taboos — the fact that 47% of Brits won't use the toilet at work and 1 in 5 avoid speaking to a GP about bowel health — using TV, national OOH, a Waterloo Station toilet takeover, a Celebrity Big Brother ITV partnership, and a contextual digi-van campaign. Developed with FCB London in partnership with Bowel Cancer UK, the Andrex puppy was repositioned as a prompt for openness about bowel symptoms rather than a softness metaphor.</t>
        </is>
      </c>
      <c r="N15" s="113" t="inlineStr">
        <is>
          <t>toilet-tissue, public-health, united-kingdom, ooh, television, social, partnership, consumer-goods, cpg, fmcg, bowel-health</t>
        </is>
      </c>
    </row>
    <row r="16">
      <c r="A16" s="127" t="n">
        <v>2025</v>
      </c>
      <c r="B16" s="132" t="inlineStr">
        <is>
          <t>Silver</t>
        </is>
      </c>
      <c r="C16" s="127" t="inlineStr">
        <is>
          <t>The Princess &amp; the Crown</t>
        </is>
      </c>
      <c r="D16" s="127" t="inlineStr">
        <is>
          <t>Seda, Droga5</t>
        </is>
      </c>
      <c r="E16" s="127" t="inlineStr">
        <is>
          <t>Seda Shampoo</t>
        </is>
      </c>
      <c r="F16" s="127" t="inlineStr">
        <is>
          <t>Part of Accenture Song</t>
        </is>
      </c>
      <c r="G16" s="127" t="inlineStr">
        <is>
          <t>Brazil</t>
        </is>
      </c>
      <c r="H16" s="113" t="inlineStr">
        <is>
          <t>Audience Insight</t>
        </is>
      </c>
      <c r="I16" s="127" t="inlineStr">
        <is>
          <t>digital-presentation-images/creative-strategy-seda-droga5-the-princess-and-the-crown.webp</t>
        </is>
      </c>
      <c r="J16" s="127" t="inlineStr">
        <is>
          <t>J750Ylo52is</t>
        </is>
      </c>
      <c r="K16" s="127" t="n"/>
      <c r="L16" s="128" t="inlineStr">
        <is>
          <t>https://www.lovethework.com/work/entries/the-princess-the-crown-756938</t>
        </is>
      </c>
      <c r="M16" s="113" t="inlineStr">
        <is>
          <t>A redesigned Disney Princess Tiana doll, developed in partnership with Disney, that gives the character full natural coily hair — a version of the princess that had never appeared in official merchandise. Seda, a Brazilian curly hair care brand, commissioned the prototype in response to the near-total absence of Black characters in Brazilian children's media, where Black characters represent only 5% of all representation despite Black and mixed-race Brazilians making up more than 56% of the population. The official doll is manufactured by Black entrepreneurs in Salvador, Bahia, where 80% of the population identifies as Black or brown.</t>
        </is>
      </c>
      <c r="N16" s="113" t="inlineStr">
        <is>
          <t>hair-care, product-design, brazil, licensing-partnership, black-representation, children, packaging, beauty, curly-hair</t>
        </is>
      </c>
    </row>
    <row r="17">
      <c r="A17" s="127" t="n">
        <v>2025</v>
      </c>
      <c r="B17" s="133" t="inlineStr">
        <is>
          <t>Bronze</t>
        </is>
      </c>
      <c r="C17" s="127" t="inlineStr">
        <is>
          <t>Guarded Bus Stop</t>
        </is>
      </c>
      <c r="D17" s="127" t="inlineStr">
        <is>
          <t>Eletromidia</t>
        </is>
      </c>
      <c r="E17" s="127" t="inlineStr">
        <is>
          <t>Guarded Bus Stop</t>
        </is>
      </c>
      <c r="F17" s="127" t="inlineStr">
        <is>
          <t>AlmapBBDO</t>
        </is>
      </c>
      <c r="G17" s="127" t="inlineStr">
        <is>
          <t>Brazil</t>
        </is>
      </c>
      <c r="H17" s="113" t="inlineStr">
        <is>
          <t>Corporate Purpose &amp; Social Responsibility</t>
        </is>
      </c>
      <c r="I17" s="127" t="inlineStr">
        <is>
          <t>digital-presentation-images/creative-strategy-eletromidia-guarded-bus-stop.webp</t>
        </is>
      </c>
      <c r="J17" s="127" t="inlineStr">
        <is>
          <t>vimeo:844081201</t>
        </is>
      </c>
      <c r="K17" s="127" t="n"/>
      <c r="L17" s="128" t="inlineStr">
        <is>
          <t>https://www.lovethework.com/work/entries/guarded-bus-stop-762347</t>
        </is>
      </c>
      <c r="M17" s="113" t="inlineStr">
        <is>
          <t>A network of digital out-of-home bus shelter screens in Campinas, São Paulo, and Rio de Janeiro — Brazil's most deserted stops, identified by mapping — retrofitted with night-vision cameras, microphones, presence sensors, and internet connections so that a woman waiting alone at night can touch the screen to start a live video call with a surveillance company professional. The existing advertising panels do the work: no new structures were installed, just hardware added to Eletromidia's own inventory, with major brands sponsoring the slots to fund the service.</t>
        </is>
      </c>
      <c r="N17" s="113" t="inlineStr">
        <is>
          <t>out-of-home, interactive-ooh, public-safety, women-safety, brazil, dooh, video-call, urban-infrastructure, corporate-purpose</t>
        </is>
      </c>
    </row>
    <row r="18">
      <c r="A18" s="127" t="n">
        <v>2025</v>
      </c>
      <c r="B18" s="133" t="inlineStr">
        <is>
          <t>Bronze</t>
        </is>
      </c>
      <c r="C18" s="127" t="inlineStr">
        <is>
          <t>Meet Marina Prieto</t>
        </is>
      </c>
      <c r="D18" s="127" t="inlineStr">
        <is>
          <t>Jc Decaux</t>
        </is>
      </c>
      <c r="E18" s="127" t="inlineStr">
        <is>
          <t>Media Channel</t>
        </is>
      </c>
      <c r="F18" s="127" t="inlineStr">
        <is>
          <t>David</t>
        </is>
      </c>
      <c r="G18" s="127" t="inlineStr">
        <is>
          <t>Spain</t>
        </is>
      </c>
      <c r="H18" s="113" t="inlineStr">
        <is>
          <t>Consumer Services/Business to Business</t>
        </is>
      </c>
      <c r="I18" s="127" t="inlineStr">
        <is>
          <t>digital-presentation-images/creative-strategy-jc-decaux-meet-marina-prieto.webp</t>
        </is>
      </c>
      <c r="J18" s="127" t="inlineStr">
        <is>
          <t>4j2UkSs-cSo</t>
        </is>
      </c>
      <c r="K18" s="127" t="n"/>
      <c r="L18" s="128" t="inlineStr">
        <is>
          <t>https://www.lovethework.com/work/entries/meet-marina-prieto-756662</t>
        </is>
      </c>
      <c r="M18" s="113" t="inlineStr">
        <is>
          <t>A JCDecaux out-of-home campaign that filled more than 850 unbought subway ad spaces across Madrid with the 54 Instagram posts of Marina Prieto — a 100-year-old Galician woman with 28 followers, photographed gardening, eating churros, and taking naps — with no brand attribution or explanation. In 2023, subway ad investment in Spain had dropped 7%, and the campaign was built to demonstrate to brands that the medium still works, by making an entirely unknown person go viral through it alone.</t>
        </is>
      </c>
      <c r="N18" s="113" t="inlineStr">
        <is>
          <t>outdoor-advertising, ooh, metro, spain, social-media, b2b, business, influencer, media-channel, unsold-inventory</t>
        </is>
      </c>
    </row>
    <row r="19">
      <c r="A19" s="127" t="n">
        <v>2025</v>
      </c>
      <c r="B19" s="133" t="inlineStr">
        <is>
          <t>Bronze</t>
        </is>
      </c>
      <c r="C19" s="127" t="inlineStr">
        <is>
          <t>Transition Body Lotion</t>
        </is>
      </c>
      <c r="D19" s="127" t="inlineStr">
        <is>
          <t>Unilever</t>
        </is>
      </c>
      <c r="E19" s="127" t="inlineStr">
        <is>
          <t>Vaseline Pro Derma Transition Body Lotion</t>
        </is>
      </c>
      <c r="F19" s="127" t="inlineStr">
        <is>
          <t>Ogilvy</t>
        </is>
      </c>
      <c r="G19" s="127" t="inlineStr">
        <is>
          <t>Singapore</t>
        </is>
      </c>
      <c r="H19" s="113" t="inlineStr">
        <is>
          <t>Products/Services</t>
        </is>
      </c>
      <c r="I19" s="127" t="inlineStr">
        <is>
          <t>digital-presentation-images/creative-strategy-unilever-transition-body-lotion.webp</t>
        </is>
      </c>
      <c r="J19" s="127" t="inlineStr">
        <is>
          <t>adj2vS3ZLUw</t>
        </is>
      </c>
      <c r="K19" s="127" t="n"/>
      <c r="L19" s="128" t="inlineStr">
        <is>
          <t>https://www.lovethework.com/work/entries/transition-body-lotion-757003</t>
        </is>
      </c>
      <c r="M19" s="113" t="inlineStr">
        <is>
          <t>A body lotion developed by Vaseline and Ogilvy Singapore specifically for the skin changes transgender women experience during and after hormone therapy — dryness, sensitivity, and texture shifts that existing products weren't formulated to address. Vaseline Pro Derma Transition Body Lotion was sold as a retail product, making it both a piece of communication and a functional item on the shelf.</t>
        </is>
      </c>
      <c r="N19" s="113" t="inlineStr">
        <is>
          <t>body-lotion, skincare, personal-care, beauty, transgender, product-innovation, singapore, ogilvy, market-disruption, packaging</t>
        </is>
      </c>
    </row>
    <row r="20">
      <c r="A20" s="127" t="n">
        <v>2025</v>
      </c>
      <c r="B20" s="133" t="inlineStr">
        <is>
          <t>Bronze</t>
        </is>
      </c>
      <c r="C20" s="127" t="inlineStr">
        <is>
          <t>Pub Museums</t>
        </is>
      </c>
      <c r="D20" s="127" t="inlineStr">
        <is>
          <t>Heineken</t>
        </is>
      </c>
      <c r="E20" s="127" t="inlineStr">
        <is>
          <t>Heineken</t>
        </is>
      </c>
      <c r="F20" s="127" t="inlineStr">
        <is>
          <t>Lepub</t>
        </is>
      </c>
      <c r="G20" s="127" t="inlineStr">
        <is>
          <t>Italy</t>
        </is>
      </c>
      <c r="H20" s="113" t="inlineStr">
        <is>
          <t>Corporate Purpose &amp; Social Responsibility</t>
        </is>
      </c>
      <c r="I20" s="128" t="inlineStr">
        <is>
          <t>https://ascentialcdn.filespin.io/api/v1/conversion/86282110e23b4b43a6d78c517dc757a2</t>
        </is>
      </c>
      <c r="J20" s="127" t="inlineStr">
        <is>
          <t>Qp8Od1eQOt4</t>
        </is>
      </c>
      <c r="K20" s="127" t="n"/>
      <c r="L20" s="128" t="inlineStr">
        <is>
          <t>https://www.lovethework.com/work/entries/pub-museums-756811</t>
        </is>
      </c>
      <c r="M20" s="113" t="inlineStr">
        <is>
          <t>A legal reclassification scheme that registered historic Irish pubs as virtual museums under the Irish Heritage Council's protected-status framework — a designation that unlocks tax support and financial benefits for sites open to the public. By creating navigable online museum experiences for qualifying pubs, Heineken and Publicis Dublin allowed struggling venues to access the same institutional protections given to heritage buildings.</t>
        </is>
      </c>
      <c r="N20" s="113" t="inlineStr">
        <is>
          <t>beer, alcohol, ireland, digital, heritage, single-market-campaign, public-relations, branded-utility, lepub</t>
        </is>
      </c>
    </row>
    <row r="21">
      <c r="A21" s="127" t="n">
        <v>2025</v>
      </c>
      <c r="B21" s="133" t="inlineStr">
        <is>
          <t>Bronze</t>
        </is>
      </c>
      <c r="C21" s="127" t="inlineStr">
        <is>
          <t>Child Wedding Cards</t>
        </is>
      </c>
      <c r="D21" s="127" t="inlineStr">
        <is>
          <t>UN Women</t>
        </is>
      </c>
      <c r="E21" s="127" t="inlineStr">
        <is>
          <t>UN Women</t>
        </is>
      </c>
      <c r="F21" s="127" t="inlineStr">
        <is>
          <t>Impact BBDO</t>
        </is>
      </c>
      <c r="G21" s="127" t="inlineStr">
        <is>
          <t>United Arab Emirates</t>
        </is>
      </c>
      <c r="H21" s="113" t="inlineStr">
        <is>
          <t>Breakthrough on a Budget</t>
        </is>
      </c>
      <c r="I21" s="128" t="inlineStr">
        <is>
          <t>https://ascentialcdn.filespin.io/api/v1/conversion/abc63dd6ae264a01a36dad6fe71eb424</t>
        </is>
      </c>
      <c r="J21" s="127" t="inlineStr">
        <is>
          <t>G_dzr4SJqjY</t>
        </is>
      </c>
      <c r="K21" s="127" t="n"/>
      <c r="L21" s="128" t="inlineStr">
        <is>
          <t>https://www.lovethework.com/work/entries/child-wedding-cards-756874</t>
        </is>
      </c>
      <c r="M21" s="113" t="inlineStr">
        <is>
          <t>A direct-mail campaign that sent hand-delivered wedding invitation cards — a culturally significant tradition in Pakistan, where printed cards are still delivered in person — to Pakistani lawmakers, each one made to appear crafted by a child. Produced in collaboration with BBDO Pakistan for under $1,500, the cards were designed to pressure legislators into raising the country's minimum marriage age to 18.</t>
        </is>
      </c>
      <c r="N21" s="113" t="inlineStr">
        <is>
          <t>un-women, direct-mail, public-health, child-marriage, pakistan, united-arab-emirates, low-budget, advocacy, print</t>
        </is>
      </c>
    </row>
    <row r="22">
      <c r="A22" s="127" t="n">
        <v>2025</v>
      </c>
      <c r="B22" s="133" t="inlineStr">
        <is>
          <t>Bronze</t>
        </is>
      </c>
      <c r="C22" s="127" t="inlineStr">
        <is>
          <t>Michael Cerave</t>
        </is>
      </c>
      <c r="D22" s="127" t="inlineStr">
        <is>
          <t>Cerave</t>
        </is>
      </c>
      <c r="E22" s="127" t="inlineStr">
        <is>
          <t>Cerave</t>
        </is>
      </c>
      <c r="F22" s="127" t="inlineStr">
        <is>
          <t>Ogilvy PR</t>
        </is>
      </c>
      <c r="G22" s="127" t="inlineStr">
        <is>
          <t>United States</t>
        </is>
      </c>
      <c r="H22" s="113" t="inlineStr">
        <is>
          <t>Market Disruption</t>
        </is>
      </c>
      <c r="I22" s="127" t="inlineStr">
        <is>
          <t>digital-presentation-images/creative-strategy-cerave-michael-cerave.webp</t>
        </is>
      </c>
      <c r="J22" s="127" t="inlineStr">
        <is>
          <t>vimeo:924148167</t>
        </is>
      </c>
      <c r="K22" s="127" t="n"/>
      <c r="L22" s="128" t="inlineStr">
        <is>
          <t>https://www.lovethework.com/work/entries/michael-cerave-762224</t>
        </is>
      </c>
      <c r="M22" s="113" t="inlineStr">
        <is>
          <t>A months-long social media and influencer conspiracy seeding the false claim that actor Michael Cera had secretly developed CeraVe skincare, built across earned, paid, and owned channels before being formally debunked on live television by a boardroom of CeraVe dermatologists in a Super Bowl commercial. The campaign was developed by Ogilvy PR New York and WPP Onefluence, using the prank's escalating absurdity to draw audiences in before the brand's actual credential — dermatologist development — delivered the punchline.</t>
        </is>
      </c>
      <c r="N22" s="113" t="inlineStr">
        <is>
          <t>skincare, personal-care, beauty, social-media, influencer, super-bowl, television, healthcare, united-states, multi-platform, pr</t>
        </is>
      </c>
    </row>
    <row r="23">
      <c r="A23" s="127" t="n">
        <v>2025</v>
      </c>
      <c r="B23" s="133" t="inlineStr">
        <is>
          <t>Bronze</t>
        </is>
      </c>
      <c r="C23" s="127" t="inlineStr">
        <is>
          <t>The Hidden Eye Test</t>
        </is>
      </c>
      <c r="D23" s="127" t="inlineStr">
        <is>
          <t>1001 Optometry</t>
        </is>
      </c>
      <c r="E23" s="127" t="inlineStr">
        <is>
          <t>1001 Optometry</t>
        </is>
      </c>
      <c r="F23" s="127" t="inlineStr">
        <is>
          <t>VML</t>
        </is>
      </c>
      <c r="G23" s="127" t="inlineStr">
        <is>
          <t>Australia</t>
        </is>
      </c>
      <c r="H23" s="113" t="inlineStr">
        <is>
          <t>Travel, Leisure, Retail, Restaurants &amp; Fast-Food Chains</t>
        </is>
      </c>
      <c r="I23" s="127" t="inlineStr">
        <is>
          <t>digital-presentation-images/creative-strategy-1001-optometry-the-hidden-eye-test.webp</t>
        </is>
      </c>
      <c r="J23" s="127" t="inlineStr">
        <is>
          <t>vimeo:1077848029</t>
        </is>
      </c>
      <c r="K23" s="127" t="n"/>
      <c r="L23" s="128" t="inlineStr">
        <is>
          <t>https://www.lovethework.com/work/entries/the-hidden-eye-test-756664</t>
        </is>
      </c>
      <c r="M23" s="113" t="inlineStr">
        <is>
          <t>A series of out-of-home billboards designed in collaboration with optometrists and AI artists, in which messages — "Eye Test," "Eye Scan," and "Eyecare" — are embedded within folds of fabric, shadows, and shapes using deliberate colour contrast, visual layering, and photographic detail, making them legible only to people with blurry vision. Built on a bespoke pipeline of AI programs trained on high-fashion imagery over 12 months, the boards function as a passive, condition-triggered prompt: passers-by who can read the hidden text are directed to book an eye test at 1001 Optometry, working on the insight that 90% of eye conditions are treatable when caught early but most Australians act only once symptoms appear.</t>
        </is>
      </c>
      <c r="N23" s="113" t="inlineStr">
        <is>
          <t>optometry, ooh, ai, technology, australia, out-of-home, health-awareness, typography, retail, eye-care, healthcare, medical</t>
        </is>
      </c>
    </row>
    <row r="24">
      <c r="A24" s="127" t="n">
        <v>2025</v>
      </c>
      <c r="B24" s="133" t="inlineStr">
        <is>
          <t>Bronze</t>
        </is>
      </c>
      <c r="C24" s="127" t="inlineStr">
        <is>
          <t>Sounds Right</t>
        </is>
      </c>
      <c r="D24" s="127" t="inlineStr">
        <is>
          <t>Museum for the United Nations - UN Live, Spotify</t>
        </is>
      </c>
      <c r="E24" s="127" t="inlineStr">
        <is>
          <t>Music</t>
        </is>
      </c>
      <c r="F24" s="127" t="inlineStr">
        <is>
          <t>AKQA</t>
        </is>
      </c>
      <c r="G24" s="127" t="inlineStr">
        <is>
          <t>Denmark</t>
        </is>
      </c>
      <c r="H24" s="113" t="inlineStr">
        <is>
          <t>Media/Entertainment</t>
        </is>
      </c>
      <c r="I24" s="127" t="inlineStr">
        <is>
          <t>digital-presentation-images/creative-strategy-museum-for-the-united-nations-sounds-right.webp</t>
        </is>
      </c>
      <c r="J24" s="127" t="inlineStr">
        <is>
          <t>vimeo:1094746280</t>
        </is>
      </c>
      <c r="K24" s="127" t="n"/>
      <c r="L24" s="128" t="inlineStr">
        <is>
          <t>https://www.lovethework.com/work/entries/sounds-right-756651</t>
        </is>
      </c>
      <c r="M24" s="113" t="inlineStr">
        <is>
          <t>A Spotify initiative, developed by AKQA for Museum for the United Nations – UN Live, that registers NATURE as an official credited artist on the platform — so that existing songs featuring natural soundscapes, from artists including V of BTS, David Bowie, Brian Eno, AURORA, and Ellie Goulding, list NATURE as a collaborator with its own verified artist profile. Streaming royalties attributed to NATURE's credit are directed toward nature conservation funding.</t>
        </is>
      </c>
      <c r="N24" s="113" t="inlineStr">
        <is>
          <t>music, entertainment, streaming, tv, spotify, mobile-app, conservation, public-service, corporate-social-responsibility, denmark, akqa</t>
        </is>
      </c>
    </row>
    <row r="25">
      <c r="A25" s="127" t="n">
        <v>2025</v>
      </c>
      <c r="B25" s="133" t="inlineStr">
        <is>
          <t>Bronze</t>
        </is>
      </c>
      <c r="C25" s="127" t="inlineStr">
        <is>
          <t>Football Is for Food</t>
        </is>
      </c>
      <c r="D25" s="127" t="inlineStr">
        <is>
          <t>Uber Eats</t>
        </is>
      </c>
      <c r="E25" s="127" t="inlineStr">
        <is>
          <t>Uber Eats</t>
        </is>
      </c>
      <c r="F25" s="127" t="inlineStr">
        <is>
          <t>Special</t>
        </is>
      </c>
      <c r="G25" s="127" t="inlineStr">
        <is>
          <t>United States</t>
        </is>
      </c>
      <c r="H25" s="113" t="inlineStr">
        <is>
          <t>Travel, Leisure, Retail, Restaurants &amp; Fast-Food Chains</t>
        </is>
      </c>
      <c r="I25" s="127" t="inlineStr">
        <is>
          <t>digital-presentation-images/creative-strategy-uber-eats-football-is-for-food.webp</t>
        </is>
      </c>
      <c r="J25" s="127" t="inlineStr">
        <is>
          <t>Mi_cxUyqH4Q</t>
        </is>
      </c>
      <c r="K25" s="127" t="n"/>
      <c r="L25" s="128" t="inlineStr">
        <is>
          <t>https://www.lovethework.com/work/entries/football-is-for-food-756733</t>
        </is>
      </c>
      <c r="M25" s="113" t="inlineStr">
        <is>
          <t>A season-long campaign that reframed the entire NFL as a covert advertisement for food delivery — with a conspiracy theory, seeded across multiple spots, connecting football touchdowns, huddles, and tailgates to the act of ordering food. Matthew McConaughey and NFL star Christian McCaffrey fronted the launch film, which kicked off a rolling series of fabricated "evidence" uncovering hundreds of links between football and eating, created by Special US.</t>
        </is>
      </c>
      <c r="N25" s="113" t="inlineStr">
        <is>
          <t>food-delivery, food, restaurant, ecommerce, retail, online-shopping, television, brand-integration, nfl, united-states, conspiracy, humor, sports-sponsorship</t>
        </is>
      </c>
    </row>
    <row r="26">
      <c r="A26" s="127" t="n">
        <v>2025</v>
      </c>
      <c r="B26" s="133" t="inlineStr">
        <is>
          <t>Bronze</t>
        </is>
      </c>
      <c r="C26" s="127" t="inlineStr">
        <is>
          <t>Waiting to Live</t>
        </is>
      </c>
      <c r="D26" s="127" t="inlineStr">
        <is>
          <t>NHS</t>
        </is>
      </c>
      <c r="E26" s="127" t="inlineStr">
        <is>
          <t>NHS Blood &amp; Transplant</t>
        </is>
      </c>
      <c r="F26" s="127" t="inlineStr">
        <is>
          <t>VML</t>
        </is>
      </c>
      <c r="G26" s="127" t="inlineStr">
        <is>
          <t>United Kingdom</t>
        </is>
      </c>
      <c r="H26" s="113" t="inlineStr">
        <is>
          <t>Not-for-Profit / Charity / Government</t>
        </is>
      </c>
      <c r="I26" s="127" t="inlineStr">
        <is>
          <t>digital-presentation-images/creative-strategy-nhs-waiting-to-live.webp</t>
        </is>
      </c>
      <c r="J26" s="127" t="inlineStr">
        <is>
          <t>OyiFnpmTFsY</t>
        </is>
      </c>
      <c r="K26" s="127" t="n"/>
      <c r="L26" s="128" t="inlineStr">
        <is>
          <t>https://www.lovethework.com/work/entries/waiting-to-live-756712</t>
        </is>
      </c>
      <c r="M26" s="113" t="inlineStr">
        <is>
          <t>A set of 233 handcrafted dolls, each representing one of the real children on the UK transplant waiting list, placed in the waiting rooms of their local hospitals alongside a QR code badge carrying the child's name and condition. Scanning the badge opens a dedicated site — waitingtolive.org, built by VML — where visitors hear that specific child's story and can register their own child on the NHS Organ Donor Register.</t>
        </is>
      </c>
      <c r="N26" s="113" t="inlineStr">
        <is>
          <t>public-health, not-for-profit, charity, ngo, social-good, experiential, ooh, qr-code, craft, organ-donation, healthcare, medical, united-kingdom</t>
        </is>
      </c>
    </row>
    <row r="27">
      <c r="A27" s="127" t="n">
        <v>2025</v>
      </c>
      <c r="B27" s="133" t="inlineStr">
        <is>
          <t>Bronze</t>
        </is>
      </c>
      <c r="C27" s="127" t="inlineStr">
        <is>
          <t>The 26th Minute</t>
        </is>
      </c>
      <c r="D27" s="127" t="inlineStr">
        <is>
          <t>Dublin Samaritans, Droga5</t>
        </is>
      </c>
      <c r="E27" s="127" t="inlineStr">
        <is>
          <t>Samaritans Volunteer Recruitment</t>
        </is>
      </c>
      <c r="F27" s="127" t="inlineStr">
        <is>
          <t>Part of Accenture Song</t>
        </is>
      </c>
      <c r="G27" s="127" t="inlineStr">
        <is>
          <t>Ireland</t>
        </is>
      </c>
      <c r="H27" s="113" t="inlineStr">
        <is>
          <t>Audience Insight</t>
        </is>
      </c>
      <c r="I27" s="127" t="inlineStr">
        <is>
          <t>digital-presentation-images/creative-strategy-dublin-samaritans-droga5-the-26th-minute.webp</t>
        </is>
      </c>
      <c r="J27" s="127" t="inlineStr">
        <is>
          <t>vimeo:1156074978</t>
        </is>
      </c>
      <c r="K27" s="127" t="n"/>
      <c r="L27" s="128" t="inlineStr">
        <is>
          <t>https://www.lovethework.com/work/entries/the-26th-minute-756951</t>
        </is>
      </c>
      <c r="M27" s="113" t="inlineStr">
        <is>
          <t>A series of hyper-targeted media interruptions placed at the 26th minute — the average length of a Samaritans call — across podcasts, live Premier League football broadcasts, and rock gigs in Ireland, reaching people while they were already listening for exactly that duration. The creative insight addressed a specific recruitment barrier: many people believe volunteering requires formal qualifications, when the only skill needed is the ability to listen for 26 minutes. Developed by Droga5 Dublin, part of Accenture Song, the campaign ran across Dublin to fill night-shift volunteer slots for Ireland's only 24-hour emotional distress helpline.</t>
        </is>
      </c>
      <c r="N27" s="113" t="inlineStr">
        <is>
          <t>nonprofit, volunteer-recruitment, podcast, live-events, sports-broadcast, media-placement, ireland, mental-health, healthcare, medical, audience-insight</t>
        </is>
      </c>
    </row>
    <row r="28">
      <c r="A28" s="127" t="n">
        <v>2025</v>
      </c>
      <c r="B28" s="133" t="inlineStr">
        <is>
          <t>Bronze</t>
        </is>
      </c>
      <c r="C28" s="127" t="inlineStr">
        <is>
          <t>The New President</t>
        </is>
      </c>
      <c r="D28" s="127" t="inlineStr">
        <is>
          <t>Annahar Newspaper</t>
        </is>
      </c>
      <c r="E28" s="127" t="inlineStr">
        <is>
          <t>Annahar Newspaper</t>
        </is>
      </c>
      <c r="F28" s="127" t="inlineStr">
        <is>
          <t>Impact BBDO</t>
        </is>
      </c>
      <c r="G28" s="127" t="inlineStr">
        <is>
          <t>United Arab Emirates</t>
        </is>
      </c>
      <c r="H28" s="113" t="inlineStr">
        <is>
          <t>Brave Brands</t>
        </is>
      </c>
      <c r="I28" s="128" t="inlineStr">
        <is>
          <t>https://ascentialcdn.filespin.io/api/v1/conversion/04e3ef953a454b9da10f1982fa8553b3</t>
        </is>
      </c>
      <c r="J28" s="127" t="inlineStr">
        <is>
          <t>MeCjFylJMVo</t>
        </is>
      </c>
      <c r="K28" s="127" t="n"/>
      <c r="L28" s="128" t="inlineStr">
        <is>
          <t>https://www.lovethework.com/work/entries/the-new-president-757020</t>
        </is>
      </c>
      <c r="M28" s="113" t="inlineStr">
        <is>
          <t>An AI-generated head of state created by AnNahar Newspaper and IMPACT BBDO to fill Lebanon's presidential vacancy — a position left empty by years of political deadlock — and inserted into actual government cabinet sessions. The AI president was used as a functional stand-in during live proceedings, making it the first instance of an AI-generated head of state actively utilized in an official government context.</t>
        </is>
      </c>
      <c r="N28" s="113" t="inlineStr">
        <is>
          <t>newspaper, ai, technology, lebanon, media-entertainment, generative-ai, political, print-media, public-affairs</t>
        </is>
      </c>
    </row>
    <row r="29">
      <c r="A29" s="127" t="n">
        <v>2025</v>
      </c>
      <c r="B29" s="133" t="inlineStr">
        <is>
          <t>Bronze</t>
        </is>
      </c>
      <c r="C29" s="127" t="inlineStr">
        <is>
          <t>Sato 2531</t>
        </is>
      </c>
      <c r="D29" s="127" t="inlineStr">
        <is>
          <t>Asuniwa</t>
        </is>
      </c>
      <c r="E29" s="127" t="inlineStr">
        <is>
          <t>Think Name Project</t>
        </is>
      </c>
      <c r="F29" s="127" t="inlineStr">
        <is>
          <t>Dentsu Digital</t>
        </is>
      </c>
      <c r="G29" s="127" t="inlineStr">
        <is>
          <t>Japan</t>
        </is>
      </c>
      <c r="H29" s="113" t="inlineStr">
        <is>
          <t>Cultural Engagement</t>
        </is>
      </c>
      <c r="I29" s="127" t="inlineStr">
        <is>
          <t>digital-presentation-images/creative-strategy-asuniwa-sato-2531.webp</t>
        </is>
      </c>
      <c r="J29" s="127" t="inlineStr">
        <is>
          <t>BW5T0gC6o3o</t>
        </is>
      </c>
      <c r="K29" s="127" t="n"/>
      <c r="L29" s="128" t="inlineStr">
        <is>
          <t>https://www.lovethework.com/work/entries/sato-2531-757065</t>
        </is>
      </c>
      <c r="M29" s="113" t="inlineStr">
        <is>
          <t>A data projection commissioned by Asuniwa, a Japanese gender equality organization, modeling the long-term impact of Japan's law requiring married couples to share a single surname — a rule that in practice leads most wives to take their husband's name. Working with an academic partner, the project calculated that if the law remains unchanged, "Sato" — currently Japan's most common surname — would mathematically become the only surviving family name in the country by the year 2531. To force the finding into public conversation, 40 organizations renamed their assets, accounts, and properties to "Sato."</t>
        </is>
      </c>
      <c r="N29" s="113" t="inlineStr">
        <is>
          <t>gender-equality, social-good, data-visualization, public-awareness, research, nonprofit, japan, social-issue, naming, activation</t>
        </is>
      </c>
    </row>
  </sheetData>
  <autoFilter ref="A1:N29"/>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I6" r:id="rId5"/>
    <hyperlink xmlns:r="http://schemas.openxmlformats.org/officeDocument/2006/relationships" ref="L6" r:id="rId6"/>
    <hyperlink xmlns:r="http://schemas.openxmlformats.org/officeDocument/2006/relationships" ref="L7" r:id="rId7"/>
    <hyperlink xmlns:r="http://schemas.openxmlformats.org/officeDocument/2006/relationships" ref="I8" r:id="rId8"/>
    <hyperlink xmlns:r="http://schemas.openxmlformats.org/officeDocument/2006/relationships" ref="L8" r:id="rId9"/>
    <hyperlink xmlns:r="http://schemas.openxmlformats.org/officeDocument/2006/relationships" ref="I9" r:id="rId10"/>
    <hyperlink xmlns:r="http://schemas.openxmlformats.org/officeDocument/2006/relationships" ref="L9" r:id="rId11"/>
    <hyperlink xmlns:r="http://schemas.openxmlformats.org/officeDocument/2006/relationships" ref="L10" r:id="rId12"/>
    <hyperlink xmlns:r="http://schemas.openxmlformats.org/officeDocument/2006/relationships" ref="L11" r:id="rId13"/>
    <hyperlink xmlns:r="http://schemas.openxmlformats.org/officeDocument/2006/relationships" ref="L12" r:id="rId14"/>
    <hyperlink xmlns:r="http://schemas.openxmlformats.org/officeDocument/2006/relationships" ref="L13" r:id="rId15"/>
    <hyperlink xmlns:r="http://schemas.openxmlformats.org/officeDocument/2006/relationships" ref="L14" r:id="rId16"/>
    <hyperlink xmlns:r="http://schemas.openxmlformats.org/officeDocument/2006/relationships" ref="L15" r:id="rId17"/>
    <hyperlink xmlns:r="http://schemas.openxmlformats.org/officeDocument/2006/relationships" ref="L16" r:id="rId18"/>
    <hyperlink xmlns:r="http://schemas.openxmlformats.org/officeDocument/2006/relationships" ref="L17" r:id="rId19"/>
    <hyperlink xmlns:r="http://schemas.openxmlformats.org/officeDocument/2006/relationships" ref="L18" r:id="rId20"/>
    <hyperlink xmlns:r="http://schemas.openxmlformats.org/officeDocument/2006/relationships" ref="L19" r:id="rId21"/>
    <hyperlink xmlns:r="http://schemas.openxmlformats.org/officeDocument/2006/relationships" ref="I20" r:id="rId22"/>
    <hyperlink xmlns:r="http://schemas.openxmlformats.org/officeDocument/2006/relationships" ref="L20" r:id="rId23"/>
    <hyperlink xmlns:r="http://schemas.openxmlformats.org/officeDocument/2006/relationships" ref="I21" r:id="rId24"/>
    <hyperlink xmlns:r="http://schemas.openxmlformats.org/officeDocument/2006/relationships" ref="L21" r:id="rId25"/>
    <hyperlink xmlns:r="http://schemas.openxmlformats.org/officeDocument/2006/relationships" ref="L22" r:id="rId26"/>
    <hyperlink xmlns:r="http://schemas.openxmlformats.org/officeDocument/2006/relationships" ref="L23" r:id="rId27"/>
    <hyperlink xmlns:r="http://schemas.openxmlformats.org/officeDocument/2006/relationships" ref="L24" r:id="rId28"/>
    <hyperlink xmlns:r="http://schemas.openxmlformats.org/officeDocument/2006/relationships" ref="L25" r:id="rId29"/>
    <hyperlink xmlns:r="http://schemas.openxmlformats.org/officeDocument/2006/relationships" ref="L26" r:id="rId30"/>
    <hyperlink xmlns:r="http://schemas.openxmlformats.org/officeDocument/2006/relationships" ref="L27" r:id="rId31"/>
    <hyperlink xmlns:r="http://schemas.openxmlformats.org/officeDocument/2006/relationships" ref="I28" r:id="rId32"/>
    <hyperlink xmlns:r="http://schemas.openxmlformats.org/officeDocument/2006/relationships" ref="L28" r:id="rId33"/>
    <hyperlink xmlns:r="http://schemas.openxmlformats.org/officeDocument/2006/relationships" ref="L29" r:id="rId34"/>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N5"/>
  <sheetViews>
    <sheetView workbookViewId="0">
      <pane ySplit="1" topLeftCell="A2" activePane="bottomLeft" state="frozen"/>
      <selection pane="bottomLeft" activeCell="A1" sqref="A1"/>
    </sheetView>
  </sheetViews>
  <sheetFormatPr baseColWidth="8" defaultRowHeight="15"/>
  <cols>
    <col width="6" customWidth="1" style="34" min="1" max="1"/>
    <col width="16" customWidth="1" style="34" min="2" max="2"/>
    <col width="34" customWidth="1" style="34" min="3" max="3"/>
    <col width="22" customWidth="1" style="34" min="4" max="4"/>
    <col width="26" customWidth="1" style="34" min="5" max="5"/>
    <col width="28" customWidth="1" style="34" min="6" max="6"/>
    <col width="16" customWidth="1" style="34" min="7" max="7"/>
    <col width="34" customWidth="1" style="34" min="8" max="8"/>
    <col width="18" customWidth="1" style="34" min="9" max="9"/>
    <col width="16" customWidth="1" style="34" min="10" max="10"/>
    <col width="22" customWidth="1" style="34" min="11" max="11"/>
    <col hidden="1" width="20" customWidth="1" style="34" min="12" max="12"/>
    <col width="60" customWidth="1" style="34" min="13" max="13"/>
    <col width="40" customWidth="1" style="34" min="14" max="14"/>
  </cols>
  <sheetData>
    <row r="1" ht="22" customHeight="1" s="34">
      <c r="A1" s="122" t="inlineStr">
        <is>
          <t>Year</t>
        </is>
      </c>
      <c r="B1" s="122" t="inlineStr">
        <is>
          <t>Tier</t>
        </is>
      </c>
      <c r="C1" s="122" t="inlineStr">
        <is>
          <t>Campaign</t>
        </is>
      </c>
      <c r="D1" s="122" t="inlineStr">
        <is>
          <t>Brand</t>
        </is>
      </c>
      <c r="E1" s="122" t="inlineStr">
        <is>
          <t>Product/Service</t>
        </is>
      </c>
      <c r="F1" s="122" t="inlineStr">
        <is>
          <t>Agency</t>
        </is>
      </c>
      <c r="G1" s="122" t="inlineStr">
        <is>
          <t>Country</t>
        </is>
      </c>
      <c r="H1" s="122" t="inlineStr">
        <is>
          <t>Subcategory</t>
        </is>
      </c>
      <c r="I1" s="122" t="inlineStr">
        <is>
          <t>Image URL</t>
        </is>
      </c>
      <c r="J1" s="122" t="inlineStr">
        <is>
          <t>YouTube ID</t>
        </is>
      </c>
      <c r="K1" s="122" t="inlineStr">
        <is>
          <t>Campaign Group</t>
        </is>
      </c>
      <c r="L1" s="122" t="inlineStr">
        <is>
          <t>Entry URL</t>
        </is>
      </c>
      <c r="M1" s="122" t="inlineStr">
        <is>
          <t>Description</t>
        </is>
      </c>
      <c r="N1" s="122" t="inlineStr">
        <is>
          <t>Keywords</t>
        </is>
      </c>
    </row>
    <row r="2">
      <c r="A2" s="127" t="n">
        <v>2025</v>
      </c>
      <c r="B2" s="139" t="inlineStr">
        <is>
          <t>Titanium Grand Prix</t>
        </is>
      </c>
      <c r="C2" s="127" t="inlineStr">
        <is>
          <t>AXA - Three Words</t>
        </is>
      </c>
      <c r="D2" s="127" t="inlineStr">
        <is>
          <t>AXA</t>
        </is>
      </c>
      <c r="E2" s="127" t="inlineStr">
        <is>
          <t>Insurance</t>
        </is>
      </c>
      <c r="F2" s="127" t="inlineStr">
        <is>
          <t>Publicis Conseil</t>
        </is>
      </c>
      <c r="G2" s="127" t="inlineStr">
        <is>
          <t>France</t>
        </is>
      </c>
      <c r="H2" s="113" t="inlineStr">
        <is>
          <t>Titanium</t>
        </is>
      </c>
      <c r="I2" s="128" t="inlineStr">
        <is>
          <t>https://ascentialcdn.filespin.io/api/v1/conversion/e1a85ff134e545c7b049791151432028</t>
        </is>
      </c>
      <c r="J2" s="127" t="inlineStr">
        <is>
          <t>pY-03zuV7mE</t>
        </is>
      </c>
      <c r="K2" s="127" t="n"/>
      <c r="L2" s="128" t="inlineStr">
        <is>
          <t>https://www.lovethework.com/work/entries/axa-three-words-748384</t>
        </is>
      </c>
      <c r="M2" s="113" t="inlineStr">
        <is>
          <t>AXA turned home insurance into a tool for escape by adding three words—“and domestic violence”—to its policies, making abuse a covered risk alongside fire and flood. The change gave victims emergency relocation support at no extra cost, updating 2.5 million contracts and helping women leave the most dangerous place they may face: their own home.</t>
        </is>
      </c>
      <c r="N2" s="113" t="inlineStr">
        <is>
          <t>insurance, financial-services, finance, france, domestic-violence, public-service, digital-platform, consumer-services, housing, publicis-conseil</t>
        </is>
      </c>
    </row>
    <row r="3">
      <c r="A3" s="127" t="n">
        <v>2025</v>
      </c>
      <c r="B3" s="158" t="inlineStr">
        <is>
          <t>Titanium</t>
        </is>
      </c>
      <c r="C3" s="127" t="inlineStr">
        <is>
          <t>Pedigree Caramelo</t>
        </is>
      </c>
      <c r="D3" s="127" t="inlineStr">
        <is>
          <t>Pedigree</t>
        </is>
      </c>
      <c r="E3" s="127" t="inlineStr">
        <is>
          <t>Pedigree</t>
        </is>
      </c>
      <c r="F3" s="127" t="inlineStr">
        <is>
          <t>AlmapBBDO</t>
        </is>
      </c>
      <c r="G3" s="127" t="inlineStr">
        <is>
          <t>Brazil</t>
        </is>
      </c>
      <c r="H3" s="113" t="inlineStr">
        <is>
          <t>Titanium</t>
        </is>
      </c>
      <c r="I3" s="128" t="inlineStr">
        <is>
          <t>https://ascentialcdn.filespin.io/api/v1/conversion/61f3c230a91e417397304be1d6a0ef2d</t>
        </is>
      </c>
      <c r="J3" s="127" t="inlineStr">
        <is>
          <t>prMM0H9psRs</t>
        </is>
      </c>
      <c r="K3" s="127" t="n"/>
      <c r="L3" s="128" t="inlineStr">
        <is>
          <t>https://www.lovethework.com/work/entries/pedigree-caramelo-758945</t>
        </is>
      </c>
      <c r="M3" s="113" t="inlineStr">
        <is>
          <t>A campaign by AlmapBBDO São Paulo that officially registered Brazil's most common shelter dog — the caramelo, a generic tan mixed-breed found across the country — as a recognized breed, complete with a formal Pedigree certificate, DNA testing, a Kennel Club, and its own Pedigree branded packaging. The premise was that the caramelo was already everywhere in Brazilian culture — in memes, jokes, and everyday affection — but had never received the official status that purebred dogs carry, which Pedigree used as a reason to give it one.</t>
        </is>
      </c>
      <c r="N3" s="113" t="inlineStr">
        <is>
          <t>dog-food, brazil, shelter-adoption, branded-experience, packaging, public-service, mixed-breed, brand-strategy, pet-care</t>
        </is>
      </c>
    </row>
    <row r="4">
      <c r="A4" s="127" t="n">
        <v>2025</v>
      </c>
      <c r="B4" s="158" t="inlineStr">
        <is>
          <t>Titanium</t>
        </is>
      </c>
      <c r="C4" s="127" t="inlineStr">
        <is>
          <t>Vaseline Verified</t>
        </is>
      </c>
      <c r="D4" s="127" t="inlineStr">
        <is>
          <t>Unilever</t>
        </is>
      </c>
      <c r="E4" s="127" t="inlineStr">
        <is>
          <t>Vaseline</t>
        </is>
      </c>
      <c r="F4" s="127" t="inlineStr">
        <is>
          <t>Ogilvy</t>
        </is>
      </c>
      <c r="G4" s="127" t="inlineStr">
        <is>
          <t>Singapore</t>
        </is>
      </c>
      <c r="H4" s="113" t="inlineStr">
        <is>
          <t>Titanium</t>
        </is>
      </c>
      <c r="I4" s="128" t="inlineStr">
        <is>
          <t>https://ascentialcdn.filespin.io/api/v1/conversion/faf0755b0d4e4594ad93cb75d6288e3d</t>
        </is>
      </c>
      <c r="J4" s="127" t="inlineStr">
        <is>
          <t>vimeo:1082798104</t>
        </is>
      </c>
      <c r="K4" s="127" t="n"/>
      <c r="L4" s="128" t="inlineStr">
        <is>
          <t>https://www.lovethework.com/work/entries/vaseline-verified-758815</t>
        </is>
      </c>
      <c r="M4" s="113" t="inlineStr">
        <is>
          <t>A community management campaign built around the 6,000-plus organic social media posts showing unofficial uses of Vaseline Petroleum Jelly: Ogilvy Singapore had dermatologists review each hack, awarding a "Vaseline Verified" seal to those that held up and publicly debunking those that didn't. The system turned user-generated content into a live, brand-endorsed verification layer — embracing the existing conversation rather than replacing it with controlled messaging.</t>
        </is>
      </c>
      <c r="N4" s="113" t="inlineStr">
        <is>
          <t>skincare, personal-care, beauty, community-management, social-media, user-generated-content, ooh, singapore, health-wellness, dermatology</t>
        </is>
      </c>
    </row>
    <row r="5">
      <c r="A5" s="127" t="n">
        <v>2025</v>
      </c>
      <c r="B5" s="158" t="inlineStr">
        <is>
          <t>Titanium</t>
        </is>
      </c>
      <c r="C5" s="127" t="inlineStr">
        <is>
          <t>Caption with Intention</t>
        </is>
      </c>
      <c r="D5" s="127" t="inlineStr">
        <is>
          <t>Academy of Motion Picture Arts &amp; Sciences - Rakish - Chicago Hearing Society</t>
        </is>
      </c>
      <c r="E5" s="127" t="inlineStr">
        <is>
          <t>Closed Captioning</t>
        </is>
      </c>
      <c r="F5" s="127" t="inlineStr">
        <is>
          <t>FCB Chicago</t>
        </is>
      </c>
      <c r="G5" s="127" t="inlineStr">
        <is>
          <t>United States</t>
        </is>
      </c>
      <c r="H5" s="113" t="inlineStr">
        <is>
          <t>Titanium</t>
        </is>
      </c>
      <c r="I5" s="128" t="inlineStr">
        <is>
          <t>https://ascentialcdn.filespin.io/api/v1/conversion/ec33dea7945841b0a0833542b60f5b36</t>
        </is>
      </c>
      <c r="J5" s="127" t="inlineStr">
        <is>
          <t>F48khKZhKHM</t>
        </is>
      </c>
      <c r="K5" s="127" t="n"/>
      <c r="L5" s="128" t="inlineStr">
        <is>
          <t>https://www.lovethework.com/work/entries/caption-with-intention-748572</t>
        </is>
      </c>
      <c r="M5" s="113" t="inlineStr">
        <is>
          <t>A caption design system for film and television that moves beyond static white text — word-by-word sync pairs with expressive typography, where type weight, color, and motion signal volume, tone, and speaker identity. Developed by FCB Chicago in close partnership with the Chicago Hearing Society, Rakish, and the Academy of Motion Picture Arts and Sciences, which adopted it as a new standard for cinematic accessibility.</t>
        </is>
      </c>
      <c r="N5" s="113" t="inlineStr">
        <is>
          <t>closed-captioning, accessibility, typography, film, cinema, entertainment, societal-innovation, united-states, design-system, deaf-hard-of-hearing</t>
        </is>
      </c>
    </row>
  </sheetData>
  <autoFilter ref="A1:N5"/>
  <hyperlinks>
    <hyperlink xmlns:r="http://schemas.openxmlformats.org/officeDocument/2006/relationships" ref="I2" r:id="rId1"/>
    <hyperlink xmlns:r="http://schemas.openxmlformats.org/officeDocument/2006/relationships" ref="L2" r:id="rId2"/>
    <hyperlink xmlns:r="http://schemas.openxmlformats.org/officeDocument/2006/relationships" ref="I3" r:id="rId3"/>
    <hyperlink xmlns:r="http://schemas.openxmlformats.org/officeDocument/2006/relationships" ref="L3" r:id="rId4"/>
    <hyperlink xmlns:r="http://schemas.openxmlformats.org/officeDocument/2006/relationships" ref="I4" r:id="rId5"/>
    <hyperlink xmlns:r="http://schemas.openxmlformats.org/officeDocument/2006/relationships" ref="L4" r:id="rId6"/>
    <hyperlink xmlns:r="http://schemas.openxmlformats.org/officeDocument/2006/relationships" ref="I5" r:id="rId7"/>
    <hyperlink xmlns:r="http://schemas.openxmlformats.org/officeDocument/2006/relationships" ref="L5" r:id="rId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2026-04-02T04:55:11Z</dcterms:created>
  <dcterms:modified xmlns:dcterms="http://purl.org/dc/terms/" xmlns:xsi="http://www.w3.org/2001/XMLSchema-instance" xsi:type="dcterms:W3CDTF">2026-05-25T00:01:10Z</dcterms:modified>
  <cp:revision>0</cp:revision>
</cp:coreProperties>
</file>